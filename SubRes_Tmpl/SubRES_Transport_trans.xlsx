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tyles.xml" ContentType="application/vnd.openxmlformats-officedocument.spreadsheetml.styles+xml"/>
  <Override PartName="/xl/worksheets/sheet1.xml" ContentType="application/vnd.openxmlformats-officedocument.spreadsheetml.worksheet+xml"/>
  <Override PartName="/xl/comments2.xml" ContentType="application/vnd.openxmlformats-officedocument.spreadsheetml.comments+xml"/>
  <Override PartName="/xl/drawings/drawing1.xml" ContentType="application/vnd.openxmlformats-officedocument.drawing+xml"/>
  <Default Extension="vml" ContentType="application/vnd.openxmlformats-officedocument.vmlDrawing"/>
  <Override PartName="/xl/worksheets/sheet2.xml" ContentType="application/vnd.openxmlformats-officedocument.spreadsheetml.worksheet+xml"/>
  <Override PartName="/xl/comments3.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4" Type="http://schemas.openxmlformats.org/officeDocument/2006/relationships/custom-properties" Target="docProps/custom.xml" /><Relationship Id="rId2" Type="http://schemas.openxmlformats.org/package/2006/relationships/metadata/core-properties" Target="docProps/core.xml" /><Relationship Id="rId3"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updateLinks="never" codeName="ThisWorkbook"/>
  <bookViews>
    <workbookView xWindow="240" yWindow="120" windowWidth="18350" windowHeight="8710" activeTab="1"/>
  </bookViews>
  <sheets>
    <sheet name="TechSelection" sheetId="21" r:id="rId3"/>
    <sheet name="InvCost_for_packManufacturing" sheetId="30" r:id="rId4"/>
    <sheet name="Road transport" sheetId="25" r:id="rId5"/>
    <sheet name="RoadTra_BY" sheetId="26" r:id="rId6"/>
    <sheet name="added_EnergyUse_for_Manu" sheetId="27" r:id="rId7"/>
    <sheet name="added_energyUse_for_US_1.0" sheetId="28" r:id="rId8"/>
    <sheet name="added_energyUse_for_CN_1.0" sheetId="29" r:id="rId9"/>
    <sheet name="Move_from_SceDemandProj" sheetId="31" r:id="rId10"/>
  </sheets>
  <externalReferences>
    <externalReference r:id="rId12"/>
    <externalReference r:id="rId13"/>
    <externalReference r:id="rId14"/>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25" l="1"/>
</calcChain>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BE2" authorId="0">
      <text>
        <r>
          <rPr>
            <b/>
            <sz val="9"/>
            <rFont val="Times New Roman"/>
            <family val="2"/>
          </rPr>
          <t>xli9:</t>
        </r>
        <r>
          <rPr>
            <sz val="9"/>
            <rFont val="Times New Roman"/>
            <family val="2"/>
          </rPr>
          <t xml:space="preserve">
cell manufacturing cost/ pack assemble=60%:40%  (but 60% should be attrbuted to be ACT_COST to align with the package production GWh);</t>
        </r>
      </text>
    </comment>
    <comment ref="BL2" authorId="0">
      <text>
        <r>
          <rPr>
            <b/>
            <sz val="9"/>
            <rFont val="Times New Roman"/>
            <family val="2"/>
          </rPr>
          <t>xli9:</t>
        </r>
        <r>
          <rPr>
            <sz val="9"/>
            <rFont val="Times New Roman"/>
            <family val="2"/>
          </rPr>
          <t xml:space="preserve">
cell manufacturing cost/ CAPEX: 90% of facility cost; and other 10% for pack assemble cost</t>
        </r>
      </text>
    </comment>
    <comment ref="F3" authorId="0">
      <text>
        <r>
          <rPr>
            <b/>
            <sz val="9"/>
            <rFont val="Times New Roman"/>
            <family val="2"/>
            <charset val="134"/>
          </rPr>
          <t>xli9:</t>
        </r>
        <r>
          <rPr>
            <sz val="9"/>
            <rFont val="Times New Roman"/>
            <family val="2"/>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family val="2"/>
          </rPr>
          <t>xli9:</t>
        </r>
        <r>
          <rPr>
            <sz val="9"/>
            <rFont val="Times New Roman"/>
            <family val="2"/>
          </rPr>
          <t xml:space="preserve">
at the factory (conversion) level</t>
        </r>
      </text>
    </comment>
    <comment ref="AX24" authorId="0">
      <text>
        <r>
          <rPr>
            <b/>
            <sz val="9"/>
            <rFont val="Times New Roman"/>
            <family val="2"/>
          </rPr>
          <t>xli9:</t>
        </r>
        <r>
          <rPr>
            <sz val="9"/>
            <rFont val="Times New Roman"/>
            <family val="2"/>
          </rPr>
          <t xml:space="preserve">
at the factory (conversion) level</t>
        </r>
      </text>
    </comment>
    <comment ref="B33" authorId="0">
      <text>
        <r>
          <rPr>
            <b/>
            <sz val="9"/>
            <rFont val="Times New Roman"/>
            <family val="2"/>
          </rPr>
          <t>xli9:</t>
        </r>
        <r>
          <rPr>
            <sz val="9"/>
            <rFont val="Times New Roman"/>
            <family val="2"/>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family val="2"/>
          </rPr>
          <t>xli9:</t>
        </r>
        <r>
          <rPr>
            <sz val="9"/>
            <rFont val="Times New Roman"/>
            <family val="2"/>
          </rPr>
          <t xml:space="preserve">
at the factory (conversion) level</t>
        </r>
      </text>
    </comment>
    <comment ref="AX53" authorId="0">
      <text>
        <r>
          <rPr>
            <b/>
            <sz val="9"/>
            <rFont val="Times New Roman"/>
            <family val="2"/>
          </rPr>
          <t>xli9:</t>
        </r>
        <r>
          <rPr>
            <sz val="9"/>
            <rFont val="Times New Roman"/>
            <family val="2"/>
          </rPr>
          <t xml:space="preserve">
at the factory (conversion) level</t>
        </r>
      </text>
    </comment>
    <comment ref="B55" authorId="0">
      <text>
        <r>
          <rPr>
            <b/>
            <sz val="9"/>
            <rFont val="Times New Roman"/>
            <family val="2"/>
          </rPr>
          <t>xli9:</t>
        </r>
        <r>
          <rPr>
            <sz val="9"/>
            <rFont val="Times New Roman"/>
            <family val="2"/>
          </rPr>
          <t xml:space="preserve">
at the factory (conversion) level</t>
        </r>
      </text>
    </comment>
    <comment ref="AX67" authorId="0">
      <text>
        <r>
          <rPr>
            <b/>
            <sz val="9"/>
            <rFont val="Times New Roman"/>
            <family val="2"/>
          </rPr>
          <t>xli9:</t>
        </r>
        <r>
          <rPr>
            <sz val="9"/>
            <rFont val="Times New Roman"/>
            <family val="2"/>
          </rPr>
          <t xml:space="preserve">
at the factory (conversion) level</t>
        </r>
      </text>
    </comment>
    <comment ref="AX83" authorId="0">
      <text>
        <r>
          <rPr>
            <b/>
            <sz val="9"/>
            <rFont val="Times New Roman"/>
            <family val="2"/>
          </rPr>
          <t>xli9:</t>
        </r>
        <r>
          <rPr>
            <sz val="9"/>
            <rFont val="Times New Roman"/>
            <family val="2"/>
          </rPr>
          <t xml:space="preserve">
at the factory (conversion) level</t>
        </r>
      </text>
    </comment>
    <comment ref="AX96" authorId="0">
      <text>
        <r>
          <rPr>
            <b/>
            <sz val="9"/>
            <rFont val="Times New Roman"/>
            <family val="2"/>
          </rPr>
          <t>xli9:</t>
        </r>
        <r>
          <rPr>
            <sz val="9"/>
            <rFont val="Times New Roman"/>
            <family val="2"/>
          </rPr>
          <t xml:space="preserve">
at the factory (conversion) level</t>
        </r>
      </text>
    </comment>
    <comment ref="AX113" authorId="0">
      <text>
        <r>
          <rPr>
            <b/>
            <sz val="9"/>
            <rFont val="Times New Roman"/>
            <family val="2"/>
          </rPr>
          <t>xli9:</t>
        </r>
        <r>
          <rPr>
            <sz val="9"/>
            <rFont val="Times New Roman"/>
            <family val="2"/>
          </rPr>
          <t xml:space="preserve">
at the factory (conversion) level</t>
        </r>
      </text>
    </comment>
    <comment ref="AX127" authorId="0">
      <text>
        <r>
          <rPr>
            <b/>
            <sz val="9"/>
            <rFont val="Times New Roman"/>
            <family val="2"/>
          </rPr>
          <t>xli9:</t>
        </r>
        <r>
          <rPr>
            <sz val="9"/>
            <rFont val="Times New Roman"/>
            <family val="2"/>
          </rPr>
          <t xml:space="preserve">
at the factory (conversion) level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P2" authorId="0">
      <text>
        <r>
          <rPr>
            <b/>
            <sz val="9"/>
            <rFont val="Times New Roman"/>
            <family val="2"/>
          </rPr>
          <t>xli9:</t>
        </r>
        <r>
          <rPr>
            <sz val="9"/>
            <rFont val="Times New Roman"/>
            <family val="2"/>
          </rPr>
          <t xml:space="preserve">
Because we considered V2G in another independent process, so we ignore this tag</t>
        </r>
      </text>
    </comment>
    <comment ref="F15" authorId="0">
      <text>
        <r>
          <rPr>
            <b/>
            <sz val="9"/>
            <rFont val="Times New Roman"/>
            <family val="2"/>
          </rPr>
          <t>xli9:</t>
        </r>
        <r>
          <rPr>
            <sz val="9"/>
            <rFont val="Times New Roman"/>
            <family val="2"/>
          </rPr>
          <t xml:space="preserve">
This does not make sense; for the same vehicle technology, EFF should be the same whether it uses gasoline or bio-gasoline (BGS).</t>
        </r>
      </text>
    </comment>
    <comment ref="M71" authorId="0">
      <text>
        <r>
          <rPr>
            <b/>
            <sz val="9"/>
            <rFont val="Times New Roman"/>
            <family val="2"/>
            <charset val="134"/>
          </rPr>
          <t>xli9:</t>
        </r>
        <r>
          <rPr>
            <sz val="9"/>
            <rFont val="Times New Roman"/>
            <family val="2"/>
            <charset val="134"/>
          </rPr>
          <t xml:space="preserve">
https://www.lightmetalage.com/news/industry-news/smelting/decline-of-u-s-primary-aluminum-production-and-the-growth-of-secondary-aluminum/?utm_source=chatgpt.com</t>
        </r>
      </text>
    </comment>
    <comment ref="AA71" authorId="0">
      <text>
        <r>
          <rPr>
            <b/>
            <sz val="9"/>
            <rFont val="Times New Roman"/>
            <family val="2"/>
            <charset val="134"/>
          </rPr>
          <t>xli9:</t>
        </r>
        <r>
          <rPr>
            <sz val="9"/>
            <rFont val="Times New Roman"/>
            <family val="2"/>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family val="2"/>
            <charset val="134"/>
          </rPr>
          <t>xli9:</t>
        </r>
        <r>
          <rPr>
            <sz val="9"/>
            <rFont val="Times New Roman"/>
            <family val="2"/>
            <charset val="134"/>
          </rPr>
          <t xml:space="preserve">
Bca its cap with unit of GW, which means this block defines how many costs for recycling 1Gwh of EV-Bat so do not need to multiplyy ktonne/GWh</t>
        </r>
      </text>
    </comment>
    <comment ref="E104" authorId="1">
      <text>
        <r>
          <rPr>
            <b/>
            <sz val="9"/>
            <rFont val="Tahoma"/>
            <family val="2"/>
            <charset val="1"/>
          </rPr>
          <t>Xiao Li:</t>
        </r>
        <r>
          <rPr>
            <sz val="9"/>
            <rFont val="Tahoma"/>
            <family val="2"/>
            <charset val="1"/>
          </rPr>
          <t xml:space="preserve">
unit is m$/ktonne, so we use ACT_COST</t>
        </r>
      </text>
    </comment>
    <comment ref="B210" authorId="0">
      <text>
        <r>
          <rPr>
            <b/>
            <sz val="9"/>
            <rFont val="Times New Roman"/>
            <family val="2"/>
          </rPr>
          <t>xli9:</t>
        </r>
        <r>
          <rPr>
            <sz val="9"/>
            <rFont val="Times New Roman"/>
            <family val="2"/>
          </rPr>
          <t xml:space="preserve">
this is the observed mining intensity</t>
        </r>
      </text>
    </comment>
    <comment ref="B284" authorId="0">
      <text>
        <r>
          <rPr>
            <b/>
            <sz val="9"/>
            <rFont val="Times New Roman"/>
            <family val="2"/>
          </rPr>
          <t>xli9:</t>
        </r>
        <r>
          <rPr>
            <sz val="9"/>
            <rFont val="Times New Roman"/>
            <family val="2"/>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<sst xmlns="http://schemas.openxmlformats.org/spreadsheetml/2006/main" count="7287" uniqueCount="383">
  <si>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</si>
  <si>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</si>
  <si>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</si>
  <si>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</si>
  <si>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</si>
  <si>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</si>
  <si>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</si>
  <si>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</si>
  <si>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</si>
  <si>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</si>
  <si>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</si>
  <si>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</si>
  <si>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</si>
  <si>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</si>
  <si>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</si>
  <si>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</si>
  <si>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</si>
  <si>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</si>
  <si>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</si>
  <si>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</si>
  <si>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</si>
  <si>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</si>
  <si>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</si>
  <si>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</si>
  <si>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</si>
  <si>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</si>
  <si>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</si>
  <si>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</si>
  <si>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</si>
  <si>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</si>
  <si>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</si>
  <si>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</si>
  <si>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</si>
  <si>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</si>
  <si>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</si>
  <si>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</si>
  <si>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</si>
  <si>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</si>
  <si>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</si>
  <si>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</si>
  <si>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</si>
  <si>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</si>
  <si>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</si>
  <si>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</si>
  <si>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</si>
  <si>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</si>
  <si>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</si>
  <si>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</si>
  <si>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</si>
  <si>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</si>
  <si>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</si>
  <si>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</si>
  <si>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</si>
  <si>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</si>
  <si>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</si>
  <si>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</si>
  <si>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</si>
  <si>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</si>
  <si>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</si>
  <si>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</si>
  <si>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</si>
  <si>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</si>
  <si>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</si>
  <si>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</si>
  <si>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</si>
  <si>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</si>
  <si>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</si>
  <si>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</si>
  <si>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</si>
  <si>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</si>
  <si>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</si>
  <si>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</si>
  <si>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</si>
  <si>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</si>
  <si>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</si>
  <si>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</si>
  <si>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</si>
  <si>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</si>
  <si>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</si>
  <si>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</si>
  <si>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</si>
  <si>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</si>
  <si>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</si>
  <si>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</si>
  <si>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</si>
  <si>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</si>
  <si>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</si>
  <si>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</si>
  <si>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</si>
  <si>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</si>
  <si>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</si>
  <si>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</si>
  <si>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</si>
  <si>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</si>
  <si>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</si>
  <si>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</si>
  <si>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</si>
  <si>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</si>
  <si>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</si>
  <si>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</si>
  <si>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</si>
  <si>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</si>
  <si>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</si>
  <si>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</si>
  <si>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</si>
  <si>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</si>
  <si>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</si>
  <si>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</si>
  <si>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</si>
  <si>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</si>
  <si>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</si>
  <si>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</si>
  <si>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</si>
  <si>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</si>
  <si>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</si>
  <si>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</si>
  <si>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</si>
  <si>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</si>
  <si>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</si>
  <si>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</si>
  <si>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</si>
  <si>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</si>
  <si>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</si>
  <si>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</si>
  <si>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</si>
  <si>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</si>
  <si>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</si>
  <si>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</si>
  <si>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</si>
  <si>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</si>
  <si>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</si>
  <si>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</si>
  <si>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</si>
  <si>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</si>
  <si>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</si>
  <si>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</si>
  <si>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</si>
  <si>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</si>
  <si>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</si>
  <si>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</si>
  <si>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</si>
  <si>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</si>
  <si>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</si>
  <si>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</si>
  <si>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</si>
  <si>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</si>
  <si>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</si>
  <si>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</si>
  <si>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</si>
  <si>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</si>
  <si>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</si>
  <si>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</si>
  <si>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</si>
  <si>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</si>
  <si>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</si>
  <si>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</si>
  <si>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</si>
  <si>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</si>
  <si>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</si>
  <si>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</si>
  <si>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</si>
  <si>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</si>
  <si>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</si>
  <si>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</si>
  <si>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</si>
  <si>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</si>
  <si>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</si>
  <si>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</si>
  <si>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</si>
  <si>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</si>
  <si>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</si>
  <si>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</si>
  <si>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</si>
  <si>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</si>
  <si>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</si>
  <si>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</si>
  <si>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</si>
  <si>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</si>
  <si>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</si>
  <si>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</si>
  <si>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</si>
  <si>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</si>
  <si>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</si>
  <si>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</si>
  <si>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</si>
  <si>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</si>
  <si>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</si>
  <si>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</si>
  <si>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</si>
  <si>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</si>
  <si>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</si>
  <si>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</si>
  <si>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</si>
  <si>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</si>
  <si>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</si>
  <si>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</si>
  <si>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</si>
  <si>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</si>
  <si>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</si>
  <si>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</si>
  <si>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</si>
  <si>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</si>
  <si>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</si>
  <si>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family val="2"/>
        <charset val="134"/>
      </rPr>
      <t>Li</t>
    </r>
    <r>
      <rPr>
        <sz val="7.5"/>
        <color rgb="FF3D3D3A"/>
        <rFont val="Arial"/>
        <family val="2"/>
        <charset val="134"/>
      </rPr>
      <t>kt/yr</t>
    </r>
  </si>
  <si>
    <r>
      <rPr>
        <sz val="8.25"/>
        <color rgb="FF3D3D3A"/>
        <rFont val="Arial"/>
        <family val="2"/>
        <charset val="134"/>
      </rPr>
      <t>Co</t>
    </r>
    <r>
      <rPr>
        <sz val="7.5"/>
        <color rgb="FF3D3D3A"/>
        <rFont val="Arial"/>
        <family val="2"/>
        <charset val="134"/>
      </rPr>
      <t>kt/yr</t>
    </r>
  </si>
  <si>
    <r>
      <rPr>
        <sz val="8.25"/>
        <color rgb="FF3D3D3A"/>
        <rFont val="Arial"/>
        <family val="2"/>
        <charset val="134"/>
      </rPr>
      <t>Ni</t>
    </r>
    <r>
      <rPr>
        <sz val="7.5"/>
        <color rgb="FF3D3D3A"/>
        <rFont val="Arial"/>
        <family val="2"/>
        <charset val="134"/>
      </rPr>
      <t>kt/yr</t>
    </r>
  </si>
  <si>
    <r>
      <rPr>
        <sz val="8.25"/>
        <color rgb="FF3D3D3A"/>
        <rFont val="Arial"/>
        <family val="2"/>
        <charset val="134"/>
      </rPr>
      <t>Mn</t>
    </r>
    <r>
      <rPr>
        <sz val="7.5"/>
        <color rgb="FF3D3D3A"/>
        <rFont val="Arial"/>
        <family val="2"/>
        <charset val="134"/>
      </rPr>
      <t>kt/yr</t>
    </r>
  </si>
  <si>
    <r>
      <rPr>
        <sz val="8.25"/>
        <color rgb="FF3D3D3A"/>
        <rFont val="Arial"/>
        <family val="2"/>
        <charset val="134"/>
      </rPr>
      <t>Cu</t>
    </r>
    <r>
      <rPr>
        <sz val="7.5"/>
        <color rgb="FF3D3D3A"/>
        <rFont val="Arial"/>
        <family val="2"/>
        <charset val="134"/>
      </rPr>
      <t>kt/yr</t>
    </r>
  </si>
  <si>
    <r>
      <rPr>
        <sz val="8.25"/>
        <color rgb="FF3D3D3A"/>
        <rFont val="Arial"/>
        <family val="2"/>
        <charset val="134"/>
      </rPr>
      <t>Al</t>
    </r>
    <r>
      <rPr>
        <sz val="7.5"/>
        <color rgb="FF3D3D3A"/>
        <rFont val="Arial"/>
        <family val="2"/>
        <charset val="134"/>
      </rPr>
      <t>kt/yr</t>
    </r>
  </si>
  <si>
    <r>
      <rPr>
        <sz val="8.25"/>
        <color rgb="FF3D3D3A"/>
        <rFont val="Arial"/>
        <family val="2"/>
        <charset val="134"/>
      </rPr>
      <t>Graphite</t>
    </r>
    <r>
      <rPr>
        <sz val="7.5"/>
        <color rgb="FF3D3D3A"/>
        <rFont val="Arial"/>
        <family val="2"/>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</si>
  <si>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</si>
  <si>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</si>
  <si>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</si>
  <si>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</si>
  <si>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</si>
  <si>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</si>
  <si>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</si>
  <si>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</si>
  <si>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</si>
  <si>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</si>
  <si>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</si>
  <si>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</si>
  <si>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</si>
  <si>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</si>
  <si>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</si>
  <si>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</si>
  <si>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</si>
  <si>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</si>
  <si>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</si>
  <si>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</si>
  <si>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</si>
  <si>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</si>
  <si>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</si>
  <si>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</si>
  <si>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</si>
  <si>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</si>
  <si>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</si>
  <si>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</si>
  <si>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</si>
  <si>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</si>
  <si>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</si>
  <si>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</si>
  <si>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</si>
  <si>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</si>
  <si>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</si>
  <si>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</si>
  <si>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</si>
  <si>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</si>
  <si>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</si>
  <si>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</si>
  <si>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</si>
  <si>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</si>
  <si>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</si>
  <si>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</si>
  <si>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</si>
  <si>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</si>
  <si>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</si>
  <si>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</si>
  <si>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</si>
  <si>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</si>
  <si>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</si>
  <si>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</si>
  <si>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</si>
  <si>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</si>
  <si>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</si>
  <si>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</si>
  <si>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</si>
  <si>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</si>
  <si>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</si>
  <si>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</si>
  <si>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</si>
  <si>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</si>
  <si>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</si>
  <si>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</si>
  <si>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</si>
  <si>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</si>
  <si>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</si>
  <si>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</si>
  <si>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</si>
  <si>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</si>
  <si>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</si>
  <si>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</si>
  <si>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</si>
  <si>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</si>
  <si>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</si>
  <si>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year2</t>
  </si>
  <si>
    <t>sow</t>
  </si>
  <si>
    <t>stage</t>
  </si>
  <si>
    <t>currency</t>
  </si>
  <si>
    <t>commodity_group</t>
  </si>
  <si>
    <t>time_slice</t>
  </si>
  <si>
    <t>lim_type</t>
  </si>
  <si>
    <t>~TFM_UPD: attribute= INPUT</t>
  </si>
  <si>
    <t>INDELC</t>
  </si>
  <si>
    <t>INDCOA</t>
  </si>
  <si>
    <t>INDNGA</t>
  </si>
  <si>
    <t>INDOIL</t>
  </si>
  <si>
    <t>Original data_provided by Anna</t>
  </si>
  <si>
    <t>Location</t>
  </si>
  <si>
    <t xml:space="preserve">Energy use (MJ/kWh battery produced) </t>
  </si>
  <si>
    <r>
      <rPr>
        <sz val="12"/>
        <color rgb="FF000000"/>
        <rFont val="Aptos Narrow"/>
        <family val="2"/>
        <charset val="134"/>
      </rPr>
      <t>Chemistry</t>
    </r>
    <r>
      <rPr>
        <sz val="12"/>
        <color rgb="FF000000"/>
        <rFont val="Aptos Narrow"/>
        <family val="2"/>
        <charset val="134"/>
      </rPr>
      <t xml:space="preserve"> </t>
    </r>
  </si>
  <si>
    <r>
      <rPr>
        <sz val="12"/>
        <color rgb="FF000000"/>
        <rFont val="Aptos Narrow"/>
        <family val="2"/>
        <charset val="134"/>
      </rPr>
      <t>LCO</t>
    </r>
    <r>
      <rPr>
        <sz val="12"/>
        <color rgb="FF000000"/>
        <rFont val="Aptos Narrow"/>
        <family val="2"/>
        <charset val="134"/>
      </rPr>
      <t xml:space="preserve"> </t>
    </r>
  </si>
  <si>
    <t>NMC111</t>
  </si>
  <si>
    <t>NMC532</t>
  </si>
  <si>
    <t>NMC622</t>
  </si>
  <si>
    <t>NMC811</t>
  </si>
  <si>
    <t>NCA</t>
  </si>
  <si>
    <r>
      <rPr>
        <sz val="12"/>
        <color rgb="FF000000"/>
        <rFont val="Aptos Narrow"/>
        <family val="2"/>
        <charset val="134"/>
      </rPr>
      <t>LMO</t>
    </r>
    <r>
      <rPr>
        <sz val="12"/>
        <color rgb="FF000000"/>
        <rFont val="Aptos Narrow"/>
        <family val="2"/>
        <charset val="134"/>
      </rPr>
      <t xml:space="preserve"> </t>
    </r>
  </si>
  <si>
    <r>
      <rPr>
        <sz val="12"/>
        <color rgb="FF000000"/>
        <rFont val="Aptos Narrow"/>
        <family val="2"/>
        <charset val="134"/>
      </rPr>
      <t>LFP</t>
    </r>
    <r>
      <rPr>
        <sz val="12"/>
        <color rgb="FF000000"/>
        <rFont val="Aptos Narrow"/>
        <family val="2"/>
        <charset val="134"/>
      </rPr>
      <t xml:space="preserve"> </t>
    </r>
  </si>
  <si>
    <t>US</t>
  </si>
  <si>
    <r>
      <rPr>
        <sz val="12"/>
        <color rgb="FF000000"/>
        <rFont val="Aptos Narrow"/>
        <family val="2"/>
        <charset val="134"/>
      </rPr>
      <t xml:space="preserve">     </t>
    </r>
    <r>
      <rPr>
        <sz val="12"/>
        <color rgb="FF000000"/>
        <rFont val="Aptos Narrow"/>
        <family val="2"/>
        <charset val="134"/>
      </rPr>
      <t>Total Energy</t>
    </r>
  </si>
  <si>
    <r>
      <rPr>
        <sz val="12"/>
        <color rgb="FF000000"/>
        <rFont val="Aptos Narrow"/>
        <family val="2"/>
        <charset val="134"/>
      </rPr>
      <t xml:space="preserve">     </t>
    </r>
    <r>
      <rPr>
        <sz val="12"/>
        <color rgb="FF000000"/>
        <rFont val="Aptos Narrow"/>
        <family val="2"/>
        <charset val="134"/>
      </rPr>
      <t>Fossil fuels</t>
    </r>
  </si>
  <si>
    <r>
      <rPr>
        <sz val="12"/>
        <color rgb="FF000000"/>
        <rFont val="Aptos Narrow"/>
        <family val="2"/>
        <charset val="134"/>
      </rPr>
      <t xml:space="preserve">     </t>
    </r>
    <r>
      <rPr>
        <sz val="12"/>
        <color rgb="FF000000"/>
        <rFont val="Aptos Narrow"/>
        <family val="2"/>
        <charset val="134"/>
      </rPr>
      <t>Coal</t>
    </r>
  </si>
  <si>
    <r>
      <rPr>
        <sz val="12"/>
        <color rgb="FF000000"/>
        <rFont val="Aptos Narrow"/>
        <family val="2"/>
        <charset val="134"/>
      </rPr>
      <t xml:space="preserve">     </t>
    </r>
    <r>
      <rPr>
        <sz val="12"/>
        <color rgb="FF000000"/>
        <rFont val="Aptos Narrow"/>
        <family val="2"/>
        <charset val="134"/>
      </rPr>
      <t>Natural gas</t>
    </r>
  </si>
  <si>
    <r>
      <rPr>
        <sz val="12"/>
        <color rgb="FF000000"/>
        <rFont val="Aptos Narrow"/>
        <family val="2"/>
        <charset val="134"/>
      </rPr>
      <t xml:space="preserve">     </t>
    </r>
    <r>
      <rPr>
        <sz val="12"/>
        <color rgb="FF000000"/>
        <rFont val="Aptos Narrow"/>
        <family val="2"/>
        <charset val="134"/>
      </rPr>
      <t>Petroleum</t>
    </r>
  </si>
  <si>
    <t>Korea</t>
  </si>
  <si>
    <r>
      <rPr>
        <sz val="12"/>
        <color rgb="FF000000"/>
        <rFont val="Aptos Narrow"/>
        <family val="2"/>
        <charset val="134"/>
      </rPr>
      <t>** Assumed to be cell manufacturing</t>
    </r>
    <r>
      <rPr>
        <sz val="12"/>
        <color rgb="FF000000"/>
        <rFont val="Aptos Narrow"/>
        <family val="2"/>
        <charset val="134"/>
      </rPr>
      <t xml:space="preserve"> </t>
    </r>
  </si>
  <si>
    <t>Other countries</t>
  </si>
  <si>
    <t>2050, 2100</t>
  </si>
  <si>
    <r>
      <rPr>
        <sz val="12"/>
        <color rgb="FF000000"/>
        <rFont val="Aptos Narrow"/>
        <family val="2"/>
        <charset val="134"/>
      </rPr>
      <t>Pyrometallurgical</t>
    </r>
    <r>
      <rPr>
        <sz val="12"/>
        <color rgb="FF000000"/>
        <rFont val="Aptos Narrow"/>
        <family val="2"/>
        <charset val="134"/>
      </rPr>
      <t xml:space="preserve"> </t>
    </r>
  </si>
  <si>
    <t>ktonne/GWh</t>
  </si>
  <si>
    <t>if energy use for LFP and LMO=1.0*that for NMC611</t>
  </si>
  <si>
    <r>
      <rPr>
        <sz val="12"/>
        <color rgb="FF000000"/>
        <rFont val="Aptos Narrow"/>
        <family val="2"/>
        <charset val="134"/>
      </rPr>
      <t xml:space="preserve">Fill the data gap of EverBatt, </t>
    </r>
    <r>
      <rPr>
        <sz val="12"/>
        <color rgb="FF000000"/>
        <rFont val="Aptos Narrow"/>
        <family val="2"/>
        <charset val="134"/>
      </rPr>
      <t xml:space="preserve">
</t>
    </r>
    <r>
      <rPr>
        <sz val="12"/>
        <color rgb="FF000000"/>
        <rFont val="Aptos Narrow"/>
        <family val="2"/>
        <charset val="134"/>
      </rPr>
      <t>by using a sensitivity analysis</t>
    </r>
  </si>
  <si>
    <t>if energy use for LFP and LMO=1.15*that for NMC611</t>
  </si>
  <si>
    <t>if energy use for LFP and LMO=0.85*that for NMC611</t>
  </si>
  <si>
    <r>
      <rPr>
        <sz val="12"/>
        <color rgb="FF000000"/>
        <rFont val="Aptos Narrow"/>
        <family val="2"/>
        <charset val="134"/>
      </rPr>
      <t>Energy use (PJ/GWh battery produced)</t>
    </r>
    <r>
      <rPr>
        <sz val="12"/>
        <color rgb="FF000000"/>
        <rFont val="Aptos Narrow"/>
        <family val="2"/>
        <charset val="134"/>
      </rPr>
      <t xml:space="preserve"> </t>
    </r>
  </si>
  <si>
    <t>INPUT</t>
  </si>
  <si>
    <t>PJ/ktonne</t>
  </si>
  <si>
    <r>
      <rPr>
        <sz val="12"/>
        <color rgb="FF000000"/>
        <rFont val="Aptos Narrow"/>
        <family val="2"/>
        <charset val="134"/>
      </rPr>
      <t>Hydrometallurgical</t>
    </r>
    <r>
      <rPr>
        <sz val="12"/>
        <color rgb="FF000000"/>
        <rFont val="Aptos Narrow"/>
        <family val="2"/>
        <charset val="134"/>
      </rPr>
      <t xml:space="preserve"> </t>
    </r>
  </si>
  <si>
    <r>
      <rPr>
        <sz val="12"/>
        <color rgb="FF000000"/>
        <rFont val="Aptos Narrow"/>
        <family val="2"/>
        <charset val="134"/>
      </rPr>
      <t>Energy use (MJ/kWh battery produced)</t>
    </r>
    <r>
      <rPr>
        <sz val="12"/>
        <color rgb="FF000000"/>
        <rFont val="Aptos Narrow"/>
        <family val="2"/>
        <charset val="134"/>
      </rPr>
      <t xml:space="preserve"> </t>
    </r>
  </si>
  <si>
    <r>
      <rPr>
        <sz val="12"/>
        <color rgb="FF000000"/>
        <rFont val="Aptos Narrow"/>
        <family val="2"/>
        <charset val="134"/>
      </rPr>
      <t>Direct</t>
    </r>
    <r>
      <rPr>
        <sz val="12"/>
        <color rgb="FF000000"/>
        <rFont val="Aptos Narrow"/>
        <family val="2"/>
        <charset val="134"/>
      </rPr>
      <t xml:space="preserve"> </t>
    </r>
  </si>
  <si>
    <r>
      <rPr>
        <sz val="12"/>
        <color rgb="FF000000"/>
        <rFont val="Aptos Narrow"/>
        <family val="2"/>
        <charset val="134"/>
      </rPr>
      <t>*** LMO and LFP cathode production from recycled materials is not included in EverBatt</t>
    </r>
    <r>
      <rPr>
        <sz val="12"/>
        <color rgb="FF000000"/>
        <rFont val="Aptos Narrow"/>
        <family val="2"/>
        <charset val="134"/>
      </rPr>
      <t xml:space="preserve"> </t>
    </r>
  </si>
  <si>
    <r>
      <rPr>
        <sz val="12"/>
        <color rgb="FF000000"/>
        <rFont val="Aptos Narrow"/>
        <family val="2"/>
        <charset val="134"/>
      </rPr>
      <t>**** All recycled chemistries are assumed to be priducing the same cathode chemistry for manufacture with recyclked materials</t>
    </r>
    <r>
      <rPr>
        <sz val="12"/>
        <color rgb="FF000000"/>
        <rFont val="Aptos Narrow"/>
        <family val="2"/>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</si>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</sst>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1">
    <font>
      <sz val="10"/>
      <name val="Arial"/>
      <family val="2"/>
      <charset val="134"/>
    </font>
    <font>
      <sz val="10"/>
      <color theme="1"/>
      <name val="Arial"/>
      <family val="2"/>
    </font>
    <font>
      <sz val="11"/>
      <color theme="1"/>
      <name val="Calibri"/>
      <family val="2"/>
      <charset val="134"/>
      <scheme val="minor"/>
    </font>
    <font>
      <sz val="12"/>
      <color rgb="FF000000"/>
      <name val="Aptos Narrow"/>
      <family val="2"/>
      <charset val="134"/>
    </font>
    <font>
      <b/>
      <i/>
      <u val="single"/>
      <sz val="24"/>
      <color rgb="FF000000"/>
      <name val="Aptos Narrow"/>
      <family val="2"/>
      <charset val="134"/>
    </font>
    <font>
      <i/>
      <u val="single"/>
      <sz val="10"/>
      <name val="Arial"/>
      <family val="2"/>
      <charset val="134"/>
    </font>
    <font>
      <b/>
      <sz val="11"/>
      <color rgb="FF000000"/>
      <name val="Calibri"/>
      <family val="2"/>
      <charset val="134"/>
      <scheme val="minor"/>
    </font>
    <font>
      <b/>
      <sz val="11"/>
      <color indexed="8"/>
      <name val="Calibri"/>
      <family val="2"/>
      <charset val="134"/>
    </font>
    <font>
      <sz val="11"/>
      <color rgb="FF000000"/>
      <name val="Calibri"/>
      <family val="2"/>
      <charset val="134"/>
      <scheme val="minor"/>
    </font>
    <font>
      <sz val="12"/>
      <color rgb="FF000000"/>
      <name val="Calibri"/>
      <family val="2"/>
      <charset val="134"/>
      <scheme val="minor"/>
    </font>
    <font>
      <sz val="10.2"/>
      <color rgb="FF212529"/>
      <name val="Segoe UI"/>
      <family val="2"/>
      <charset val="134"/>
    </font>
    <font>
      <sz val="9"/>
      <name val="Arial"/>
      <family val="2"/>
      <charset val="134"/>
    </font>
    <font>
      <b/>
      <sz val="9"/>
      <name val="Arial"/>
      <family val="2"/>
      <charset val="134"/>
    </font>
    <font>
      <sz val="11"/>
      <color rgb="FF000000"/>
      <name val="Calibri"/>
      <family val="2"/>
      <charset val="134"/>
    </font>
    <font>
      <sz val="8"/>
      <color rgb="FF3974D2"/>
      <name val="Segoe UI"/>
      <family val="2"/>
      <charset val="134"/>
    </font>
    <font>
      <b/>
      <sz val="10"/>
      <color rgb="FFFF0000"/>
      <name val="Arial"/>
      <family val="2"/>
      <charset val="134"/>
    </font>
    <font>
      <b/>
      <sz val="10"/>
      <name val="Arial"/>
      <family val="2"/>
      <charset val="134"/>
    </font>
    <font>
      <sz val="10"/>
      <color rgb="FFFF0000"/>
      <name val="Arial"/>
      <family val="2"/>
      <charset val="134"/>
    </font>
    <font>
      <sz val="8.25"/>
      <color rgb="FF3D3D3A"/>
      <name val="Arial"/>
      <family val="2"/>
      <charset val="134"/>
    </font>
    <font>
      <sz val="7.5"/>
      <color rgb="FF3D3D3A"/>
      <name val="Arial"/>
      <family val="2"/>
      <charset val="134"/>
    </font>
    <font>
      <sz val="8.25"/>
      <color rgb="FF141413"/>
      <name val="Arial"/>
      <family val="2"/>
      <charset val="134"/>
    </font>
    <font>
      <sz val="9"/>
      <color rgb="FF141413"/>
      <name val="Arial"/>
      <family val="2"/>
      <charset val="134"/>
    </font>
    <font>
      <sz val="9"/>
      <color rgb="FF73726C"/>
      <name val="Arial"/>
      <family val="2"/>
      <charset val="134"/>
    </font>
    <font>
      <sz val="9"/>
      <color rgb="FF3D3D3A"/>
      <name val="Arial"/>
      <family val="2"/>
      <charset val="134"/>
    </font>
    <font>
      <sz val="11"/>
      <color rgb="FFFF0000"/>
      <name val="Calibri"/>
      <family val="2"/>
      <charset val="134"/>
      <scheme val="minor"/>
    </font>
    <font>
      <i/>
      <sz val="11"/>
      <color theme="1"/>
      <name val="Calibri"/>
      <family val="2"/>
      <charset val="134"/>
      <scheme val="minor"/>
    </font>
    <font>
      <i/>
      <u val="single"/>
      <sz val="11"/>
      <color theme="1"/>
      <name val="Calibri"/>
      <family val="2"/>
      <charset val="134"/>
      <scheme val="minor"/>
    </font>
    <font>
      <sz val="11"/>
      <color theme="5"/>
      <name val="Calibri"/>
      <family val="2"/>
      <charset val="134"/>
      <scheme val="minor"/>
    </font>
    <font>
      <i/>
      <sz val="11"/>
      <color rgb="FFFF0000"/>
      <name val="Calibri"/>
      <family val="2"/>
      <charset val="134"/>
      <scheme val="minor"/>
    </font>
    <font>
      <sz val="10"/>
      <color theme="5"/>
      <name val="Arial"/>
      <family val="2"/>
      <charset val="134"/>
    </font>
    <font>
      <u val="single"/>
      <sz val="11"/>
      <color rgb="FF0000FF"/>
      <name val="Calibri"/>
      <family val="2"/>
      <scheme val="minor"/>
    </font>
    <font>
      <u val="single"/>
      <sz val="11"/>
      <color rgb="FF800080"/>
      <name val="Calibri"/>
      <family val="2"/>
      <scheme val="minor"/>
    </font>
    <font>
      <b/>
      <sz val="18"/>
      <color theme="3"/>
      <name val="Calibri"/>
      <family val="2"/>
      <charset val="134"/>
      <scheme val="minor"/>
    </font>
    <font>
      <i/>
      <sz val="11"/>
      <color rgb="FF7F7F7F"/>
      <name val="Calibri"/>
      <family val="2"/>
      <scheme val="minor"/>
    </font>
    <font>
      <b/>
      <sz val="15"/>
      <color theme="3"/>
      <name val="Calibri"/>
      <family val="2"/>
      <charset val="134"/>
      <scheme val="minor"/>
    </font>
    <font>
      <b/>
      <sz val="13"/>
      <color theme="3"/>
      <name val="Calibri"/>
      <family val="2"/>
      <charset val="134"/>
      <scheme val="minor"/>
    </font>
    <font>
      <b/>
      <sz val="11"/>
      <color theme="3"/>
      <name val="Calibri"/>
      <family val="2"/>
      <charset val="134"/>
      <scheme val="minor"/>
    </font>
    <font>
      <sz val="11"/>
      <color rgb="FF3F3F76"/>
      <name val="Calibri"/>
      <family val="2"/>
      <scheme val="minor"/>
    </font>
    <font>
      <b/>
      <sz val="11"/>
      <color rgb="FF3F3F3F"/>
      <name val="Calibri"/>
      <family val="2"/>
      <scheme val="minor"/>
    </font>
    <font>
      <b/>
      <sz val="11"/>
      <color rgb="FFFA7D00"/>
      <name val="Calibri"/>
      <family val="2"/>
      <scheme val="minor"/>
    </font>
    <font>
      <b/>
      <sz val="11"/>
      <color rgb="FFFFFFFF"/>
      <name val="Calibri"/>
      <family val="2"/>
      <scheme val="minor"/>
    </font>
    <font>
      <sz val="11"/>
      <color rgb="FFFA7D00"/>
      <name val="Calibri"/>
      <family val="2"/>
      <scheme val="minor"/>
    </font>
    <font>
      <b/>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theme="0"/>
      <name val="Calibri"/>
      <family val="2"/>
      <scheme val="minor"/>
    </font>
    <font>
      <sz val="9"/>
      <name val="Tahoma"/>
      <family val="2"/>
      <charset val="1"/>
    </font>
    <font>
      <b/>
      <sz val="9"/>
      <name val="Times New Roman"/>
      <family val="2"/>
    </font>
    <font>
      <sz val="9"/>
      <name val="Times New Roman"/>
      <family val="2"/>
    </font>
    <font>
      <b/>
      <sz val="9"/>
      <name val="Tahoma"/>
      <family val="2"/>
      <charset val="1"/>
    </font>
  </fonts>
  <fills count="51">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79984760284"/>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799979984760284"/>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799979984760284"/>
        <bgColor indexed="64"/>
      </patternFill>
    </fill>
    <fill>
      <patternFill patternType="solid">
        <fgColor theme="9" tint="0.599990010261536"/>
        <bgColor indexed="64"/>
      </patternFill>
    </fill>
    <fill>
      <patternFill patternType="solid">
        <fgColor theme="9" tint="0.399980008602142"/>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4" tint="0.800000011920929"/>
        <bgColor indexed="64"/>
      </patternFill>
    </fill>
    <fill>
      <patternFill patternType="solid">
        <fgColor theme="3"/>
        <bgColor indexed="64"/>
      </patternFill>
    </fill>
  </fills>
  <borders count="11">
    <border>
      <left/>
      <right/>
      <top/>
      <bottom/>
      <diagonal/>
    </border>
    <border>
      <left style="thin">
        <color rgb="FFB2B2B2"/>
      </left>
      <right style="thin">
        <color rgb="FFB2B2B2"/>
      </right>
      <top style="thin">
        <color rgb="FFB2B2B2"/>
      </top>
      <bottom style="thin">
        <color rgb="FFB2B2B2"/>
      </bottom>
    </border>
    <border>
      <left/>
      <right/>
      <top/>
      <bottom style="medium">
        <color theme="4"/>
      </bottom>
    </border>
    <border>
      <left/>
      <right/>
      <top/>
      <bottom style="medium">
        <color theme="4" tint="0.49998000264167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left/>
      <right/>
      <top/>
      <bottom style="double">
        <color rgb="FFFF8001"/>
      </bottom>
    </border>
    <border>
      <left/>
      <right/>
      <top style="thin">
        <color theme="4"/>
      </top>
      <bottom style="double">
        <color theme="4"/>
      </bottom>
    </border>
    <border>
      <left style="thin">
        <color auto="1"/>
      </left>
      <right style="thin">
        <color auto="1"/>
      </right>
      <top style="thin">
        <color auto="1"/>
      </top>
      <bottom style="thin">
        <color auto="1"/>
      </bottom>
    </border>
    <border>
      <left style="thin">
        <color auto="1"/>
      </left>
      <right style="thin">
        <color auto="1"/>
      </right>
      <top style="thin">
        <color auto="1"/>
      </top>
      <bottom/>
    </border>
  </borders>
  <cellStyleXfs count="66">
    <xf numFmtId="0" fontId="0" fillId="0" borderId="0">
      <alignment/>
      <protection/>
    </xf>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2" fillId="0" borderId="0" applyFont="0" applyFill="0" applyBorder="0" applyProtection="0">
      <alignment/>
    </xf>
    <xf numFmtId="176" fontId="2" fillId="0" borderId="0" applyFont="0" applyFill="0" applyBorder="0" applyProtection="0">
      <alignment/>
    </xf>
    <xf numFmtId="177" fontId="2" fillId="0" borderId="0" applyFont="0" applyFill="0" applyBorder="0" applyProtection="0">
      <alignment/>
    </xf>
    <xf numFmtId="43" fontId="2" fillId="0" borderId="0" applyFont="0" applyFill="0" applyBorder="0" applyProtection="0">
      <alignment/>
    </xf>
    <xf numFmtId="41" fontId="2" fillId="0" borderId="0" applyFont="0" applyFill="0" applyBorder="0" applyProtection="0">
      <alignment/>
    </xf>
    <xf numFmtId="0" fontId="30" fillId="0" borderId="0" applyNumberFormat="0" applyFill="0" applyBorder="0" applyProtection="0">
      <alignment/>
    </xf>
    <xf numFmtId="0" fontId="31" fillId="0" borderId="0" applyNumberFormat="0" applyFill="0" applyBorder="0" applyProtection="0">
      <alignment/>
    </xf>
    <xf numFmtId="0" fontId="2" fillId="2" borderId="1" applyNumberFormat="0" applyFont="0" applyProtection="0">
      <alignment/>
    </xf>
    <xf numFmtId="0" fontId="24" fillId="0" borderId="0" applyNumberFormat="0" applyFill="0" applyBorder="0" applyProtection="0">
      <alignment/>
    </xf>
    <xf numFmtId="0" fontId="32" fillId="0" borderId="0" applyNumberFormat="0" applyFill="0" applyBorder="0" applyProtection="0">
      <alignment/>
    </xf>
    <xf numFmtId="0" fontId="33" fillId="0" borderId="0" applyNumberFormat="0" applyFill="0" applyBorder="0" applyProtection="0">
      <alignment/>
    </xf>
    <xf numFmtId="0" fontId="34" fillId="0" borderId="2" applyNumberFormat="0" applyFill="0" applyProtection="0">
      <alignment/>
    </xf>
    <xf numFmtId="0" fontId="35" fillId="0" borderId="2" applyNumberFormat="0" applyFill="0" applyProtection="0">
      <alignment/>
    </xf>
    <xf numFmtId="0" fontId="36" fillId="0" borderId="3" applyNumberFormat="0" applyFill="0" applyProtection="0">
      <alignment/>
    </xf>
    <xf numFmtId="0" fontId="36" fillId="0" borderId="0" applyNumberFormat="0" applyFill="0" applyBorder="0" applyProtection="0">
      <alignment/>
    </xf>
    <xf numFmtId="0" fontId="37" fillId="3" borderId="4" applyNumberFormat="0" applyProtection="0">
      <alignment/>
    </xf>
    <xf numFmtId="0" fontId="38" fillId="4" borderId="5" applyNumberFormat="0" applyProtection="0">
      <alignment/>
    </xf>
    <xf numFmtId="0" fontId="39" fillId="4" borderId="4" applyNumberFormat="0" applyProtection="0">
      <alignment/>
    </xf>
    <xf numFmtId="0" fontId="40" fillId="5" borderId="6" applyNumberFormat="0" applyProtection="0">
      <alignment/>
    </xf>
    <xf numFmtId="0" fontId="41" fillId="0" borderId="7" applyNumberFormat="0" applyFill="0" applyProtection="0">
      <alignment/>
    </xf>
    <xf numFmtId="0" fontId="42" fillId="0" borderId="8" applyNumberFormat="0" applyFill="0" applyProtection="0">
      <alignment/>
    </xf>
    <xf numFmtId="0" fontId="43" fillId="6" borderId="0" applyNumberFormat="0" applyBorder="0" applyProtection="0">
      <alignment/>
    </xf>
    <xf numFmtId="0" fontId="44" fillId="7" borderId="0" applyNumberFormat="0" applyBorder="0" applyProtection="0">
      <alignment/>
    </xf>
    <xf numFmtId="0" fontId="45" fillId="8" borderId="0" applyNumberFormat="0" applyBorder="0" applyProtection="0">
      <alignment/>
    </xf>
    <xf numFmtId="0" fontId="46" fillId="9" borderId="0" applyNumberFormat="0" applyBorder="0" applyProtection="0">
      <alignment/>
    </xf>
    <xf numFmtId="0" fontId="2" fillId="10" borderId="0" applyNumberFormat="0" applyBorder="0" applyProtection="0">
      <alignment/>
    </xf>
    <xf numFmtId="0" fontId="2" fillId="11" borderId="0" applyNumberFormat="0" applyBorder="0" applyProtection="0">
      <alignment/>
    </xf>
    <xf numFmtId="0" fontId="46" fillId="12" borderId="0" applyNumberFormat="0" applyBorder="0" applyProtection="0">
      <alignment/>
    </xf>
    <xf numFmtId="0" fontId="46" fillId="13" borderId="0" applyNumberFormat="0" applyBorder="0" applyProtection="0">
      <alignment/>
    </xf>
    <xf numFmtId="0" fontId="2" fillId="14" borderId="0" applyNumberFormat="0" applyBorder="0" applyProtection="0">
      <alignment/>
    </xf>
    <xf numFmtId="0" fontId="2" fillId="15" borderId="0" applyNumberFormat="0" applyBorder="0" applyProtection="0">
      <alignment/>
    </xf>
    <xf numFmtId="0" fontId="46" fillId="16" borderId="0" applyNumberFormat="0" applyBorder="0" applyProtection="0">
      <alignment/>
    </xf>
    <xf numFmtId="0" fontId="46" fillId="17" borderId="0" applyNumberFormat="0" applyBorder="0" applyProtection="0">
      <alignment/>
    </xf>
    <xf numFmtId="0" fontId="2" fillId="18" borderId="0" applyNumberFormat="0" applyBorder="0" applyProtection="0">
      <alignment/>
    </xf>
    <xf numFmtId="0" fontId="2" fillId="19" borderId="0" applyNumberFormat="0" applyBorder="0" applyProtection="0">
      <alignment/>
    </xf>
    <xf numFmtId="0" fontId="46" fillId="20" borderId="0" applyNumberFormat="0" applyBorder="0" applyProtection="0">
      <alignment/>
    </xf>
    <xf numFmtId="0" fontId="46" fillId="21" borderId="0" applyNumberFormat="0" applyBorder="0" applyProtection="0">
      <alignment/>
    </xf>
    <xf numFmtId="0" fontId="2" fillId="22" borderId="0" applyNumberFormat="0" applyBorder="0" applyProtection="0">
      <alignment/>
    </xf>
    <xf numFmtId="0" fontId="2" fillId="23" borderId="0" applyNumberFormat="0" applyBorder="0" applyProtection="0">
      <alignment/>
    </xf>
    <xf numFmtId="0" fontId="46" fillId="24" borderId="0" applyNumberFormat="0" applyBorder="0" applyProtection="0">
      <alignment/>
    </xf>
    <xf numFmtId="0" fontId="46" fillId="25" borderId="0" applyNumberFormat="0" applyBorder="0" applyProtection="0">
      <alignment/>
    </xf>
    <xf numFmtId="0" fontId="2" fillId="26" borderId="0" applyNumberFormat="0" applyBorder="0" applyProtection="0">
      <alignment/>
    </xf>
    <xf numFmtId="0" fontId="2" fillId="27" borderId="0" applyNumberFormat="0" applyBorder="0" applyProtection="0">
      <alignment/>
    </xf>
    <xf numFmtId="0" fontId="46" fillId="28" borderId="0" applyNumberFormat="0" applyBorder="0" applyProtection="0">
      <alignment/>
    </xf>
    <xf numFmtId="0" fontId="46" fillId="29" borderId="0" applyNumberFormat="0" applyBorder="0" applyProtection="0">
      <alignment/>
    </xf>
    <xf numFmtId="0" fontId="2" fillId="30" borderId="0" applyNumberFormat="0" applyBorder="0" applyProtection="0">
      <alignment/>
    </xf>
    <xf numFmtId="0" fontId="2" fillId="31" borderId="0" applyNumberFormat="0" applyBorder="0" applyProtection="0">
      <alignment/>
    </xf>
    <xf numFmtId="0" fontId="46" fillId="32" borderId="0" applyNumberFormat="0" applyBorder="0" applyProtection="0">
      <alignment/>
    </xf>
    <xf numFmtId="0" fontId="0" fillId="0" borderId="0">
      <alignment/>
      <protection/>
    </xf>
    <xf numFmtId="0" fontId="0" fillId="0" borderId="0">
      <alignment/>
      <protection/>
    </xf>
    <xf numFmtId="0" fontId="0" fillId="0" borderId="0">
      <alignment/>
      <protection/>
    </xf>
  </cellStyleXfs>
  <cellXfs count="132">
    <xf numFmtId="0" fontId="0" fillId="0" borderId="0" xfId="0"/>
    <xf numFmtId="0" fontId="0" fillId="33" borderId="0" xfId="0" applyFill="1"/>
    <xf numFmtId="0" fontId="0" fillId="34" borderId="0" xfId="0" applyFill="1"/>
    <xf numFmtId="0" fontId="2" fillId="0" borderId="0" xfId="0" applyFont="1" applyFill="1" applyAlignment="1">
      <alignment/>
    </xf>
    <xf numFmtId="0" fontId="0" fillId="0" borderId="0" xfId="0" applyFont="1" applyFill="1" applyAlignment="1">
      <alignment/>
    </xf>
    <xf numFmtId="0" fontId="3" fillId="0" borderId="0" xfId="0" applyFont="1" applyFill="1" applyAlignment="1">
      <alignment horizontal="center"/>
    </xf>
    <xf numFmtId="0" fontId="3" fillId="0" borderId="0" xfId="0" applyFont="1" applyFill="1" applyAlignment="1">
      <alignment/>
    </xf>
    <xf numFmtId="0" fontId="3" fillId="35" borderId="0" xfId="0" applyFont="1" applyFill="1" applyAlignment="1">
      <alignment horizontal="center" wrapText="1"/>
    </xf>
    <xf numFmtId="0" fontId="4" fillId="0" borderId="0" xfId="0" applyFont="1" applyFill="1" applyAlignment="1">
      <alignment/>
    </xf>
    <xf numFmtId="0" fontId="3" fillId="36" borderId="0" xfId="0" applyFont="1" applyFill="1" applyAlignment="1">
      <alignment/>
    </xf>
    <xf numFmtId="0" fontId="3" fillId="37" borderId="0" xfId="0" applyFont="1" applyFill="1" applyAlignment="1">
      <alignment/>
    </xf>
    <xf numFmtId="0" fontId="3" fillId="38" borderId="0" xfId="0" applyFont="1" applyFill="1" applyAlignment="1">
      <alignment/>
    </xf>
    <xf numFmtId="0" fontId="3" fillId="35" borderId="0" xfId="0" applyFont="1" applyFill="1" applyAlignment="1">
      <alignment/>
    </xf>
    <xf numFmtId="0" fontId="3" fillId="0" borderId="0" xfId="0" applyFont="1" applyFill="1" applyAlignment="1" applyProtection="1">
      <alignment/>
      <protection locked="0"/>
    </xf>
    <xf numFmtId="178" fontId="3" fillId="36" borderId="0" xfId="0" applyNumberFormat="1" applyFont="1" applyFill="1" applyAlignment="1">
      <alignment/>
    </xf>
    <xf numFmtId="0" fontId="5" fillId="39" borderId="0" xfId="0" applyFont="1" applyFill="1" applyAlignment="1">
      <alignment horizontal="center"/>
    </xf>
    <xf numFmtId="178" fontId="3" fillId="0" borderId="0" xfId="0" applyNumberFormat="1" applyFont="1" applyFill="1" applyAlignment="1">
      <alignment/>
    </xf>
    <xf numFmtId="178" fontId="3" fillId="30" borderId="0" xfId="0" applyNumberFormat="1" applyFont="1" applyFill="1" applyAlignment="1">
      <alignment/>
    </xf>
    <xf numFmtId="178" fontId="3" fillId="35" borderId="0" xfId="0" applyNumberFormat="1" applyFont="1" applyFill="1" applyAlignment="1">
      <alignment/>
    </xf>
    <xf numFmtId="0" fontId="5" fillId="0" borderId="0" xfId="0" applyFont="1" applyFill="1" applyAlignment="1">
      <alignment horizontal="center"/>
    </xf>
    <xf numFmtId="0" fontId="6" fillId="0" borderId="0" xfId="0" applyFont="1" applyFill="1" applyAlignment="1">
      <alignment/>
    </xf>
    <xf numFmtId="2" fontId="7" fillId="0" borderId="9" xfId="0" applyNumberFormat="1" applyFont="1" applyFill="1" applyBorder="1" applyAlignment="1" applyProtection="1">
      <alignment/>
      <protection/>
    </xf>
    <xf numFmtId="0" fontId="3" fillId="9" borderId="0" xfId="0" applyFont="1" applyFill="1" applyAlignment="1">
      <alignment/>
    </xf>
    <xf numFmtId="0" fontId="8" fillId="26" borderId="0" xfId="0" applyFont="1" applyFill="1" applyAlignment="1">
      <alignment/>
    </xf>
    <xf numFmtId="0" fontId="0" fillId="9" borderId="0" xfId="0" applyFont="1" applyFill="1" applyAlignment="1">
      <alignment/>
    </xf>
    <xf numFmtId="0" fontId="9" fillId="26" borderId="0" xfId="0" applyFont="1" applyFill="1" applyAlignment="1">
      <alignment/>
    </xf>
    <xf numFmtId="2" fontId="7" fillId="34" borderId="9" xfId="0" applyNumberFormat="1" applyFont="1" applyFill="1" applyBorder="1" applyAlignment="1" applyProtection="1">
      <alignment/>
      <protection/>
    </xf>
    <xf numFmtId="0" fontId="3" fillId="26" borderId="0" xfId="0" applyFont="1" applyFill="1" applyAlignment="1">
      <alignment/>
    </xf>
    <xf numFmtId="0" fontId="3" fillId="9" borderId="0" xfId="0" applyFont="1" applyFill="1" applyAlignment="1">
      <alignment horizontal="center"/>
    </xf>
    <xf numFmtId="0" fontId="2" fillId="9" borderId="0" xfId="0" applyFont="1" applyFill="1" applyAlignment="1">
      <alignment/>
    </xf>
    <xf numFmtId="0" fontId="0" fillId="0" borderId="0" xfId="0" applyFont="1" applyFill="1" applyBorder="1" applyAlignment="1">
      <alignment/>
    </xf>
    <xf numFmtId="0" fontId="7" fillId="9" borderId="9" xfId="0" applyNumberFormat="1" applyFont="1" applyFill="1" applyBorder="1" applyAlignment="1" applyProtection="1">
      <alignment/>
      <protection/>
    </xf>
    <xf numFmtId="0" fontId="2" fillId="9" borderId="9" xfId="0" applyFont="1" applyFill="1" applyBorder="1" applyAlignment="1">
      <alignment/>
    </xf>
    <xf numFmtId="2" fontId="7" fillId="9" borderId="9" xfId="0" applyNumberFormat="1" applyFont="1" applyFill="1" applyBorder="1" applyAlignment="1" applyProtection="1">
      <alignment/>
      <protection/>
    </xf>
    <xf numFmtId="0" fontId="10" fillId="9" borderId="0" xfId="0" applyFont="1" applyFill="1" applyAlignment="1">
      <alignment/>
    </xf>
    <xf numFmtId="179" fontId="7" fillId="9" borderId="9" xfId="0" applyNumberFormat="1" applyFont="1" applyFill="1" applyBorder="1" applyAlignment="1" applyProtection="1">
      <alignment/>
      <protection/>
    </xf>
    <xf numFmtId="179" fontId="2" fillId="9" borderId="0" xfId="0" applyNumberFormat="1" applyFont="1" applyFill="1" applyAlignment="1">
      <alignment/>
    </xf>
    <xf numFmtId="0" fontId="7" fillId="0" borderId="9" xfId="0" applyNumberFormat="1" applyFont="1" applyFill="1" applyBorder="1" applyAlignment="1" applyProtection="1">
      <alignment/>
      <protection/>
    </xf>
    <xf numFmtId="0" fontId="2" fillId="0" borderId="9" xfId="0" applyFont="1" applyFill="1" applyBorder="1" applyAlignment="1">
      <alignment/>
    </xf>
    <xf numFmtId="0" fontId="10" fillId="0" borderId="0" xfId="0" applyFont="1" applyFill="1" applyAlignment="1">
      <alignment/>
    </xf>
    <xf numFmtId="180" fontId="2" fillId="9" borderId="9" xfId="0" applyNumberFormat="1" applyFont="1" applyFill="1" applyBorder="1" applyAlignment="1">
      <alignment/>
    </xf>
    <xf numFmtId="180" fontId="0" fillId="0" borderId="0" xfId="0" applyNumberFormat="1" applyFont="1" applyFill="1" applyAlignment="1">
      <alignment/>
    </xf>
    <xf numFmtId="0" fontId="3" fillId="10" borderId="0" xfId="0" applyFont="1" applyFill="1" applyAlignment="1">
      <alignment horizontal="center"/>
    </xf>
    <xf numFmtId="0" fontId="3" fillId="10" borderId="0" xfId="0" applyFont="1" applyFill="1" applyAlignment="1">
      <alignment/>
    </xf>
    <xf numFmtId="0" fontId="3" fillId="10" borderId="0" xfId="0" applyFont="1" applyFill="1" applyAlignment="1" applyProtection="1">
      <alignment/>
      <protection locked="0"/>
    </xf>
    <xf numFmtId="178" fontId="3" fillId="10" borderId="0" xfId="0" applyNumberFormat="1" applyFont="1" applyFill="1" applyAlignment="1">
      <alignment/>
    </xf>
    <xf numFmtId="0" fontId="2" fillId="0" borderId="0" xfId="0" applyFont="1" applyFill="1" applyAlignment="1">
      <alignment horizontal="center"/>
    </xf>
    <xf numFmtId="178" fontId="2" fillId="40"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40" borderId="0" xfId="0" applyFont="1" applyFill="1" applyAlignment="1">
      <alignment/>
    </xf>
    <xf numFmtId="0" fontId="0" fillId="0" borderId="0" xfId="0" applyFont="1"/>
    <xf numFmtId="0" fontId="0" fillId="9" borderId="0" xfId="0" applyFill="1"/>
    <xf numFmtId="0" fontId="0" fillId="41" borderId="0" xfId="63" applyFill="1">
      <alignment/>
      <protection/>
    </xf>
    <xf numFmtId="0" fontId="0" fillId="41" borderId="0" xfId="0" applyFill="1"/>
    <xf numFmtId="0" fontId="0" fillId="42" borderId="0" xfId="0" applyFill="1"/>
    <xf numFmtId="0" fontId="0" fillId="43" borderId="0" xfId="0" applyFill="1"/>
    <xf numFmtId="0" fontId="0" fillId="0" borderId="0" xfId="63">
      <alignment/>
      <protection/>
    </xf>
    <xf numFmtId="0" fontId="0" fillId="44" borderId="0" xfId="0" applyFill="1"/>
    <xf numFmtId="0" fontId="0" fillId="0" borderId="0" xfId="0" applyFill="1"/>
    <xf numFmtId="0" fontId="11" fillId="0" borderId="0" xfId="0" applyFont="1"/>
    <xf numFmtId="0" fontId="0" fillId="45" borderId="0" xfId="0" applyFill="1"/>
    <xf numFmtId="0" fontId="12" fillId="0" borderId="0" xfId="0" applyFont="1"/>
    <xf numFmtId="0" fontId="0" fillId="46" borderId="0" xfId="0" applyFill="1"/>
    <xf numFmtId="178" fontId="0" fillId="0" borderId="0" xfId="0" applyNumberFormat="1"/>
    <xf numFmtId="3" fontId="0" fillId="0" borderId="0" xfId="0" applyNumberFormat="1"/>
    <xf numFmtId="0" fontId="0" fillId="44" borderId="0" xfId="63" applyFill="1">
      <alignment/>
      <protection/>
    </xf>
    <xf numFmtId="0" fontId="0" fillId="41" borderId="9" xfId="63" applyFill="1" applyBorder="1">
      <alignment/>
      <protection/>
    </xf>
    <xf numFmtId="0" fontId="0" fillId="0" borderId="9" xfId="63" applyBorder="1">
      <alignment/>
      <protection/>
    </xf>
    <xf numFmtId="0" fontId="0" fillId="41" borderId="9" xfId="0" applyFill="1" applyBorder="1"/>
    <xf numFmtId="0" fontId="0" fillId="0" borderId="9" xfId="0" applyBorder="1"/>
    <xf numFmtId="0" fontId="13" fillId="44" borderId="0" xfId="0" applyFont="1" applyFill="1"/>
    <xf numFmtId="0" fontId="14" fillId="0" borderId="0" xfId="0" applyFont="1"/>
    <xf numFmtId="0" fontId="13" fillId="0" borderId="0" xfId="0" applyFont="1"/>
    <xf numFmtId="0" fontId="10" fillId="0" borderId="0" xfId="0" applyFont="1"/>
    <xf numFmtId="0" fontId="13" fillId="42" borderId="0" xfId="0" applyFont="1" applyFill="1"/>
    <xf numFmtId="0" fontId="0" fillId="42" borderId="0" xfId="63" applyFill="1">
      <alignment/>
      <protection/>
    </xf>
    <xf numFmtId="0" fontId="15" fillId="42" borderId="0" xfId="0" applyFont="1" applyFill="1"/>
    <xf numFmtId="0" fontId="0" fillId="42" borderId="9" xfId="0" applyFill="1" applyBorder="1"/>
    <xf numFmtId="0" fontId="16" fillId="44" borderId="0" xfId="63" applyFont="1" applyFill="1">
      <alignment/>
      <protection/>
    </xf>
    <xf numFmtId="0" fontId="16" fillId="41" borderId="0" xfId="0" applyFont="1" applyFill="1"/>
    <xf numFmtId="0" fontId="15" fillId="41" borderId="0" xfId="0" applyFont="1" applyFill="1"/>
    <xf numFmtId="0" fontId="16" fillId="0" borderId="0" xfId="63" applyFont="1">
      <alignment/>
      <protection/>
    </xf>
    <xf numFmtId="0" fontId="13" fillId="43" borderId="0" xfId="0" applyFont="1" applyFill="1"/>
    <xf numFmtId="0" fontId="10" fillId="43" borderId="0" xfId="0" applyFont="1" applyFill="1"/>
    <xf numFmtId="0" fontId="0" fillId="43" borderId="0" xfId="63" applyFill="1">
      <alignment/>
      <protection/>
    </xf>
    <xf numFmtId="0" fontId="17" fillId="43" borderId="0" xfId="0" applyFont="1" applyFill="1"/>
    <xf numFmtId="0" fontId="0" fillId="43" borderId="9" xfId="0" applyFill="1" applyBorder="1"/>
    <xf numFmtId="0" fontId="0" fillId="47"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48" borderId="9" xfId="63" applyFill="1" applyBorder="1">
      <alignment/>
      <protection/>
    </xf>
    <xf numFmtId="182" fontId="0" fillId="48" borderId="9" xfId="63" applyNumberFormat="1" applyFill="1" applyBorder="1">
      <alignment/>
      <protection/>
    </xf>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48" borderId="10" xfId="63" applyFill="1" applyBorder="1">
      <alignment/>
      <protection/>
    </xf>
    <xf numFmtId="0" fontId="10" fillId="44" borderId="0" xfId="0" applyFont="1" applyFill="1"/>
    <xf numFmtId="0" fontId="2" fillId="0" borderId="0" xfId="0" applyFont="1" applyFill="1" applyAlignment="1">
      <alignment vertical="center"/>
    </xf>
    <xf numFmtId="0" fontId="24" fillId="29" borderId="0" xfId="0" applyFont="1" applyFill="1" applyAlignment="1">
      <alignment/>
    </xf>
    <xf numFmtId="0" fontId="25" fillId="45" borderId="0" xfId="0" applyFont="1" applyFill="1" applyAlignment="1">
      <alignment/>
    </xf>
    <xf numFmtId="0" fontId="26" fillId="0" borderId="0" xfId="0" applyFont="1" applyFill="1" applyAlignment="1">
      <alignment vertical="center"/>
    </xf>
    <xf numFmtId="0" fontId="27" fillId="0" borderId="0" xfId="0" applyFont="1" applyFill="1" applyAlignment="1">
      <alignment/>
    </xf>
    <xf numFmtId="0" fontId="2" fillId="49" borderId="0" xfId="0" applyFont="1" applyFill="1" applyAlignment="1">
      <alignment vertical="center"/>
    </xf>
    <xf numFmtId="0" fontId="2" fillId="49" borderId="0" xfId="0" applyNumberFormat="1" applyFont="1" applyFill="1" applyAlignment="1">
      <alignment vertical="center"/>
    </xf>
    <xf numFmtId="0" fontId="26" fillId="0" borderId="0" xfId="0" applyNumberFormat="1" applyFont="1" applyFill="1" applyAlignment="1">
      <alignment vertical="center"/>
    </xf>
    <xf numFmtId="0" fontId="0" fillId="0" borderId="0" xfId="63" applyAlignment="1">
      <alignment horizontal="center"/>
      <protection/>
    </xf>
    <xf numFmtId="0" fontId="2" fillId="44" borderId="0" xfId="0" applyFont="1" applyFill="1" applyAlignment="1">
      <alignment/>
    </xf>
    <xf numFmtId="0" fontId="0" fillId="40" borderId="9" xfId="63" applyFill="1" applyBorder="1">
      <alignment/>
      <protection/>
    </xf>
    <xf numFmtId="0" fontId="0" fillId="40" borderId="0" xfId="63" applyFill="1">
      <alignment/>
      <protection/>
    </xf>
    <xf numFmtId="0" fontId="0" fillId="0" borderId="9" xfId="63" applyFill="1" applyBorder="1">
      <alignment/>
      <protection/>
    </xf>
    <xf numFmtId="0" fontId="2" fillId="0" borderId="0" xfId="0" applyFont="1" applyFill="1" applyAlignment="1">
      <alignment wrapText="1"/>
    </xf>
    <xf numFmtId="0" fontId="17" fillId="29" borderId="0" xfId="63" applyFont="1" applyFill="1" applyAlignment="1">
      <alignment horizontal="center"/>
      <protection/>
    </xf>
    <xf numFmtId="0" fontId="28" fillId="45" borderId="0" xfId="0" applyFont="1" applyFill="1" applyAlignment="1">
      <alignment/>
    </xf>
    <xf numFmtId="0" fontId="2" fillId="0" borderId="0" xfId="63" applyFont="1" applyAlignment="1">
      <alignment horizontal="center" vertical="center"/>
      <protection/>
    </xf>
    <xf numFmtId="0" fontId="0" fillId="50" borderId="0" xfId="63" applyFill="1" applyAlignment="1">
      <alignment horizontal="center"/>
      <protection/>
    </xf>
    <xf numFmtId="0" fontId="29" fillId="0" borderId="0" xfId="63" applyFont="1" applyAlignment="1">
      <alignment horizontal="center"/>
      <protection/>
    </xf>
    <xf numFmtId="0" fontId="11" fillId="0" borderId="0" xfId="64" applyFont="1">
      <alignment/>
      <protection/>
    </xf>
    <xf numFmtId="0" fontId="0" fillId="0" borderId="0" xfId="0" quotePrefix="1"/>
    <xf numFmtId="0" fontId="0" fillId="33" borderId="0" xfId="0" applyFill="1" quotePrefix="1"/>
  </cellXfs>
  <cellStyles count="52">
    <cellStyle name="Normal" xfId="0" builtinId="0"/>
    <cellStyle name="Percent" xfId="15" builtinId="5"/>
    <cellStyle name="Currency" xfId="16" builtinId="4"/>
    <cellStyle name="Currency [0]" xfId="17" builtinId="7"/>
    <cellStyle name="Comma" xfId="18" builtinId="3"/>
    <cellStyle name="Comma [0]" xfId="19" builtinId="6"/>
    <cellStyle name="Link" xfId="20" builtinId="8"/>
    <cellStyle name="Followed Hyperlink" xfId="21" builtinId="9"/>
    <cellStyle name="Note" xfId="22" builtinId="10"/>
    <cellStyle name="Warning Text" xfId="23" builtinId="11"/>
    <cellStyle name="Title" xfId="24" builtinId="15"/>
    <cellStyle name="Explanatory Text" xfId="25" builtinId="53"/>
    <cellStyle name="Heading 1" xfId="26" builtinId="16"/>
    <cellStyle name="Heading 2" xfId="27" builtinId="17"/>
    <cellStyle name="Heading 3" xfId="28" builtinId="18"/>
    <cellStyle name="Heading 4" xfId="29" builtinId="19"/>
    <cellStyle name="Input" xfId="30" builtinId="20"/>
    <cellStyle name="Output" xfId="31" builtinId="21"/>
    <cellStyle name="Calculation" xfId="32" builtinId="22"/>
    <cellStyle name="Check Cell" xfId="33" builtinId="23"/>
    <cellStyle name="Linked Cell" xfId="34" builtinId="24"/>
    <cellStyle name="Total" xfId="35" builtinId="25"/>
    <cellStyle name="Good" xfId="36" builtinId="26"/>
    <cellStyle name="Bad" xfId="37" builtinId="27"/>
    <cellStyle name="Neutral" xfId="38" builtinId="28"/>
    <cellStyle name="Accent1" xfId="39" builtinId="29"/>
    <cellStyle name="20% - Accent1" xfId="40" builtinId="30"/>
    <cellStyle name="40% - Accent1" xfId="41" builtinId="31"/>
    <cellStyle name="60% - Accent1" xfId="42" builtinId="32"/>
    <cellStyle name="Accent2" xfId="43" builtinId="33"/>
    <cellStyle name="20% - Accent2" xfId="44" builtinId="34"/>
    <cellStyle name="40% - Accent2" xfId="45" builtinId="35"/>
    <cellStyle name="60% - Accent2" xfId="46" builtinId="36"/>
    <cellStyle name="Accent3" xfId="47" builtinId="37"/>
    <cellStyle name="20% - Accent3" xfId="48" builtinId="38"/>
    <cellStyle name="40% - Accent3" xfId="49" builtinId="39"/>
    <cellStyle name="60% - Accent3" xfId="50" builtinId="40"/>
    <cellStyle name="Accent4" xfId="51" builtinId="41"/>
    <cellStyle name="20% - Accent4" xfId="52" builtinId="42"/>
    <cellStyle name="40% - Accent4" xfId="53" builtinId="43"/>
    <cellStyle name="60% - Accent4" xfId="54" builtinId="44"/>
    <cellStyle name="Accent5" xfId="55" builtinId="45"/>
    <cellStyle name="20% - Accent5" xfId="56" builtinId="46"/>
    <cellStyle name="40% - Accent5" xfId="57" builtinId="47"/>
    <cellStyle name="60% - Accent5" xfId="58" builtinId="48"/>
    <cellStyle name="Accent6" xfId="59" builtinId="49"/>
    <cellStyle name="20% - Accent6" xfId="60" builtinId="50"/>
    <cellStyle name="40% - Accent6" xfId="61" builtinId="51"/>
    <cellStyle name="60% - Accent6" xfId="62" builtinId="52"/>
    <cellStyle name="Normal 10" xfId="63"/>
    <cellStyle name="Normal 3" xfId="64"/>
    <cellStyle name="Normal 3 2" xfId="6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4" Type="http://schemas.openxmlformats.org/officeDocument/2006/relationships/externalLink" Target="externalLinks/externalLink3.xml" /><Relationship Id="rId1" Type="http://schemas.openxmlformats.org/officeDocument/2006/relationships/theme" Target="theme/theme1.xml" /><Relationship Id="rId5" Type="http://schemas.openxmlformats.org/officeDocument/2006/relationships/worksheet" Target="worksheets/sheet3.xml" /><Relationship Id="rId9" Type="http://schemas.openxmlformats.org/officeDocument/2006/relationships/worksheet" Target="worksheets/sheet7.xml" /><Relationship Id="rId6" Type="http://schemas.openxmlformats.org/officeDocument/2006/relationships/worksheet" Target="worksheets/sheet4.xml" /><Relationship Id="rId15" Type="http://schemas.openxmlformats.org/officeDocument/2006/relationships/calcChain" Target="calcChain.xml" /><Relationship Id="rId2" Type="http://schemas.openxmlformats.org/officeDocument/2006/relationships/styles" Target="styles.xml" /><Relationship Id="rId4" Type="http://schemas.openxmlformats.org/officeDocument/2006/relationships/worksheet" Target="worksheets/sheet2.xml" /><Relationship Id="rId10" Type="http://schemas.openxmlformats.org/officeDocument/2006/relationships/worksheet" Target="worksheets/sheet8.xml" /><Relationship Id="rId11" Type="http://schemas.openxmlformats.org/officeDocument/2006/relationships/sharedStrings" Target="sharedStrings.xml" /><Relationship Id="rId12" Type="http://schemas.openxmlformats.org/officeDocument/2006/relationships/externalLink" Target="externalLinks/externalLink1.xml" /><Relationship Id="rId13" Type="http://schemas.openxmlformats.org/officeDocument/2006/relationships/externalLink" Target="externalLinks/externalLink2.xml" /><Relationship Id="rId3" Type="http://schemas.openxmlformats.org/officeDocument/2006/relationships/worksheet" Target="worksheets/sheet1.xml" /><Relationship Id="rId7" Type="http://schemas.openxmlformats.org/officeDocument/2006/relationships/worksheet" Target="worksheets/sheet5.xml" /><Relationship Id="rId8" Type="http://schemas.openxmlformats.org/officeDocument/2006/relationships/worksheet" Target="worksheets/sheet6.xml" /></Relationships>
</file>

<file path=xl/drawings/drawing1.xml><?xml version="1.0" encoding="utf-8"?>
<xdr:wsDr xmlns:xdr="http://schemas.openxmlformats.org/drawingml/2006/spreadsheetDrawing" xmlns:a="http://schemas.openxmlformats.org/drawingml/2006/main" xmlns:r="http://schemas.openxmlformats.org/officeDocument/2006/relationships" xmlns:a14="http://schemas.microsoft.com/office/drawing/2010/main">
  <xdr:twoCellAnchor>
    <xdr:from>
      <xdr:col>8</xdr:col>
      <xdr:colOff>107950</xdr:colOff>
      <xdr:row>0</xdr:row>
      <xdr:rowOff>76200</xdr:rowOff>
    </xdr:from>
    <xdr:to>
      <xdr:col>17</xdr:col>
      <xdr:colOff>88900</xdr:colOff>
      <xdr:row>3</xdr:row>
      <xdr:rowOff>0</xdr:rowOff>
    </xdr:to>
    <xdr:cxnSp>
      <xdr:nvCxnSpPr>
        <xdr:cNvPr id="2" name="Straight Arrow Connector 1">
          <a:extLst>
            <a:ext uri="{FF2B5EF4-FFF2-40B4-BE49-F238E27FC236}">
              <a16:creationId xmlns:a16="http://schemas.microsoft.com/office/drawing/2014/main" id="{262c58a2-86d9-400b-af5f-f8f5281ee882}"/>
            </a:ext>
          </a:extLst>
        </xdr:cNvPr>
        <xdr:cNvCxnSpPr/>
      </xdr:nvCxnSpPr>
      <xdr:spPr>
        <a:xfrm>
          <a:off x="18488025" y="76200"/>
          <a:ext cx="11544300" cy="466725"/>
        </a:xfrm>
        <a:prstGeom prst="straightConnector1"/>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a:extLst>
            <a:ext uri="{FF2B5EF4-FFF2-40B4-BE49-F238E27FC236}">
              <a16:creationId xmlns:a16="http://schemas.microsoft.com/office/drawing/2014/main" id="{1d3a2d7d-0dbd-41cc-82cd-d79330f5dbb2}"/>
            </a:ext>
          </a:extLst>
        </xdr:cNvPr>
        <xdr:cNvSpPr/>
      </xdr:nvSpPr>
      <xdr:spPr>
        <a:xfrm>
          <a:off x="3371850" y="438150"/>
          <a:ext cx="466725" cy="247650"/>
        </a:xfrm>
        <a:prstGeom prst="downArrow"/>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a:extLst>
            <a:ext uri="{FF2B5EF4-FFF2-40B4-BE49-F238E27FC236}">
              <a16:creationId xmlns:a16="http://schemas.microsoft.com/office/drawing/2014/main" id="{a0682af5-7926-4e15-9b12-1cb2f92b45ea}"/>
            </a:ext>
          </a:extLst>
        </xdr:cNvPr>
        <xdr:cNvSpPr/>
      </xdr:nvSpPr>
      <xdr:spPr>
        <a:xfrm>
          <a:off x="3152775" y="1104900"/>
          <a:ext cx="466725" cy="247650"/>
        </a:xfrm>
        <a:prstGeom prst="downArrow"/>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Relationships xmlns="http://schemas.openxmlformats.org/package/2006/relationships"><Relationship Id="rId1" Type="http://schemas.openxmlformats.org/officeDocument/2006/relationships/externalLinkPath" Target="file:///F:\TMPL_RES.xls" TargetMode="External" /></Relationships>
</file>

<file path=xl/externalLinks/_rels/externalLink2.xml.rels><?xml version="1.0" encoding="UTF-8" standalone="yes"?><Relationships xmlns="http://schemas.openxmlformats.org/package/2006/relationships"><Relationship Id="rId1" Type="http://schemas.openxmlformats.org/officeDocument/2006/relationships/externalLinkPath" Target="\SAGE\saic_technology\ResCOM\New%20Microsoft%20Excel%20Worksheet.xls" TargetMode="External" /></Relationships>
</file>

<file path=xl/externalLinks/_rels/externalLink3.xml.rels><?xml version="1.0" encoding="UTF-8" standalone="yes"?><Relationships xmlns="http://schemas.openxmlformats.org/package/2006/relationships"><Relationship Id="rId1" Type="http://schemas.openxmlformats.org/officeDocument/2006/relationships/externalLinkPath" Target="SubRES_Transport.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Relationships xmlns="http://schemas.openxmlformats.org/package/2006/relationships"><Relationship Id="rId4" Type="http://schemas.openxmlformats.org/officeDocument/2006/relationships/vmlDrawing" Target="../drawings/vmlDrawing1.vml" /><Relationship Id="rId2" Type="http://schemas.openxmlformats.org/officeDocument/2006/relationships/comments" Target="../comments2.xml" /><Relationship Id="rId3" Type="http://schemas.openxmlformats.org/officeDocument/2006/relationships/drawing" Target="../drawings/drawing1.xml" /><Relationship Id="rId1" Type="http://schemas.openxmlformats.org/officeDocument/2006/relationships/hyperlink" Target="https://atb.nrel.gov/transportation/2024/battery_electric_vehicle_assumptions" TargetMode="External" /></Relationships>
</file>

<file path=xl/worksheets/_rels/sheet3.xml.rels><?xml version="1.0" encoding="UTF-8" standalone="yes"?><Relationships xmlns="http://schemas.openxmlformats.org/package/2006/relationships"><Relationship Id="rId2" Type="http://schemas.openxmlformats.org/officeDocument/2006/relationships/vmlDrawing" Target="../drawings/vmlDrawing2.vml" /><Relationship Id="rId1" Type="http://schemas.openxmlformats.org/officeDocument/2006/relationships/comments" Target="../comments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000-000000000000}">
  <sheetPr codeName="Sheet6"/>
  <dimension ref="A1:AA281"/>
  <sheetViews>
    <sheetView zoomScale="80" zoomScaleNormal="80" workbookViewId="0" topLeftCell="A1">
      <selection pane="topLeft" activeCell="E18" sqref="E18"/>
    </sheetView>
  </sheetViews>
  <sheetFormatPr defaultColWidth="9.09428571428571" defaultRowHeight="11.5"/>
  <cols>
    <col min="1" max="1" width="15" style="129" customWidth="1"/>
    <col min="2" max="2" width="8.85714285714286" style="129" customWidth="1"/>
    <col min="3" max="3" width="4.71428571428571" style="129" customWidth="1"/>
    <col min="4" max="4" width="8.85714285714286" style="129" customWidth="1"/>
    <col min="5" max="5" width="4.42857142857143" style="129" customWidth="1"/>
    <col min="6" max="6" width="4.28571428571429" style="129" customWidth="1"/>
    <col min="7" max="7" width="4.42857142857143" style="129" customWidth="1"/>
    <col min="8" max="8" width="4.57142857142857" style="129" customWidth="1"/>
    <col min="9" max="9" width="4" style="129" customWidth="1"/>
    <col min="10" max="10" width="4.42857142857143" style="129" customWidth="1"/>
    <col min="11" max="11" width="4.57142857142857" style="129" customWidth="1"/>
    <col min="12" max="12" width="4.42857142857143" style="129" customWidth="1"/>
    <col min="13" max="13" width="4" style="129" customWidth="1"/>
    <col min="14" max="14" width="4.28571428571429" style="129" customWidth="1"/>
    <col min="15" max="16" width="4.42857142857143" style="129" customWidth="1"/>
    <col min="17" max="18" width="4.57142857142857" style="129" customWidth="1"/>
    <col min="19" max="19" width="4.42857142857143" style="129" customWidth="1"/>
    <col min="20" max="20" width="5" style="129" customWidth="1"/>
    <col min="21" max="21" width="11.7142857142857" style="129" customWidth="1"/>
    <col min="22" max="22" width="10.7142857142857" style="129" customWidth="1"/>
    <col min="23" max="23" width="13.1428571428571" style="129" customWidth="1"/>
    <col min="24" max="259" width="11.4285714285714" style="129" customWidth="1"/>
    <col min="260" max="16384" width="9.14285714285714" style="129"/>
  </cols>
  <sheetData>
    <row r="1" spans="1:21" ht="12.5">
      <c r="A1"/>
      <c r="B1"/>
      <c r="C1"/>
      <c r="D1"/>
      <c r="E1"/>
      <c r="F1"/>
      <c r="G1"/>
      <c r="H1"/>
      <c r="I1"/>
      <c r="J1"/>
      <c r="K1"/>
      <c r="L1"/>
      <c r="M1"/>
      <c r="N1"/>
      <c r="O1"/>
      <c r="P1"/>
      <c r="Q1"/>
      <c r="R1"/>
      <c r="S1"/>
      <c r="T1"/>
      <c r="U1"/>
    </row>
    <row r="2" spans="1:21" ht="12.5">
      <c r="A2"/>
      <c r="B2"/>
      <c r="C2"/>
      <c r="D2"/>
      <c r="E2"/>
      <c r="F2"/>
      <c r="G2"/>
      <c r="H2"/>
      <c r="I2"/>
      <c r="J2"/>
      <c r="K2"/>
      <c r="L2"/>
      <c r="M2"/>
      <c r="N2"/>
      <c r="O2"/>
      <c r="P2"/>
      <c r="Q2"/>
      <c r="R2"/>
      <c r="S2"/>
      <c r="T2"/>
      <c r="U2"/>
    </row>
    <row r="3" spans="1:27" ht="12.5">
      <c r="A3" t="s">
        <v>0</v>
      </c>
      <c r="B3"/>
      <c r="C3"/>
      <c r="D3"/>
      <c r="E3"/>
      <c r="F3"/>
      <c r="G3"/>
      <c r="H3"/>
      <c r="I3"/>
      <c r="J3"/>
      <c r="K3"/>
      <c r="L3"/>
      <c r="M3"/>
      <c r="N3"/>
      <c r="O3"/>
      <c r="P3"/>
      <c r="Q3"/>
      <c r="R3"/>
      <c r="S3"/>
      <c r="T3"/>
      <c r="U3"/>
      <c r="V3" s="60"/>
      <c r="W3" s="60"/>
      <c r="X3" s="60"/>
      <c r="Y3" s="60"/>
      <c r="Z3" s="60"/>
      <c r="AA3" s="60"/>
    </row>
    <row r="4" spans="1:27" ht="12.5">
      <c r="A4" t="s">
        <v>1</v>
      </c>
      <c r="B4" t="s">
        <v>2</v>
      </c>
      <c r="C4"/>
      <c r="D4"/>
      <c r="E4"/>
      <c r="F4"/>
      <c r="G4"/>
      <c r="H4"/>
      <c r="I4"/>
      <c r="J4"/>
      <c r="K4"/>
      <c r="L4"/>
      <c r="M4"/>
      <c r="N4"/>
      <c r="O4"/>
      <c r="P4"/>
      <c r="Q4"/>
      <c r="R4"/>
      <c r="S4"/>
      <c r="T4"/>
      <c r="U4"/>
      <c r="V4" s="60"/>
      <c r="W4" s="60"/>
      <c r="X4" s="60"/>
      <c r="Y4" s="60"/>
      <c r="Z4" s="60"/>
      <c r="AA4" s="60"/>
    </row>
    <row r="5" spans="1:27" ht="12.5">
      <c r="A5" t="s">
        <v>3</v>
      </c>
      <c r="B5" t="s">
        <v>4</v>
      </c>
      <c r="C5"/>
      <c r="D5"/>
      <c r="E5"/>
      <c r="F5"/>
      <c r="G5"/>
      <c r="H5"/>
      <c r="I5"/>
      <c r="J5"/>
      <c r="K5"/>
      <c r="L5"/>
      <c r="M5"/>
      <c r="N5"/>
      <c r="O5"/>
      <c r="P5"/>
      <c r="Q5"/>
      <c r="R5"/>
      <c r="S5"/>
      <c r="T5"/>
      <c r="U5"/>
      <c r="V5" s="60"/>
      <c r="W5" s="60"/>
      <c r="X5" s="60"/>
      <c r="Y5" s="60"/>
      <c r="Z5" s="60"/>
      <c r="AA5" s="60"/>
    </row>
    <row r="6" spans="1:27" ht="12.5">
      <c r="A6" t="s">
        <v>5</v>
      </c>
      <c r="B6" t="s">
        <v>4</v>
      </c>
      <c r="C6"/>
      <c r="D6"/>
      <c r="E6"/>
      <c r="F6"/>
      <c r="G6"/>
      <c r="H6"/>
      <c r="I6"/>
      <c r="J6"/>
      <c r="K6"/>
      <c r="L6"/>
      <c r="M6"/>
      <c r="N6"/>
      <c r="O6"/>
      <c r="P6"/>
      <c r="Q6"/>
      <c r="R6"/>
      <c r="S6"/>
      <c r="T6"/>
      <c r="U6"/>
      <c r="V6" s="60"/>
      <c r="W6" s="60"/>
      <c r="X6" s="60"/>
      <c r="Y6" s="60"/>
      <c r="Z6" s="60"/>
      <c r="AA6" s="60"/>
    </row>
    <row r="7" spans="1:27" ht="12.5">
      <c r="A7" t="s">
        <v>6</v>
      </c>
      <c r="B7" t="s">
        <v>4</v>
      </c>
      <c r="C7"/>
      <c r="D7"/>
      <c r="E7"/>
      <c r="F7"/>
      <c r="G7"/>
      <c r="H7"/>
      <c r="I7"/>
      <c r="J7"/>
      <c r="K7"/>
      <c r="L7"/>
      <c r="M7"/>
      <c r="N7"/>
      <c r="O7"/>
      <c r="P7"/>
      <c r="Q7"/>
      <c r="R7"/>
      <c r="S7"/>
      <c r="T7"/>
      <c r="U7"/>
      <c r="V7" s="60"/>
      <c r="W7" s="60"/>
      <c r="X7" s="60"/>
      <c r="Y7" s="60"/>
      <c r="Z7" s="60"/>
      <c r="AA7" s="60"/>
    </row>
    <row r="8" spans="1:27" ht="12.5">
      <c r="A8" t="s">
        <v>7</v>
      </c>
      <c r="B8" t="s">
        <v>4</v>
      </c>
      <c r="C8"/>
      <c r="D8"/>
      <c r="E8"/>
      <c r="F8"/>
      <c r="G8"/>
      <c r="H8"/>
      <c r="I8"/>
      <c r="J8"/>
      <c r="K8"/>
      <c r="L8"/>
      <c r="M8"/>
      <c r="N8"/>
      <c r="O8"/>
      <c r="P8"/>
      <c r="Q8"/>
      <c r="R8"/>
      <c r="S8"/>
      <c r="T8"/>
      <c r="U8"/>
      <c r="V8" s="60"/>
      <c r="W8" s="60"/>
      <c r="X8" s="60"/>
      <c r="Y8" s="60"/>
      <c r="Z8" s="60"/>
      <c r="AA8" s="60"/>
    </row>
    <row r="9" spans="1:27" ht="12.5">
      <c r="A9" t="s">
        <v>8</v>
      </c>
      <c r="B9" t="s">
        <v>4</v>
      </c>
      <c r="C9"/>
      <c r="D9"/>
      <c r="E9"/>
      <c r="F9"/>
      <c r="G9"/>
      <c r="H9"/>
      <c r="I9"/>
      <c r="J9"/>
      <c r="K9"/>
      <c r="L9"/>
      <c r="M9"/>
      <c r="N9"/>
      <c r="O9"/>
      <c r="P9"/>
      <c r="Q9"/>
      <c r="R9"/>
      <c r="S9"/>
      <c r="T9"/>
      <c r="U9"/>
      <c r="V9" s="60"/>
      <c r="W9" s="60"/>
      <c r="X9" s="60"/>
      <c r="Y9" s="60"/>
      <c r="Z9" s="60"/>
      <c r="AA9" s="60"/>
    </row>
    <row r="10" spans="1:27" ht="12.5">
      <c r="A10" t="s">
        <v>9</v>
      </c>
      <c r="B10" t="s">
        <v>4</v>
      </c>
      <c r="C10"/>
      <c r="D10"/>
      <c r="E10"/>
      <c r="F10"/>
      <c r="G10"/>
      <c r="H10"/>
      <c r="I10"/>
      <c r="J10"/>
      <c r="K10"/>
      <c r="L10"/>
      <c r="M10"/>
      <c r="N10"/>
      <c r="O10"/>
      <c r="P10"/>
      <c r="Q10"/>
      <c r="R10"/>
      <c r="S10"/>
      <c r="T10"/>
      <c r="U10"/>
      <c r="V10" s="60"/>
      <c r="W10" s="60"/>
      <c r="X10" s="60"/>
      <c r="Y10" s="60"/>
      <c r="Z10" s="60"/>
      <c r="AA10" s="60"/>
    </row>
    <row r="11" spans="1:27" ht="12.5">
      <c r="A11" t="s">
        <v>10</v>
      </c>
      <c r="B11" t="s">
        <v>4</v>
      </c>
      <c r="C11"/>
      <c r="D11"/>
      <c r="E11"/>
      <c r="F11"/>
      <c r="G11"/>
      <c r="H11"/>
      <c r="I11"/>
      <c r="J11"/>
      <c r="K11"/>
      <c r="L11"/>
      <c r="M11"/>
      <c r="N11"/>
      <c r="O11"/>
      <c r="P11"/>
      <c r="Q11"/>
      <c r="R11"/>
      <c r="S11"/>
      <c r="T11"/>
      <c r="U11"/>
      <c r="V11" s="60"/>
      <c r="W11" s="60"/>
      <c r="X11" s="60"/>
      <c r="Y11" s="60"/>
      <c r="Z11" s="60"/>
      <c r="AA11" s="60"/>
    </row>
    <row r="12" spans="1:27" ht="12.5">
      <c r="A12" t="s">
        <v>11</v>
      </c>
      <c r="B12" t="s">
        <v>4</v>
      </c>
      <c r="C12"/>
      <c r="D12"/>
      <c r="E12"/>
      <c r="F12"/>
      <c r="G12"/>
      <c r="H12"/>
      <c r="I12"/>
      <c r="J12"/>
      <c r="K12"/>
      <c r="L12"/>
      <c r="M12"/>
      <c r="N12"/>
      <c r="O12"/>
      <c r="P12"/>
      <c r="Q12"/>
      <c r="R12"/>
      <c r="S12"/>
      <c r="T12"/>
      <c r="U12"/>
      <c r="V12" s="60"/>
      <c r="W12" s="60"/>
      <c r="X12" s="60"/>
      <c r="Y12" s="60"/>
      <c r="Z12" s="60"/>
      <c r="AA12" s="60"/>
    </row>
    <row r="13" spans="1:27" ht="12.5">
      <c r="A13" t="s">
        <v>12</v>
      </c>
      <c r="B13" t="s">
        <v>4</v>
      </c>
      <c r="C13"/>
      <c r="D13"/>
      <c r="E13"/>
      <c r="F13"/>
      <c r="G13"/>
      <c r="H13"/>
      <c r="I13"/>
      <c r="J13"/>
      <c r="K13"/>
      <c r="L13"/>
      <c r="M13"/>
      <c r="N13"/>
      <c r="O13"/>
      <c r="P13"/>
      <c r="Q13"/>
      <c r="R13"/>
      <c r="S13"/>
      <c r="T13"/>
      <c r="U13"/>
      <c r="V13" s="60"/>
      <c r="W13" s="60"/>
      <c r="X13" s="60"/>
      <c r="Y13" s="60"/>
      <c r="Z13" s="60"/>
      <c r="AA13" s="60"/>
    </row>
    <row r="14" spans="1:27" ht="12.5">
      <c r="A14" t="s">
        <v>13</v>
      </c>
      <c r="B14" t="s">
        <v>4</v>
      </c>
      <c r="C14"/>
      <c r="D14"/>
      <c r="E14"/>
      <c r="F14"/>
      <c r="G14"/>
      <c r="H14"/>
      <c r="I14"/>
      <c r="J14"/>
      <c r="K14"/>
      <c r="L14"/>
      <c r="M14"/>
      <c r="N14"/>
      <c r="O14"/>
      <c r="P14"/>
      <c r="Q14"/>
      <c r="R14"/>
      <c r="S14"/>
      <c r="T14"/>
      <c r="U14"/>
      <c r="V14" s="60"/>
      <c r="W14" s="60"/>
      <c r="X14" s="60"/>
      <c r="Y14" s="60"/>
      <c r="Z14" s="60"/>
      <c r="AA14" s="60"/>
    </row>
    <row r="15" spans="1:27" ht="12.5">
      <c r="A15" t="s">
        <v>14</v>
      </c>
      <c r="B15" t="s">
        <v>4</v>
      </c>
      <c r="C15"/>
      <c r="D15"/>
      <c r="E15"/>
      <c r="F15"/>
      <c r="G15"/>
      <c r="H15"/>
      <c r="I15"/>
      <c r="J15"/>
      <c r="K15"/>
      <c r="L15"/>
      <c r="M15"/>
      <c r="N15"/>
      <c r="O15"/>
      <c r="P15"/>
      <c r="Q15"/>
      <c r="R15"/>
      <c r="S15"/>
      <c r="T15"/>
      <c r="U15"/>
      <c r="V15" s="60"/>
      <c r="W15" s="60"/>
      <c r="X15" s="60"/>
      <c r="Y15" s="60"/>
      <c r="Z15" s="60"/>
      <c r="AA15" s="60"/>
    </row>
    <row r="16" spans="1:27" ht="12.5">
      <c r="A16" t="s">
        <v>15</v>
      </c>
      <c r="B16" t="s">
        <v>4</v>
      </c>
      <c r="C16"/>
      <c r="D16"/>
      <c r="E16"/>
      <c r="F16"/>
      <c r="G16"/>
      <c r="H16"/>
      <c r="I16"/>
      <c r="J16"/>
      <c r="K16"/>
      <c r="L16"/>
      <c r="M16"/>
      <c r="N16"/>
      <c r="O16"/>
      <c r="P16"/>
      <c r="Q16"/>
      <c r="R16"/>
      <c r="S16"/>
      <c r="T16"/>
      <c r="U16"/>
      <c r="V16" s="60"/>
      <c r="W16" s="60"/>
      <c r="X16" s="60"/>
      <c r="Y16" s="60"/>
      <c r="Z16" s="60"/>
      <c r="AA16" s="60"/>
    </row>
    <row r="17" spans="1:27" ht="12.5">
      <c r="A17" t="s">
        <v>16</v>
      </c>
      <c r="B17" t="s">
        <v>4</v>
      </c>
      <c r="C17"/>
      <c r="D17"/>
      <c r="E17"/>
      <c r="F17"/>
      <c r="G17"/>
      <c r="H17"/>
      <c r="I17"/>
      <c r="J17"/>
      <c r="K17"/>
      <c r="L17"/>
      <c r="M17"/>
      <c r="N17"/>
      <c r="O17"/>
      <c r="P17"/>
      <c r="Q17"/>
      <c r="R17"/>
      <c r="S17"/>
      <c r="T17"/>
      <c r="U17"/>
      <c r="V17" s="60"/>
      <c r="W17" s="60"/>
      <c r="X17" s="60"/>
      <c r="Y17" s="60"/>
      <c r="Z17" s="60"/>
      <c r="AA17" s="60"/>
    </row>
    <row r="18" spans="1:27" ht="12.5">
      <c r="A18" t="s">
        <v>17</v>
      </c>
      <c r="B18" t="s">
        <v>4</v>
      </c>
      <c r="C18"/>
      <c r="D18"/>
      <c r="E18"/>
      <c r="F18"/>
      <c r="G18"/>
      <c r="H18"/>
      <c r="I18"/>
      <c r="J18"/>
      <c r="K18"/>
      <c r="L18"/>
      <c r="M18"/>
      <c r="N18"/>
      <c r="O18"/>
      <c r="P18"/>
      <c r="Q18"/>
      <c r="R18"/>
      <c r="S18"/>
      <c r="T18"/>
      <c r="U18"/>
      <c r="V18" s="60"/>
      <c r="W18" s="60"/>
      <c r="X18" s="60"/>
      <c r="Y18" s="60"/>
      <c r="Z18" s="60"/>
      <c r="AA18" s="60"/>
    </row>
    <row r="19" spans="1:27" ht="12.5">
      <c r="A19" t="s">
        <v>18</v>
      </c>
      <c r="B19" t="s">
        <v>4</v>
      </c>
      <c r="C19"/>
      <c r="D19"/>
      <c r="E19"/>
      <c r="F19"/>
      <c r="G19"/>
      <c r="H19"/>
      <c r="I19"/>
      <c r="J19"/>
      <c r="K19"/>
      <c r="L19"/>
      <c r="M19"/>
      <c r="N19"/>
      <c r="O19"/>
      <c r="P19"/>
      <c r="Q19"/>
      <c r="R19"/>
      <c r="S19"/>
      <c r="T19"/>
      <c r="U19"/>
      <c r="V19" s="60"/>
      <c r="W19" s="60"/>
      <c r="X19" s="60"/>
      <c r="Y19" s="60"/>
      <c r="Z19" s="60"/>
      <c r="AA19" s="60"/>
    </row>
    <row r="20" spans="1:27" ht="12.5">
      <c r="A20" t="s">
        <v>19</v>
      </c>
      <c r="B20" t="s">
        <v>4</v>
      </c>
      <c r="C20"/>
      <c r="D20"/>
      <c r="E20"/>
      <c r="F20"/>
      <c r="G20"/>
      <c r="H20"/>
      <c r="I20"/>
      <c r="J20"/>
      <c r="K20"/>
      <c r="L20"/>
      <c r="M20"/>
      <c r="N20"/>
      <c r="O20"/>
      <c r="P20"/>
      <c r="Q20"/>
      <c r="R20"/>
      <c r="S20"/>
      <c r="T20"/>
      <c r="U20"/>
      <c r="V20" s="60"/>
      <c r="W20" s="60"/>
      <c r="X20" s="60"/>
      <c r="Y20" s="60"/>
      <c r="Z20" s="60"/>
      <c r="AA20" s="60"/>
    </row>
    <row r="21" spans="1:27" ht="12.5">
      <c r="A21" t="s">
        <v>20</v>
      </c>
      <c r="B21" t="s">
        <v>4</v>
      </c>
      <c r="C21"/>
      <c r="D21"/>
      <c r="E21"/>
      <c r="F21"/>
      <c r="G21"/>
      <c r="H21"/>
      <c r="I21"/>
      <c r="J21"/>
      <c r="K21"/>
      <c r="L21"/>
      <c r="M21"/>
      <c r="N21"/>
      <c r="O21"/>
      <c r="P21"/>
      <c r="Q21"/>
      <c r="R21"/>
      <c r="S21"/>
      <c r="T21"/>
      <c r="U21"/>
      <c r="V21" s="60"/>
      <c r="W21" s="60"/>
      <c r="X21" s="60"/>
      <c r="Y21" s="60"/>
      <c r="Z21" s="60"/>
      <c r="AA21" s="60"/>
    </row>
    <row r="22" spans="1:27" ht="12.5">
      <c r="A22" t="s">
        <v>21</v>
      </c>
      <c r="B22" t="s">
        <v>4</v>
      </c>
      <c r="C22"/>
      <c r="D22"/>
      <c r="E22"/>
      <c r="F22"/>
      <c r="G22"/>
      <c r="H22"/>
      <c r="I22"/>
      <c r="J22"/>
      <c r="K22"/>
      <c r="L22"/>
      <c r="M22"/>
      <c r="N22"/>
      <c r="O22"/>
      <c r="P22"/>
      <c r="Q22"/>
      <c r="R22"/>
      <c r="S22"/>
      <c r="T22"/>
      <c r="U22"/>
      <c r="V22" s="60"/>
      <c r="W22" s="60"/>
      <c r="X22" s="60"/>
      <c r="Y22" s="60"/>
      <c r="Z22" s="60"/>
      <c r="AA22" s="60"/>
    </row>
    <row r="23" spans="1:27" ht="12.5">
      <c r="A23" t="s">
        <v>22</v>
      </c>
      <c r="B23" t="s">
        <v>4</v>
      </c>
      <c r="C23"/>
      <c r="D23"/>
      <c r="E23"/>
      <c r="F23"/>
      <c r="G23"/>
      <c r="H23"/>
      <c r="I23"/>
      <c r="J23"/>
      <c r="K23"/>
      <c r="L23"/>
      <c r="M23"/>
      <c r="N23"/>
      <c r="O23"/>
      <c r="P23"/>
      <c r="Q23"/>
      <c r="R23"/>
      <c r="S23"/>
      <c r="T23"/>
      <c r="U23"/>
      <c r="V23" s="60"/>
      <c r="W23" s="60"/>
      <c r="X23" s="60"/>
      <c r="Y23" s="60"/>
      <c r="Z23" s="60"/>
      <c r="AA23" s="60"/>
    </row>
    <row r="24" spans="1:27" ht="12.5">
      <c r="A24" t="s">
        <v>23</v>
      </c>
      <c r="B24" t="s">
        <v>4</v>
      </c>
      <c r="C24"/>
      <c r="D24"/>
      <c r="E24"/>
      <c r="F24"/>
      <c r="G24"/>
      <c r="H24"/>
      <c r="I24"/>
      <c r="J24"/>
      <c r="K24"/>
      <c r="L24"/>
      <c r="M24"/>
      <c r="N24"/>
      <c r="O24"/>
      <c r="P24"/>
      <c r="Q24"/>
      <c r="R24"/>
      <c r="S24"/>
      <c r="T24"/>
      <c r="U24"/>
      <c r="V24" s="60"/>
      <c r="W24" s="60"/>
      <c r="X24" s="60"/>
      <c r="Y24" s="60"/>
      <c r="Z24" s="60"/>
      <c r="AA24" s="60"/>
    </row>
    <row r="25" spans="1:27" ht="12.5">
      <c r="A25" t="s">
        <v>24</v>
      </c>
      <c r="B25" t="s">
        <v>4</v>
      </c>
      <c r="C25"/>
      <c r="D25"/>
      <c r="E25"/>
      <c r="F25"/>
      <c r="G25"/>
      <c r="H25"/>
      <c r="I25"/>
      <c r="J25"/>
      <c r="K25"/>
      <c r="L25"/>
      <c r="M25"/>
      <c r="N25"/>
      <c r="O25"/>
      <c r="P25"/>
      <c r="Q25"/>
      <c r="R25"/>
      <c r="S25"/>
      <c r="T25"/>
      <c r="U25"/>
      <c r="V25" s="60"/>
      <c r="W25" s="60"/>
      <c r="X25" s="60"/>
      <c r="Y25" s="60"/>
      <c r="Z25" s="60"/>
      <c r="AA25" s="60"/>
    </row>
    <row r="26" spans="1:27" ht="12.5">
      <c r="A26" t="s">
        <v>25</v>
      </c>
      <c r="B26" t="s">
        <v>4</v>
      </c>
      <c r="C26"/>
      <c r="D26"/>
      <c r="E26"/>
      <c r="F26"/>
      <c r="G26"/>
      <c r="H26"/>
      <c r="I26"/>
      <c r="J26"/>
      <c r="K26"/>
      <c r="L26"/>
      <c r="M26"/>
      <c r="N26"/>
      <c r="O26"/>
      <c r="P26"/>
      <c r="Q26"/>
      <c r="R26"/>
      <c r="S26"/>
      <c r="T26"/>
      <c r="U26"/>
      <c r="V26" s="60"/>
      <c r="W26" s="60"/>
      <c r="X26" s="60"/>
      <c r="Y26" s="60"/>
      <c r="Z26" s="60"/>
      <c r="AA26" s="60"/>
    </row>
    <row r="27" spans="1:27" ht="12.5">
      <c r="A27" t="s">
        <v>26</v>
      </c>
      <c r="B27" t="s">
        <v>4</v>
      </c>
      <c r="C27"/>
      <c r="D27"/>
      <c r="E27"/>
      <c r="F27"/>
      <c r="G27"/>
      <c r="H27"/>
      <c r="I27"/>
      <c r="J27"/>
      <c r="K27"/>
      <c r="L27"/>
      <c r="M27"/>
      <c r="N27"/>
      <c r="O27"/>
      <c r="P27"/>
      <c r="Q27"/>
      <c r="R27"/>
      <c r="S27"/>
      <c r="T27"/>
      <c r="U27"/>
      <c r="V27" s="60"/>
      <c r="W27" s="60"/>
      <c r="X27" s="60"/>
      <c r="Y27" s="60"/>
      <c r="Z27" s="60"/>
      <c r="AA27" s="60"/>
    </row>
    <row r="28" spans="1:27" ht="12.5">
      <c r="A28" t="s">
        <v>27</v>
      </c>
      <c r="B28" t="s">
        <v>4</v>
      </c>
      <c r="C28"/>
      <c r="D28"/>
      <c r="E28"/>
      <c r="F28"/>
      <c r="G28"/>
      <c r="H28"/>
      <c r="I28"/>
      <c r="J28"/>
      <c r="K28"/>
      <c r="L28"/>
      <c r="M28"/>
      <c r="N28"/>
      <c r="O28"/>
      <c r="P28"/>
      <c r="Q28"/>
      <c r="R28"/>
      <c r="S28"/>
      <c r="T28"/>
      <c r="U28"/>
      <c r="V28" s="60"/>
      <c r="W28" s="60"/>
      <c r="X28" s="60"/>
      <c r="Y28" s="60"/>
      <c r="Z28" s="60"/>
      <c r="AA28" s="60"/>
    </row>
    <row r="29" spans="1:27" ht="12.5">
      <c r="A29" t="s">
        <v>28</v>
      </c>
      <c r="B29" t="s">
        <v>4</v>
      </c>
      <c r="C29"/>
      <c r="D29"/>
      <c r="E29"/>
      <c r="F29"/>
      <c r="G29"/>
      <c r="H29"/>
      <c r="I29"/>
      <c r="J29"/>
      <c r="K29"/>
      <c r="L29"/>
      <c r="M29"/>
      <c r="N29"/>
      <c r="O29"/>
      <c r="P29"/>
      <c r="Q29"/>
      <c r="R29"/>
      <c r="S29"/>
      <c r="T29"/>
      <c r="U29"/>
      <c r="V29" s="60"/>
      <c r="W29" s="60"/>
      <c r="X29" s="60"/>
      <c r="Y29" s="60"/>
      <c r="Z29" s="60"/>
      <c r="AA29" s="60"/>
    </row>
    <row r="30" spans="1:27" ht="12.5">
      <c r="A30" t="s">
        <v>29</v>
      </c>
      <c r="B30" t="s">
        <v>4</v>
      </c>
      <c r="H30" s="60"/>
      <c r="I30" s="60"/>
      <c r="J30" s="60"/>
      <c r="K30" s="60"/>
      <c r="L30" s="60"/>
      <c r="M30" s="60"/>
      <c r="N30" s="60"/>
      <c r="O30" s="60"/>
      <c r="P30" s="60"/>
      <c r="Q30" s="60"/>
      <c r="R30" s="60"/>
      <c r="S30" s="60"/>
      <c r="T30" s="60"/>
      <c r="U30" s="60"/>
      <c r="V30" s="60"/>
      <c r="W30" s="60"/>
      <c r="X30" s="60"/>
      <c r="Y30" s="60"/>
      <c r="Z30" s="60"/>
      <c r="AA30" s="60"/>
    </row>
    <row r="31" spans="1:27" ht="12.5">
      <c r="A31" t="s">
        <v>30</v>
      </c>
      <c r="B31" t="s">
        <v>4</v>
      </c>
      <c r="H31" s="60"/>
      <c r="I31" s="60"/>
      <c r="J31" s="60"/>
      <c r="K31" s="60"/>
      <c r="L31" s="60"/>
      <c r="M31" s="60"/>
      <c r="N31" s="60"/>
      <c r="O31" s="60"/>
      <c r="P31" s="60"/>
      <c r="Q31" s="60"/>
      <c r="R31" s="60"/>
      <c r="S31" s="60"/>
      <c r="T31" s="60"/>
      <c r="U31" s="60"/>
      <c r="V31" s="60"/>
      <c r="W31" s="60"/>
      <c r="X31" s="60"/>
      <c r="Y31" s="60"/>
      <c r="Z31" s="60"/>
      <c r="AA31" s="60"/>
    </row>
    <row r="32" spans="1:27" ht="12.5">
      <c r="A32" t="s">
        <v>31</v>
      </c>
      <c r="B32" t="s">
        <v>4</v>
      </c>
      <c r="H32" s="60"/>
      <c r="I32" s="60"/>
      <c r="J32" s="60"/>
      <c r="K32" s="60"/>
      <c r="L32" s="60"/>
      <c r="M32" s="60"/>
      <c r="N32" s="60"/>
      <c r="O32" s="60"/>
      <c r="P32" s="60"/>
      <c r="Q32" s="60"/>
      <c r="R32" s="60"/>
      <c r="S32" s="60"/>
      <c r="T32" s="60"/>
      <c r="U32" s="60"/>
      <c r="V32" s="60"/>
      <c r="W32" s="60"/>
      <c r="X32" s="60"/>
      <c r="Y32" s="60"/>
      <c r="Z32" s="60"/>
      <c r="AA32" s="60"/>
    </row>
    <row r="33" spans="1:27" ht="12.5">
      <c r="A33" t="s">
        <v>32</v>
      </c>
      <c r="B33" t="s">
        <v>4</v>
      </c>
      <c r="H33" s="60"/>
      <c r="I33" s="60"/>
      <c r="J33" s="60"/>
      <c r="K33" s="60"/>
      <c r="L33" s="60"/>
      <c r="M33" s="60"/>
      <c r="N33" s="60"/>
      <c r="O33" s="60"/>
      <c r="P33" s="60"/>
      <c r="Q33" s="60"/>
      <c r="R33" s="60"/>
      <c r="S33" s="60"/>
      <c r="T33" s="60"/>
      <c r="U33" s="60"/>
      <c r="V33" s="60"/>
      <c r="W33" s="60"/>
      <c r="X33" s="60"/>
      <c r="Y33" s="60"/>
      <c r="Z33" s="60"/>
      <c r="AA33" s="60"/>
    </row>
    <row r="34" spans="1:27" ht="12.5">
      <c r="A34" t="s">
        <v>33</v>
      </c>
      <c r="B34" t="s">
        <v>4</v>
      </c>
      <c r="H34" s="60"/>
      <c r="I34" s="60"/>
      <c r="J34" s="60"/>
      <c r="K34" s="60"/>
      <c r="L34" s="60"/>
      <c r="M34" s="60"/>
      <c r="N34" s="60"/>
      <c r="O34" s="60"/>
      <c r="P34" s="60"/>
      <c r="Q34" s="60"/>
      <c r="R34" s="60"/>
      <c r="S34" s="60"/>
      <c r="T34" s="60"/>
      <c r="U34" s="60"/>
      <c r="V34" s="60"/>
      <c r="W34" s="60"/>
      <c r="X34" s="60"/>
      <c r="Y34" s="60"/>
      <c r="Z34" s="60"/>
      <c r="AA34" s="60"/>
    </row>
    <row r="35" spans="1:27" ht="12.5">
      <c r="A35" s="129" t="s">
        <v>34</v>
      </c>
      <c r="B35" t="s">
        <v>4</v>
      </c>
      <c r="H35" s="60"/>
      <c r="I35" s="60"/>
      <c r="J35" s="60"/>
      <c r="K35" s="60"/>
      <c r="L35" s="60"/>
      <c r="M35" s="60"/>
      <c r="N35" s="60"/>
      <c r="O35" s="60"/>
      <c r="P35" s="60"/>
      <c r="Q35" s="60"/>
      <c r="R35" s="60"/>
      <c r="S35" s="60"/>
      <c r="T35" s="60"/>
      <c r="U35" s="60"/>
      <c r="V35" s="60"/>
      <c r="W35" s="60"/>
      <c r="X35" s="60"/>
      <c r="Y35" s="60"/>
      <c r="Z35" s="60"/>
      <c r="AA35" s="60"/>
    </row>
    <row r="36" spans="1:27" ht="12.5">
      <c r="A36" s="129" t="s">
        <v>35</v>
      </c>
      <c r="B36" t="s">
        <v>4</v>
      </c>
      <c r="H36" s="60"/>
      <c r="I36" s="60"/>
      <c r="J36" s="60"/>
      <c r="K36" s="60"/>
      <c r="L36" s="60"/>
      <c r="M36" s="60"/>
      <c r="N36" s="60"/>
      <c r="O36" s="60"/>
      <c r="P36" s="60"/>
      <c r="Q36" s="60"/>
      <c r="R36" s="60"/>
      <c r="S36" s="60"/>
      <c r="T36" s="60"/>
      <c r="U36" s="60"/>
      <c r="V36" s="60"/>
      <c r="W36" s="60"/>
      <c r="X36" s="60"/>
      <c r="Y36" s="60"/>
      <c r="Z36" s="60"/>
      <c r="AA36" s="60"/>
    </row>
    <row r="37" spans="1:27" ht="12.5">
      <c r="A37" s="129" t="s">
        <v>36</v>
      </c>
      <c r="B37" t="s">
        <v>4</v>
      </c>
      <c r="H37" s="60"/>
      <c r="I37" s="60"/>
      <c r="J37" s="60"/>
      <c r="K37" s="60"/>
      <c r="L37" s="60"/>
      <c r="M37" s="60"/>
      <c r="N37" s="60"/>
      <c r="O37" s="60"/>
      <c r="P37" s="60"/>
      <c r="Q37" s="60"/>
      <c r="R37" s="60"/>
      <c r="S37" s="60"/>
      <c r="T37" s="60"/>
      <c r="U37" s="60"/>
      <c r="V37" s="60"/>
      <c r="W37" s="60"/>
      <c r="X37" s="60"/>
      <c r="Y37" s="60"/>
      <c r="Z37" s="60"/>
      <c r="AA37" s="60"/>
    </row>
    <row r="38" spans="1:27" ht="12.5">
      <c r="A38" s="129" t="s">
        <v>37</v>
      </c>
      <c r="B38" t="s">
        <v>4</v>
      </c>
      <c r="H38" s="60"/>
      <c r="I38" s="60"/>
      <c r="J38" s="60"/>
      <c r="K38" s="60"/>
      <c r="L38" s="60"/>
      <c r="M38" s="60"/>
      <c r="N38" s="60"/>
      <c r="O38" s="60"/>
      <c r="P38" s="60"/>
      <c r="Q38" s="60"/>
      <c r="R38" s="60"/>
      <c r="S38" s="60"/>
      <c r="T38" s="60"/>
      <c r="U38" s="60"/>
      <c r="V38" s="60"/>
      <c r="W38" s="60"/>
      <c r="X38" s="60"/>
      <c r="Y38" s="60"/>
      <c r="Z38" s="60"/>
      <c r="AA38" s="60"/>
    </row>
    <row r="39" spans="1:27" ht="12.5">
      <c r="A39" s="129" t="s">
        <v>38</v>
      </c>
      <c r="B39" t="s">
        <v>4</v>
      </c>
      <c r="H39" s="60"/>
      <c r="I39" s="60"/>
      <c r="J39" s="60"/>
      <c r="K39" s="60"/>
      <c r="L39" s="60"/>
      <c r="M39" s="60"/>
      <c r="N39" s="60"/>
      <c r="O39" s="60"/>
      <c r="P39" s="60"/>
      <c r="Q39" s="60"/>
      <c r="R39" s="60"/>
      <c r="S39" s="60"/>
      <c r="T39" s="60"/>
      <c r="U39" s="60"/>
      <c r="V39" s="60"/>
      <c r="W39" s="60"/>
      <c r="X39" s="60"/>
      <c r="Y39" s="60"/>
      <c r="Z39" s="60"/>
      <c r="AA39" s="60"/>
    </row>
    <row r="40" spans="8:27" ht="11.5">
      <c r="H40" s="60"/>
      <c r="I40" s="60"/>
      <c r="J40" s="60"/>
      <c r="K40" s="60"/>
      <c r="L40" s="60"/>
      <c r="M40" s="60"/>
      <c r="N40" s="60"/>
      <c r="O40" s="60"/>
      <c r="P40" s="60"/>
      <c r="Q40" s="60"/>
      <c r="R40" s="60"/>
      <c r="S40" s="60"/>
      <c r="T40" s="60"/>
      <c r="U40" s="60"/>
      <c r="V40" s="60"/>
      <c r="W40" s="60"/>
      <c r="X40" s="60"/>
      <c r="Y40" s="60"/>
      <c r="Z40" s="60"/>
      <c r="AA40" s="60"/>
    </row>
    <row r="41" spans="8:27" ht="11.5">
      <c r="H41" s="60"/>
      <c r="I41" s="60"/>
      <c r="J41" s="60"/>
      <c r="K41" s="60"/>
      <c r="L41" s="60"/>
      <c r="M41" s="60"/>
      <c r="N41" s="60"/>
      <c r="O41" s="60"/>
      <c r="P41" s="60"/>
      <c r="Q41" s="60"/>
      <c r="R41" s="60"/>
      <c r="S41" s="60"/>
      <c r="T41" s="60"/>
      <c r="U41" s="60"/>
      <c r="V41" s="60"/>
      <c r="W41" s="60"/>
      <c r="X41" s="60"/>
      <c r="Y41" s="60"/>
      <c r="Z41" s="60"/>
      <c r="AA41" s="60"/>
    </row>
    <row r="42" spans="8:27" ht="11.5">
      <c r="H42" s="60"/>
      <c r="I42" s="60"/>
      <c r="J42" s="60"/>
      <c r="K42" s="60"/>
      <c r="L42" s="60"/>
      <c r="M42" s="60"/>
      <c r="N42" s="60"/>
      <c r="O42" s="60"/>
      <c r="P42" s="60"/>
      <c r="Q42" s="60"/>
      <c r="R42" s="60"/>
      <c r="S42" s="60"/>
      <c r="T42" s="60"/>
      <c r="U42" s="60"/>
      <c r="V42" s="60"/>
      <c r="W42" s="60"/>
      <c r="X42" s="60"/>
      <c r="Y42" s="60"/>
      <c r="Z42" s="60"/>
      <c r="AA42" s="60"/>
    </row>
    <row r="43" spans="8:27" ht="11.5">
      <c r="H43" s="60"/>
      <c r="I43" s="60"/>
      <c r="J43" s="60"/>
      <c r="K43" s="60"/>
      <c r="L43" s="60"/>
      <c r="M43" s="60"/>
      <c r="N43" s="60"/>
      <c r="O43" s="60"/>
      <c r="P43" s="60"/>
      <c r="Q43" s="60"/>
      <c r="R43" s="60"/>
      <c r="S43" s="60"/>
      <c r="T43" s="60"/>
      <c r="U43" s="60"/>
      <c r="V43" s="60"/>
      <c r="W43" s="60"/>
      <c r="X43" s="60"/>
      <c r="Y43" s="60"/>
      <c r="Z43" s="60"/>
      <c r="AA43" s="60"/>
    </row>
    <row r="44" spans="8:27" ht="11.5">
      <c r="H44" s="60"/>
      <c r="I44" s="60"/>
      <c r="J44" s="60"/>
      <c r="K44" s="60"/>
      <c r="L44" s="60"/>
      <c r="M44" s="60"/>
      <c r="N44" s="60"/>
      <c r="O44" s="60"/>
      <c r="P44" s="60"/>
      <c r="Q44" s="60"/>
      <c r="R44" s="60"/>
      <c r="S44" s="60"/>
      <c r="T44" s="60"/>
      <c r="U44" s="60"/>
      <c r="V44" s="60"/>
      <c r="W44" s="60"/>
      <c r="X44" s="60"/>
      <c r="Y44" s="60"/>
      <c r="Z44" s="60"/>
      <c r="AA44" s="60"/>
    </row>
    <row r="45" spans="8:27" ht="11.5">
      <c r="H45" s="60"/>
      <c r="I45" s="60"/>
      <c r="J45" s="60"/>
      <c r="K45" s="60"/>
      <c r="L45" s="60"/>
      <c r="M45" s="60"/>
      <c r="N45" s="60"/>
      <c r="O45" s="60"/>
      <c r="P45" s="60"/>
      <c r="Q45" s="60"/>
      <c r="R45" s="60"/>
      <c r="S45" s="60"/>
      <c r="T45" s="60"/>
      <c r="U45" s="60"/>
      <c r="V45" s="60"/>
      <c r="W45" s="60"/>
      <c r="X45" s="60"/>
      <c r="Y45" s="60"/>
      <c r="Z45" s="60"/>
      <c r="AA45" s="60"/>
    </row>
    <row r="46" spans="8:27" ht="11.5">
      <c r="H46" s="60"/>
      <c r="I46" s="60"/>
      <c r="J46" s="60"/>
      <c r="K46" s="60"/>
      <c r="L46" s="60"/>
      <c r="M46" s="60"/>
      <c r="N46" s="60"/>
      <c r="O46" s="60"/>
      <c r="P46" s="60"/>
      <c r="Q46" s="60"/>
      <c r="R46" s="60"/>
      <c r="S46" s="60"/>
      <c r="T46" s="60"/>
      <c r="U46" s="60"/>
      <c r="V46" s="60"/>
      <c r="W46" s="60"/>
      <c r="X46" s="60"/>
      <c r="Y46" s="60"/>
      <c r="Z46" s="60"/>
      <c r="AA46" s="60"/>
    </row>
    <row r="47" spans="8:27" ht="11.5">
      <c r="H47" s="60"/>
      <c r="I47" s="60"/>
      <c r="J47" s="60"/>
      <c r="K47" s="60"/>
      <c r="L47" s="60"/>
      <c r="M47" s="60"/>
      <c r="N47" s="60"/>
      <c r="O47" s="60"/>
      <c r="P47" s="60"/>
      <c r="Q47" s="60"/>
      <c r="R47" s="60"/>
      <c r="S47" s="60"/>
      <c r="T47" s="60"/>
      <c r="U47" s="60"/>
      <c r="V47" s="60"/>
      <c r="W47" s="60"/>
      <c r="X47" s="60"/>
      <c r="Y47" s="60"/>
      <c r="Z47" s="60"/>
      <c r="AA47" s="60"/>
    </row>
    <row r="48" spans="8:27" ht="11.5">
      <c r="H48" s="60"/>
      <c r="I48" s="60"/>
      <c r="J48" s="60"/>
      <c r="K48" s="60"/>
      <c r="L48" s="60"/>
      <c r="M48" s="60"/>
      <c r="N48" s="60"/>
      <c r="O48" s="60"/>
      <c r="P48" s="60"/>
      <c r="Q48" s="60"/>
      <c r="R48" s="60"/>
      <c r="S48" s="60"/>
      <c r="T48" s="60"/>
      <c r="U48" s="60"/>
      <c r="V48" s="60"/>
      <c r="W48" s="60"/>
      <c r="X48" s="60"/>
      <c r="Y48" s="60"/>
      <c r="Z48" s="60"/>
      <c r="AA48" s="60"/>
    </row>
    <row r="49" spans="8:27" ht="11.5">
      <c r="H49" s="60"/>
      <c r="I49" s="60"/>
      <c r="J49" s="60"/>
      <c r="K49" s="60"/>
      <c r="L49" s="60"/>
      <c r="M49" s="60"/>
      <c r="N49" s="60"/>
      <c r="O49" s="60"/>
      <c r="P49" s="60"/>
      <c r="Q49" s="60"/>
      <c r="R49" s="60"/>
      <c r="S49" s="60"/>
      <c r="T49" s="60"/>
      <c r="U49" s="60"/>
      <c r="V49" s="60"/>
      <c r="W49" s="60"/>
      <c r="X49" s="60"/>
      <c r="Y49" s="60"/>
      <c r="Z49" s="60"/>
      <c r="AA49" s="60"/>
    </row>
    <row r="50" spans="8:27" ht="11.5">
      <c r="H50" s="60"/>
      <c r="I50" s="60"/>
      <c r="J50" s="60"/>
      <c r="K50" s="60"/>
      <c r="L50" s="60"/>
      <c r="M50" s="60"/>
      <c r="N50" s="60"/>
      <c r="O50" s="60"/>
      <c r="P50" s="60"/>
      <c r="Q50" s="60"/>
      <c r="R50" s="60"/>
      <c r="S50" s="60"/>
      <c r="T50" s="60"/>
      <c r="U50" s="60"/>
      <c r="V50" s="60"/>
      <c r="W50" s="60"/>
      <c r="X50" s="60"/>
      <c r="Y50" s="60"/>
      <c r="Z50" s="60"/>
      <c r="AA50" s="60"/>
    </row>
    <row r="51" spans="8:27" ht="11.5">
      <c r="H51" s="60"/>
      <c r="I51" s="60"/>
      <c r="J51" s="60"/>
      <c r="K51" s="60"/>
      <c r="L51" s="60"/>
      <c r="M51" s="60"/>
      <c r="N51" s="60"/>
      <c r="O51" s="60"/>
      <c r="P51" s="60"/>
      <c r="Q51" s="60"/>
      <c r="R51" s="60"/>
      <c r="S51" s="60"/>
      <c r="T51" s="60"/>
      <c r="U51" s="60"/>
      <c r="V51" s="60"/>
      <c r="W51" s="60"/>
      <c r="X51" s="60"/>
      <c r="Y51" s="60"/>
      <c r="Z51" s="60"/>
      <c r="AA51" s="60"/>
    </row>
    <row r="52" spans="8:27" ht="11.5">
      <c r="H52" s="60"/>
      <c r="I52" s="60"/>
      <c r="J52" s="60"/>
      <c r="K52" s="60"/>
      <c r="L52" s="60"/>
      <c r="M52" s="60"/>
      <c r="N52" s="60"/>
      <c r="O52" s="60"/>
      <c r="P52" s="60"/>
      <c r="Q52" s="60"/>
      <c r="R52" s="60"/>
      <c r="S52" s="60"/>
      <c r="T52" s="60"/>
      <c r="U52" s="60"/>
      <c r="V52" s="60"/>
      <c r="W52" s="60"/>
      <c r="X52" s="60"/>
      <c r="Y52" s="60"/>
      <c r="Z52" s="60"/>
      <c r="AA52" s="60"/>
    </row>
    <row r="53" spans="8:27" ht="11.5">
      <c r="H53" s="60"/>
      <c r="I53" s="60"/>
      <c r="J53" s="60"/>
      <c r="K53" s="60"/>
      <c r="L53" s="60"/>
      <c r="M53" s="60"/>
      <c r="N53" s="60"/>
      <c r="O53" s="60"/>
      <c r="P53" s="60"/>
      <c r="Q53" s="60"/>
      <c r="R53" s="60"/>
      <c r="S53" s="60"/>
      <c r="T53" s="60"/>
      <c r="U53" s="60"/>
      <c r="V53" s="60"/>
      <c r="W53" s="60"/>
      <c r="X53" s="60"/>
      <c r="Y53" s="60"/>
      <c r="Z53" s="60"/>
      <c r="AA53" s="60"/>
    </row>
    <row r="54" spans="8:27" ht="11.5">
      <c r="H54" s="60"/>
      <c r="I54" s="60"/>
      <c r="J54" s="60"/>
      <c r="K54" s="60"/>
      <c r="L54" s="60"/>
      <c r="M54" s="60"/>
      <c r="N54" s="60"/>
      <c r="O54" s="60"/>
      <c r="P54" s="60"/>
      <c r="Q54" s="60"/>
      <c r="R54" s="60"/>
      <c r="S54" s="60"/>
      <c r="T54" s="60"/>
      <c r="U54" s="60"/>
      <c r="V54" s="60"/>
      <c r="W54" s="60"/>
      <c r="X54" s="60"/>
      <c r="Y54" s="60"/>
      <c r="Z54" s="60"/>
      <c r="AA54" s="60"/>
    </row>
    <row r="55" spans="8:27" ht="11.5">
      <c r="H55" s="60"/>
      <c r="I55" s="60"/>
      <c r="J55" s="60"/>
      <c r="K55" s="60"/>
      <c r="L55" s="60"/>
      <c r="M55" s="60"/>
      <c r="N55" s="60"/>
      <c r="O55" s="60"/>
      <c r="P55" s="60"/>
      <c r="Q55" s="60"/>
      <c r="R55" s="60"/>
      <c r="S55" s="60"/>
      <c r="T55" s="60"/>
      <c r="U55" s="60"/>
      <c r="V55" s="60"/>
      <c r="W55" s="60"/>
      <c r="X55" s="60"/>
      <c r="Y55" s="60"/>
      <c r="Z55" s="60"/>
      <c r="AA55" s="60"/>
    </row>
    <row r="56" spans="8:27" ht="11.5">
      <c r="H56" s="60"/>
      <c r="I56" s="60"/>
      <c r="J56" s="60"/>
      <c r="K56" s="60"/>
      <c r="L56" s="60"/>
      <c r="M56" s="60"/>
      <c r="N56" s="60"/>
      <c r="O56" s="60"/>
      <c r="P56" s="60"/>
      <c r="Q56" s="60"/>
      <c r="R56" s="60"/>
      <c r="S56" s="60"/>
      <c r="T56" s="60"/>
      <c r="U56" s="60"/>
      <c r="V56" s="60"/>
      <c r="W56" s="60"/>
      <c r="X56" s="60"/>
      <c r="Y56" s="60"/>
      <c r="Z56" s="60"/>
      <c r="AA56" s="60"/>
    </row>
    <row r="57" spans="8:27" ht="11.5">
      <c r="H57" s="60"/>
      <c r="I57" s="60"/>
      <c r="J57" s="60"/>
      <c r="K57" s="60"/>
      <c r="L57" s="60"/>
      <c r="M57" s="60"/>
      <c r="N57" s="60"/>
      <c r="O57" s="60"/>
      <c r="P57" s="60"/>
      <c r="Q57" s="60"/>
      <c r="R57" s="60"/>
      <c r="S57" s="60"/>
      <c r="T57" s="60"/>
      <c r="U57" s="60"/>
      <c r="V57" s="60"/>
      <c r="W57" s="60"/>
      <c r="X57" s="60"/>
      <c r="Y57" s="60"/>
      <c r="Z57" s="60"/>
      <c r="AA57" s="60"/>
    </row>
    <row r="58" spans="8:27" ht="11.5">
      <c r="H58" s="60"/>
      <c r="I58" s="60"/>
      <c r="J58" s="60"/>
      <c r="K58" s="60"/>
      <c r="L58" s="60"/>
      <c r="M58" s="60"/>
      <c r="N58" s="60"/>
      <c r="O58" s="60"/>
      <c r="P58" s="60"/>
      <c r="Q58" s="60"/>
      <c r="R58" s="60"/>
      <c r="S58" s="60"/>
      <c r="T58" s="60"/>
      <c r="U58" s="60"/>
      <c r="V58" s="60"/>
      <c r="W58" s="60"/>
      <c r="X58" s="60"/>
      <c r="Y58" s="60"/>
      <c r="Z58" s="60"/>
      <c r="AA58" s="60"/>
    </row>
    <row r="59" spans="8:27" ht="11.5">
      <c r="H59" s="60"/>
      <c r="I59" s="60"/>
      <c r="J59" s="60"/>
      <c r="K59" s="60"/>
      <c r="L59" s="60"/>
      <c r="M59" s="60"/>
      <c r="N59" s="60"/>
      <c r="O59" s="60"/>
      <c r="P59" s="60"/>
      <c r="Q59" s="60"/>
      <c r="R59" s="60"/>
      <c r="S59" s="60"/>
      <c r="T59" s="60"/>
      <c r="U59" s="60"/>
      <c r="V59" s="60"/>
      <c r="W59" s="60"/>
      <c r="X59" s="60"/>
      <c r="Y59" s="60"/>
      <c r="Z59" s="60"/>
      <c r="AA59" s="60"/>
    </row>
    <row r="60" spans="8:27" ht="11.5">
      <c r="H60" s="60"/>
      <c r="I60" s="60"/>
      <c r="J60" s="60"/>
      <c r="K60" s="60"/>
      <c r="L60" s="60"/>
      <c r="M60" s="60"/>
      <c r="N60" s="60"/>
      <c r="O60" s="60"/>
      <c r="P60" s="60"/>
      <c r="Q60" s="60"/>
      <c r="R60" s="60"/>
      <c r="S60" s="60"/>
      <c r="T60" s="60"/>
      <c r="U60" s="60"/>
      <c r="V60" s="60"/>
      <c r="W60" s="60"/>
      <c r="X60" s="60"/>
      <c r="Y60" s="60"/>
      <c r="Z60" s="60"/>
      <c r="AA60" s="60"/>
    </row>
    <row r="61" spans="8:27" ht="11.5">
      <c r="H61" s="60"/>
      <c r="I61" s="60"/>
      <c r="J61" s="60"/>
      <c r="K61" s="60"/>
      <c r="L61" s="60"/>
      <c r="M61" s="60"/>
      <c r="N61" s="60"/>
      <c r="O61" s="60"/>
      <c r="P61" s="60"/>
      <c r="Q61" s="60"/>
      <c r="R61" s="60"/>
      <c r="S61" s="60"/>
      <c r="T61" s="60"/>
      <c r="U61" s="60"/>
      <c r="V61" s="60"/>
      <c r="W61" s="60"/>
      <c r="X61" s="60"/>
      <c r="Y61" s="60"/>
      <c r="Z61" s="60"/>
      <c r="AA61" s="60"/>
    </row>
    <row r="62" spans="8:27" ht="11.5">
      <c r="H62" s="60"/>
      <c r="I62" s="60"/>
      <c r="J62" s="60"/>
      <c r="K62" s="60"/>
      <c r="L62" s="60"/>
      <c r="M62" s="60"/>
      <c r="N62" s="60"/>
      <c r="O62" s="60"/>
      <c r="P62" s="60"/>
      <c r="Q62" s="60"/>
      <c r="R62" s="60"/>
      <c r="S62" s="60"/>
      <c r="T62" s="60"/>
      <c r="U62" s="60"/>
      <c r="V62" s="60"/>
      <c r="W62" s="60"/>
      <c r="X62" s="60"/>
      <c r="Y62" s="60"/>
      <c r="Z62" s="60"/>
      <c r="AA62" s="60"/>
    </row>
    <row r="63" spans="8:27" ht="11.5">
      <c r="H63" s="60"/>
      <c r="I63" s="60"/>
      <c r="J63" s="60"/>
      <c r="K63" s="60"/>
      <c r="L63" s="60"/>
      <c r="M63" s="60"/>
      <c r="N63" s="60"/>
      <c r="O63" s="60"/>
      <c r="P63" s="60"/>
      <c r="Q63" s="60"/>
      <c r="R63" s="60"/>
      <c r="S63" s="60"/>
      <c r="T63" s="60"/>
      <c r="U63" s="60"/>
      <c r="V63" s="60"/>
      <c r="W63" s="60"/>
      <c r="X63" s="60"/>
      <c r="Y63" s="60"/>
      <c r="Z63" s="60"/>
      <c r="AA63" s="60"/>
    </row>
    <row r="64" spans="8:27" ht="11.5">
      <c r="H64" s="60"/>
      <c r="I64" s="60"/>
      <c r="J64" s="60"/>
      <c r="K64" s="60"/>
      <c r="L64" s="60"/>
      <c r="M64" s="60"/>
      <c r="N64" s="60"/>
      <c r="O64" s="60"/>
      <c r="P64" s="60"/>
      <c r="Q64" s="60"/>
      <c r="R64" s="60"/>
      <c r="S64" s="60"/>
      <c r="T64" s="60"/>
      <c r="U64" s="60"/>
      <c r="V64" s="60"/>
      <c r="W64" s="60"/>
      <c r="X64" s="60"/>
      <c r="Y64" s="60"/>
      <c r="Z64" s="60"/>
      <c r="AA64" s="60"/>
    </row>
    <row r="65" spans="8:27" ht="11.5">
      <c r="H65" s="60"/>
      <c r="I65" s="60"/>
      <c r="J65" s="60"/>
      <c r="K65" s="60"/>
      <c r="L65" s="60"/>
      <c r="M65" s="60"/>
      <c r="N65" s="60"/>
      <c r="O65" s="60"/>
      <c r="P65" s="60"/>
      <c r="Q65" s="60"/>
      <c r="R65" s="60"/>
      <c r="S65" s="60"/>
      <c r="T65" s="60"/>
      <c r="U65" s="60"/>
      <c r="V65" s="60"/>
      <c r="W65" s="60"/>
      <c r="X65" s="60"/>
      <c r="Y65" s="60"/>
      <c r="Z65" s="60"/>
      <c r="AA65" s="60"/>
    </row>
    <row r="66" spans="8:27" ht="11.5">
      <c r="H66" s="60"/>
      <c r="I66" s="60"/>
      <c r="J66" s="60"/>
      <c r="K66" s="60"/>
      <c r="L66" s="60"/>
      <c r="M66" s="60"/>
      <c r="N66" s="60"/>
      <c r="O66" s="60"/>
      <c r="P66" s="60"/>
      <c r="Q66" s="60"/>
      <c r="R66" s="60"/>
      <c r="S66" s="60"/>
      <c r="T66" s="60"/>
      <c r="U66" s="60"/>
      <c r="V66" s="60"/>
      <c r="W66" s="60"/>
      <c r="X66" s="60"/>
      <c r="Y66" s="60"/>
      <c r="Z66" s="60"/>
      <c r="AA66" s="60"/>
    </row>
    <row r="67" spans="8:27" ht="11.5">
      <c r="H67" s="60"/>
      <c r="I67" s="60"/>
      <c r="J67" s="60"/>
      <c r="K67" s="60"/>
      <c r="L67" s="60"/>
      <c r="M67" s="60"/>
      <c r="N67" s="60"/>
      <c r="O67" s="60"/>
      <c r="P67" s="60"/>
      <c r="Q67" s="60"/>
      <c r="R67" s="60"/>
      <c r="S67" s="60"/>
      <c r="T67" s="60"/>
      <c r="U67" s="60"/>
      <c r="V67" s="60"/>
      <c r="W67" s="60"/>
      <c r="X67" s="60"/>
      <c r="Y67" s="60"/>
      <c r="Z67" s="60"/>
      <c r="AA67" s="60"/>
    </row>
    <row r="68" spans="8:27" ht="11.5">
      <c r="H68" s="60"/>
      <c r="I68" s="60"/>
      <c r="J68" s="60"/>
      <c r="K68" s="60"/>
      <c r="L68" s="60"/>
      <c r="M68" s="60"/>
      <c r="N68" s="60"/>
      <c r="O68" s="60"/>
      <c r="P68" s="60"/>
      <c r="Q68" s="60"/>
      <c r="R68" s="60"/>
      <c r="S68" s="60"/>
      <c r="T68" s="60"/>
      <c r="U68" s="60"/>
      <c r="V68" s="60"/>
      <c r="W68" s="60"/>
      <c r="X68" s="60"/>
      <c r="Y68" s="60"/>
      <c r="Z68" s="60"/>
      <c r="AA68" s="60"/>
    </row>
    <row r="69" spans="8:27" ht="11.5">
      <c r="H69" s="60"/>
      <c r="I69" s="60"/>
      <c r="J69" s="60"/>
      <c r="K69" s="60"/>
      <c r="L69" s="60"/>
      <c r="M69" s="60"/>
      <c r="N69" s="60"/>
      <c r="O69" s="60"/>
      <c r="P69" s="60"/>
      <c r="Q69" s="60"/>
      <c r="R69" s="60"/>
      <c r="S69" s="60"/>
      <c r="T69" s="60"/>
      <c r="U69" s="60"/>
      <c r="V69" s="60"/>
      <c r="W69" s="60"/>
      <c r="X69" s="60"/>
      <c r="Y69" s="60"/>
      <c r="Z69" s="60"/>
      <c r="AA69" s="60"/>
    </row>
    <row r="70" spans="8:27" ht="11.5">
      <c r="H70" s="60"/>
      <c r="I70" s="60"/>
      <c r="J70" s="60"/>
      <c r="K70" s="60"/>
      <c r="L70" s="60"/>
      <c r="M70" s="60"/>
      <c r="N70" s="60"/>
      <c r="O70" s="60"/>
      <c r="P70" s="60"/>
      <c r="Q70" s="60"/>
      <c r="R70" s="60"/>
      <c r="S70" s="60"/>
      <c r="T70" s="60"/>
      <c r="U70" s="60"/>
      <c r="V70" s="60"/>
      <c r="W70" s="60"/>
      <c r="X70" s="60"/>
      <c r="Y70" s="60"/>
      <c r="Z70" s="60"/>
      <c r="AA70" s="60"/>
    </row>
    <row r="71" spans="8:27" ht="11.5">
      <c r="H71" s="60"/>
      <c r="I71" s="60"/>
      <c r="J71" s="60"/>
      <c r="K71" s="60"/>
      <c r="L71" s="60"/>
      <c r="M71" s="60"/>
      <c r="N71" s="60"/>
      <c r="O71" s="60"/>
      <c r="P71" s="60"/>
      <c r="Q71" s="60"/>
      <c r="R71" s="60"/>
      <c r="S71" s="60"/>
      <c r="T71" s="60"/>
      <c r="U71" s="60"/>
      <c r="V71" s="60"/>
      <c r="W71" s="60"/>
      <c r="X71" s="60"/>
      <c r="Y71" s="60"/>
      <c r="Z71" s="60"/>
      <c r="AA71" s="60"/>
    </row>
    <row r="72" spans="8:27" ht="11.5">
      <c r="H72" s="60"/>
      <c r="I72" s="60"/>
      <c r="J72" s="60"/>
      <c r="K72" s="60"/>
      <c r="L72" s="60"/>
      <c r="M72" s="60"/>
      <c r="N72" s="60"/>
      <c r="O72" s="60"/>
      <c r="P72" s="60"/>
      <c r="Q72" s="60"/>
      <c r="R72" s="60"/>
      <c r="S72" s="60"/>
      <c r="T72" s="60"/>
      <c r="U72" s="60"/>
      <c r="V72" s="60"/>
      <c r="W72" s="60"/>
      <c r="X72" s="60"/>
      <c r="Y72" s="60"/>
      <c r="Z72" s="60"/>
      <c r="AA72" s="60"/>
    </row>
    <row r="73" spans="8:27" ht="11.5">
      <c r="H73" s="60"/>
      <c r="I73" s="60"/>
      <c r="J73" s="60"/>
      <c r="K73" s="60"/>
      <c r="L73" s="60"/>
      <c r="M73" s="60"/>
      <c r="N73" s="60"/>
      <c r="O73" s="60"/>
      <c r="P73" s="60"/>
      <c r="Q73" s="60"/>
      <c r="R73" s="60"/>
      <c r="S73" s="60"/>
      <c r="T73" s="60"/>
      <c r="U73" s="60"/>
      <c r="V73" s="60"/>
      <c r="W73" s="60"/>
      <c r="X73" s="60"/>
      <c r="Y73" s="60"/>
      <c r="Z73" s="60"/>
      <c r="AA73" s="60"/>
    </row>
    <row r="74" spans="8:27" ht="11.5">
      <c r="H74" s="60"/>
      <c r="I74" s="60"/>
      <c r="J74" s="60"/>
      <c r="K74" s="60"/>
      <c r="L74" s="60"/>
      <c r="M74" s="60"/>
      <c r="N74" s="60"/>
      <c r="O74" s="60"/>
      <c r="P74" s="60"/>
      <c r="Q74" s="60"/>
      <c r="R74" s="60"/>
      <c r="S74" s="60"/>
      <c r="T74" s="60"/>
      <c r="U74" s="60"/>
      <c r="V74" s="60"/>
      <c r="W74" s="60"/>
      <c r="X74" s="60"/>
      <c r="Y74" s="60"/>
      <c r="Z74" s="60"/>
      <c r="AA74" s="60"/>
    </row>
    <row r="75" spans="8:27" ht="11.5">
      <c r="H75" s="60"/>
      <c r="I75" s="60"/>
      <c r="J75" s="60"/>
      <c r="K75" s="60"/>
      <c r="L75" s="60"/>
      <c r="M75" s="60"/>
      <c r="N75" s="60"/>
      <c r="O75" s="60"/>
      <c r="P75" s="60"/>
      <c r="Q75" s="60"/>
      <c r="R75" s="60"/>
      <c r="S75" s="60"/>
      <c r="T75" s="60"/>
      <c r="U75" s="60"/>
      <c r="V75" s="60"/>
      <c r="W75" s="60"/>
      <c r="X75" s="60"/>
      <c r="Y75" s="60"/>
      <c r="Z75" s="60"/>
      <c r="AA75" s="60"/>
    </row>
    <row r="76" spans="8:27" ht="11.5">
      <c r="H76" s="60"/>
      <c r="I76" s="60"/>
      <c r="J76" s="60"/>
      <c r="K76" s="60"/>
      <c r="L76" s="60"/>
      <c r="M76" s="60"/>
      <c r="N76" s="60"/>
      <c r="O76" s="60"/>
      <c r="P76" s="60"/>
      <c r="Q76" s="60"/>
      <c r="R76" s="60"/>
      <c r="S76" s="60"/>
      <c r="T76" s="60"/>
      <c r="U76" s="60"/>
      <c r="V76" s="60"/>
      <c r="W76" s="60"/>
      <c r="X76" s="60"/>
      <c r="Y76" s="60"/>
      <c r="Z76" s="60"/>
      <c r="AA76" s="60"/>
    </row>
    <row r="77" spans="8:27" ht="11.5">
      <c r="H77" s="60"/>
      <c r="I77" s="60"/>
      <c r="J77" s="60"/>
      <c r="K77" s="60"/>
      <c r="L77" s="60"/>
      <c r="M77" s="60"/>
      <c r="N77" s="60"/>
      <c r="O77" s="60"/>
      <c r="P77" s="60"/>
      <c r="Q77" s="60"/>
      <c r="R77" s="60"/>
      <c r="S77" s="60"/>
      <c r="T77" s="60"/>
      <c r="U77" s="60"/>
      <c r="V77" s="60"/>
      <c r="W77" s="60"/>
      <c r="X77" s="60"/>
      <c r="Y77" s="60"/>
      <c r="Z77" s="60"/>
      <c r="AA77" s="60"/>
    </row>
    <row r="78" spans="8:27" ht="11.5">
      <c r="H78" s="60"/>
      <c r="I78" s="60"/>
      <c r="J78" s="60"/>
      <c r="K78" s="60"/>
      <c r="L78" s="60"/>
      <c r="M78" s="60"/>
      <c r="N78" s="60"/>
      <c r="O78" s="60"/>
      <c r="P78" s="60"/>
      <c r="Q78" s="60"/>
      <c r="R78" s="60"/>
      <c r="S78" s="60"/>
      <c r="T78" s="60"/>
      <c r="U78" s="60"/>
      <c r="V78" s="60"/>
      <c r="W78" s="60"/>
      <c r="X78" s="60"/>
      <c r="Y78" s="60"/>
      <c r="Z78" s="60"/>
      <c r="AA78" s="60"/>
    </row>
    <row r="79" spans="8:27" ht="11.5">
      <c r="H79" s="60"/>
      <c r="I79" s="60"/>
      <c r="J79" s="60"/>
      <c r="K79" s="60"/>
      <c r="L79" s="60"/>
      <c r="M79" s="60"/>
      <c r="N79" s="60"/>
      <c r="O79" s="60"/>
      <c r="P79" s="60"/>
      <c r="Q79" s="60"/>
      <c r="R79" s="60"/>
      <c r="S79" s="60"/>
      <c r="T79" s="60"/>
      <c r="U79" s="60"/>
      <c r="V79" s="60"/>
      <c r="W79" s="60"/>
      <c r="X79" s="60"/>
      <c r="Y79" s="60"/>
      <c r="Z79" s="60"/>
      <c r="AA79" s="60"/>
    </row>
    <row r="80" spans="8:27" ht="11.5">
      <c r="H80" s="60"/>
      <c r="I80" s="60"/>
      <c r="J80" s="60"/>
      <c r="K80" s="60"/>
      <c r="L80" s="60"/>
      <c r="M80" s="60"/>
      <c r="N80" s="60"/>
      <c r="O80" s="60"/>
      <c r="P80" s="60"/>
      <c r="Q80" s="60"/>
      <c r="R80" s="60"/>
      <c r="S80" s="60"/>
      <c r="T80" s="60"/>
      <c r="U80" s="60"/>
      <c r="V80" s="60"/>
      <c r="W80" s="60"/>
      <c r="X80" s="60"/>
      <c r="Y80" s="60"/>
      <c r="Z80" s="60"/>
      <c r="AA80" s="60"/>
    </row>
    <row r="81" spans="8:27" ht="11.5">
      <c r="H81" s="60"/>
      <c r="I81" s="60"/>
      <c r="J81" s="60"/>
      <c r="K81" s="60"/>
      <c r="L81" s="60"/>
      <c r="M81" s="60"/>
      <c r="N81" s="60"/>
      <c r="O81" s="60"/>
      <c r="P81" s="60"/>
      <c r="Q81" s="60"/>
      <c r="R81" s="60"/>
      <c r="S81" s="60"/>
      <c r="T81" s="60"/>
      <c r="U81" s="60"/>
      <c r="V81" s="60"/>
      <c r="W81" s="60"/>
      <c r="X81" s="60"/>
      <c r="Y81" s="60"/>
      <c r="Z81" s="60"/>
      <c r="AA81" s="60"/>
    </row>
    <row r="82" spans="8:27" ht="11.5">
      <c r="H82" s="60"/>
      <c r="I82" s="60"/>
      <c r="J82" s="60"/>
      <c r="K82" s="60"/>
      <c r="L82" s="60"/>
      <c r="M82" s="60"/>
      <c r="N82" s="60"/>
      <c r="O82" s="60"/>
      <c r="P82" s="60"/>
      <c r="Q82" s="60"/>
      <c r="R82" s="60"/>
      <c r="S82" s="60"/>
      <c r="T82" s="60"/>
      <c r="U82" s="60"/>
      <c r="V82" s="60"/>
      <c r="W82" s="60"/>
      <c r="X82" s="60"/>
      <c r="Y82" s="60"/>
      <c r="Z82" s="60"/>
      <c r="AA82" s="60"/>
    </row>
    <row r="83" spans="8:27" ht="11.5">
      <c r="H83" s="60"/>
      <c r="I83" s="60"/>
      <c r="J83" s="60"/>
      <c r="K83" s="60"/>
      <c r="L83" s="60"/>
      <c r="M83" s="60"/>
      <c r="N83" s="60"/>
      <c r="O83" s="60"/>
      <c r="P83" s="60"/>
      <c r="Q83" s="60"/>
      <c r="R83" s="60"/>
      <c r="S83" s="60"/>
      <c r="T83" s="60"/>
      <c r="U83" s="60"/>
      <c r="V83" s="60"/>
      <c r="W83" s="60"/>
      <c r="X83" s="60"/>
      <c r="Y83" s="60"/>
      <c r="Z83" s="60"/>
      <c r="AA83" s="60"/>
    </row>
    <row r="84" spans="8:27" ht="11.5">
      <c r="H84" s="60"/>
      <c r="I84" s="60"/>
      <c r="J84" s="60"/>
      <c r="K84" s="60"/>
      <c r="L84" s="60"/>
      <c r="M84" s="60"/>
      <c r="N84" s="60"/>
      <c r="O84" s="60"/>
      <c r="P84" s="60"/>
      <c r="Q84" s="60"/>
      <c r="R84" s="60"/>
      <c r="S84" s="60"/>
      <c r="T84" s="60"/>
      <c r="U84" s="60"/>
      <c r="V84" s="60"/>
      <c r="W84" s="60"/>
      <c r="X84" s="60"/>
      <c r="Y84" s="60"/>
      <c r="Z84" s="60"/>
      <c r="AA84" s="60"/>
    </row>
    <row r="85" spans="8:27" ht="11.5">
      <c r="H85" s="60"/>
      <c r="I85" s="60"/>
      <c r="J85" s="60"/>
      <c r="K85" s="60"/>
      <c r="L85" s="60"/>
      <c r="M85" s="60"/>
      <c r="N85" s="60"/>
      <c r="O85" s="60"/>
      <c r="P85" s="60"/>
      <c r="Q85" s="60"/>
      <c r="R85" s="60"/>
      <c r="S85" s="60"/>
      <c r="T85" s="60"/>
      <c r="U85" s="60"/>
      <c r="V85" s="60"/>
      <c r="W85" s="60"/>
      <c r="X85" s="60"/>
      <c r="Y85" s="60"/>
      <c r="Z85" s="60"/>
      <c r="AA85" s="60"/>
    </row>
    <row r="86" spans="8:27" ht="11.5">
      <c r="H86" s="60"/>
      <c r="I86" s="60"/>
      <c r="J86" s="60"/>
      <c r="K86" s="60"/>
      <c r="L86" s="60"/>
      <c r="M86" s="60"/>
      <c r="N86" s="60"/>
      <c r="O86" s="60"/>
      <c r="P86" s="60"/>
      <c r="Q86" s="60"/>
      <c r="R86" s="60"/>
      <c r="S86" s="60"/>
      <c r="T86" s="60"/>
      <c r="U86" s="60"/>
      <c r="V86" s="60"/>
      <c r="W86" s="60"/>
      <c r="X86" s="60"/>
      <c r="Y86" s="60"/>
      <c r="Z86" s="60"/>
      <c r="AA86" s="60"/>
    </row>
    <row r="87" spans="8:27" ht="11.5">
      <c r="H87" s="60"/>
      <c r="I87" s="60"/>
      <c r="J87" s="60"/>
      <c r="K87" s="60"/>
      <c r="L87" s="60"/>
      <c r="M87" s="60"/>
      <c r="N87" s="60"/>
      <c r="O87" s="60"/>
      <c r="P87" s="60"/>
      <c r="Q87" s="60"/>
      <c r="R87" s="60"/>
      <c r="S87" s="60"/>
      <c r="T87" s="60"/>
      <c r="U87" s="60"/>
      <c r="V87" s="60"/>
      <c r="W87" s="60"/>
      <c r="X87" s="60"/>
      <c r="Y87" s="60"/>
      <c r="Z87" s="60"/>
      <c r="AA87" s="60"/>
    </row>
    <row r="88" spans="8:27" ht="11.5">
      <c r="H88" s="60"/>
      <c r="I88" s="60"/>
      <c r="J88" s="60"/>
      <c r="K88" s="60"/>
      <c r="L88" s="60"/>
      <c r="M88" s="60"/>
      <c r="N88" s="60"/>
      <c r="O88" s="60"/>
      <c r="P88" s="60"/>
      <c r="Q88" s="60"/>
      <c r="R88" s="60"/>
      <c r="S88" s="60"/>
      <c r="T88" s="60"/>
      <c r="U88" s="60"/>
      <c r="V88" s="60"/>
      <c r="W88" s="60"/>
      <c r="X88" s="60"/>
      <c r="Y88" s="60"/>
      <c r="Z88" s="60"/>
      <c r="AA88" s="60"/>
    </row>
    <row r="89" spans="8:27" ht="11.5">
      <c r="H89" s="60"/>
      <c r="I89" s="60"/>
      <c r="J89" s="60"/>
      <c r="K89" s="60"/>
      <c r="L89" s="60"/>
      <c r="M89" s="60"/>
      <c r="N89" s="60"/>
      <c r="O89" s="60"/>
      <c r="P89" s="60"/>
      <c r="Q89" s="60"/>
      <c r="R89" s="60"/>
      <c r="S89" s="60"/>
      <c r="T89" s="60"/>
      <c r="U89" s="60"/>
      <c r="V89" s="60"/>
      <c r="W89" s="60"/>
      <c r="X89" s="60"/>
      <c r="Y89" s="60"/>
      <c r="Z89" s="60"/>
      <c r="AA89" s="60"/>
    </row>
    <row r="90" spans="8:27" ht="11.5">
      <c r="H90" s="60"/>
      <c r="I90" s="60"/>
      <c r="J90" s="60"/>
      <c r="K90" s="60"/>
      <c r="L90" s="60"/>
      <c r="M90" s="60"/>
      <c r="N90" s="60"/>
      <c r="O90" s="60"/>
      <c r="P90" s="60"/>
      <c r="Q90" s="60"/>
      <c r="R90" s="60"/>
      <c r="S90" s="60"/>
      <c r="T90" s="60"/>
      <c r="U90" s="60"/>
      <c r="V90" s="60"/>
      <c r="W90" s="60"/>
      <c r="X90" s="60"/>
      <c r="Y90" s="60"/>
      <c r="Z90" s="60"/>
      <c r="AA90" s="60"/>
    </row>
    <row r="91" spans="8:27" ht="11.5">
      <c r="H91" s="60"/>
      <c r="I91" s="60"/>
      <c r="J91" s="60"/>
      <c r="K91" s="60"/>
      <c r="L91" s="60"/>
      <c r="M91" s="60"/>
      <c r="N91" s="60"/>
      <c r="O91" s="60"/>
      <c r="P91" s="60"/>
      <c r="Q91" s="60"/>
      <c r="R91" s="60"/>
      <c r="S91" s="60"/>
      <c r="T91" s="60"/>
      <c r="U91" s="60"/>
      <c r="V91" s="60"/>
      <c r="W91" s="60"/>
      <c r="X91" s="60"/>
      <c r="Y91" s="60"/>
      <c r="Z91" s="60"/>
      <c r="AA91" s="60"/>
    </row>
    <row r="92" spans="8:27" ht="11.5">
      <c r="H92" s="60"/>
      <c r="I92" s="60"/>
      <c r="J92" s="60"/>
      <c r="K92" s="60"/>
      <c r="L92" s="60"/>
      <c r="M92" s="60"/>
      <c r="N92" s="60"/>
      <c r="O92" s="60"/>
      <c r="P92" s="60"/>
      <c r="Q92" s="60"/>
      <c r="R92" s="60"/>
      <c r="S92" s="60"/>
      <c r="T92" s="60"/>
      <c r="U92" s="60"/>
      <c r="V92" s="60"/>
      <c r="W92" s="60"/>
      <c r="X92" s="60"/>
      <c r="Y92" s="60"/>
      <c r="Z92" s="60"/>
      <c r="AA92" s="60"/>
    </row>
    <row r="93" spans="8:27" ht="11.5">
      <c r="H93" s="60"/>
      <c r="I93" s="60"/>
      <c r="J93" s="60"/>
      <c r="K93" s="60"/>
      <c r="L93" s="60"/>
      <c r="M93" s="60"/>
      <c r="N93" s="60"/>
      <c r="O93" s="60"/>
      <c r="P93" s="60"/>
      <c r="Q93" s="60"/>
      <c r="R93" s="60"/>
      <c r="S93" s="60"/>
      <c r="T93" s="60"/>
      <c r="U93" s="60"/>
      <c r="V93" s="60"/>
      <c r="W93" s="60"/>
      <c r="X93" s="60"/>
      <c r="Y93" s="60"/>
      <c r="Z93" s="60"/>
      <c r="AA93" s="60"/>
    </row>
    <row r="94" spans="8:27" ht="11.5">
      <c r="H94" s="60"/>
      <c r="I94" s="60"/>
      <c r="J94" s="60"/>
      <c r="K94" s="60"/>
      <c r="L94" s="60"/>
      <c r="M94" s="60"/>
      <c r="N94" s="60"/>
      <c r="O94" s="60"/>
      <c r="P94" s="60"/>
      <c r="Q94" s="60"/>
      <c r="R94" s="60"/>
      <c r="S94" s="60"/>
      <c r="T94" s="60"/>
      <c r="U94" s="60"/>
      <c r="V94" s="60"/>
      <c r="W94" s="60"/>
      <c r="X94" s="60"/>
      <c r="Y94" s="60"/>
      <c r="Z94" s="60"/>
      <c r="AA94" s="60"/>
    </row>
    <row r="95" spans="8:27" ht="11.5">
      <c r="H95" s="60"/>
      <c r="I95" s="60"/>
      <c r="J95" s="60"/>
      <c r="K95" s="60"/>
      <c r="L95" s="60"/>
      <c r="M95" s="60"/>
      <c r="N95" s="60"/>
      <c r="O95" s="60"/>
      <c r="P95" s="60"/>
      <c r="Q95" s="60"/>
      <c r="R95" s="60"/>
      <c r="S95" s="60"/>
      <c r="T95" s="60"/>
      <c r="U95" s="60"/>
      <c r="V95" s="60"/>
      <c r="W95" s="60"/>
      <c r="X95" s="60"/>
      <c r="Y95" s="60"/>
      <c r="Z95" s="60"/>
      <c r="AA95" s="60"/>
    </row>
    <row r="96" spans="8:27" ht="11.5">
      <c r="H96" s="60"/>
      <c r="I96" s="60"/>
      <c r="J96" s="60"/>
      <c r="K96" s="60"/>
      <c r="L96" s="60"/>
      <c r="M96" s="60"/>
      <c r="N96" s="60"/>
      <c r="O96" s="60"/>
      <c r="P96" s="60"/>
      <c r="Q96" s="60"/>
      <c r="R96" s="60"/>
      <c r="S96" s="60"/>
      <c r="T96" s="60"/>
      <c r="U96" s="60"/>
      <c r="V96" s="60"/>
      <c r="W96" s="60"/>
      <c r="X96" s="60"/>
      <c r="Y96" s="60"/>
      <c r="Z96" s="60"/>
      <c r="AA96" s="60"/>
    </row>
    <row r="97" spans="8:27" ht="11.5">
      <c r="H97" s="60"/>
      <c r="I97" s="60"/>
      <c r="J97" s="60"/>
      <c r="K97" s="60"/>
      <c r="L97" s="60"/>
      <c r="M97" s="60"/>
      <c r="N97" s="60"/>
      <c r="O97" s="60"/>
      <c r="P97" s="60"/>
      <c r="Q97" s="60"/>
      <c r="R97" s="60"/>
      <c r="S97" s="60"/>
      <c r="T97" s="60"/>
      <c r="U97" s="60"/>
      <c r="V97" s="60"/>
      <c r="W97" s="60"/>
      <c r="X97" s="60"/>
      <c r="Y97" s="60"/>
      <c r="Z97" s="60"/>
      <c r="AA97" s="60"/>
    </row>
    <row r="98" spans="8:27" ht="11.5">
      <c r="H98" s="60"/>
      <c r="I98" s="60"/>
      <c r="J98" s="60"/>
      <c r="K98" s="60"/>
      <c r="L98" s="60"/>
      <c r="M98" s="60"/>
      <c r="N98" s="60"/>
      <c r="O98" s="60"/>
      <c r="P98" s="60"/>
      <c r="Q98" s="60"/>
      <c r="R98" s="60"/>
      <c r="S98" s="60"/>
      <c r="T98" s="60"/>
      <c r="U98" s="60"/>
      <c r="V98" s="60"/>
      <c r="W98" s="60"/>
      <c r="X98" s="60"/>
      <c r="Y98" s="60"/>
      <c r="Z98" s="60"/>
      <c r="AA98" s="60"/>
    </row>
    <row r="99" spans="8:27" ht="11.5">
      <c r="H99" s="60"/>
      <c r="I99" s="60"/>
      <c r="J99" s="60"/>
      <c r="K99" s="60"/>
      <c r="L99" s="60"/>
      <c r="M99" s="60"/>
      <c r="N99" s="60"/>
      <c r="O99" s="60"/>
      <c r="P99" s="60"/>
      <c r="Q99" s="60"/>
      <c r="R99" s="60"/>
      <c r="S99" s="60"/>
      <c r="T99" s="60"/>
      <c r="U99" s="60"/>
      <c r="V99" s="60"/>
      <c r="W99" s="60"/>
      <c r="X99" s="60"/>
      <c r="Y99" s="60"/>
      <c r="Z99" s="60"/>
      <c r="AA99" s="60"/>
    </row>
    <row r="100" spans="8:27" ht="11.5">
      <c r="H100" s="60"/>
      <c r="I100" s="60"/>
      <c r="J100" s="60"/>
      <c r="K100" s="60"/>
      <c r="L100" s="60"/>
      <c r="M100" s="60"/>
      <c r="N100" s="60"/>
      <c r="O100" s="60"/>
      <c r="P100" s="60"/>
      <c r="Q100" s="60"/>
      <c r="R100" s="60"/>
      <c r="S100" s="60"/>
      <c r="T100" s="60"/>
      <c r="U100" s="60"/>
      <c r="V100" s="60"/>
      <c r="W100" s="60"/>
      <c r="X100" s="60"/>
      <c r="Y100" s="60"/>
      <c r="Z100" s="60"/>
      <c r="AA100" s="60"/>
    </row>
    <row r="101" spans="8:27" ht="11.5">
      <c r="H101" s="60"/>
      <c r="I101" s="60"/>
      <c r="J101" s="60"/>
      <c r="K101" s="60"/>
      <c r="L101" s="60"/>
      <c r="M101" s="60"/>
      <c r="N101" s="60"/>
      <c r="O101" s="60"/>
      <c r="P101" s="60"/>
      <c r="Q101" s="60"/>
      <c r="R101" s="60"/>
      <c r="S101" s="60"/>
      <c r="T101" s="60"/>
      <c r="U101" s="60"/>
      <c r="V101" s="60"/>
      <c r="W101" s="60"/>
      <c r="X101" s="60"/>
      <c r="Y101" s="60"/>
      <c r="Z101" s="60"/>
      <c r="AA101" s="60"/>
    </row>
    <row r="102" spans="8:27" ht="11.5">
      <c r="H102" s="60"/>
      <c r="I102" s="60"/>
      <c r="J102" s="60"/>
      <c r="K102" s="60"/>
      <c r="L102" s="60"/>
      <c r="M102" s="60"/>
      <c r="N102" s="60"/>
      <c r="O102" s="60"/>
      <c r="P102" s="60"/>
      <c r="Q102" s="60"/>
      <c r="R102" s="60"/>
      <c r="S102" s="60"/>
      <c r="T102" s="60"/>
      <c r="U102" s="60"/>
      <c r="V102" s="60"/>
      <c r="W102" s="60"/>
      <c r="X102" s="60"/>
      <c r="Y102" s="60"/>
      <c r="Z102" s="60"/>
      <c r="AA102" s="60"/>
    </row>
    <row r="103" spans="8:27" ht="11.5">
      <c r="H103" s="60"/>
      <c r="I103" s="60"/>
      <c r="J103" s="60"/>
      <c r="K103" s="60"/>
      <c r="L103" s="60"/>
      <c r="M103" s="60"/>
      <c r="N103" s="60"/>
      <c r="O103" s="60"/>
      <c r="P103" s="60"/>
      <c r="Q103" s="60"/>
      <c r="R103" s="60"/>
      <c r="S103" s="60"/>
      <c r="T103" s="60"/>
      <c r="U103" s="60"/>
      <c r="V103" s="60"/>
      <c r="W103" s="60"/>
      <c r="X103" s="60"/>
      <c r="Y103" s="60"/>
      <c r="Z103" s="60"/>
      <c r="AA103" s="60"/>
    </row>
    <row r="104" spans="8:27" ht="11.5">
      <c r="H104" s="60"/>
      <c r="I104" s="60"/>
      <c r="J104" s="60"/>
      <c r="K104" s="60"/>
      <c r="L104" s="60"/>
      <c r="M104" s="60"/>
      <c r="N104" s="60"/>
      <c r="O104" s="60"/>
      <c r="P104" s="60"/>
      <c r="Q104" s="60"/>
      <c r="R104" s="60"/>
      <c r="S104" s="60"/>
      <c r="T104" s="60"/>
      <c r="U104" s="60"/>
      <c r="V104" s="60"/>
      <c r="W104" s="60"/>
      <c r="X104" s="60"/>
      <c r="Y104" s="60"/>
      <c r="Z104" s="60"/>
      <c r="AA104" s="60"/>
    </row>
    <row r="105" spans="8:27" ht="11.5">
      <c r="H105" s="60"/>
      <c r="I105" s="60"/>
      <c r="J105" s="60"/>
      <c r="K105" s="60"/>
      <c r="L105" s="60"/>
      <c r="M105" s="60"/>
      <c r="N105" s="60"/>
      <c r="O105" s="60"/>
      <c r="P105" s="60"/>
      <c r="Q105" s="60"/>
      <c r="R105" s="60"/>
      <c r="S105" s="60"/>
      <c r="T105" s="60"/>
      <c r="U105" s="60"/>
      <c r="V105" s="60"/>
      <c r="W105" s="60"/>
      <c r="X105" s="60"/>
      <c r="Y105" s="60"/>
      <c r="Z105" s="60"/>
      <c r="AA105" s="60"/>
    </row>
    <row r="106" spans="8:27" ht="11.5">
      <c r="H106" s="60"/>
      <c r="I106" s="60"/>
      <c r="J106" s="60"/>
      <c r="K106" s="60"/>
      <c r="L106" s="60"/>
      <c r="M106" s="60"/>
      <c r="N106" s="60"/>
      <c r="O106" s="60"/>
      <c r="P106" s="60"/>
      <c r="Q106" s="60"/>
      <c r="R106" s="60"/>
      <c r="S106" s="60"/>
      <c r="T106" s="60"/>
      <c r="U106" s="60"/>
      <c r="V106" s="60"/>
      <c r="W106" s="60"/>
      <c r="X106" s="60"/>
      <c r="Y106" s="60"/>
      <c r="Z106" s="60"/>
      <c r="AA106" s="60"/>
    </row>
    <row r="107" spans="8:27" ht="11.5">
      <c r="H107" s="60"/>
      <c r="I107" s="60"/>
      <c r="J107" s="60"/>
      <c r="K107" s="60"/>
      <c r="L107" s="60"/>
      <c r="M107" s="60"/>
      <c r="N107" s="60"/>
      <c r="O107" s="60"/>
      <c r="P107" s="60"/>
      <c r="Q107" s="60"/>
      <c r="R107" s="60"/>
      <c r="S107" s="60"/>
      <c r="T107" s="60"/>
      <c r="U107" s="60"/>
      <c r="V107" s="60"/>
      <c r="W107" s="60"/>
      <c r="X107" s="60"/>
      <c r="Y107" s="60"/>
      <c r="Z107" s="60"/>
      <c r="AA107" s="60"/>
    </row>
    <row r="108" spans="8:27" ht="11.5">
      <c r="H108" s="60"/>
      <c r="I108" s="60"/>
      <c r="J108" s="60"/>
      <c r="K108" s="60"/>
      <c r="L108" s="60"/>
      <c r="M108" s="60"/>
      <c r="N108" s="60"/>
      <c r="O108" s="60"/>
      <c r="P108" s="60"/>
      <c r="Q108" s="60"/>
      <c r="R108" s="60"/>
      <c r="S108" s="60"/>
      <c r="T108" s="60"/>
      <c r="U108" s="60"/>
      <c r="V108" s="60"/>
      <c r="W108" s="60"/>
      <c r="X108" s="60"/>
      <c r="Y108" s="60"/>
      <c r="Z108" s="60"/>
      <c r="AA108" s="60"/>
    </row>
    <row r="109" spans="8:27" ht="11.5">
      <c r="H109" s="60"/>
      <c r="I109" s="60"/>
      <c r="J109" s="60"/>
      <c r="K109" s="60"/>
      <c r="L109" s="60"/>
      <c r="M109" s="60"/>
      <c r="N109" s="60"/>
      <c r="O109" s="60"/>
      <c r="P109" s="60"/>
      <c r="Q109" s="60"/>
      <c r="R109" s="60"/>
      <c r="S109" s="60"/>
      <c r="T109" s="60"/>
      <c r="U109" s="60"/>
      <c r="V109" s="60"/>
      <c r="W109" s="60"/>
      <c r="X109" s="60"/>
      <c r="Y109" s="60"/>
      <c r="Z109" s="60"/>
      <c r="AA109" s="60"/>
    </row>
    <row r="110" spans="8:27" ht="11.5">
      <c r="H110" s="60"/>
      <c r="I110" s="60"/>
      <c r="J110" s="60"/>
      <c r="K110" s="60"/>
      <c r="L110" s="60"/>
      <c r="M110" s="60"/>
      <c r="N110" s="60"/>
      <c r="O110" s="60"/>
      <c r="P110" s="60"/>
      <c r="Q110" s="60"/>
      <c r="R110" s="60"/>
      <c r="S110" s="60"/>
      <c r="T110" s="60"/>
      <c r="U110" s="60"/>
      <c r="V110" s="60"/>
      <c r="W110" s="60"/>
      <c r="X110" s="60"/>
      <c r="Y110" s="60"/>
      <c r="Z110" s="60"/>
      <c r="AA110" s="60"/>
    </row>
    <row r="111" spans="8:27" ht="11.5">
      <c r="H111" s="60"/>
      <c r="I111" s="60"/>
      <c r="J111" s="60"/>
      <c r="K111" s="60"/>
      <c r="L111" s="60"/>
      <c r="M111" s="60"/>
      <c r="N111" s="60"/>
      <c r="O111" s="60"/>
      <c r="P111" s="60"/>
      <c r="Q111" s="60"/>
      <c r="R111" s="60"/>
      <c r="S111" s="60"/>
      <c r="T111" s="60"/>
      <c r="U111" s="60"/>
      <c r="V111" s="60"/>
      <c r="W111" s="60"/>
      <c r="X111" s="60"/>
      <c r="Y111" s="60"/>
      <c r="Z111" s="60"/>
      <c r="AA111" s="60"/>
    </row>
    <row r="112" spans="8:27" ht="11.5">
      <c r="H112" s="60"/>
      <c r="I112" s="60"/>
      <c r="J112" s="60"/>
      <c r="K112" s="60"/>
      <c r="L112" s="60"/>
      <c r="M112" s="60"/>
      <c r="N112" s="60"/>
      <c r="O112" s="60"/>
      <c r="P112" s="60"/>
      <c r="Q112" s="60"/>
      <c r="R112" s="60"/>
      <c r="S112" s="60"/>
      <c r="T112" s="60"/>
      <c r="U112" s="60"/>
      <c r="V112" s="60"/>
      <c r="W112" s="60"/>
      <c r="X112" s="60"/>
      <c r="Y112" s="60"/>
      <c r="Z112" s="60"/>
      <c r="AA112" s="60"/>
    </row>
    <row r="113" spans="8:27" ht="11.5">
      <c r="H113" s="60"/>
      <c r="I113" s="60"/>
      <c r="J113" s="60"/>
      <c r="K113" s="60"/>
      <c r="L113" s="60"/>
      <c r="M113" s="60"/>
      <c r="N113" s="60"/>
      <c r="O113" s="60"/>
      <c r="P113" s="60"/>
      <c r="Q113" s="60"/>
      <c r="R113" s="60"/>
      <c r="S113" s="60"/>
      <c r="T113" s="60"/>
      <c r="U113" s="60"/>
      <c r="V113" s="60"/>
      <c r="W113" s="60"/>
      <c r="X113" s="60"/>
      <c r="Y113" s="60"/>
      <c r="Z113" s="60"/>
      <c r="AA113" s="60"/>
    </row>
    <row r="114" spans="8:27" ht="11.5">
      <c r="H114" s="60"/>
      <c r="I114" s="60"/>
      <c r="J114" s="60"/>
      <c r="K114" s="60"/>
      <c r="L114" s="60"/>
      <c r="M114" s="60"/>
      <c r="N114" s="60"/>
      <c r="O114" s="60"/>
      <c r="P114" s="60"/>
      <c r="Q114" s="60"/>
      <c r="R114" s="60"/>
      <c r="S114" s="60"/>
      <c r="T114" s="60"/>
      <c r="U114" s="60"/>
      <c r="V114" s="60"/>
      <c r="W114" s="60"/>
      <c r="X114" s="60"/>
      <c r="Y114" s="60"/>
      <c r="Z114" s="60"/>
      <c r="AA114" s="60"/>
    </row>
    <row r="115" spans="8:27" ht="11.5">
      <c r="H115" s="60"/>
      <c r="I115" s="60"/>
      <c r="J115" s="60"/>
      <c r="K115" s="60"/>
      <c r="L115" s="60"/>
      <c r="M115" s="60"/>
      <c r="N115" s="60"/>
      <c r="O115" s="60"/>
      <c r="P115" s="60"/>
      <c r="Q115" s="60"/>
      <c r="R115" s="60"/>
      <c r="S115" s="60"/>
      <c r="T115" s="60"/>
      <c r="U115" s="60"/>
      <c r="V115" s="60"/>
      <c r="W115" s="60"/>
      <c r="X115" s="60"/>
      <c r="Y115" s="60"/>
      <c r="Z115" s="60"/>
      <c r="AA115" s="60"/>
    </row>
    <row r="116" spans="8:27" ht="11.5">
      <c r="H116" s="60"/>
      <c r="I116" s="60"/>
      <c r="J116" s="60"/>
      <c r="K116" s="60"/>
      <c r="L116" s="60"/>
      <c r="M116" s="60"/>
      <c r="N116" s="60"/>
      <c r="O116" s="60"/>
      <c r="P116" s="60"/>
      <c r="Q116" s="60"/>
      <c r="R116" s="60"/>
      <c r="S116" s="60"/>
      <c r="T116" s="60"/>
      <c r="U116" s="60"/>
      <c r="V116" s="60"/>
      <c r="W116" s="60"/>
      <c r="X116" s="60"/>
      <c r="Y116" s="60"/>
      <c r="Z116" s="60"/>
      <c r="AA116" s="60"/>
    </row>
    <row r="117" spans="8:27" ht="11.5">
      <c r="H117" s="60"/>
      <c r="I117" s="60"/>
      <c r="J117" s="60"/>
      <c r="K117" s="60"/>
      <c r="L117" s="60"/>
      <c r="M117" s="60"/>
      <c r="N117" s="60"/>
      <c r="O117" s="60"/>
      <c r="P117" s="60"/>
      <c r="Q117" s="60"/>
      <c r="R117" s="60"/>
      <c r="S117" s="60"/>
      <c r="T117" s="60"/>
      <c r="U117" s="60"/>
      <c r="V117" s="60"/>
      <c r="W117" s="60"/>
      <c r="X117" s="60"/>
      <c r="Y117" s="60"/>
      <c r="Z117" s="60"/>
      <c r="AA117" s="60"/>
    </row>
    <row r="118" spans="8:27" ht="11.5">
      <c r="H118" s="60"/>
      <c r="I118" s="60"/>
      <c r="J118" s="60"/>
      <c r="K118" s="60"/>
      <c r="L118" s="60"/>
      <c r="M118" s="60"/>
      <c r="N118" s="60"/>
      <c r="O118" s="60"/>
      <c r="P118" s="60"/>
      <c r="Q118" s="60"/>
      <c r="R118" s="60"/>
      <c r="S118" s="60"/>
      <c r="T118" s="60"/>
      <c r="U118" s="60"/>
      <c r="V118" s="60"/>
      <c r="W118" s="60"/>
      <c r="X118" s="60"/>
      <c r="Y118" s="60"/>
      <c r="Z118" s="60"/>
      <c r="AA118" s="60"/>
    </row>
    <row r="119" spans="8:27" ht="11.5">
      <c r="H119" s="60"/>
      <c r="I119" s="60"/>
      <c r="J119" s="60"/>
      <c r="K119" s="60"/>
      <c r="L119" s="60"/>
      <c r="M119" s="60"/>
      <c r="N119" s="60"/>
      <c r="O119" s="60"/>
      <c r="P119" s="60"/>
      <c r="Q119" s="60"/>
      <c r="R119" s="60"/>
      <c r="S119" s="60"/>
      <c r="T119" s="60"/>
      <c r="U119" s="60"/>
      <c r="V119" s="60"/>
      <c r="W119" s="60"/>
      <c r="X119" s="60"/>
      <c r="Y119" s="60"/>
      <c r="Z119" s="60"/>
      <c r="AA119" s="60"/>
    </row>
    <row r="120" spans="8:27" ht="11.5">
      <c r="H120" s="60"/>
      <c r="I120" s="60"/>
      <c r="J120" s="60"/>
      <c r="K120" s="60"/>
      <c r="L120" s="60"/>
      <c r="M120" s="60"/>
      <c r="N120" s="60"/>
      <c r="O120" s="60"/>
      <c r="P120" s="60"/>
      <c r="Q120" s="60"/>
      <c r="R120" s="60"/>
      <c r="S120" s="60"/>
      <c r="T120" s="60"/>
      <c r="U120" s="60"/>
      <c r="V120" s="60"/>
      <c r="W120" s="60"/>
      <c r="X120" s="60"/>
      <c r="Y120" s="60"/>
      <c r="Z120" s="60"/>
      <c r="AA120" s="60"/>
    </row>
    <row r="121" spans="8:27" ht="11.5">
      <c r="H121" s="60"/>
      <c r="I121" s="60"/>
      <c r="J121" s="60"/>
      <c r="K121" s="60"/>
      <c r="L121" s="60"/>
      <c r="M121" s="60"/>
      <c r="N121" s="60"/>
      <c r="O121" s="60"/>
      <c r="P121" s="60"/>
      <c r="Q121" s="60"/>
      <c r="R121" s="60"/>
      <c r="S121" s="60"/>
      <c r="T121" s="60"/>
      <c r="U121" s="60"/>
      <c r="V121" s="60"/>
      <c r="W121" s="60"/>
      <c r="X121" s="60"/>
      <c r="Y121" s="60"/>
      <c r="Z121" s="60"/>
      <c r="AA121" s="60"/>
    </row>
    <row r="122" spans="8:27" ht="11.5">
      <c r="H122" s="60"/>
      <c r="I122" s="60"/>
      <c r="J122" s="60"/>
      <c r="K122" s="60"/>
      <c r="L122" s="60"/>
      <c r="M122" s="60"/>
      <c r="N122" s="60"/>
      <c r="O122" s="60"/>
      <c r="P122" s="60"/>
      <c r="Q122" s="60"/>
      <c r="R122" s="60"/>
      <c r="S122" s="60"/>
      <c r="T122" s="60"/>
      <c r="U122" s="60"/>
      <c r="V122" s="60"/>
      <c r="W122" s="60"/>
      <c r="X122" s="60"/>
      <c r="Y122" s="60"/>
      <c r="Z122" s="60"/>
      <c r="AA122" s="60"/>
    </row>
    <row r="123" spans="8:27" ht="11.5">
      <c r="H123" s="60"/>
      <c r="I123" s="60"/>
      <c r="J123" s="60"/>
      <c r="K123" s="60"/>
      <c r="L123" s="60"/>
      <c r="M123" s="60"/>
      <c r="N123" s="60"/>
      <c r="O123" s="60"/>
      <c r="P123" s="60"/>
      <c r="Q123" s="60"/>
      <c r="R123" s="60"/>
      <c r="S123" s="60"/>
      <c r="T123" s="60"/>
      <c r="U123" s="60"/>
      <c r="V123" s="60"/>
      <c r="W123" s="60"/>
      <c r="X123" s="60"/>
      <c r="Y123" s="60"/>
      <c r="Z123" s="60"/>
      <c r="AA123" s="60"/>
    </row>
    <row r="124" spans="8:27" ht="11.5">
      <c r="H124" s="60"/>
      <c r="I124" s="60"/>
      <c r="J124" s="60"/>
      <c r="K124" s="60"/>
      <c r="L124" s="60"/>
      <c r="M124" s="60"/>
      <c r="N124" s="60"/>
      <c r="O124" s="60"/>
      <c r="P124" s="60"/>
      <c r="Q124" s="60"/>
      <c r="R124" s="60"/>
      <c r="S124" s="60"/>
      <c r="T124" s="60"/>
      <c r="U124" s="60"/>
      <c r="V124" s="60"/>
      <c r="W124" s="60"/>
      <c r="X124" s="60"/>
      <c r="Y124" s="60"/>
      <c r="Z124" s="60"/>
      <c r="AA124" s="60"/>
    </row>
    <row r="125" spans="8:27" ht="11.5">
      <c r="H125" s="60"/>
      <c r="I125" s="60"/>
      <c r="J125" s="60"/>
      <c r="K125" s="60"/>
      <c r="L125" s="60"/>
      <c r="M125" s="60"/>
      <c r="N125" s="60"/>
      <c r="O125" s="60"/>
      <c r="P125" s="60"/>
      <c r="Q125" s="60"/>
      <c r="R125" s="60"/>
      <c r="S125" s="60"/>
      <c r="T125" s="60"/>
      <c r="U125" s="60"/>
      <c r="V125" s="60"/>
      <c r="W125" s="60"/>
      <c r="X125" s="60"/>
      <c r="Y125" s="60"/>
      <c r="Z125" s="60"/>
      <c r="AA125" s="60"/>
    </row>
    <row r="126" spans="8:27" ht="11.5">
      <c r="H126" s="60"/>
      <c r="I126" s="60"/>
      <c r="J126" s="60"/>
      <c r="K126" s="60"/>
      <c r="L126" s="60"/>
      <c r="M126" s="60"/>
      <c r="N126" s="60"/>
      <c r="O126" s="60"/>
      <c r="P126" s="60"/>
      <c r="Q126" s="60"/>
      <c r="R126" s="60"/>
      <c r="S126" s="60"/>
      <c r="T126" s="60"/>
      <c r="U126" s="60"/>
      <c r="V126" s="60"/>
      <c r="W126" s="60"/>
      <c r="X126" s="60"/>
      <c r="Y126" s="60"/>
      <c r="Z126" s="60"/>
      <c r="AA126" s="60"/>
    </row>
    <row r="127" spans="8:27" ht="11.5">
      <c r="H127" s="60"/>
      <c r="I127" s="60"/>
      <c r="J127" s="60"/>
      <c r="K127" s="60"/>
      <c r="L127" s="60"/>
      <c r="M127" s="60"/>
      <c r="N127" s="60"/>
      <c r="O127" s="60"/>
      <c r="P127" s="60"/>
      <c r="Q127" s="60"/>
      <c r="R127" s="60"/>
      <c r="S127" s="60"/>
      <c r="T127" s="60"/>
      <c r="U127" s="60"/>
      <c r="V127" s="60"/>
      <c r="W127" s="60"/>
      <c r="X127" s="60"/>
      <c r="Y127" s="60"/>
      <c r="Z127" s="60"/>
      <c r="AA127" s="60"/>
    </row>
    <row r="128" spans="8:27" ht="11.5">
      <c r="H128" s="60"/>
      <c r="I128" s="60"/>
      <c r="J128" s="60"/>
      <c r="K128" s="60"/>
      <c r="L128" s="60"/>
      <c r="M128" s="60"/>
      <c r="N128" s="60"/>
      <c r="O128" s="60"/>
      <c r="P128" s="60"/>
      <c r="Q128" s="60"/>
      <c r="R128" s="60"/>
      <c r="S128" s="60"/>
      <c r="T128" s="60"/>
      <c r="U128" s="60"/>
      <c r="V128" s="60"/>
      <c r="W128" s="60"/>
      <c r="X128" s="60"/>
      <c r="Y128" s="60"/>
      <c r="Z128" s="60"/>
      <c r="AA128" s="60"/>
    </row>
    <row r="129" spans="8:27" ht="11.5">
      <c r="H129" s="60"/>
      <c r="I129" s="60"/>
      <c r="J129" s="60"/>
      <c r="K129" s="60"/>
      <c r="L129" s="60"/>
      <c r="M129" s="60"/>
      <c r="N129" s="60"/>
      <c r="O129" s="60"/>
      <c r="P129" s="60"/>
      <c r="Q129" s="60"/>
      <c r="R129" s="60"/>
      <c r="S129" s="60"/>
      <c r="T129" s="60"/>
      <c r="U129" s="60"/>
      <c r="V129" s="60"/>
      <c r="W129" s="60"/>
      <c r="X129" s="60"/>
      <c r="Y129" s="60"/>
      <c r="Z129" s="60"/>
      <c r="AA129" s="60"/>
    </row>
    <row r="130" spans="8:27" ht="11.5">
      <c r="H130" s="60"/>
      <c r="I130" s="60"/>
      <c r="J130" s="60"/>
      <c r="K130" s="60"/>
      <c r="L130" s="60"/>
      <c r="M130" s="60"/>
      <c r="N130" s="60"/>
      <c r="O130" s="60"/>
      <c r="P130" s="60"/>
      <c r="Q130" s="60"/>
      <c r="R130" s="60"/>
      <c r="S130" s="60"/>
      <c r="T130" s="60"/>
      <c r="U130" s="60"/>
      <c r="V130" s="60"/>
      <c r="W130" s="60"/>
      <c r="X130" s="60"/>
      <c r="Y130" s="60"/>
      <c r="Z130" s="60"/>
      <c r="AA130" s="60"/>
    </row>
    <row r="131" spans="8:27" ht="11.5">
      <c r="H131" s="60"/>
      <c r="I131" s="60"/>
      <c r="J131" s="60"/>
      <c r="K131" s="60"/>
      <c r="L131" s="60"/>
      <c r="M131" s="60"/>
      <c r="N131" s="60"/>
      <c r="O131" s="60"/>
      <c r="P131" s="60"/>
      <c r="Q131" s="60"/>
      <c r="R131" s="60"/>
      <c r="S131" s="60"/>
      <c r="T131" s="60"/>
      <c r="U131" s="60"/>
      <c r="V131" s="60"/>
      <c r="W131" s="60"/>
      <c r="X131" s="60"/>
      <c r="Y131" s="60"/>
      <c r="Z131" s="60"/>
      <c r="AA131" s="60"/>
    </row>
    <row r="132" spans="8:27" ht="11.5">
      <c r="H132" s="60"/>
      <c r="I132" s="60"/>
      <c r="J132" s="60"/>
      <c r="K132" s="60"/>
      <c r="L132" s="60"/>
      <c r="M132" s="60"/>
      <c r="N132" s="60"/>
      <c r="O132" s="60"/>
      <c r="P132" s="60"/>
      <c r="Q132" s="60"/>
      <c r="R132" s="60"/>
      <c r="S132" s="60"/>
      <c r="T132" s="60"/>
      <c r="U132" s="60"/>
      <c r="V132" s="60"/>
      <c r="W132" s="60"/>
      <c r="X132" s="60"/>
      <c r="Y132" s="60"/>
      <c r="Z132" s="60"/>
      <c r="AA132" s="60"/>
    </row>
    <row r="133" spans="8:27" ht="11.5">
      <c r="H133" s="60"/>
      <c r="I133" s="60"/>
      <c r="J133" s="60"/>
      <c r="K133" s="60"/>
      <c r="L133" s="60"/>
      <c r="M133" s="60"/>
      <c r="N133" s="60"/>
      <c r="O133" s="60"/>
      <c r="P133" s="60"/>
      <c r="Q133" s="60"/>
      <c r="R133" s="60"/>
      <c r="S133" s="60"/>
      <c r="T133" s="60"/>
      <c r="U133" s="60"/>
      <c r="V133" s="60"/>
      <c r="W133" s="60"/>
      <c r="X133" s="60"/>
      <c r="Y133" s="60"/>
      <c r="Z133" s="60"/>
      <c r="AA133" s="60"/>
    </row>
    <row r="134" spans="8:27" ht="11.5">
      <c r="H134" s="60"/>
      <c r="I134" s="60"/>
      <c r="J134" s="60"/>
      <c r="K134" s="60"/>
      <c r="L134" s="60"/>
      <c r="M134" s="60"/>
      <c r="N134" s="60"/>
      <c r="O134" s="60"/>
      <c r="P134" s="60"/>
      <c r="Q134" s="60"/>
      <c r="R134" s="60"/>
      <c r="S134" s="60"/>
      <c r="T134" s="60"/>
      <c r="U134" s="60"/>
      <c r="V134" s="60"/>
      <c r="W134" s="60"/>
      <c r="X134" s="60"/>
      <c r="Y134" s="60"/>
      <c r="Z134" s="60"/>
      <c r="AA134" s="60"/>
    </row>
    <row r="135" spans="8:27" ht="11.5">
      <c r="H135" s="60"/>
      <c r="I135" s="60"/>
      <c r="J135" s="60"/>
      <c r="K135" s="60"/>
      <c r="L135" s="60"/>
      <c r="M135" s="60"/>
      <c r="N135" s="60"/>
      <c r="O135" s="60"/>
      <c r="P135" s="60"/>
      <c r="Q135" s="60"/>
      <c r="R135" s="60"/>
      <c r="S135" s="60"/>
      <c r="T135" s="60"/>
      <c r="U135" s="60"/>
      <c r="V135" s="60"/>
      <c r="W135" s="60"/>
      <c r="X135" s="60"/>
      <c r="Y135" s="60"/>
      <c r="Z135" s="60"/>
      <c r="AA135" s="60"/>
    </row>
    <row r="136" spans="8:27" ht="11.5">
      <c r="H136" s="60"/>
      <c r="I136" s="60"/>
      <c r="J136" s="60"/>
      <c r="K136" s="60"/>
      <c r="L136" s="60"/>
      <c r="M136" s="60"/>
      <c r="N136" s="60"/>
      <c r="O136" s="60"/>
      <c r="P136" s="60"/>
      <c r="Q136" s="60"/>
      <c r="R136" s="60"/>
      <c r="S136" s="60"/>
      <c r="T136" s="60"/>
      <c r="U136" s="60"/>
      <c r="V136" s="60"/>
      <c r="W136" s="60"/>
      <c r="X136" s="60"/>
      <c r="Y136" s="60"/>
      <c r="Z136" s="60"/>
      <c r="AA136" s="60"/>
    </row>
    <row r="137" spans="8:27" ht="11.5">
      <c r="H137" s="60"/>
      <c r="I137" s="60"/>
      <c r="J137" s="60"/>
      <c r="K137" s="60"/>
      <c r="L137" s="60"/>
      <c r="M137" s="60"/>
      <c r="N137" s="60"/>
      <c r="O137" s="60"/>
      <c r="P137" s="60"/>
      <c r="Q137" s="60"/>
      <c r="R137" s="60"/>
      <c r="S137" s="60"/>
      <c r="T137" s="60"/>
      <c r="U137" s="60"/>
      <c r="V137" s="60"/>
      <c r="W137" s="60"/>
      <c r="X137" s="60"/>
      <c r="Y137" s="60"/>
      <c r="Z137" s="60"/>
      <c r="AA137" s="60"/>
    </row>
    <row r="138" spans="8:27" ht="11.5">
      <c r="H138" s="60"/>
      <c r="I138" s="60"/>
      <c r="J138" s="60"/>
      <c r="K138" s="60"/>
      <c r="L138" s="60"/>
      <c r="M138" s="60"/>
      <c r="N138" s="60"/>
      <c r="O138" s="60"/>
      <c r="P138" s="60"/>
      <c r="Q138" s="60"/>
      <c r="R138" s="60"/>
      <c r="S138" s="60"/>
      <c r="T138" s="60"/>
      <c r="U138" s="60"/>
      <c r="V138" s="60"/>
      <c r="W138" s="60"/>
      <c r="X138" s="60"/>
      <c r="Y138" s="60"/>
      <c r="Z138" s="60"/>
      <c r="AA138" s="60"/>
    </row>
    <row r="139" spans="8:27" ht="11.5">
      <c r="H139" s="60"/>
      <c r="I139" s="60"/>
      <c r="J139" s="60"/>
      <c r="K139" s="60"/>
      <c r="L139" s="60"/>
      <c r="M139" s="60"/>
      <c r="N139" s="60"/>
      <c r="O139" s="60"/>
      <c r="P139" s="60"/>
      <c r="Q139" s="60"/>
      <c r="R139" s="60"/>
      <c r="S139" s="60"/>
      <c r="T139" s="60"/>
      <c r="U139" s="60"/>
      <c r="V139" s="60"/>
      <c r="W139" s="60"/>
      <c r="X139" s="60"/>
      <c r="Y139" s="60"/>
      <c r="Z139" s="60"/>
      <c r="AA139" s="60"/>
    </row>
    <row r="140" spans="8:27" ht="11.5">
      <c r="H140" s="60"/>
      <c r="I140" s="60"/>
      <c r="J140" s="60"/>
      <c r="K140" s="60"/>
      <c r="L140" s="60"/>
      <c r="M140" s="60"/>
      <c r="N140" s="60"/>
      <c r="O140" s="60"/>
      <c r="P140" s="60"/>
      <c r="Q140" s="60"/>
      <c r="R140" s="60"/>
      <c r="S140" s="60"/>
      <c r="T140" s="60"/>
      <c r="U140" s="60"/>
      <c r="V140" s="60"/>
      <c r="W140" s="60"/>
      <c r="X140" s="60"/>
      <c r="Y140" s="60"/>
      <c r="Z140" s="60"/>
      <c r="AA140" s="60"/>
    </row>
    <row r="141" spans="8:27" ht="11.5">
      <c r="H141" s="60"/>
      <c r="I141" s="60"/>
      <c r="J141" s="60"/>
      <c r="K141" s="60"/>
      <c r="L141" s="60"/>
      <c r="M141" s="60"/>
      <c r="N141" s="60"/>
      <c r="O141" s="60"/>
      <c r="P141" s="60"/>
      <c r="Q141" s="60"/>
      <c r="R141" s="60"/>
      <c r="S141" s="60"/>
      <c r="T141" s="60"/>
      <c r="U141" s="60"/>
      <c r="V141" s="60"/>
      <c r="W141" s="60"/>
      <c r="X141" s="60"/>
      <c r="Y141" s="60"/>
      <c r="Z141" s="60"/>
      <c r="AA141" s="60"/>
    </row>
    <row r="142" spans="8:27" ht="11.5">
      <c r="H142" s="60"/>
      <c r="I142" s="60"/>
      <c r="J142" s="60"/>
      <c r="K142" s="60"/>
      <c r="L142" s="60"/>
      <c r="M142" s="60"/>
      <c r="N142" s="60"/>
      <c r="O142" s="60"/>
      <c r="P142" s="60"/>
      <c r="Q142" s="60"/>
      <c r="R142" s="60"/>
      <c r="S142" s="60"/>
      <c r="T142" s="60"/>
      <c r="U142" s="60"/>
      <c r="V142" s="60"/>
      <c r="W142" s="60"/>
      <c r="X142" s="60"/>
      <c r="Y142" s="60"/>
      <c r="Z142" s="60"/>
      <c r="AA142" s="60"/>
    </row>
    <row r="143" spans="8:27" ht="11.5">
      <c r="H143" s="60"/>
      <c r="I143" s="60"/>
      <c r="J143" s="60"/>
      <c r="K143" s="60"/>
      <c r="L143" s="60"/>
      <c r="M143" s="60"/>
      <c r="N143" s="60"/>
      <c r="O143" s="60"/>
      <c r="P143" s="60"/>
      <c r="Q143" s="60"/>
      <c r="R143" s="60"/>
      <c r="S143" s="60"/>
      <c r="T143" s="60"/>
      <c r="U143" s="60"/>
      <c r="V143" s="60"/>
      <c r="W143" s="60"/>
      <c r="X143" s="60"/>
      <c r="Y143" s="60"/>
      <c r="Z143" s="60"/>
      <c r="AA143" s="60"/>
    </row>
    <row r="144" spans="8:27" ht="11.5">
      <c r="H144" s="60"/>
      <c r="I144" s="60"/>
      <c r="J144" s="60"/>
      <c r="K144" s="60"/>
      <c r="L144" s="60"/>
      <c r="M144" s="60"/>
      <c r="N144" s="60"/>
      <c r="O144" s="60"/>
      <c r="P144" s="60"/>
      <c r="Q144" s="60"/>
      <c r="R144" s="60"/>
      <c r="S144" s="60"/>
      <c r="T144" s="60"/>
      <c r="U144" s="60"/>
      <c r="V144" s="60"/>
      <c r="W144" s="60"/>
      <c r="X144" s="60"/>
      <c r="Y144" s="60"/>
      <c r="Z144" s="60"/>
      <c r="AA144" s="60"/>
    </row>
    <row r="145" spans="8:27" ht="11.5">
      <c r="H145" s="60"/>
      <c r="I145" s="60"/>
      <c r="J145" s="60"/>
      <c r="K145" s="60"/>
      <c r="L145" s="60"/>
      <c r="M145" s="60"/>
      <c r="N145" s="60"/>
      <c r="O145" s="60"/>
      <c r="P145" s="60"/>
      <c r="Q145" s="60"/>
      <c r="R145" s="60"/>
      <c r="S145" s="60"/>
      <c r="T145" s="60"/>
      <c r="U145" s="60"/>
      <c r="V145" s="60"/>
      <c r="W145" s="60"/>
      <c r="X145" s="60"/>
      <c r="Y145" s="60"/>
      <c r="Z145" s="60"/>
      <c r="AA145" s="60"/>
    </row>
    <row r="146" spans="8:27" ht="11.5">
      <c r="H146" s="60"/>
      <c r="I146" s="60"/>
      <c r="J146" s="60"/>
      <c r="K146" s="60"/>
      <c r="L146" s="60"/>
      <c r="M146" s="60"/>
      <c r="N146" s="60"/>
      <c r="O146" s="60"/>
      <c r="P146" s="60"/>
      <c r="Q146" s="60"/>
      <c r="R146" s="60"/>
      <c r="S146" s="60"/>
      <c r="T146" s="60"/>
      <c r="U146" s="60"/>
      <c r="V146" s="60"/>
      <c r="W146" s="60"/>
      <c r="X146" s="60"/>
      <c r="Y146" s="60"/>
      <c r="Z146" s="60"/>
      <c r="AA146" s="60"/>
    </row>
    <row r="147" spans="8:27" ht="11.5">
      <c r="H147" s="60"/>
      <c r="I147" s="60"/>
      <c r="J147" s="60"/>
      <c r="K147" s="60"/>
      <c r="L147" s="60"/>
      <c r="M147" s="60"/>
      <c r="N147" s="60"/>
      <c r="O147" s="60"/>
      <c r="P147" s="60"/>
      <c r="Q147" s="60"/>
      <c r="R147" s="60"/>
      <c r="S147" s="60"/>
      <c r="T147" s="60"/>
      <c r="U147" s="60"/>
      <c r="V147" s="60"/>
      <c r="W147" s="60"/>
      <c r="X147" s="60"/>
      <c r="Y147" s="60"/>
      <c r="Z147" s="60"/>
      <c r="AA147" s="60"/>
    </row>
    <row r="148" spans="8:27" ht="11.5">
      <c r="H148" s="60"/>
      <c r="I148" s="60"/>
      <c r="J148" s="60"/>
      <c r="K148" s="60"/>
      <c r="L148" s="60"/>
      <c r="M148" s="60"/>
      <c r="N148" s="60"/>
      <c r="O148" s="60"/>
      <c r="P148" s="60"/>
      <c r="Q148" s="60"/>
      <c r="R148" s="60"/>
      <c r="S148" s="60"/>
      <c r="T148" s="60"/>
      <c r="U148" s="60"/>
      <c r="V148" s="60"/>
      <c r="W148" s="60"/>
      <c r="X148" s="60"/>
      <c r="Y148" s="60"/>
      <c r="Z148" s="60"/>
      <c r="AA148" s="60"/>
    </row>
    <row r="149" spans="8:27" ht="11.5">
      <c r="H149" s="60"/>
      <c r="I149" s="60"/>
      <c r="J149" s="60"/>
      <c r="K149" s="60"/>
      <c r="L149" s="60"/>
      <c r="M149" s="60"/>
      <c r="N149" s="60"/>
      <c r="O149" s="60"/>
      <c r="P149" s="60"/>
      <c r="Q149" s="60"/>
      <c r="R149" s="60"/>
      <c r="S149" s="60"/>
      <c r="T149" s="60"/>
      <c r="U149" s="60"/>
      <c r="V149" s="60"/>
      <c r="W149" s="60"/>
      <c r="X149" s="60"/>
      <c r="Y149" s="60"/>
      <c r="Z149" s="60"/>
      <c r="AA149" s="60"/>
    </row>
    <row r="150" spans="8:27" ht="11.5">
      <c r="H150" s="60"/>
      <c r="I150" s="60"/>
      <c r="J150" s="60"/>
      <c r="K150" s="60"/>
      <c r="L150" s="60"/>
      <c r="M150" s="60"/>
      <c r="N150" s="60"/>
      <c r="O150" s="60"/>
      <c r="P150" s="60"/>
      <c r="Q150" s="60"/>
      <c r="R150" s="60"/>
      <c r="S150" s="60"/>
      <c r="T150" s="60"/>
      <c r="U150" s="60"/>
      <c r="V150" s="60"/>
      <c r="W150" s="60"/>
      <c r="X150" s="60"/>
      <c r="Y150" s="60"/>
      <c r="Z150" s="60"/>
      <c r="AA150" s="60"/>
    </row>
    <row r="151" spans="8:27" ht="11.5">
      <c r="H151" s="60"/>
      <c r="I151" s="60"/>
      <c r="J151" s="60"/>
      <c r="K151" s="60"/>
      <c r="L151" s="60"/>
      <c r="M151" s="60"/>
      <c r="N151" s="60"/>
      <c r="O151" s="60"/>
      <c r="P151" s="60"/>
      <c r="Q151" s="60"/>
      <c r="R151" s="60"/>
      <c r="S151" s="60"/>
      <c r="T151" s="60"/>
      <c r="U151" s="60"/>
      <c r="V151" s="60"/>
      <c r="W151" s="60"/>
      <c r="X151" s="60"/>
      <c r="Y151" s="60"/>
      <c r="Z151" s="60"/>
      <c r="AA151" s="60"/>
    </row>
    <row r="152" spans="8:27" ht="11.5">
      <c r="H152" s="60"/>
      <c r="I152" s="60"/>
      <c r="J152" s="60"/>
      <c r="K152" s="60"/>
      <c r="L152" s="60"/>
      <c r="M152" s="60"/>
      <c r="N152" s="60"/>
      <c r="O152" s="60"/>
      <c r="P152" s="60"/>
      <c r="Q152" s="60"/>
      <c r="R152" s="60"/>
      <c r="S152" s="60"/>
      <c r="T152" s="60"/>
      <c r="U152" s="60"/>
      <c r="V152" s="60"/>
      <c r="W152" s="60"/>
      <c r="X152" s="60"/>
      <c r="Y152" s="60"/>
      <c r="Z152" s="60"/>
      <c r="AA152" s="60"/>
    </row>
    <row r="153" spans="8:27" ht="11.5">
      <c r="H153" s="60"/>
      <c r="I153" s="60"/>
      <c r="J153" s="60"/>
      <c r="K153" s="60"/>
      <c r="L153" s="60"/>
      <c r="M153" s="60"/>
      <c r="N153" s="60"/>
      <c r="O153" s="60"/>
      <c r="P153" s="60"/>
      <c r="Q153" s="60"/>
      <c r="R153" s="60"/>
      <c r="S153" s="60"/>
      <c r="T153" s="60"/>
      <c r="U153" s="60"/>
      <c r="V153" s="60"/>
      <c r="W153" s="60"/>
      <c r="X153" s="60"/>
      <c r="Y153" s="60"/>
      <c r="Z153" s="60"/>
      <c r="AA153" s="60"/>
    </row>
    <row r="154" spans="8:27" ht="11.5">
      <c r="H154" s="60"/>
      <c r="I154" s="60"/>
      <c r="J154" s="60"/>
      <c r="K154" s="60"/>
      <c r="L154" s="60"/>
      <c r="M154" s="60"/>
      <c r="N154" s="60"/>
      <c r="O154" s="60"/>
      <c r="P154" s="60"/>
      <c r="Q154" s="60"/>
      <c r="R154" s="60"/>
      <c r="S154" s="60"/>
      <c r="T154" s="60"/>
      <c r="U154" s="60"/>
      <c r="V154" s="60"/>
      <c r="W154" s="60"/>
      <c r="X154" s="60"/>
      <c r="Y154" s="60"/>
      <c r="Z154" s="60"/>
      <c r="AA154" s="60"/>
    </row>
    <row r="155" spans="8:27" ht="11.5">
      <c r="H155" s="60"/>
      <c r="I155" s="60"/>
      <c r="J155" s="60"/>
      <c r="K155" s="60"/>
      <c r="L155" s="60"/>
      <c r="M155" s="60"/>
      <c r="N155" s="60"/>
      <c r="O155" s="60"/>
      <c r="P155" s="60"/>
      <c r="Q155" s="60"/>
      <c r="R155" s="60"/>
      <c r="S155" s="60"/>
      <c r="T155" s="60"/>
      <c r="U155" s="60"/>
      <c r="V155" s="60"/>
      <c r="W155" s="60"/>
      <c r="X155" s="60"/>
      <c r="Y155" s="60"/>
      <c r="Z155" s="60"/>
      <c r="AA155" s="60"/>
    </row>
    <row r="156" spans="8:27" ht="11.5">
      <c r="H156" s="60"/>
      <c r="I156" s="60"/>
      <c r="J156" s="60"/>
      <c r="K156" s="60"/>
      <c r="L156" s="60"/>
      <c r="M156" s="60"/>
      <c r="N156" s="60"/>
      <c r="O156" s="60"/>
      <c r="P156" s="60"/>
      <c r="Q156" s="60"/>
      <c r="R156" s="60"/>
      <c r="S156" s="60"/>
      <c r="T156" s="60"/>
      <c r="U156" s="60"/>
      <c r="V156" s="60"/>
      <c r="W156" s="60"/>
      <c r="X156" s="60"/>
      <c r="Y156" s="60"/>
      <c r="Z156" s="60"/>
      <c r="AA156" s="60"/>
    </row>
    <row r="157" spans="8:27" ht="11.5">
      <c r="H157" s="60"/>
      <c r="I157" s="60"/>
      <c r="J157" s="60"/>
      <c r="K157" s="60"/>
      <c r="L157" s="60"/>
      <c r="M157" s="60"/>
      <c r="N157" s="60"/>
      <c r="O157" s="60"/>
      <c r="P157" s="60"/>
      <c r="Q157" s="60"/>
      <c r="R157" s="60"/>
      <c r="S157" s="60"/>
      <c r="T157" s="60"/>
      <c r="U157" s="60"/>
      <c r="V157" s="60"/>
      <c r="W157" s="60"/>
      <c r="X157" s="60"/>
      <c r="Y157" s="60"/>
      <c r="Z157" s="60"/>
      <c r="AA157" s="60"/>
    </row>
    <row r="158" spans="8:27" ht="11.5">
      <c r="H158" s="60"/>
      <c r="I158" s="60"/>
      <c r="J158" s="60"/>
      <c r="K158" s="60"/>
      <c r="L158" s="60"/>
      <c r="M158" s="60"/>
      <c r="N158" s="60"/>
      <c r="O158" s="60"/>
      <c r="P158" s="60"/>
      <c r="Q158" s="60"/>
      <c r="R158" s="60"/>
      <c r="S158" s="60"/>
      <c r="T158" s="60"/>
      <c r="U158" s="60"/>
      <c r="V158" s="60"/>
      <c r="W158" s="60"/>
      <c r="X158" s="60"/>
      <c r="Y158" s="60"/>
      <c r="Z158" s="60"/>
      <c r="AA158" s="60"/>
    </row>
    <row r="159" spans="8:27" ht="11.5">
      <c r="H159" s="60"/>
      <c r="I159" s="60"/>
      <c r="J159" s="60"/>
      <c r="K159" s="60"/>
      <c r="L159" s="60"/>
      <c r="M159" s="60"/>
      <c r="N159" s="60"/>
      <c r="O159" s="60"/>
      <c r="P159" s="60"/>
      <c r="Q159" s="60"/>
      <c r="R159" s="60"/>
      <c r="S159" s="60"/>
      <c r="T159" s="60"/>
      <c r="U159" s="60"/>
      <c r="V159" s="60"/>
      <c r="W159" s="60"/>
      <c r="X159" s="60"/>
      <c r="Y159" s="60"/>
      <c r="Z159" s="60"/>
      <c r="AA159" s="60"/>
    </row>
    <row r="160" spans="8:27" ht="11.5">
      <c r="H160" s="60"/>
      <c r="I160" s="60"/>
      <c r="J160" s="60"/>
      <c r="K160" s="60"/>
      <c r="L160" s="60"/>
      <c r="M160" s="60"/>
      <c r="N160" s="60"/>
      <c r="O160" s="60"/>
      <c r="P160" s="60"/>
      <c r="Q160" s="60"/>
      <c r="R160" s="60"/>
      <c r="S160" s="60"/>
      <c r="T160" s="60"/>
      <c r="U160" s="60"/>
      <c r="V160" s="60"/>
      <c r="W160" s="60"/>
      <c r="X160" s="60"/>
      <c r="Y160" s="60"/>
      <c r="Z160" s="60"/>
      <c r="AA160" s="60"/>
    </row>
    <row r="161" spans="8:27" ht="11.5">
      <c r="H161" s="60"/>
      <c r="I161" s="60"/>
      <c r="J161" s="60"/>
      <c r="K161" s="60"/>
      <c r="L161" s="60"/>
      <c r="M161" s="60"/>
      <c r="N161" s="60"/>
      <c r="O161" s="60"/>
      <c r="P161" s="60"/>
      <c r="Q161" s="60"/>
      <c r="R161" s="60"/>
      <c r="S161" s="60"/>
      <c r="T161" s="60"/>
      <c r="U161" s="60"/>
      <c r="V161" s="60"/>
      <c r="W161" s="60"/>
      <c r="X161" s="60"/>
      <c r="Y161" s="60"/>
      <c r="Z161" s="60"/>
      <c r="AA161" s="60"/>
    </row>
    <row r="162" spans="8:27" ht="11.5">
      <c r="H162" s="60"/>
      <c r="I162" s="60"/>
      <c r="J162" s="60"/>
      <c r="K162" s="60"/>
      <c r="L162" s="60"/>
      <c r="M162" s="60"/>
      <c r="N162" s="60"/>
      <c r="O162" s="60"/>
      <c r="P162" s="60"/>
      <c r="Q162" s="60"/>
      <c r="R162" s="60"/>
      <c r="S162" s="60"/>
      <c r="T162" s="60"/>
      <c r="U162" s="60"/>
      <c r="V162" s="60"/>
      <c r="W162" s="60"/>
      <c r="X162" s="60"/>
      <c r="Y162" s="60"/>
      <c r="Z162" s="60"/>
      <c r="AA162" s="60"/>
    </row>
    <row r="163" spans="8:27" ht="11.5">
      <c r="H163" s="60"/>
      <c r="I163" s="60"/>
      <c r="J163" s="60"/>
      <c r="K163" s="60"/>
      <c r="L163" s="60"/>
      <c r="M163" s="60"/>
      <c r="N163" s="60"/>
      <c r="O163" s="60"/>
      <c r="P163" s="60"/>
      <c r="Q163" s="60"/>
      <c r="R163" s="60"/>
      <c r="S163" s="60"/>
      <c r="T163" s="60"/>
      <c r="U163" s="60"/>
      <c r="V163" s="60"/>
      <c r="W163" s="60"/>
      <c r="X163" s="60"/>
      <c r="Y163" s="60"/>
      <c r="Z163" s="60"/>
      <c r="AA163" s="60"/>
    </row>
    <row r="164" spans="8:27" ht="11.5">
      <c r="H164" s="60"/>
      <c r="I164" s="60"/>
      <c r="J164" s="60"/>
      <c r="K164" s="60"/>
      <c r="L164" s="60"/>
      <c r="M164" s="60"/>
      <c r="N164" s="60"/>
      <c r="O164" s="60"/>
      <c r="P164" s="60"/>
      <c r="Q164" s="60"/>
      <c r="R164" s="60"/>
      <c r="S164" s="60"/>
      <c r="T164" s="60"/>
      <c r="U164" s="60"/>
      <c r="V164" s="60"/>
      <c r="W164" s="60"/>
      <c r="X164" s="60"/>
      <c r="Y164" s="60"/>
      <c r="Z164" s="60"/>
      <c r="AA164" s="60"/>
    </row>
    <row r="165" spans="8:27" ht="11.5">
      <c r="H165" s="60"/>
      <c r="I165" s="60"/>
      <c r="J165" s="60"/>
      <c r="K165" s="60"/>
      <c r="L165" s="60"/>
      <c r="M165" s="60"/>
      <c r="N165" s="60"/>
      <c r="O165" s="60"/>
      <c r="P165" s="60"/>
      <c r="Q165" s="60"/>
      <c r="R165" s="60"/>
      <c r="S165" s="60"/>
      <c r="T165" s="60"/>
      <c r="U165" s="60"/>
      <c r="V165" s="60"/>
      <c r="W165" s="60"/>
      <c r="X165" s="60"/>
      <c r="Y165" s="60"/>
      <c r="Z165" s="60"/>
      <c r="AA165" s="60"/>
    </row>
    <row r="166" spans="8:27" ht="11.5">
      <c r="H166" s="60"/>
      <c r="I166" s="60"/>
      <c r="J166" s="60"/>
      <c r="K166" s="60"/>
      <c r="L166" s="60"/>
      <c r="M166" s="60"/>
      <c r="N166" s="60"/>
      <c r="O166" s="60"/>
      <c r="P166" s="60"/>
      <c r="Q166" s="60"/>
      <c r="R166" s="60"/>
      <c r="S166" s="60"/>
      <c r="T166" s="60"/>
      <c r="U166" s="60"/>
      <c r="V166" s="60"/>
      <c r="W166" s="60"/>
      <c r="X166" s="60"/>
      <c r="Y166" s="60"/>
      <c r="Z166" s="60"/>
      <c r="AA166" s="60"/>
    </row>
    <row r="167" spans="8:27" ht="11.5">
      <c r="H167" s="60"/>
      <c r="I167" s="60"/>
      <c r="J167" s="60"/>
      <c r="K167" s="60"/>
      <c r="L167" s="60"/>
      <c r="M167" s="60"/>
      <c r="N167" s="60"/>
      <c r="O167" s="60"/>
      <c r="P167" s="60"/>
      <c r="Q167" s="60"/>
      <c r="R167" s="60"/>
      <c r="S167" s="60"/>
      <c r="T167" s="60"/>
      <c r="U167" s="60"/>
      <c r="V167" s="60"/>
      <c r="W167" s="60"/>
      <c r="X167" s="60"/>
      <c r="Y167" s="60"/>
      <c r="Z167" s="60"/>
      <c r="AA167" s="60"/>
    </row>
    <row r="168" spans="8:27" ht="11.5">
      <c r="H168" s="60"/>
      <c r="I168" s="60"/>
      <c r="J168" s="60"/>
      <c r="K168" s="60"/>
      <c r="L168" s="60"/>
      <c r="M168" s="60"/>
      <c r="N168" s="60"/>
      <c r="O168" s="60"/>
      <c r="P168" s="60"/>
      <c r="Q168" s="60"/>
      <c r="R168" s="60"/>
      <c r="S168" s="60"/>
      <c r="T168" s="60"/>
      <c r="U168" s="60"/>
      <c r="V168" s="60"/>
      <c r="W168" s="60"/>
      <c r="X168" s="60"/>
      <c r="Y168" s="60"/>
      <c r="Z168" s="60"/>
      <c r="AA168" s="60"/>
    </row>
    <row r="169" spans="8:27" ht="11.5">
      <c r="H169" s="60"/>
      <c r="I169" s="60"/>
      <c r="J169" s="60"/>
      <c r="K169" s="60"/>
      <c r="L169" s="60"/>
      <c r="M169" s="60"/>
      <c r="N169" s="60"/>
      <c r="O169" s="60"/>
      <c r="P169" s="60"/>
      <c r="Q169" s="60"/>
      <c r="R169" s="60"/>
      <c r="S169" s="60"/>
      <c r="T169" s="60"/>
      <c r="U169" s="60"/>
      <c r="V169" s="60"/>
      <c r="W169" s="60"/>
      <c r="X169" s="60"/>
      <c r="Y169" s="60"/>
      <c r="Z169" s="60"/>
      <c r="AA169" s="60"/>
    </row>
    <row r="170" spans="8:27" ht="11.5">
      <c r="H170" s="60"/>
      <c r="I170" s="60"/>
      <c r="J170" s="60"/>
      <c r="K170" s="60"/>
      <c r="L170" s="60"/>
      <c r="M170" s="60"/>
      <c r="N170" s="60"/>
      <c r="O170" s="60"/>
      <c r="P170" s="60"/>
      <c r="Q170" s="60"/>
      <c r="R170" s="60"/>
      <c r="S170" s="60"/>
      <c r="T170" s="60"/>
      <c r="U170" s="60"/>
      <c r="V170" s="60"/>
      <c r="W170" s="60"/>
      <c r="X170" s="60"/>
      <c r="Y170" s="60"/>
      <c r="Z170" s="60"/>
      <c r="AA170" s="60"/>
    </row>
    <row r="171" spans="8:27" ht="11.5">
      <c r="H171" s="60"/>
      <c r="I171" s="60"/>
      <c r="J171" s="60"/>
      <c r="K171" s="60"/>
      <c r="L171" s="60"/>
      <c r="M171" s="60"/>
      <c r="N171" s="60"/>
      <c r="O171" s="60"/>
      <c r="P171" s="60"/>
      <c r="Q171" s="60"/>
      <c r="R171" s="60"/>
      <c r="S171" s="60"/>
      <c r="T171" s="60"/>
      <c r="U171" s="60"/>
      <c r="V171" s="60"/>
      <c r="W171" s="60"/>
      <c r="X171" s="60"/>
      <c r="Y171" s="60"/>
      <c r="Z171" s="60"/>
      <c r="AA171" s="60"/>
    </row>
    <row r="172" spans="8:27" ht="11.5">
      <c r="H172" s="60"/>
      <c r="I172" s="60"/>
      <c r="J172" s="60"/>
      <c r="K172" s="60"/>
      <c r="L172" s="60"/>
      <c r="M172" s="60"/>
      <c r="N172" s="60"/>
      <c r="O172" s="60"/>
      <c r="P172" s="60"/>
      <c r="Q172" s="60"/>
      <c r="R172" s="60"/>
      <c r="S172" s="60"/>
      <c r="T172" s="60"/>
      <c r="U172" s="60"/>
      <c r="V172" s="60"/>
      <c r="W172" s="60"/>
      <c r="X172" s="60"/>
      <c r="Y172" s="60"/>
      <c r="Z172" s="60"/>
      <c r="AA172" s="60"/>
    </row>
    <row r="173" spans="8:27" ht="11.5">
      <c r="H173" s="60"/>
      <c r="I173" s="60"/>
      <c r="J173" s="60"/>
      <c r="K173" s="60"/>
      <c r="L173" s="60"/>
      <c r="M173" s="60"/>
      <c r="N173" s="60"/>
      <c r="O173" s="60"/>
      <c r="P173" s="60"/>
      <c r="Q173" s="60"/>
      <c r="R173" s="60"/>
      <c r="S173" s="60"/>
      <c r="T173" s="60"/>
      <c r="U173" s="60"/>
      <c r="V173" s="60"/>
      <c r="W173" s="60"/>
      <c r="X173" s="60"/>
      <c r="Y173" s="60"/>
      <c r="Z173" s="60"/>
      <c r="AA173" s="60"/>
    </row>
    <row r="174" spans="8:27" ht="11.5">
      <c r="H174" s="60"/>
      <c r="I174" s="60"/>
      <c r="J174" s="60"/>
      <c r="K174" s="60"/>
      <c r="L174" s="60"/>
      <c r="M174" s="60"/>
      <c r="N174" s="60"/>
      <c r="O174" s="60"/>
      <c r="P174" s="60"/>
      <c r="Q174" s="60"/>
      <c r="R174" s="60"/>
      <c r="S174" s="60"/>
      <c r="T174" s="60"/>
      <c r="U174" s="60"/>
      <c r="V174" s="60"/>
      <c r="W174" s="60"/>
      <c r="X174" s="60"/>
      <c r="Y174" s="60"/>
      <c r="Z174" s="60"/>
      <c r="AA174" s="60"/>
    </row>
    <row r="175" spans="8:27" ht="11.5">
      <c r="H175" s="60"/>
      <c r="I175" s="60"/>
      <c r="J175" s="60"/>
      <c r="K175" s="60"/>
      <c r="L175" s="60"/>
      <c r="M175" s="60"/>
      <c r="N175" s="60"/>
      <c r="O175" s="60"/>
      <c r="P175" s="60"/>
      <c r="Q175" s="60"/>
      <c r="R175" s="60"/>
      <c r="S175" s="60"/>
      <c r="T175" s="60"/>
      <c r="U175" s="60"/>
      <c r="V175" s="60"/>
      <c r="W175" s="60"/>
      <c r="X175" s="60"/>
      <c r="Y175" s="60"/>
      <c r="Z175" s="60"/>
      <c r="AA175" s="60"/>
    </row>
    <row r="176" spans="8:27" ht="11.5">
      <c r="H176" s="60"/>
      <c r="I176" s="60"/>
      <c r="J176" s="60"/>
      <c r="K176" s="60"/>
      <c r="L176" s="60"/>
      <c r="M176" s="60"/>
      <c r="N176" s="60"/>
      <c r="O176" s="60"/>
      <c r="P176" s="60"/>
      <c r="Q176" s="60"/>
      <c r="R176" s="60"/>
      <c r="S176" s="60"/>
      <c r="T176" s="60"/>
      <c r="U176" s="60"/>
      <c r="V176" s="60"/>
      <c r="W176" s="60"/>
      <c r="X176" s="60"/>
      <c r="Y176" s="60"/>
      <c r="Z176" s="60"/>
      <c r="AA176" s="60"/>
    </row>
    <row r="177" spans="8:27" ht="11.5">
      <c r="H177" s="60"/>
      <c r="I177" s="60"/>
      <c r="J177" s="60"/>
      <c r="K177" s="60"/>
      <c r="L177" s="60"/>
      <c r="M177" s="60"/>
      <c r="N177" s="60"/>
      <c r="O177" s="60"/>
      <c r="P177" s="60"/>
      <c r="Q177" s="60"/>
      <c r="R177" s="60"/>
      <c r="S177" s="60"/>
      <c r="T177" s="60"/>
      <c r="U177" s="60"/>
      <c r="V177" s="60"/>
      <c r="W177" s="60"/>
      <c r="X177" s="60"/>
      <c r="Y177" s="60"/>
      <c r="Z177" s="60"/>
      <c r="AA177" s="60"/>
    </row>
    <row r="178" spans="8:27" ht="11.5">
      <c r="H178" s="60"/>
      <c r="I178" s="60"/>
      <c r="J178" s="60"/>
      <c r="K178" s="60"/>
      <c r="L178" s="60"/>
      <c r="M178" s="60"/>
      <c r="N178" s="60"/>
      <c r="O178" s="60"/>
      <c r="P178" s="60"/>
      <c r="Q178" s="60"/>
      <c r="R178" s="60"/>
      <c r="S178" s="60"/>
      <c r="T178" s="60"/>
      <c r="U178" s="60"/>
      <c r="V178" s="60"/>
      <c r="W178" s="60"/>
      <c r="X178" s="60"/>
      <c r="Y178" s="60"/>
      <c r="Z178" s="60"/>
      <c r="AA178" s="60"/>
    </row>
    <row r="179" spans="8:27" ht="11.5">
      <c r="H179" s="60"/>
      <c r="I179" s="60"/>
      <c r="J179" s="60"/>
      <c r="K179" s="60"/>
      <c r="L179" s="60"/>
      <c r="M179" s="60"/>
      <c r="N179" s="60"/>
      <c r="O179" s="60"/>
      <c r="P179" s="60"/>
      <c r="Q179" s="60"/>
      <c r="R179" s="60"/>
      <c r="S179" s="60"/>
      <c r="T179" s="60"/>
      <c r="U179" s="60"/>
      <c r="V179" s="60"/>
      <c r="W179" s="60"/>
      <c r="X179" s="60"/>
      <c r="Y179" s="60"/>
      <c r="Z179" s="60"/>
      <c r="AA179" s="60"/>
    </row>
    <row r="180" spans="8:27" ht="11.5">
      <c r="H180" s="60"/>
      <c r="I180" s="60"/>
      <c r="J180" s="60"/>
      <c r="K180" s="60"/>
      <c r="L180" s="60"/>
      <c r="M180" s="60"/>
      <c r="N180" s="60"/>
      <c r="O180" s="60"/>
      <c r="P180" s="60"/>
      <c r="Q180" s="60"/>
      <c r="R180" s="60"/>
      <c r="S180" s="60"/>
      <c r="T180" s="60"/>
      <c r="U180" s="60"/>
      <c r="V180" s="60"/>
      <c r="W180" s="60"/>
      <c r="X180" s="60"/>
      <c r="Y180" s="60"/>
      <c r="Z180" s="60"/>
      <c r="AA180" s="60"/>
    </row>
    <row r="181" spans="8:27" ht="11.5">
      <c r="H181" s="60"/>
      <c r="I181" s="60"/>
      <c r="J181" s="60"/>
      <c r="K181" s="60"/>
      <c r="L181" s="60"/>
      <c r="M181" s="60"/>
      <c r="N181" s="60"/>
      <c r="O181" s="60"/>
      <c r="P181" s="60"/>
      <c r="Q181" s="60"/>
      <c r="R181" s="60"/>
      <c r="S181" s="60"/>
      <c r="T181" s="60"/>
      <c r="U181" s="60"/>
      <c r="V181" s="60"/>
      <c r="W181" s="60"/>
      <c r="X181" s="60"/>
      <c r="Y181" s="60"/>
      <c r="Z181" s="60"/>
      <c r="AA181" s="60"/>
    </row>
    <row r="182" spans="8:27" ht="11.5">
      <c r="H182" s="60"/>
      <c r="I182" s="60"/>
      <c r="J182" s="60"/>
      <c r="K182" s="60"/>
      <c r="L182" s="60"/>
      <c r="M182" s="60"/>
      <c r="N182" s="60"/>
      <c r="O182" s="60"/>
      <c r="P182" s="60"/>
      <c r="Q182" s="60"/>
      <c r="R182" s="60"/>
      <c r="S182" s="60"/>
      <c r="T182" s="60"/>
      <c r="U182" s="60"/>
      <c r="V182" s="60"/>
      <c r="W182" s="60"/>
      <c r="X182" s="60"/>
      <c r="Y182" s="60"/>
      <c r="Z182" s="60"/>
      <c r="AA182" s="60"/>
    </row>
    <row r="183" spans="8:27" ht="11.5">
      <c r="H183" s="60"/>
      <c r="I183" s="60"/>
      <c r="J183" s="60"/>
      <c r="K183" s="60"/>
      <c r="L183" s="60"/>
      <c r="M183" s="60"/>
      <c r="N183" s="60"/>
      <c r="O183" s="60"/>
      <c r="P183" s="60"/>
      <c r="Q183" s="60"/>
      <c r="R183" s="60"/>
      <c r="S183" s="60"/>
      <c r="T183" s="60"/>
      <c r="U183" s="60"/>
      <c r="V183" s="60"/>
      <c r="W183" s="60"/>
      <c r="X183" s="60"/>
      <c r="Y183" s="60"/>
      <c r="Z183" s="60"/>
      <c r="AA183" s="60"/>
    </row>
    <row r="184" spans="8:27" ht="11.5">
      <c r="H184" s="60"/>
      <c r="I184" s="60"/>
      <c r="J184" s="60"/>
      <c r="K184" s="60"/>
      <c r="L184" s="60"/>
      <c r="M184" s="60"/>
      <c r="N184" s="60"/>
      <c r="O184" s="60"/>
      <c r="P184" s="60"/>
      <c r="Q184" s="60"/>
      <c r="R184" s="60"/>
      <c r="S184" s="60"/>
      <c r="T184" s="60"/>
      <c r="U184" s="60"/>
      <c r="V184" s="60"/>
      <c r="W184" s="60"/>
      <c r="X184" s="60"/>
      <c r="Y184" s="60"/>
      <c r="Z184" s="60"/>
      <c r="AA184" s="60"/>
    </row>
    <row r="185" spans="8:27" ht="11.5">
      <c r="H185" s="60"/>
      <c r="I185" s="60"/>
      <c r="J185" s="60"/>
      <c r="K185" s="60"/>
      <c r="L185" s="60"/>
      <c r="M185" s="60"/>
      <c r="N185" s="60"/>
      <c r="O185" s="60"/>
      <c r="P185" s="60"/>
      <c r="Q185" s="60"/>
      <c r="R185" s="60"/>
      <c r="S185" s="60"/>
      <c r="T185" s="60"/>
      <c r="U185" s="60"/>
      <c r="V185" s="60"/>
      <c r="W185" s="60"/>
      <c r="X185" s="60"/>
      <c r="Y185" s="60"/>
      <c r="Z185" s="60"/>
      <c r="AA185" s="60"/>
    </row>
    <row r="186" spans="8:27" ht="11.5">
      <c r="H186" s="60"/>
      <c r="I186" s="60"/>
      <c r="J186" s="60"/>
      <c r="K186" s="60"/>
      <c r="L186" s="60"/>
      <c r="M186" s="60"/>
      <c r="N186" s="60"/>
      <c r="O186" s="60"/>
      <c r="P186" s="60"/>
      <c r="Q186" s="60"/>
      <c r="R186" s="60"/>
      <c r="S186" s="60"/>
      <c r="T186" s="60"/>
      <c r="U186" s="60"/>
      <c r="V186" s="60"/>
      <c r="W186" s="60"/>
      <c r="X186" s="60"/>
      <c r="Y186" s="60"/>
      <c r="Z186" s="60"/>
      <c r="AA186" s="60"/>
    </row>
    <row r="187" spans="8:27" ht="11.5">
      <c r="H187" s="60"/>
      <c r="I187" s="60"/>
      <c r="J187" s="60"/>
      <c r="K187" s="60"/>
      <c r="L187" s="60"/>
      <c r="M187" s="60"/>
      <c r="N187" s="60"/>
      <c r="O187" s="60"/>
      <c r="P187" s="60"/>
      <c r="Q187" s="60"/>
      <c r="R187" s="60"/>
      <c r="S187" s="60"/>
      <c r="T187" s="60"/>
      <c r="U187" s="60"/>
      <c r="V187" s="60"/>
      <c r="W187" s="60"/>
      <c r="X187" s="60"/>
      <c r="Y187" s="60"/>
      <c r="Z187" s="60"/>
      <c r="AA187" s="60"/>
    </row>
    <row r="188" spans="8:27" ht="11.5">
      <c r="H188" s="60"/>
      <c r="I188" s="60"/>
      <c r="J188" s="60"/>
      <c r="K188" s="60"/>
      <c r="L188" s="60"/>
      <c r="M188" s="60"/>
      <c r="N188" s="60"/>
      <c r="O188" s="60"/>
      <c r="P188" s="60"/>
      <c r="Q188" s="60"/>
      <c r="R188" s="60"/>
      <c r="S188" s="60"/>
      <c r="T188" s="60"/>
      <c r="U188" s="60"/>
      <c r="V188" s="60"/>
      <c r="W188" s="60"/>
      <c r="X188" s="60"/>
      <c r="Y188" s="60"/>
      <c r="Z188" s="60"/>
      <c r="AA188" s="60"/>
    </row>
    <row r="189" spans="8:27" ht="11.5">
      <c r="H189" s="60"/>
      <c r="I189" s="60"/>
      <c r="J189" s="60"/>
      <c r="K189" s="60"/>
      <c r="L189" s="60"/>
      <c r="M189" s="60"/>
      <c r="N189" s="60"/>
      <c r="O189" s="60"/>
      <c r="P189" s="60"/>
      <c r="Q189" s="60"/>
      <c r="R189" s="60"/>
      <c r="S189" s="60"/>
      <c r="T189" s="60"/>
      <c r="U189" s="60"/>
      <c r="V189" s="60"/>
      <c r="W189" s="60"/>
      <c r="X189" s="60"/>
      <c r="Y189" s="60"/>
      <c r="Z189" s="60"/>
      <c r="AA189" s="60"/>
    </row>
    <row r="190" spans="8:27" ht="11.5">
      <c r="H190" s="60"/>
      <c r="I190" s="60"/>
      <c r="J190" s="60"/>
      <c r="K190" s="60"/>
      <c r="L190" s="60"/>
      <c r="M190" s="60"/>
      <c r="N190" s="60"/>
      <c r="O190" s="60"/>
      <c r="P190" s="60"/>
      <c r="Q190" s="60"/>
      <c r="R190" s="60"/>
      <c r="S190" s="60"/>
      <c r="T190" s="60"/>
      <c r="U190" s="60"/>
      <c r="V190" s="60"/>
      <c r="W190" s="60"/>
      <c r="X190" s="60"/>
      <c r="Y190" s="60"/>
      <c r="Z190" s="60"/>
      <c r="AA190" s="60"/>
    </row>
    <row r="191" spans="8:27" ht="11.5">
      <c r="H191" s="60"/>
      <c r="I191" s="60"/>
      <c r="J191" s="60"/>
      <c r="K191" s="60"/>
      <c r="L191" s="60"/>
      <c r="M191" s="60"/>
      <c r="N191" s="60"/>
      <c r="O191" s="60"/>
      <c r="P191" s="60"/>
      <c r="Q191" s="60"/>
      <c r="R191" s="60"/>
      <c r="S191" s="60"/>
      <c r="T191" s="60"/>
      <c r="U191" s="60"/>
      <c r="V191" s="60"/>
      <c r="W191" s="60"/>
      <c r="X191" s="60"/>
      <c r="Y191" s="60"/>
      <c r="Z191" s="60"/>
      <c r="AA191" s="60"/>
    </row>
    <row r="192" spans="8:27" ht="11.5">
      <c r="H192" s="60"/>
      <c r="I192" s="60"/>
      <c r="J192" s="60"/>
      <c r="K192" s="60"/>
      <c r="L192" s="60"/>
      <c r="M192" s="60"/>
      <c r="N192" s="60"/>
      <c r="O192" s="60"/>
      <c r="P192" s="60"/>
      <c r="Q192" s="60"/>
      <c r="R192" s="60"/>
      <c r="S192" s="60"/>
      <c r="T192" s="60"/>
      <c r="U192" s="60"/>
      <c r="V192" s="60"/>
      <c r="W192" s="60"/>
      <c r="X192" s="60"/>
      <c r="Y192" s="60"/>
      <c r="Z192" s="60"/>
      <c r="AA192" s="60"/>
    </row>
    <row r="193" spans="8:27" ht="11.5">
      <c r="H193" s="60"/>
      <c r="I193" s="60"/>
      <c r="J193" s="60"/>
      <c r="K193" s="60"/>
      <c r="L193" s="60"/>
      <c r="M193" s="60"/>
      <c r="N193" s="60"/>
      <c r="O193" s="60"/>
      <c r="P193" s="60"/>
      <c r="Q193" s="60"/>
      <c r="R193" s="60"/>
      <c r="S193" s="60"/>
      <c r="T193" s="60"/>
      <c r="U193" s="60"/>
      <c r="V193" s="60"/>
      <c r="W193" s="60"/>
      <c r="X193" s="60"/>
      <c r="Y193" s="60"/>
      <c r="Z193" s="60"/>
      <c r="AA193" s="60"/>
    </row>
    <row r="194" spans="8:27" ht="11.5">
      <c r="H194" s="60"/>
      <c r="I194" s="60"/>
      <c r="J194" s="60"/>
      <c r="K194" s="60"/>
      <c r="L194" s="60"/>
      <c r="M194" s="60"/>
      <c r="N194" s="60"/>
      <c r="O194" s="60"/>
      <c r="P194" s="60"/>
      <c r="Q194" s="60"/>
      <c r="R194" s="60"/>
      <c r="S194" s="60"/>
      <c r="T194" s="60"/>
      <c r="U194" s="60"/>
      <c r="V194" s="60"/>
      <c r="W194" s="60"/>
      <c r="X194" s="60"/>
      <c r="Y194" s="60"/>
      <c r="Z194" s="60"/>
      <c r="AA194" s="60"/>
    </row>
    <row r="195" spans="8:27" ht="11.5">
      <c r="H195" s="60"/>
      <c r="I195" s="60"/>
      <c r="J195" s="60"/>
      <c r="K195" s="60"/>
      <c r="L195" s="60"/>
      <c r="M195" s="60"/>
      <c r="N195" s="60"/>
      <c r="O195" s="60"/>
      <c r="P195" s="60"/>
      <c r="Q195" s="60"/>
      <c r="R195" s="60"/>
      <c r="S195" s="60"/>
      <c r="T195" s="60"/>
      <c r="U195" s="60"/>
      <c r="V195" s="60"/>
      <c r="W195" s="60"/>
      <c r="X195" s="60"/>
      <c r="Y195" s="60"/>
      <c r="Z195" s="60"/>
      <c r="AA195" s="60"/>
    </row>
    <row r="196" spans="8:27" ht="11.5">
      <c r="H196" s="60"/>
      <c r="I196" s="60"/>
      <c r="J196" s="60"/>
      <c r="K196" s="60"/>
      <c r="L196" s="60"/>
      <c r="M196" s="60"/>
      <c r="N196" s="60"/>
      <c r="O196" s="60"/>
      <c r="P196" s="60"/>
      <c r="Q196" s="60"/>
      <c r="R196" s="60"/>
      <c r="S196" s="60"/>
      <c r="T196" s="60"/>
      <c r="U196" s="60"/>
      <c r="V196" s="60"/>
      <c r="W196" s="60"/>
      <c r="X196" s="60"/>
      <c r="Y196" s="60"/>
      <c r="Z196" s="60"/>
      <c r="AA196" s="60"/>
    </row>
    <row r="197" spans="8:27" ht="11.5">
      <c r="H197" s="60"/>
      <c r="I197" s="60"/>
      <c r="J197" s="60"/>
      <c r="K197" s="60"/>
      <c r="L197" s="60"/>
      <c r="M197" s="60"/>
      <c r="N197" s="60"/>
      <c r="O197" s="60"/>
      <c r="P197" s="60"/>
      <c r="Q197" s="60"/>
      <c r="R197" s="60"/>
      <c r="S197" s="60"/>
      <c r="T197" s="60"/>
      <c r="U197" s="60"/>
      <c r="V197" s="60"/>
      <c r="W197" s="60"/>
      <c r="X197" s="60"/>
      <c r="Y197" s="60"/>
      <c r="Z197" s="60"/>
      <c r="AA197" s="60"/>
    </row>
    <row r="198" spans="8:27" ht="11.5">
      <c r="H198" s="60"/>
      <c r="I198" s="60"/>
      <c r="J198" s="60"/>
      <c r="K198" s="60"/>
      <c r="L198" s="60"/>
      <c r="M198" s="60"/>
      <c r="N198" s="60"/>
      <c r="O198" s="60"/>
      <c r="P198" s="60"/>
      <c r="Q198" s="60"/>
      <c r="R198" s="60"/>
      <c r="S198" s="60"/>
      <c r="T198" s="60"/>
      <c r="U198" s="60"/>
      <c r="V198" s="60"/>
      <c r="W198" s="60"/>
      <c r="X198" s="60"/>
      <c r="Y198" s="60"/>
      <c r="Z198" s="60"/>
      <c r="AA198" s="60"/>
    </row>
    <row r="199" spans="8:27" ht="11.5">
      <c r="H199" s="60"/>
      <c r="I199" s="60"/>
      <c r="J199" s="60"/>
      <c r="K199" s="60"/>
      <c r="L199" s="60"/>
      <c r="M199" s="60"/>
      <c r="N199" s="60"/>
      <c r="O199" s="60"/>
      <c r="P199" s="60"/>
      <c r="Q199" s="60"/>
      <c r="R199" s="60"/>
      <c r="S199" s="60"/>
      <c r="T199" s="60"/>
      <c r="U199" s="60"/>
      <c r="V199" s="60"/>
      <c r="W199" s="60"/>
      <c r="X199" s="60"/>
      <c r="Y199" s="60"/>
      <c r="Z199" s="60"/>
      <c r="AA199" s="60"/>
    </row>
    <row r="200" spans="8:27" ht="11.5">
      <c r="H200" s="60"/>
      <c r="I200" s="60"/>
      <c r="J200" s="60"/>
      <c r="K200" s="60"/>
      <c r="L200" s="60"/>
      <c r="M200" s="60"/>
      <c r="N200" s="60"/>
      <c r="O200" s="60"/>
      <c r="P200" s="60"/>
      <c r="Q200" s="60"/>
      <c r="R200" s="60"/>
      <c r="S200" s="60"/>
      <c r="T200" s="60"/>
      <c r="U200" s="60"/>
      <c r="V200" s="60"/>
      <c r="W200" s="60"/>
      <c r="X200" s="60"/>
      <c r="Y200" s="60"/>
      <c r="Z200" s="60"/>
      <c r="AA200" s="60"/>
    </row>
    <row r="201" spans="8:27" ht="11.5">
      <c r="H201" s="60"/>
      <c r="I201" s="60"/>
      <c r="J201" s="60"/>
      <c r="K201" s="60"/>
      <c r="L201" s="60"/>
      <c r="M201" s="60"/>
      <c r="N201" s="60"/>
      <c r="O201" s="60"/>
      <c r="P201" s="60"/>
      <c r="Q201" s="60"/>
      <c r="R201" s="60"/>
      <c r="S201" s="60"/>
      <c r="T201" s="60"/>
      <c r="U201" s="60"/>
      <c r="V201" s="60"/>
      <c r="W201" s="60"/>
      <c r="X201" s="60"/>
      <c r="Y201" s="60"/>
      <c r="Z201" s="60"/>
      <c r="AA201" s="60"/>
    </row>
    <row r="202" spans="8:27" ht="11.5">
      <c r="H202" s="60"/>
      <c r="I202" s="60"/>
      <c r="J202" s="60"/>
      <c r="K202" s="60"/>
      <c r="L202" s="60"/>
      <c r="M202" s="60"/>
      <c r="N202" s="60"/>
      <c r="O202" s="60"/>
      <c r="P202" s="60"/>
      <c r="Q202" s="60"/>
      <c r="R202" s="60"/>
      <c r="S202" s="60"/>
      <c r="T202" s="60"/>
      <c r="U202" s="60"/>
      <c r="V202" s="60"/>
      <c r="W202" s="60"/>
      <c r="X202" s="60"/>
      <c r="Y202" s="60"/>
      <c r="Z202" s="60"/>
      <c r="AA202" s="60"/>
    </row>
    <row r="203" spans="8:27" ht="11.5">
      <c r="H203" s="60"/>
      <c r="I203" s="60"/>
      <c r="J203" s="60"/>
      <c r="K203" s="60"/>
      <c r="L203" s="60"/>
      <c r="M203" s="60"/>
      <c r="N203" s="60"/>
      <c r="O203" s="60"/>
      <c r="P203" s="60"/>
      <c r="Q203" s="60"/>
      <c r="R203" s="60"/>
      <c r="S203" s="60"/>
      <c r="T203" s="60"/>
      <c r="U203" s="60"/>
      <c r="V203" s="60"/>
      <c r="W203" s="60"/>
      <c r="X203" s="60"/>
      <c r="Y203" s="60"/>
      <c r="Z203" s="60"/>
      <c r="AA203" s="60"/>
    </row>
    <row r="204" spans="8:27" ht="11.5">
      <c r="H204" s="60"/>
      <c r="I204" s="60"/>
      <c r="J204" s="60"/>
      <c r="K204" s="60"/>
      <c r="L204" s="60"/>
      <c r="M204" s="60"/>
      <c r="N204" s="60"/>
      <c r="O204" s="60"/>
      <c r="P204" s="60"/>
      <c r="Q204" s="60"/>
      <c r="R204" s="60"/>
      <c r="S204" s="60"/>
      <c r="T204" s="60"/>
      <c r="U204" s="60"/>
      <c r="V204" s="60"/>
      <c r="W204" s="60"/>
      <c r="X204" s="60"/>
      <c r="Y204" s="60"/>
      <c r="Z204" s="60"/>
      <c r="AA204" s="60"/>
    </row>
    <row r="205" spans="8:27" ht="11.5">
      <c r="H205" s="60"/>
      <c r="I205" s="60"/>
      <c r="J205" s="60"/>
      <c r="K205" s="60"/>
      <c r="L205" s="60"/>
      <c r="M205" s="60"/>
      <c r="N205" s="60"/>
      <c r="O205" s="60"/>
      <c r="P205" s="60"/>
      <c r="Q205" s="60"/>
      <c r="R205" s="60"/>
      <c r="S205" s="60"/>
      <c r="T205" s="60"/>
      <c r="U205" s="60"/>
      <c r="V205" s="60"/>
      <c r="W205" s="60"/>
      <c r="X205" s="60"/>
      <c r="Y205" s="60"/>
      <c r="Z205" s="60"/>
      <c r="AA205" s="60"/>
    </row>
    <row r="206" spans="8:27" ht="11.5">
      <c r="H206" s="60"/>
      <c r="I206" s="60"/>
      <c r="J206" s="60"/>
      <c r="K206" s="60"/>
      <c r="L206" s="60"/>
      <c r="M206" s="60"/>
      <c r="N206" s="60"/>
      <c r="O206" s="60"/>
      <c r="P206" s="60"/>
      <c r="Q206" s="60"/>
      <c r="R206" s="60"/>
      <c r="S206" s="60"/>
      <c r="T206" s="60"/>
      <c r="U206" s="60"/>
      <c r="V206" s="60"/>
      <c r="W206" s="60"/>
      <c r="X206" s="60"/>
      <c r="Y206" s="60"/>
      <c r="Z206" s="60"/>
      <c r="AA206" s="60"/>
    </row>
    <row r="207" spans="8:27" ht="11.5">
      <c r="H207" s="60"/>
      <c r="I207" s="60"/>
      <c r="J207" s="60"/>
      <c r="K207" s="60"/>
      <c r="L207" s="60"/>
      <c r="M207" s="60"/>
      <c r="N207" s="60"/>
      <c r="O207" s="60"/>
      <c r="P207" s="60"/>
      <c r="Q207" s="60"/>
      <c r="R207" s="60"/>
      <c r="S207" s="60"/>
      <c r="T207" s="60"/>
      <c r="U207" s="60"/>
      <c r="V207" s="60"/>
      <c r="W207" s="60"/>
      <c r="X207" s="60"/>
      <c r="Y207" s="60"/>
      <c r="Z207" s="60"/>
      <c r="AA207" s="60"/>
    </row>
    <row r="208" spans="8:27" ht="11.5">
      <c r="H208" s="60"/>
      <c r="I208" s="60"/>
      <c r="J208" s="60"/>
      <c r="K208" s="60"/>
      <c r="L208" s="60"/>
      <c r="M208" s="60"/>
      <c r="N208" s="60"/>
      <c r="O208" s="60"/>
      <c r="P208" s="60"/>
      <c r="Q208" s="60"/>
      <c r="R208" s="60"/>
      <c r="S208" s="60"/>
      <c r="T208" s="60"/>
      <c r="U208" s="60"/>
      <c r="V208" s="60"/>
      <c r="W208" s="60"/>
      <c r="X208" s="60"/>
      <c r="Y208" s="60"/>
      <c r="Z208" s="60"/>
      <c r="AA208" s="60"/>
    </row>
    <row r="209" spans="8:27" ht="11.5">
      <c r="H209" s="60"/>
      <c r="I209" s="60"/>
      <c r="J209" s="60"/>
      <c r="K209" s="60"/>
      <c r="L209" s="60"/>
      <c r="M209" s="60"/>
      <c r="N209" s="60"/>
      <c r="O209" s="60"/>
      <c r="P209" s="60"/>
      <c r="Q209" s="60"/>
      <c r="R209" s="60"/>
      <c r="S209" s="60"/>
      <c r="T209" s="60"/>
      <c r="U209" s="60"/>
      <c r="V209" s="60"/>
      <c r="W209" s="60"/>
      <c r="X209" s="60"/>
      <c r="Y209" s="60"/>
      <c r="Z209" s="60"/>
      <c r="AA209" s="60"/>
    </row>
    <row r="210" spans="8:27" ht="11.5">
      <c r="H210" s="60"/>
      <c r="I210" s="60"/>
      <c r="J210" s="60"/>
      <c r="K210" s="60"/>
      <c r="L210" s="60"/>
      <c r="M210" s="60"/>
      <c r="N210" s="60"/>
      <c r="O210" s="60"/>
      <c r="P210" s="60"/>
      <c r="Q210" s="60"/>
      <c r="R210" s="60"/>
      <c r="S210" s="60"/>
      <c r="T210" s="60"/>
      <c r="U210" s="60"/>
      <c r="V210" s="60"/>
      <c r="W210" s="60"/>
      <c r="X210" s="60"/>
      <c r="Y210" s="60"/>
      <c r="Z210" s="60"/>
      <c r="AA210" s="60"/>
    </row>
    <row r="211" spans="8:27" ht="11.5">
      <c r="H211" s="60"/>
      <c r="I211" s="60"/>
      <c r="J211" s="60"/>
      <c r="K211" s="60"/>
      <c r="L211" s="60"/>
      <c r="M211" s="60"/>
      <c r="N211" s="60"/>
      <c r="O211" s="60"/>
      <c r="P211" s="60"/>
      <c r="Q211" s="60"/>
      <c r="R211" s="60"/>
      <c r="S211" s="60"/>
      <c r="T211" s="60"/>
      <c r="U211" s="60"/>
      <c r="V211" s="60"/>
      <c r="W211" s="60"/>
      <c r="X211" s="60"/>
      <c r="Y211" s="60"/>
      <c r="Z211" s="60"/>
      <c r="AA211" s="60"/>
    </row>
    <row r="212" spans="8:27" ht="11.5">
      <c r="H212" s="60"/>
      <c r="I212" s="60"/>
      <c r="J212" s="60"/>
      <c r="K212" s="60"/>
      <c r="L212" s="60"/>
      <c r="M212" s="60"/>
      <c r="N212" s="60"/>
      <c r="O212" s="60"/>
      <c r="P212" s="60"/>
      <c r="Q212" s="60"/>
      <c r="R212" s="60"/>
      <c r="S212" s="60"/>
      <c r="T212" s="60"/>
      <c r="U212" s="60"/>
      <c r="V212" s="60"/>
      <c r="W212" s="60"/>
      <c r="X212" s="60"/>
      <c r="Y212" s="60"/>
      <c r="Z212" s="60"/>
      <c r="AA212" s="60"/>
    </row>
    <row r="213" spans="8:27" ht="11.5">
      <c r="H213" s="60"/>
      <c r="I213" s="60"/>
      <c r="J213" s="60"/>
      <c r="K213" s="60"/>
      <c r="L213" s="60"/>
      <c r="M213" s="60"/>
      <c r="N213" s="60"/>
      <c r="O213" s="60"/>
      <c r="P213" s="60"/>
      <c r="Q213" s="60"/>
      <c r="R213" s="60"/>
      <c r="S213" s="60"/>
      <c r="T213" s="60"/>
      <c r="U213" s="60"/>
      <c r="V213" s="60"/>
      <c r="W213" s="60"/>
      <c r="X213" s="60"/>
      <c r="Y213" s="60"/>
      <c r="Z213" s="60"/>
      <c r="AA213" s="60"/>
    </row>
    <row r="214" spans="8:27" ht="11.5">
      <c r="H214" s="60"/>
      <c r="I214" s="60"/>
      <c r="J214" s="60"/>
      <c r="K214" s="60"/>
      <c r="L214" s="60"/>
      <c r="M214" s="60"/>
      <c r="N214" s="60"/>
      <c r="O214" s="60"/>
      <c r="P214" s="60"/>
      <c r="Q214" s="60"/>
      <c r="R214" s="60"/>
      <c r="S214" s="60"/>
      <c r="T214" s="60"/>
      <c r="U214" s="60"/>
      <c r="V214" s="60"/>
      <c r="W214" s="60"/>
      <c r="X214" s="60"/>
      <c r="Y214" s="60"/>
      <c r="Z214" s="60"/>
      <c r="AA214" s="60"/>
    </row>
    <row r="215" spans="8:27" ht="11.5">
      <c r="H215" s="60"/>
      <c r="I215" s="60"/>
      <c r="J215" s="60"/>
      <c r="K215" s="60"/>
      <c r="L215" s="60"/>
      <c r="M215" s="60"/>
      <c r="N215" s="60"/>
      <c r="O215" s="60"/>
      <c r="P215" s="60"/>
      <c r="Q215" s="60"/>
      <c r="R215" s="60"/>
      <c r="S215" s="60"/>
      <c r="T215" s="60"/>
      <c r="U215" s="60"/>
      <c r="V215" s="60"/>
      <c r="W215" s="60"/>
      <c r="X215" s="60"/>
      <c r="Y215" s="60"/>
      <c r="Z215" s="60"/>
      <c r="AA215" s="60"/>
    </row>
    <row r="216" spans="8:27" ht="11.5">
      <c r="H216" s="60"/>
      <c r="I216" s="60"/>
      <c r="J216" s="60"/>
      <c r="K216" s="60"/>
      <c r="L216" s="60"/>
      <c r="M216" s="60"/>
      <c r="N216" s="60"/>
      <c r="O216" s="60"/>
      <c r="P216" s="60"/>
      <c r="Q216" s="60"/>
      <c r="R216" s="60"/>
      <c r="S216" s="60"/>
      <c r="T216" s="60"/>
      <c r="U216" s="60"/>
      <c r="V216" s="60"/>
      <c r="W216" s="60"/>
      <c r="X216" s="60"/>
      <c r="Y216" s="60"/>
      <c r="Z216" s="60"/>
      <c r="AA216" s="60"/>
    </row>
    <row r="217" spans="8:27" ht="11.5">
      <c r="H217" s="60"/>
      <c r="I217" s="60"/>
      <c r="J217" s="60"/>
      <c r="K217" s="60"/>
      <c r="L217" s="60"/>
      <c r="M217" s="60"/>
      <c r="N217" s="60"/>
      <c r="O217" s="60"/>
      <c r="P217" s="60"/>
      <c r="Q217" s="60"/>
      <c r="R217" s="60"/>
      <c r="S217" s="60"/>
      <c r="T217" s="60"/>
      <c r="U217" s="60"/>
      <c r="V217" s="60"/>
      <c r="W217" s="60"/>
      <c r="X217" s="60"/>
      <c r="Y217" s="60"/>
      <c r="Z217" s="60"/>
      <c r="AA217" s="60"/>
    </row>
    <row r="218" spans="8:27" ht="11.5">
      <c r="H218" s="60"/>
      <c r="I218" s="60"/>
      <c r="J218" s="60"/>
      <c r="K218" s="60"/>
      <c r="L218" s="60"/>
      <c r="M218" s="60"/>
      <c r="N218" s="60"/>
      <c r="O218" s="60"/>
      <c r="P218" s="60"/>
      <c r="Q218" s="60"/>
      <c r="R218" s="60"/>
      <c r="S218" s="60"/>
      <c r="T218" s="60"/>
      <c r="U218" s="60"/>
      <c r="V218" s="60"/>
      <c r="W218" s="60"/>
      <c r="X218" s="60"/>
      <c r="Y218" s="60"/>
      <c r="Z218" s="60"/>
      <c r="AA218" s="60"/>
    </row>
    <row r="219" spans="8:27" ht="11.5">
      <c r="H219" s="60"/>
      <c r="I219" s="60"/>
      <c r="J219" s="60"/>
      <c r="K219" s="60"/>
      <c r="L219" s="60"/>
      <c r="M219" s="60"/>
      <c r="N219" s="60"/>
      <c r="O219" s="60"/>
      <c r="P219" s="60"/>
      <c r="Q219" s="60"/>
      <c r="R219" s="60"/>
      <c r="S219" s="60"/>
      <c r="T219" s="60"/>
      <c r="U219" s="60"/>
      <c r="V219" s="60"/>
      <c r="W219" s="60"/>
      <c r="X219" s="60"/>
      <c r="Y219" s="60"/>
      <c r="Z219" s="60"/>
      <c r="AA219" s="60"/>
    </row>
    <row r="220" spans="8:27" ht="11.5">
      <c r="H220" s="60"/>
      <c r="I220" s="60"/>
      <c r="J220" s="60"/>
      <c r="K220" s="60"/>
      <c r="L220" s="60"/>
      <c r="M220" s="60"/>
      <c r="N220" s="60"/>
      <c r="O220" s="60"/>
      <c r="P220" s="60"/>
      <c r="Q220" s="60"/>
      <c r="R220" s="60"/>
      <c r="S220" s="60"/>
      <c r="T220" s="60"/>
      <c r="U220" s="60"/>
      <c r="V220" s="60"/>
      <c r="W220" s="60"/>
      <c r="X220" s="60"/>
      <c r="Y220" s="60"/>
      <c r="Z220" s="60"/>
      <c r="AA220" s="60"/>
    </row>
    <row r="221" spans="8:27" ht="11.5">
      <c r="H221" s="60"/>
      <c r="I221" s="60"/>
      <c r="J221" s="60"/>
      <c r="K221" s="60"/>
      <c r="L221" s="60"/>
      <c r="M221" s="60"/>
      <c r="N221" s="60"/>
      <c r="O221" s="60"/>
      <c r="P221" s="60"/>
      <c r="Q221" s="60"/>
      <c r="R221" s="60"/>
      <c r="S221" s="60"/>
      <c r="T221" s="60"/>
      <c r="U221" s="60"/>
      <c r="V221" s="60"/>
      <c r="W221" s="60"/>
      <c r="X221" s="60"/>
      <c r="Y221" s="60"/>
      <c r="Z221" s="60"/>
      <c r="AA221" s="60"/>
    </row>
    <row r="222" spans="8:27" ht="11.5">
      <c r="H222" s="60"/>
      <c r="I222" s="60"/>
      <c r="J222" s="60"/>
      <c r="K222" s="60"/>
      <c r="L222" s="60"/>
      <c r="M222" s="60"/>
      <c r="N222" s="60"/>
      <c r="O222" s="60"/>
      <c r="P222" s="60"/>
      <c r="Q222" s="60"/>
      <c r="R222" s="60"/>
      <c r="S222" s="60"/>
      <c r="T222" s="60"/>
      <c r="U222" s="60"/>
      <c r="V222" s="60"/>
      <c r="W222" s="60"/>
      <c r="X222" s="60"/>
      <c r="Y222" s="60"/>
      <c r="Z222" s="60"/>
      <c r="AA222" s="60"/>
    </row>
    <row r="223" spans="8:27" ht="11.5">
      <c r="H223" s="60"/>
      <c r="I223" s="60"/>
      <c r="J223" s="60"/>
      <c r="K223" s="60"/>
      <c r="L223" s="60"/>
      <c r="M223" s="60"/>
      <c r="N223" s="60"/>
      <c r="O223" s="60"/>
      <c r="P223" s="60"/>
      <c r="Q223" s="60"/>
      <c r="R223" s="60"/>
      <c r="S223" s="60"/>
      <c r="T223" s="60"/>
      <c r="U223" s="60"/>
      <c r="V223" s="60"/>
      <c r="W223" s="60"/>
      <c r="X223" s="60"/>
      <c r="Y223" s="60"/>
      <c r="Z223" s="60"/>
      <c r="AA223" s="60"/>
    </row>
    <row r="224" spans="8:27" ht="11.5">
      <c r="H224" s="60"/>
      <c r="I224" s="60"/>
      <c r="J224" s="60"/>
      <c r="K224" s="60"/>
      <c r="L224" s="60"/>
      <c r="M224" s="60"/>
      <c r="N224" s="60"/>
      <c r="O224" s="60"/>
      <c r="P224" s="60"/>
      <c r="Q224" s="60"/>
      <c r="R224" s="60"/>
      <c r="S224" s="60"/>
      <c r="T224" s="60"/>
      <c r="U224" s="60"/>
      <c r="V224" s="60"/>
      <c r="W224" s="60"/>
      <c r="X224" s="60"/>
      <c r="Y224" s="60"/>
      <c r="Z224" s="60"/>
      <c r="AA224" s="60"/>
    </row>
    <row r="225" spans="8:27" ht="11.5">
      <c r="H225" s="60"/>
      <c r="I225" s="60"/>
      <c r="J225" s="60"/>
      <c r="K225" s="60"/>
      <c r="L225" s="60"/>
      <c r="M225" s="60"/>
      <c r="N225" s="60"/>
      <c r="O225" s="60"/>
      <c r="P225" s="60"/>
      <c r="Q225" s="60"/>
      <c r="R225" s="60"/>
      <c r="S225" s="60"/>
      <c r="T225" s="60"/>
      <c r="U225" s="60"/>
      <c r="V225" s="60"/>
      <c r="W225" s="60"/>
      <c r="X225" s="60"/>
      <c r="Y225" s="60"/>
      <c r="Z225" s="60"/>
      <c r="AA225" s="60"/>
    </row>
    <row r="226" spans="8:27" ht="11.5">
      <c r="H226" s="60"/>
      <c r="I226" s="60"/>
      <c r="J226" s="60"/>
      <c r="K226" s="60"/>
      <c r="L226" s="60"/>
      <c r="M226" s="60"/>
      <c r="N226" s="60"/>
      <c r="O226" s="60"/>
      <c r="P226" s="60"/>
      <c r="Q226" s="60"/>
      <c r="R226" s="60"/>
      <c r="S226" s="60"/>
      <c r="T226" s="60"/>
      <c r="U226" s="60"/>
      <c r="V226" s="60"/>
      <c r="W226" s="60"/>
      <c r="X226" s="60"/>
      <c r="Y226" s="60"/>
      <c r="Z226" s="60"/>
      <c r="AA226" s="60"/>
    </row>
    <row r="227" spans="8:27" ht="11.5">
      <c r="H227" s="60"/>
      <c r="I227" s="60"/>
      <c r="J227" s="60"/>
      <c r="K227" s="60"/>
      <c r="L227" s="60"/>
      <c r="M227" s="60"/>
      <c r="N227" s="60"/>
      <c r="O227" s="60"/>
      <c r="P227" s="60"/>
      <c r="Q227" s="60"/>
      <c r="R227" s="60"/>
      <c r="S227" s="60"/>
      <c r="T227" s="60"/>
      <c r="U227" s="60"/>
      <c r="V227" s="60"/>
      <c r="W227" s="60"/>
      <c r="X227" s="60"/>
      <c r="Y227" s="60"/>
      <c r="Z227" s="60"/>
      <c r="AA227" s="60"/>
    </row>
    <row r="228" spans="8:27" ht="11.5">
      <c r="H228" s="60"/>
      <c r="I228" s="60"/>
      <c r="J228" s="60"/>
      <c r="K228" s="60"/>
      <c r="L228" s="60"/>
      <c r="M228" s="60"/>
      <c r="N228" s="60"/>
      <c r="O228" s="60"/>
      <c r="P228" s="60"/>
      <c r="Q228" s="60"/>
      <c r="R228" s="60"/>
      <c r="S228" s="60"/>
      <c r="T228" s="60"/>
      <c r="U228" s="60"/>
      <c r="V228" s="60"/>
      <c r="W228" s="60"/>
      <c r="X228" s="60"/>
      <c r="Y228" s="60"/>
      <c r="Z228" s="60"/>
      <c r="AA228" s="60"/>
    </row>
    <row r="229" spans="8:27" ht="11.5">
      <c r="H229" s="60"/>
      <c r="I229" s="60"/>
      <c r="J229" s="60"/>
      <c r="K229" s="60"/>
      <c r="L229" s="60"/>
      <c r="M229" s="60"/>
      <c r="N229" s="60"/>
      <c r="O229" s="60"/>
      <c r="P229" s="60"/>
      <c r="Q229" s="60"/>
      <c r="R229" s="60"/>
      <c r="S229" s="60"/>
      <c r="T229" s="60"/>
      <c r="U229" s="60"/>
      <c r="V229" s="60"/>
      <c r="W229" s="60"/>
      <c r="X229" s="60"/>
      <c r="Y229" s="60"/>
      <c r="Z229" s="60"/>
      <c r="AA229" s="60"/>
    </row>
    <row r="230" spans="8:27" ht="11.5">
      <c r="H230" s="60"/>
      <c r="I230" s="60"/>
      <c r="J230" s="60"/>
      <c r="K230" s="60"/>
      <c r="L230" s="60"/>
      <c r="M230" s="60"/>
      <c r="N230" s="60"/>
      <c r="O230" s="60"/>
      <c r="P230" s="60"/>
      <c r="Q230" s="60"/>
      <c r="R230" s="60"/>
      <c r="S230" s="60"/>
      <c r="T230" s="60"/>
      <c r="U230" s="60"/>
      <c r="V230" s="60"/>
      <c r="W230" s="60"/>
      <c r="X230" s="60"/>
      <c r="Y230" s="60"/>
      <c r="Z230" s="60"/>
      <c r="AA230" s="60"/>
    </row>
    <row r="231" spans="8:27" ht="11.5">
      <c r="H231" s="60"/>
      <c r="I231" s="60"/>
      <c r="J231" s="60"/>
      <c r="K231" s="60"/>
      <c r="L231" s="60"/>
      <c r="M231" s="60"/>
      <c r="N231" s="60"/>
      <c r="O231" s="60"/>
      <c r="P231" s="60"/>
      <c r="Q231" s="60"/>
      <c r="R231" s="60"/>
      <c r="S231" s="60"/>
      <c r="T231" s="60"/>
      <c r="U231" s="60"/>
      <c r="V231" s="60"/>
      <c r="W231" s="60"/>
      <c r="X231" s="60"/>
      <c r="Y231" s="60"/>
      <c r="Z231" s="60"/>
      <c r="AA231" s="60"/>
    </row>
    <row r="232" spans="8:27" ht="11.5">
      <c r="H232" s="60"/>
      <c r="I232" s="60"/>
      <c r="J232" s="60"/>
      <c r="K232" s="60"/>
      <c r="L232" s="60"/>
      <c r="M232" s="60"/>
      <c r="N232" s="60"/>
      <c r="O232" s="60"/>
      <c r="P232" s="60"/>
      <c r="Q232" s="60"/>
      <c r="R232" s="60"/>
      <c r="S232" s="60"/>
      <c r="T232" s="60"/>
      <c r="U232" s="60"/>
      <c r="V232" s="60"/>
      <c r="W232" s="60"/>
      <c r="X232" s="60"/>
      <c r="Y232" s="60"/>
      <c r="Z232" s="60"/>
      <c r="AA232" s="60"/>
    </row>
    <row r="233" spans="8:27" ht="11.5">
      <c r="H233" s="60"/>
      <c r="I233" s="60"/>
      <c r="J233" s="60"/>
      <c r="K233" s="60"/>
      <c r="L233" s="60"/>
      <c r="M233" s="60"/>
      <c r="N233" s="60"/>
      <c r="O233" s="60"/>
      <c r="P233" s="60"/>
      <c r="Q233" s="60"/>
      <c r="R233" s="60"/>
      <c r="S233" s="60"/>
      <c r="T233" s="60"/>
      <c r="U233" s="60"/>
      <c r="V233" s="60"/>
      <c r="W233" s="60"/>
      <c r="X233" s="60"/>
      <c r="Y233" s="60"/>
      <c r="Z233" s="60"/>
      <c r="AA233" s="60"/>
    </row>
    <row r="234" spans="8:27" ht="11.5">
      <c r="H234" s="60"/>
      <c r="I234" s="60"/>
      <c r="J234" s="60"/>
      <c r="K234" s="60"/>
      <c r="L234" s="60"/>
      <c r="M234" s="60"/>
      <c r="N234" s="60"/>
      <c r="O234" s="60"/>
      <c r="P234" s="60"/>
      <c r="Q234" s="60"/>
      <c r="R234" s="60"/>
      <c r="S234" s="60"/>
      <c r="T234" s="60"/>
      <c r="U234" s="60"/>
      <c r="V234" s="60"/>
      <c r="W234" s="60"/>
      <c r="X234" s="60"/>
      <c r="Y234" s="60"/>
      <c r="Z234" s="60"/>
      <c r="AA234" s="60"/>
    </row>
    <row r="235" spans="8:27" ht="11.5">
      <c r="H235" s="60"/>
      <c r="I235" s="60"/>
      <c r="J235" s="60"/>
      <c r="K235" s="60"/>
      <c r="L235" s="60"/>
      <c r="M235" s="60"/>
      <c r="N235" s="60"/>
      <c r="O235" s="60"/>
      <c r="P235" s="60"/>
      <c r="Q235" s="60"/>
      <c r="R235" s="60"/>
      <c r="S235" s="60"/>
      <c r="T235" s="60"/>
      <c r="U235" s="60"/>
      <c r="V235" s="60"/>
      <c r="W235" s="60"/>
      <c r="X235" s="60"/>
      <c r="Y235" s="60"/>
      <c r="Z235" s="60"/>
      <c r="AA235" s="60"/>
    </row>
    <row r="236" spans="8:27" ht="11.5">
      <c r="H236" s="60"/>
      <c r="I236" s="60"/>
      <c r="J236" s="60"/>
      <c r="K236" s="60"/>
      <c r="L236" s="60"/>
      <c r="M236" s="60"/>
      <c r="N236" s="60"/>
      <c r="O236" s="60"/>
      <c r="P236" s="60"/>
      <c r="Q236" s="60"/>
      <c r="R236" s="60"/>
      <c r="S236" s="60"/>
      <c r="T236" s="60"/>
      <c r="U236" s="60"/>
      <c r="V236" s="60"/>
      <c r="W236" s="60"/>
      <c r="X236" s="60"/>
      <c r="Y236" s="60"/>
      <c r="Z236" s="60"/>
      <c r="AA236" s="60"/>
    </row>
    <row r="237" spans="8:27" ht="11.5">
      <c r="H237" s="60"/>
      <c r="I237" s="60"/>
      <c r="J237" s="60"/>
      <c r="K237" s="60"/>
      <c r="L237" s="60"/>
      <c r="M237" s="60"/>
      <c r="N237" s="60"/>
      <c r="O237" s="60"/>
      <c r="P237" s="60"/>
      <c r="Q237" s="60"/>
      <c r="R237" s="60"/>
      <c r="S237" s="60"/>
      <c r="T237" s="60"/>
      <c r="U237" s="60"/>
      <c r="V237" s="60"/>
      <c r="W237" s="60"/>
      <c r="X237" s="60"/>
      <c r="Y237" s="60"/>
      <c r="Z237" s="60"/>
      <c r="AA237" s="60"/>
    </row>
    <row r="238" spans="8:27" ht="11.5">
      <c r="H238" s="60"/>
      <c r="I238" s="60"/>
      <c r="J238" s="60"/>
      <c r="K238" s="60"/>
      <c r="L238" s="60"/>
      <c r="M238" s="60"/>
      <c r="N238" s="60"/>
      <c r="O238" s="60"/>
      <c r="P238" s="60"/>
      <c r="Q238" s="60"/>
      <c r="R238" s="60"/>
      <c r="S238" s="60"/>
      <c r="T238" s="60"/>
      <c r="U238" s="60"/>
      <c r="V238" s="60"/>
      <c r="W238" s="60"/>
      <c r="X238" s="60"/>
      <c r="Y238" s="60"/>
      <c r="Z238" s="60"/>
      <c r="AA238" s="60"/>
    </row>
    <row r="239" spans="8:27" ht="11.5">
      <c r="H239" s="60"/>
      <c r="I239" s="60"/>
      <c r="J239" s="60"/>
      <c r="K239" s="60"/>
      <c r="L239" s="60"/>
      <c r="M239" s="60"/>
      <c r="N239" s="60"/>
      <c r="O239" s="60"/>
      <c r="P239" s="60"/>
      <c r="Q239" s="60"/>
      <c r="R239" s="60"/>
      <c r="S239" s="60"/>
      <c r="T239" s="60"/>
      <c r="U239" s="60"/>
      <c r="V239" s="60"/>
      <c r="W239" s="60"/>
      <c r="X239" s="60"/>
      <c r="Y239" s="60"/>
      <c r="Z239" s="60"/>
      <c r="AA239" s="60"/>
    </row>
    <row r="240" spans="8:27" ht="11.5">
      <c r="H240" s="60"/>
      <c r="I240" s="60"/>
      <c r="J240" s="60"/>
      <c r="K240" s="60"/>
      <c r="L240" s="60"/>
      <c r="M240" s="60"/>
      <c r="N240" s="60"/>
      <c r="O240" s="60"/>
      <c r="P240" s="60"/>
      <c r="Q240" s="60"/>
      <c r="R240" s="60"/>
      <c r="S240" s="60"/>
      <c r="T240" s="60"/>
      <c r="U240" s="60"/>
      <c r="V240" s="60"/>
      <c r="W240" s="60"/>
      <c r="X240" s="60"/>
      <c r="Y240" s="60"/>
      <c r="Z240" s="60"/>
      <c r="AA240" s="60"/>
    </row>
    <row r="241" spans="8:27" ht="11.5">
      <c r="H241" s="60"/>
      <c r="I241" s="60"/>
      <c r="J241" s="60"/>
      <c r="K241" s="60"/>
      <c r="L241" s="60"/>
      <c r="M241" s="60"/>
      <c r="N241" s="60"/>
      <c r="O241" s="60"/>
      <c r="P241" s="60"/>
      <c r="Q241" s="60"/>
      <c r="R241" s="60"/>
      <c r="S241" s="60"/>
      <c r="T241" s="60"/>
      <c r="U241" s="60"/>
      <c r="V241" s="60"/>
      <c r="W241" s="60"/>
      <c r="X241" s="60"/>
      <c r="Y241" s="60"/>
      <c r="Z241" s="60"/>
      <c r="AA241" s="60"/>
    </row>
    <row r="242" spans="8:27" ht="11.5">
      <c r="H242" s="60"/>
      <c r="I242" s="60"/>
      <c r="J242" s="60"/>
      <c r="K242" s="60"/>
      <c r="L242" s="60"/>
      <c r="M242" s="60"/>
      <c r="N242" s="60"/>
      <c r="O242" s="60"/>
      <c r="P242" s="60"/>
      <c r="Q242" s="60"/>
      <c r="R242" s="60"/>
      <c r="S242" s="60"/>
      <c r="T242" s="60"/>
      <c r="U242" s="60"/>
      <c r="V242" s="60"/>
      <c r="W242" s="60"/>
      <c r="X242" s="60"/>
      <c r="Y242" s="60"/>
      <c r="Z242" s="60"/>
      <c r="AA242" s="60"/>
    </row>
    <row r="243" spans="8:27" ht="11.5">
      <c r="H243" s="60"/>
      <c r="I243" s="60"/>
      <c r="J243" s="60"/>
      <c r="K243" s="60"/>
      <c r="L243" s="60"/>
      <c r="M243" s="60"/>
      <c r="N243" s="60"/>
      <c r="O243" s="60"/>
      <c r="P243" s="60"/>
      <c r="Q243" s="60"/>
      <c r="R243" s="60"/>
      <c r="S243" s="60"/>
      <c r="T243" s="60"/>
      <c r="U243" s="60"/>
      <c r="V243" s="60"/>
      <c r="W243" s="60"/>
      <c r="X243" s="60"/>
      <c r="Y243" s="60"/>
      <c r="Z243" s="60"/>
      <c r="AA243" s="60"/>
    </row>
    <row r="244" spans="8:27" ht="11.5">
      <c r="H244" s="60"/>
      <c r="I244" s="60"/>
      <c r="J244" s="60"/>
      <c r="K244" s="60"/>
      <c r="L244" s="60"/>
      <c r="M244" s="60"/>
      <c r="N244" s="60"/>
      <c r="O244" s="60"/>
      <c r="P244" s="60"/>
      <c r="Q244" s="60"/>
      <c r="R244" s="60"/>
      <c r="S244" s="60"/>
      <c r="T244" s="60"/>
      <c r="U244" s="60"/>
      <c r="V244" s="60"/>
      <c r="W244" s="60"/>
      <c r="X244" s="60"/>
      <c r="Y244" s="60"/>
      <c r="Z244" s="60"/>
      <c r="AA244" s="60"/>
    </row>
    <row r="245" spans="8:27" ht="11.5">
      <c r="H245" s="60"/>
      <c r="I245" s="60"/>
      <c r="J245" s="60"/>
      <c r="K245" s="60"/>
      <c r="L245" s="60"/>
      <c r="M245" s="60"/>
      <c r="N245" s="60"/>
      <c r="O245" s="60"/>
      <c r="P245" s="60"/>
      <c r="Q245" s="60"/>
      <c r="R245" s="60"/>
      <c r="S245" s="60"/>
      <c r="T245" s="60"/>
      <c r="U245" s="60"/>
      <c r="V245" s="60"/>
      <c r="W245" s="60"/>
      <c r="X245" s="60"/>
      <c r="Y245" s="60"/>
      <c r="Z245" s="60"/>
      <c r="AA245" s="60"/>
    </row>
    <row r="246" spans="8:27" ht="11.5">
      <c r="H246" s="60"/>
      <c r="I246" s="60"/>
      <c r="J246" s="60"/>
      <c r="K246" s="60"/>
      <c r="L246" s="60"/>
      <c r="M246" s="60"/>
      <c r="N246" s="60"/>
      <c r="O246" s="60"/>
      <c r="P246" s="60"/>
      <c r="Q246" s="60"/>
      <c r="R246" s="60"/>
      <c r="S246" s="60"/>
      <c r="T246" s="60"/>
      <c r="U246" s="60"/>
      <c r="V246" s="60"/>
      <c r="W246" s="60"/>
      <c r="X246" s="60"/>
      <c r="Y246" s="60"/>
      <c r="Z246" s="60"/>
      <c r="AA246" s="60"/>
    </row>
    <row r="247" spans="8:27" ht="11.5">
      <c r="H247" s="60"/>
      <c r="I247" s="60"/>
      <c r="J247" s="60"/>
      <c r="K247" s="60"/>
      <c r="L247" s="60"/>
      <c r="M247" s="60"/>
      <c r="N247" s="60"/>
      <c r="O247" s="60"/>
      <c r="P247" s="60"/>
      <c r="Q247" s="60"/>
      <c r="R247" s="60"/>
      <c r="S247" s="60"/>
      <c r="T247" s="60"/>
      <c r="U247" s="60"/>
      <c r="V247" s="60"/>
      <c r="W247" s="60"/>
      <c r="X247" s="60"/>
      <c r="Y247" s="60"/>
      <c r="Z247" s="60"/>
      <c r="AA247" s="60"/>
    </row>
    <row r="248" spans="8:27" ht="11.5">
      <c r="H248" s="60"/>
      <c r="I248" s="60"/>
      <c r="J248" s="60"/>
      <c r="K248" s="60"/>
      <c r="L248" s="60"/>
      <c r="M248" s="60"/>
      <c r="N248" s="60"/>
      <c r="O248" s="60"/>
      <c r="P248" s="60"/>
      <c r="Q248" s="60"/>
      <c r="R248" s="60"/>
      <c r="S248" s="60"/>
      <c r="T248" s="60"/>
      <c r="U248" s="60"/>
      <c r="V248" s="60"/>
      <c r="W248" s="60"/>
      <c r="X248" s="60"/>
      <c r="Y248" s="60"/>
      <c r="Z248" s="60"/>
      <c r="AA248" s="60"/>
    </row>
    <row r="249" spans="8:27" ht="11.5">
      <c r="H249" s="60"/>
      <c r="I249" s="60"/>
      <c r="J249" s="60"/>
      <c r="K249" s="60"/>
      <c r="L249" s="60"/>
      <c r="M249" s="60"/>
      <c r="N249" s="60"/>
      <c r="O249" s="60"/>
      <c r="P249" s="60"/>
      <c r="Q249" s="60"/>
      <c r="R249" s="60"/>
      <c r="S249" s="60"/>
      <c r="T249" s="60"/>
      <c r="U249" s="60"/>
      <c r="V249" s="60"/>
      <c r="W249" s="60"/>
      <c r="X249" s="60"/>
      <c r="Y249" s="60"/>
      <c r="Z249" s="60"/>
      <c r="AA249" s="60"/>
    </row>
    <row r="250" spans="8:27" ht="11.5">
      <c r="H250" s="60"/>
      <c r="I250" s="60"/>
      <c r="J250" s="60"/>
      <c r="K250" s="60"/>
      <c r="L250" s="60"/>
      <c r="M250" s="60"/>
      <c r="N250" s="60"/>
      <c r="O250" s="60"/>
      <c r="P250" s="60"/>
      <c r="Q250" s="60"/>
      <c r="R250" s="60"/>
      <c r="S250" s="60"/>
      <c r="T250" s="60"/>
      <c r="U250" s="60"/>
      <c r="V250" s="60"/>
      <c r="W250" s="60"/>
      <c r="X250" s="60"/>
      <c r="Y250" s="60"/>
      <c r="Z250" s="60"/>
      <c r="AA250" s="60"/>
    </row>
    <row r="251" spans="8:27" ht="11.5">
      <c r="H251" s="60"/>
      <c r="I251" s="60"/>
      <c r="J251" s="60"/>
      <c r="K251" s="60"/>
      <c r="L251" s="60"/>
      <c r="M251" s="60"/>
      <c r="N251" s="60"/>
      <c r="O251" s="60"/>
      <c r="P251" s="60"/>
      <c r="Q251" s="60"/>
      <c r="R251" s="60"/>
      <c r="S251" s="60"/>
      <c r="T251" s="60"/>
      <c r="U251" s="60"/>
      <c r="V251" s="60"/>
      <c r="W251" s="60"/>
      <c r="X251" s="60"/>
      <c r="Y251" s="60"/>
      <c r="Z251" s="60"/>
      <c r="AA251" s="60"/>
    </row>
    <row r="252" spans="8:27" ht="11.5">
      <c r="H252" s="60"/>
      <c r="I252" s="60"/>
      <c r="J252" s="60"/>
      <c r="K252" s="60"/>
      <c r="L252" s="60"/>
      <c r="M252" s="60"/>
      <c r="N252" s="60"/>
      <c r="O252" s="60"/>
      <c r="P252" s="60"/>
      <c r="Q252" s="60"/>
      <c r="R252" s="60"/>
      <c r="S252" s="60"/>
      <c r="T252" s="60"/>
      <c r="U252" s="60"/>
      <c r="V252" s="60"/>
      <c r="W252" s="60"/>
      <c r="X252" s="60"/>
      <c r="Y252" s="60"/>
      <c r="Z252" s="60"/>
      <c r="AA252" s="60"/>
    </row>
    <row r="253" spans="8:27" ht="11.5">
      <c r="H253" s="60"/>
      <c r="I253" s="60"/>
      <c r="J253" s="60"/>
      <c r="K253" s="60"/>
      <c r="L253" s="60"/>
      <c r="M253" s="60"/>
      <c r="N253" s="60"/>
      <c r="O253" s="60"/>
      <c r="P253" s="60"/>
      <c r="Q253" s="60"/>
      <c r="R253" s="60"/>
      <c r="S253" s="60"/>
      <c r="T253" s="60"/>
      <c r="U253" s="60"/>
      <c r="V253" s="60"/>
      <c r="W253" s="60"/>
      <c r="X253" s="60"/>
      <c r="Y253" s="60"/>
      <c r="Z253" s="60"/>
      <c r="AA253" s="60"/>
    </row>
    <row r="254" spans="8:27" ht="11.5">
      <c r="H254" s="60"/>
      <c r="I254" s="60"/>
      <c r="J254" s="60"/>
      <c r="K254" s="60"/>
      <c r="L254" s="60"/>
      <c r="M254" s="60"/>
      <c r="N254" s="60"/>
      <c r="O254" s="60"/>
      <c r="P254" s="60"/>
      <c r="Q254" s="60"/>
      <c r="R254" s="60"/>
      <c r="S254" s="60"/>
      <c r="T254" s="60"/>
      <c r="U254" s="60"/>
      <c r="V254" s="60"/>
      <c r="W254" s="60"/>
      <c r="X254" s="60"/>
      <c r="Y254" s="60"/>
      <c r="Z254" s="60"/>
      <c r="AA254" s="60"/>
    </row>
    <row r="255" spans="8:27" ht="11.5">
      <c r="H255" s="60"/>
      <c r="I255" s="60"/>
      <c r="J255" s="60"/>
      <c r="K255" s="60"/>
      <c r="L255" s="60"/>
      <c r="M255" s="60"/>
      <c r="N255" s="60"/>
      <c r="O255" s="60"/>
      <c r="P255" s="60"/>
      <c r="Q255" s="60"/>
      <c r="R255" s="60"/>
      <c r="S255" s="60"/>
      <c r="T255" s="60"/>
      <c r="U255" s="60"/>
      <c r="V255" s="60"/>
      <c r="W255" s="60"/>
      <c r="X255" s="60"/>
      <c r="Y255" s="60"/>
      <c r="Z255" s="60"/>
      <c r="AA255" s="60"/>
    </row>
    <row r="256" spans="8:27" ht="11.5">
      <c r="H256" s="60"/>
      <c r="I256" s="60"/>
      <c r="J256" s="60"/>
      <c r="K256" s="60"/>
      <c r="L256" s="60"/>
      <c r="M256" s="60"/>
      <c r="N256" s="60"/>
      <c r="O256" s="60"/>
      <c r="P256" s="60"/>
      <c r="Q256" s="60"/>
      <c r="R256" s="60"/>
      <c r="S256" s="60"/>
      <c r="T256" s="60"/>
      <c r="U256" s="60"/>
      <c r="V256" s="60"/>
      <c r="W256" s="60"/>
      <c r="X256" s="60"/>
      <c r="Y256" s="60"/>
      <c r="Z256" s="60"/>
      <c r="AA256" s="60"/>
    </row>
    <row r="257" spans="8:27" ht="11.5">
      <c r="H257" s="60"/>
      <c r="I257" s="60"/>
      <c r="J257" s="60"/>
      <c r="K257" s="60"/>
      <c r="L257" s="60"/>
      <c r="M257" s="60"/>
      <c r="N257" s="60"/>
      <c r="O257" s="60"/>
      <c r="P257" s="60"/>
      <c r="Q257" s="60"/>
      <c r="R257" s="60"/>
      <c r="S257" s="60"/>
      <c r="T257" s="60"/>
      <c r="U257" s="60"/>
      <c r="V257" s="60"/>
      <c r="W257" s="60"/>
      <c r="X257" s="60"/>
      <c r="Y257" s="60"/>
      <c r="Z257" s="60"/>
      <c r="AA257" s="60"/>
    </row>
    <row r="258" spans="8:27" ht="11.5">
      <c r="H258" s="60"/>
      <c r="I258" s="60"/>
      <c r="J258" s="60"/>
      <c r="K258" s="60"/>
      <c r="L258" s="60"/>
      <c r="M258" s="60"/>
      <c r="N258" s="60"/>
      <c r="O258" s="60"/>
      <c r="P258" s="60"/>
      <c r="Q258" s="60"/>
      <c r="R258" s="60"/>
      <c r="S258" s="60"/>
      <c r="T258" s="60"/>
      <c r="U258" s="60"/>
      <c r="V258" s="60"/>
      <c r="W258" s="60"/>
      <c r="X258" s="60"/>
      <c r="Y258" s="60"/>
      <c r="Z258" s="60"/>
      <c r="AA258" s="60"/>
    </row>
    <row r="259" spans="8:27" ht="11.5">
      <c r="H259" s="60"/>
      <c r="I259" s="60"/>
      <c r="J259" s="60"/>
      <c r="K259" s="60"/>
      <c r="L259" s="60"/>
      <c r="M259" s="60"/>
      <c r="N259" s="60"/>
      <c r="O259" s="60"/>
      <c r="P259" s="60"/>
      <c r="Q259" s="60"/>
      <c r="R259" s="60"/>
      <c r="S259" s="60"/>
      <c r="T259" s="60"/>
      <c r="U259" s="60"/>
      <c r="V259" s="60"/>
      <c r="W259" s="60"/>
      <c r="X259" s="60"/>
      <c r="Y259" s="60"/>
      <c r="Z259" s="60"/>
      <c r="AA259" s="60"/>
    </row>
    <row r="260" spans="8:27" ht="11.5">
      <c r="H260" s="60"/>
      <c r="I260" s="60"/>
      <c r="J260" s="60"/>
      <c r="K260" s="60"/>
      <c r="L260" s="60"/>
      <c r="M260" s="60"/>
      <c r="N260" s="60"/>
      <c r="O260" s="60"/>
      <c r="P260" s="60"/>
      <c r="Q260" s="60"/>
      <c r="R260" s="60"/>
      <c r="S260" s="60"/>
      <c r="T260" s="60"/>
      <c r="U260" s="60"/>
      <c r="V260" s="60"/>
      <c r="W260" s="60"/>
      <c r="X260" s="60"/>
      <c r="Y260" s="60"/>
      <c r="Z260" s="60"/>
      <c r="AA260" s="60"/>
    </row>
    <row r="261" spans="8:27" ht="11.5">
      <c r="H261" s="60"/>
      <c r="I261" s="60"/>
      <c r="J261" s="60"/>
      <c r="K261" s="60"/>
      <c r="L261" s="60"/>
      <c r="M261" s="60"/>
      <c r="N261" s="60"/>
      <c r="O261" s="60"/>
      <c r="P261" s="60"/>
      <c r="Q261" s="60"/>
      <c r="R261" s="60"/>
      <c r="S261" s="60"/>
      <c r="T261" s="60"/>
      <c r="U261" s="60"/>
      <c r="V261" s="60"/>
      <c r="W261" s="60"/>
      <c r="X261" s="60"/>
      <c r="Y261" s="60"/>
      <c r="Z261" s="60"/>
      <c r="AA261" s="60"/>
    </row>
    <row r="262" spans="8:27" ht="11.5">
      <c r="H262" s="60"/>
      <c r="I262" s="60"/>
      <c r="J262" s="60"/>
      <c r="K262" s="60"/>
      <c r="L262" s="60"/>
      <c r="M262" s="60"/>
      <c r="N262" s="60"/>
      <c r="O262" s="60"/>
      <c r="P262" s="60"/>
      <c r="Q262" s="60"/>
      <c r="R262" s="60"/>
      <c r="S262" s="60"/>
      <c r="T262" s="60"/>
      <c r="U262" s="60"/>
      <c r="V262" s="60"/>
      <c r="W262" s="60"/>
      <c r="X262" s="60"/>
      <c r="Y262" s="60"/>
      <c r="Z262" s="60"/>
      <c r="AA262" s="60"/>
    </row>
    <row r="263" spans="8:27" ht="11.5">
      <c r="H263" s="60"/>
      <c r="I263" s="60"/>
      <c r="J263" s="60"/>
      <c r="K263" s="60"/>
      <c r="L263" s="60"/>
      <c r="M263" s="60"/>
      <c r="N263" s="60"/>
      <c r="O263" s="60"/>
      <c r="P263" s="60"/>
      <c r="Q263" s="60"/>
      <c r="R263" s="60"/>
      <c r="S263" s="60"/>
      <c r="T263" s="60"/>
      <c r="U263" s="60"/>
      <c r="V263" s="60"/>
      <c r="W263" s="60"/>
      <c r="X263" s="60"/>
      <c r="Y263" s="60"/>
      <c r="Z263" s="60"/>
      <c r="AA263" s="60"/>
    </row>
    <row r="264" spans="8:27" ht="11.5">
      <c r="H264" s="60"/>
      <c r="I264" s="60"/>
      <c r="J264" s="60"/>
      <c r="K264" s="60"/>
      <c r="L264" s="60"/>
      <c r="M264" s="60"/>
      <c r="N264" s="60"/>
      <c r="O264" s="60"/>
      <c r="P264" s="60"/>
      <c r="Q264" s="60"/>
      <c r="R264" s="60"/>
      <c r="S264" s="60"/>
      <c r="T264" s="60"/>
      <c r="U264" s="60"/>
      <c r="V264" s="60"/>
      <c r="W264" s="60"/>
      <c r="X264" s="60"/>
      <c r="Y264" s="60"/>
      <c r="Z264" s="60"/>
      <c r="AA264" s="60"/>
    </row>
    <row r="265" spans="8:27" ht="11.5">
      <c r="H265" s="60"/>
      <c r="I265" s="60"/>
      <c r="J265" s="60"/>
      <c r="K265" s="60"/>
      <c r="L265" s="60"/>
      <c r="M265" s="60"/>
      <c r="N265" s="60"/>
      <c r="O265" s="60"/>
      <c r="P265" s="60"/>
      <c r="Q265" s="60"/>
      <c r="R265" s="60"/>
      <c r="S265" s="60"/>
      <c r="T265" s="60"/>
      <c r="U265" s="60"/>
      <c r="V265" s="60"/>
      <c r="W265" s="60"/>
      <c r="X265" s="60"/>
      <c r="Y265" s="60"/>
      <c r="Z265" s="60"/>
      <c r="AA265" s="60"/>
    </row>
    <row r="266" spans="8:27" ht="11.5">
      <c r="H266" s="60"/>
      <c r="I266" s="60"/>
      <c r="J266" s="60"/>
      <c r="K266" s="60"/>
      <c r="L266" s="60"/>
      <c r="M266" s="60"/>
      <c r="N266" s="60"/>
      <c r="O266" s="60"/>
      <c r="P266" s="60"/>
      <c r="Q266" s="60"/>
      <c r="R266" s="60"/>
      <c r="S266" s="60"/>
      <c r="T266" s="60"/>
      <c r="U266" s="60"/>
      <c r="V266" s="60"/>
      <c r="W266" s="60"/>
      <c r="X266" s="60"/>
      <c r="Y266" s="60"/>
      <c r="Z266" s="60"/>
      <c r="AA266" s="60"/>
    </row>
    <row r="267" spans="8:27" ht="11.5">
      <c r="H267" s="60"/>
      <c r="I267" s="60"/>
      <c r="J267" s="60"/>
      <c r="K267" s="60"/>
      <c r="L267" s="60"/>
      <c r="M267" s="60"/>
      <c r="N267" s="60"/>
      <c r="O267" s="60"/>
      <c r="P267" s="60"/>
      <c r="Q267" s="60"/>
      <c r="R267" s="60"/>
      <c r="S267" s="60"/>
      <c r="T267" s="60"/>
      <c r="U267" s="60"/>
      <c r="V267" s="60"/>
      <c r="W267" s="60"/>
      <c r="X267" s="60"/>
      <c r="Y267" s="60"/>
      <c r="Z267" s="60"/>
      <c r="AA267" s="60"/>
    </row>
    <row r="268" spans="8:27" ht="11.5">
      <c r="H268" s="60"/>
      <c r="I268" s="60"/>
      <c r="J268" s="60"/>
      <c r="K268" s="60"/>
      <c r="L268" s="60"/>
      <c r="M268" s="60"/>
      <c r="N268" s="60"/>
      <c r="O268" s="60"/>
      <c r="P268" s="60"/>
      <c r="Q268" s="60"/>
      <c r="R268" s="60"/>
      <c r="S268" s="60"/>
      <c r="T268" s="60"/>
      <c r="U268" s="60"/>
      <c r="V268" s="60"/>
      <c r="W268" s="60"/>
      <c r="X268" s="60"/>
      <c r="Y268" s="60"/>
      <c r="Z268" s="60"/>
      <c r="AA268" s="60"/>
    </row>
    <row r="269" spans="8:27" ht="11.5">
      <c r="H269" s="60"/>
      <c r="I269" s="60"/>
      <c r="J269" s="60"/>
      <c r="K269" s="60"/>
      <c r="L269" s="60"/>
      <c r="M269" s="60"/>
      <c r="N269" s="60"/>
      <c r="O269" s="60"/>
      <c r="P269" s="60"/>
      <c r="Q269" s="60"/>
      <c r="R269" s="60"/>
      <c r="S269" s="60"/>
      <c r="T269" s="60"/>
      <c r="U269" s="60"/>
      <c r="V269" s="60"/>
      <c r="W269" s="60"/>
      <c r="X269" s="60"/>
      <c r="Y269" s="60"/>
      <c r="Z269" s="60"/>
      <c r="AA269" s="60"/>
    </row>
    <row r="270" spans="8:27" ht="11.5">
      <c r="H270" s="60"/>
      <c r="I270" s="60"/>
      <c r="J270" s="60"/>
      <c r="K270" s="60"/>
      <c r="L270" s="60"/>
      <c r="M270" s="60"/>
      <c r="N270" s="60"/>
      <c r="O270" s="60"/>
      <c r="P270" s="60"/>
      <c r="Q270" s="60"/>
      <c r="R270" s="60"/>
      <c r="S270" s="60"/>
      <c r="T270" s="60"/>
      <c r="U270" s="60"/>
      <c r="V270" s="60"/>
      <c r="W270" s="60"/>
      <c r="X270" s="60"/>
      <c r="Y270" s="60"/>
      <c r="Z270" s="60"/>
      <c r="AA270" s="60"/>
    </row>
    <row r="271" spans="8:27" ht="11.5">
      <c r="H271" s="60"/>
      <c r="I271" s="60"/>
      <c r="J271" s="60"/>
      <c r="K271" s="60"/>
      <c r="L271" s="60"/>
      <c r="M271" s="60"/>
      <c r="N271" s="60"/>
      <c r="O271" s="60"/>
      <c r="P271" s="60"/>
      <c r="Q271" s="60"/>
      <c r="R271" s="60"/>
      <c r="S271" s="60"/>
      <c r="T271" s="60"/>
      <c r="U271" s="60"/>
      <c r="V271" s="60"/>
      <c r="W271" s="60"/>
      <c r="X271" s="60"/>
      <c r="Y271" s="60"/>
      <c r="Z271" s="60"/>
      <c r="AA271" s="60"/>
    </row>
    <row r="272" spans="8:27" ht="11.5">
      <c r="H272" s="60"/>
      <c r="I272" s="60"/>
      <c r="J272" s="60"/>
      <c r="K272" s="60"/>
      <c r="L272" s="60"/>
      <c r="M272" s="60"/>
      <c r="N272" s="60"/>
      <c r="O272" s="60"/>
      <c r="P272" s="60"/>
      <c r="Q272" s="60"/>
      <c r="R272" s="60"/>
      <c r="S272" s="60"/>
      <c r="T272" s="60"/>
      <c r="U272" s="60"/>
      <c r="V272" s="60"/>
      <c r="W272" s="60"/>
      <c r="X272" s="60"/>
      <c r="Y272" s="60"/>
      <c r="Z272" s="60"/>
      <c r="AA272" s="60"/>
    </row>
    <row r="273" spans="8:27" ht="11.5">
      <c r="H273" s="60"/>
      <c r="I273" s="60"/>
      <c r="J273" s="60"/>
      <c r="K273" s="60"/>
      <c r="L273" s="60"/>
      <c r="M273" s="60"/>
      <c r="N273" s="60"/>
      <c r="O273" s="60"/>
      <c r="P273" s="60"/>
      <c r="Q273" s="60"/>
      <c r="R273" s="60"/>
      <c r="S273" s="60"/>
      <c r="T273" s="60"/>
      <c r="U273" s="60"/>
      <c r="V273" s="60"/>
      <c r="W273" s="60"/>
      <c r="X273" s="60"/>
      <c r="Y273" s="60"/>
      <c r="Z273" s="60"/>
      <c r="AA273" s="60"/>
    </row>
    <row r="274" spans="8:27" ht="11.5">
      <c r="H274" s="60"/>
      <c r="I274" s="60"/>
      <c r="J274" s="60"/>
      <c r="K274" s="60"/>
      <c r="L274" s="60"/>
      <c r="M274" s="60"/>
      <c r="N274" s="60"/>
      <c r="O274" s="60"/>
      <c r="P274" s="60"/>
      <c r="Q274" s="60"/>
      <c r="R274" s="60"/>
      <c r="S274" s="60"/>
      <c r="T274" s="60"/>
      <c r="U274" s="60"/>
      <c r="V274" s="60"/>
      <c r="W274" s="60"/>
      <c r="X274" s="60"/>
      <c r="Y274" s="60"/>
      <c r="Z274" s="60"/>
      <c r="AA274" s="60"/>
    </row>
    <row r="275" spans="8:27" ht="11.5">
      <c r="H275" s="60"/>
      <c r="I275" s="60"/>
      <c r="J275" s="60"/>
      <c r="K275" s="60"/>
      <c r="L275" s="60"/>
      <c r="M275" s="60"/>
      <c r="N275" s="60"/>
      <c r="O275" s="60"/>
      <c r="P275" s="60"/>
      <c r="Q275" s="60"/>
      <c r="R275" s="60"/>
      <c r="S275" s="60"/>
      <c r="T275" s="60"/>
      <c r="U275" s="60"/>
      <c r="V275" s="60"/>
      <c r="W275" s="60"/>
      <c r="X275" s="60"/>
      <c r="Y275" s="60"/>
      <c r="Z275" s="60"/>
      <c r="AA275" s="60"/>
    </row>
    <row r="276" spans="8:27" ht="11.5">
      <c r="H276" s="60"/>
      <c r="I276" s="60"/>
      <c r="J276" s="60"/>
      <c r="K276" s="60"/>
      <c r="L276" s="60"/>
      <c r="M276" s="60"/>
      <c r="N276" s="60"/>
      <c r="O276" s="60"/>
      <c r="P276" s="60"/>
      <c r="Q276" s="60"/>
      <c r="R276" s="60"/>
      <c r="S276" s="60"/>
      <c r="T276" s="60"/>
      <c r="U276" s="60"/>
      <c r="V276" s="60"/>
      <c r="W276" s="60"/>
      <c r="X276" s="60"/>
      <c r="Y276" s="60"/>
      <c r="Z276" s="60"/>
      <c r="AA276" s="60"/>
    </row>
    <row r="277" spans="8:27" ht="11.5">
      <c r="H277" s="60"/>
      <c r="I277" s="60"/>
      <c r="J277" s="60"/>
      <c r="K277" s="60"/>
      <c r="L277" s="60"/>
      <c r="M277" s="60"/>
      <c r="N277" s="60"/>
      <c r="O277" s="60"/>
      <c r="P277" s="60"/>
      <c r="Q277" s="60"/>
      <c r="R277" s="60"/>
      <c r="S277" s="60"/>
      <c r="T277" s="60"/>
      <c r="U277" s="60"/>
      <c r="V277" s="60"/>
      <c r="W277" s="60"/>
      <c r="X277" s="60"/>
      <c r="Y277" s="60"/>
      <c r="Z277" s="60"/>
      <c r="AA277" s="60"/>
    </row>
    <row r="278" spans="8:27" ht="11.5">
      <c r="H278" s="60"/>
      <c r="I278" s="60"/>
      <c r="J278" s="60"/>
      <c r="K278" s="60"/>
      <c r="L278" s="60"/>
      <c r="M278" s="60"/>
      <c r="N278" s="60"/>
      <c r="O278" s="60"/>
      <c r="P278" s="60"/>
      <c r="Q278" s="60"/>
      <c r="R278" s="60"/>
      <c r="S278" s="60"/>
      <c r="T278" s="60"/>
      <c r="U278" s="60"/>
      <c r="V278" s="60"/>
      <c r="W278" s="60"/>
      <c r="X278" s="60"/>
      <c r="Y278" s="60"/>
      <c r="Z278" s="60"/>
      <c r="AA278" s="60"/>
    </row>
    <row r="279" spans="8:27" ht="11.5">
      <c r="H279" s="60"/>
      <c r="I279" s="60"/>
      <c r="J279" s="60"/>
      <c r="K279" s="60"/>
      <c r="L279" s="60"/>
      <c r="M279" s="60"/>
      <c r="N279" s="60"/>
      <c r="O279" s="60"/>
      <c r="P279" s="60"/>
      <c r="Q279" s="60"/>
      <c r="R279" s="60"/>
      <c r="S279" s="60"/>
      <c r="T279" s="60"/>
      <c r="U279" s="60"/>
      <c r="V279" s="60"/>
      <c r="W279" s="60"/>
      <c r="X279" s="60"/>
      <c r="Y279" s="60"/>
      <c r="Z279" s="60"/>
      <c r="AA279" s="60"/>
    </row>
    <row r="280" spans="8:27" ht="11.5">
      <c r="H280" s="60"/>
      <c r="I280" s="60"/>
      <c r="J280" s="60"/>
      <c r="K280" s="60"/>
      <c r="L280" s="60"/>
      <c r="M280" s="60"/>
      <c r="N280" s="60"/>
      <c r="O280" s="60"/>
      <c r="P280" s="60"/>
      <c r="Q280" s="60"/>
      <c r="R280" s="60"/>
      <c r="S280" s="60"/>
      <c r="T280" s="60"/>
      <c r="U280" s="60"/>
      <c r="V280" s="60"/>
      <c r="W280" s="60"/>
      <c r="X280" s="60"/>
      <c r="Y280" s="60"/>
      <c r="Z280" s="60"/>
      <c r="AA280" s="60"/>
    </row>
    <row r="281" spans="8:27" ht="11.5">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orientation="portrait" paperSize="1"/>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100-000000000000}">
  <sheetPr>
    <tabColor theme="4"/>
  </sheetPr>
  <dimension ref="B1:BU268"/>
  <sheetViews>
    <sheetView tabSelected="1" zoomScale="50" zoomScaleNormal="50" workbookViewId="0" topLeftCell="BE85">
      <selection pane="topLeft" activeCell="BQ108" sqref="BQ108"/>
    </sheetView>
  </sheetViews>
  <sheetFormatPr defaultColWidth="8.72428571428571" defaultRowHeight="14.5"/>
  <cols>
    <col min="1" max="1" width="8.71428571428571" style="3"/>
    <col min="2" max="2" width="130.857142857143" style="3" customWidth="1"/>
    <col min="3" max="5" width="12.8571428571429" style="3"/>
    <col min="6" max="6" width="30.1428571428571" style="3" customWidth="1"/>
    <col min="7" max="7" width="34.8571428571429" style="3" customWidth="1"/>
    <col min="8" max="8" width="32.5714285714286" style="3" customWidth="1"/>
    <col min="9" max="9" width="30.7142857142857" style="3" customWidth="1"/>
    <col min="10" max="11" width="12.8571428571429" style="3"/>
    <col min="12" max="12" width="34.8571428571429" style="3" customWidth="1"/>
    <col min="13" max="15" width="12.8571428571429" style="3"/>
    <col min="16" max="16" width="8.71428571428571" style="3"/>
    <col min="17" max="17" width="34.8571428571429" style="3" customWidth="1"/>
    <col min="18" max="18" width="14.7142857142857" style="3" customWidth="1"/>
    <col min="19" max="20" width="12.8571428571429" style="3"/>
    <col min="21" max="21" width="23.4285714285714" style="3" customWidth="1"/>
    <col min="22" max="22" width="34.8571428571429" style="3" customWidth="1"/>
    <col min="23" max="26" width="12.8571428571429" style="3"/>
    <col min="27" max="27" width="50" style="3" customWidth="1"/>
    <col min="28" max="41" width="12.8571428571429" style="3"/>
    <col min="42" max="47" width="8.71428571428571" style="3"/>
    <col min="48" max="49" width="12.8571428571429" style="3"/>
    <col min="50" max="50" width="63.7142857142857" style="3" customWidth="1"/>
    <col min="51" max="56" width="12.8571428571429" style="3"/>
    <col min="57" max="57" width="57.7142857142857" style="3" customWidth="1"/>
    <col min="58" max="58" width="5.57142857142857" style="3" customWidth="1"/>
    <col min="59" max="61" width="12.8571428571429" style="3" customWidth="1"/>
    <col min="62" max="62" width="12.8571428571429" style="3"/>
    <col min="63" max="63" width="8.71428571428571" style="3"/>
    <col min="64" max="64" width="28.5714285714286" style="3" customWidth="1"/>
    <col min="65" max="70" width="12.8571428571429" style="3"/>
    <col min="71" max="73" width="12.8571428571429" style="112"/>
    <col min="74" max="76" width="12.8571428571429" style="3"/>
    <col min="77" max="78" width="8.71428571428571" style="3"/>
    <col min="79" max="81" width="12.8571428571429" style="3"/>
    <col min="82" max="83" width="8.71428571428571" style="3"/>
    <col min="84" max="86" width="12.8571428571429" style="3"/>
    <col min="87" max="16384" width="8.71428571428571" style="3"/>
  </cols>
  <sheetData>
    <row r="1" spans="2:41 71:73" s="3" customFormat="1" ht="14.5">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3">
        <v>2023</v>
      </c>
      <c r="AJ1" s="113">
        <v>2025</v>
      </c>
      <c r="AK1" s="113">
        <v>2030</v>
      </c>
      <c r="AL1" s="113">
        <v>2035</v>
      </c>
      <c r="AM1" s="113">
        <v>2040</v>
      </c>
      <c r="AN1" s="113">
        <v>2045</v>
      </c>
      <c r="AO1" s="113">
        <v>2050</v>
      </c>
      <c r="BS1" s="112"/>
      <c r="BT1" s="112"/>
      <c r="BU1" s="112"/>
    </row>
    <row r="2" spans="2:2 19:73" s="3" customFormat="1" ht="14.5">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104.44289590222699</v>
      </c>
      <c r="AL2" s="117">
        <v>94.9480871838431</v>
      </c>
      <c r="AM2" s="117">
        <v>92.108475059332307</v>
      </c>
      <c r="AN2" s="117">
        <v>88.961164754970895</v>
      </c>
      <c r="AO2" s="117">
        <v>85.453278465458794</v>
      </c>
      <c r="AX2" t="s">
        <v>62</v>
      </c>
      <c r="AY2"/>
      <c r="AZ2" s="118"/>
      <c r="BE2" s="29" t="s">
        <v>63</v>
      </c>
      <c r="BL2" s="119" t="s">
        <v>62</v>
      </c>
      <c r="BS2" s="112"/>
      <c r="BT2" s="112"/>
      <c r="BU2" s="112"/>
    </row>
    <row r="3" spans="6:73" s="3" customFormat="1" ht="14.5">
      <c r="F3" s="120" t="s">
        <v>64</v>
      </c>
      <c r="G3" s="121"/>
      <c r="H3" s="121"/>
      <c r="I3" s="121"/>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si="0" ref="AJ3:AO3">AJ2</f>
        <v>120.58407072348</v>
      </c>
      <c r="AK3" s="3">
        <f t="shared" si="0"/>
        <v>104.44289590222699</v>
      </c>
      <c r="AL3" s="3">
        <f t="shared" si="0"/>
        <v>94.9480871838431</v>
      </c>
      <c r="AM3" s="3">
        <f t="shared" si="0"/>
        <v>92.108475059332307</v>
      </c>
      <c r="AN3" s="3">
        <f t="shared" si="0"/>
        <v>88.961164754970895</v>
      </c>
      <c r="AO3" s="3">
        <f t="shared" si="0"/>
        <v>85.453278465458794</v>
      </c>
      <c r="AX3" s="118" t="s">
        <v>65</v>
      </c>
      <c r="AY3" s="118" t="s">
        <v>41</v>
      </c>
      <c r="AZ3" s="122" t="s">
        <v>66</v>
      </c>
      <c r="BA3" s="122" t="s">
        <v>11</v>
      </c>
      <c r="BB3" s="122" t="s">
        <v>25</v>
      </c>
      <c r="BE3" s="3" t="s">
        <v>65</v>
      </c>
      <c r="BF3" s="3" t="s">
        <v>41</v>
      </c>
      <c r="BG3" s="3" t="s">
        <v>66</v>
      </c>
      <c r="BH3" s="3" t="s">
        <v>11</v>
      </c>
      <c r="BI3" s="3" t="s">
        <v>25</v>
      </c>
      <c r="BL3" s="3" t="s">
        <v>65</v>
      </c>
      <c r="BM3" s="3" t="s">
        <v>41</v>
      </c>
      <c r="BN3" s="3" t="s">
        <v>66</v>
      </c>
      <c r="BO3" s="3" t="s">
        <v>11</v>
      </c>
      <c r="BP3" s="3" t="s">
        <v>25</v>
      </c>
      <c r="BS3" s="112" t="s">
        <v>66</v>
      </c>
      <c r="BT3" s="112" t="s">
        <v>11</v>
      </c>
      <c r="BU3" s="112" t="s">
        <v>25</v>
      </c>
    </row>
    <row r="4" spans="6:73" s="3" customFormat="1" ht="14.5">
      <c r="F4" s="120" t="s">
        <v>65</v>
      </c>
      <c r="G4" s="120" t="s">
        <v>66</v>
      </c>
      <c r="H4" s="120" t="s">
        <v>11</v>
      </c>
      <c r="I4" s="120" t="s">
        <v>25</v>
      </c>
      <c r="S4" s="115">
        <v>2030</v>
      </c>
      <c r="T4" s="115" t="s">
        <v>53</v>
      </c>
      <c r="U4" s="115" t="s">
        <v>54</v>
      </c>
      <c r="V4" s="115" t="s">
        <v>55</v>
      </c>
      <c r="W4" s="115" t="s">
        <v>56</v>
      </c>
      <c r="X4" s="115" t="s">
        <v>57</v>
      </c>
      <c r="Y4" s="115" t="s">
        <v>58</v>
      </c>
      <c r="Z4" s="115"/>
      <c r="AA4" s="115" t="s">
        <v>59</v>
      </c>
      <c r="AB4" s="116">
        <v>104.44289590222699</v>
      </c>
      <c r="AC4" s="115" t="s">
        <v>60</v>
      </c>
      <c r="AI4" s="3">
        <f t="shared" si="1" ref="AI4:AI12">AI3</f>
        <v>132.92732205738</v>
      </c>
      <c r="AJ4" s="3">
        <f t="shared" si="2" ref="AJ4:AJ12">AJ3</f>
        <v>120.58407072348</v>
      </c>
      <c r="AK4" s="3">
        <f t="shared" si="3" ref="AK4:AK12">AK3</f>
        <v>104.44289590222699</v>
      </c>
      <c r="AL4" s="3">
        <f t="shared" si="4" ref="AL4:AL12">AL3</f>
        <v>94.9480871838431</v>
      </c>
      <c r="AM4" s="3">
        <f t="shared" si="5" ref="AM4:AM12">AM3</f>
        <v>92.108475059332307</v>
      </c>
      <c r="AN4" s="3">
        <f t="shared" si="6" ref="AN4:AN12">AN3</f>
        <v>88.961164754970895</v>
      </c>
      <c r="AO4" s="3">
        <f t="shared" si="7" ref="AO4:AO12">AO3</f>
        <v>85.453278465458794</v>
      </c>
      <c r="AX4" s="118" t="s">
        <v>67</v>
      </c>
      <c r="AY4" s="118">
        <v>2023</v>
      </c>
      <c r="AZ4" s="118">
        <f>G5</f>
        <v>80.383176666666699</v>
      </c>
      <c r="BA4" s="118">
        <f>H5</f>
        <v>55.486730000000001</v>
      </c>
      <c r="BB4" s="118">
        <f>I5</f>
        <v>106.82505</v>
      </c>
      <c r="BE4" s="3" t="s">
        <v>68</v>
      </c>
      <c r="BF4" s="3">
        <v>2023</v>
      </c>
      <c r="BG4" s="3">
        <f>BS4*60%</f>
        <v>48.229906000000021</v>
      </c>
      <c r="BH4" s="3">
        <f>BT4*60%</f>
        <v>33.292037999999998</v>
      </c>
      <c r="BI4" s="3">
        <f>BU4*60%</f>
        <v>64.095029999999994</v>
      </c>
      <c r="BL4" s="3" t="s">
        <v>69</v>
      </c>
      <c r="BM4" s="3">
        <v>2023</v>
      </c>
      <c r="BN4" s="3">
        <f>BS4*40%</f>
        <v>32.153270666666678</v>
      </c>
      <c r="BO4" s="3">
        <f>BT4*40%</f>
        <v>22.194692000000003</v>
      </c>
      <c r="BP4" s="3">
        <f>BU4*40%</f>
        <v>42.730020000000003</v>
      </c>
      <c r="BS4" s="112">
        <v>80.383176666666699</v>
      </c>
      <c r="BT4" s="112">
        <v>55.486730000000001</v>
      </c>
      <c r="BU4" s="112">
        <v>106.82505</v>
      </c>
    </row>
    <row r="5" spans="2:73" s="3" customFormat="1" ht="28" customHeight="1">
      <c r="B5" s="123" t="s">
        <v>70</v>
      </c>
      <c r="F5" s="120" t="s">
        <v>71</v>
      </c>
      <c r="G5" s="121">
        <f>[3]R_strategies_n_GridBattery!$D$131</f>
        <v>80.383176666666699</v>
      </c>
      <c r="H5" s="121">
        <f>[3]R_strategies_n_GridBattery!$E$131</f>
        <v>55.486730000000001</v>
      </c>
      <c r="I5" s="121">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104.44289590222699</v>
      </c>
      <c r="AL5" s="3">
        <f t="shared" si="4"/>
        <v>94.9480871838431</v>
      </c>
      <c r="AM5" s="3">
        <f t="shared" si="5"/>
        <v>92.108475059332307</v>
      </c>
      <c r="AN5" s="3">
        <f t="shared" si="6"/>
        <v>88.961164754970895</v>
      </c>
      <c r="AO5" s="3">
        <f t="shared" si="7"/>
        <v>85.453278465458794</v>
      </c>
      <c r="AX5" s="118" t="s">
        <v>72</v>
      </c>
      <c r="AY5" s="118">
        <f>AY4</f>
        <v>2023</v>
      </c>
      <c r="AZ5" s="118">
        <f t="shared" si="8" ref="AZ5:AZ10">G6</f>
        <v>95.408600000000007</v>
      </c>
      <c r="BA5" s="118">
        <f t="shared" si="9" ref="BA5:BA10">H6</f>
        <v>66.325649999999996</v>
      </c>
      <c r="BB5" s="118">
        <f t="shared" si="10" ref="BB5:BB10">I6</f>
        <v>126.26355</v>
      </c>
      <c r="BE5" s="3" t="s">
        <v>73</v>
      </c>
      <c r="BF5" s="3">
        <v>2023</v>
      </c>
      <c r="BG5" s="3">
        <f t="shared" si="11" ref="BG5:BG11">BS5*60%</f>
        <v>57.245160000000006</v>
      </c>
      <c r="BH5" s="3">
        <f t="shared" si="12" ref="BH5:BH11">BT5*60%</f>
        <v>39.795389999999998</v>
      </c>
      <c r="BI5" s="3">
        <f t="shared" si="13" ref="BI5:BI11">BU5*60%</f>
        <v>75.758129999999994</v>
      </c>
      <c r="BL5" s="3" t="s">
        <v>74</v>
      </c>
      <c r="BM5" s="3">
        <v>2023</v>
      </c>
      <c r="BN5" s="3">
        <f t="shared" si="14" ref="BN5:BN11">BS5*40%</f>
        <v>38.163440000000001</v>
      </c>
      <c r="BO5" s="3">
        <f t="shared" si="15" ref="BO5:BO11">BT5*40%</f>
        <v>26.530259999999998</v>
      </c>
      <c r="BP5" s="3">
        <f t="shared" si="16" ref="BP5:BP11">BU5*40%</f>
        <v>50.505420000000001</v>
      </c>
      <c r="BS5" s="112">
        <v>95.408600000000007</v>
      </c>
      <c r="BT5" s="112">
        <v>66.325649999999996</v>
      </c>
      <c r="BU5" s="112">
        <v>126.26355</v>
      </c>
    </row>
    <row r="6" spans="6:73" s="3" customFormat="1" ht="14.5">
      <c r="F6" s="120" t="s">
        <v>75</v>
      </c>
      <c r="G6" s="121">
        <f>[3]R_strategies_n_GridBattery!$D$132</f>
        <v>95.408600000000007</v>
      </c>
      <c r="H6" s="121">
        <f>[3]R_strategies_n_GridBattery!$E$132</f>
        <v>66.325649999999996</v>
      </c>
      <c r="I6" s="121">
        <f>[3]R_strategies_n_GridBattery!$F$132</f>
        <v>126.26355</v>
      </c>
      <c r="S6" s="115">
        <v>2040</v>
      </c>
      <c r="T6" s="115" t="s">
        <v>53</v>
      </c>
      <c r="U6" s="115" t="s">
        <v>54</v>
      </c>
      <c r="V6" s="115" t="s">
        <v>55</v>
      </c>
      <c r="W6" s="115" t="s">
        <v>56</v>
      </c>
      <c r="X6" s="115" t="s">
        <v>57</v>
      </c>
      <c r="Y6" s="115" t="s">
        <v>58</v>
      </c>
      <c r="Z6" s="115"/>
      <c r="AA6" s="115" t="s">
        <v>59</v>
      </c>
      <c r="AB6" s="116">
        <v>92.108475059332307</v>
      </c>
      <c r="AC6" s="115" t="s">
        <v>60</v>
      </c>
      <c r="AI6" s="3">
        <f t="shared" si="1"/>
        <v>132.92732205738</v>
      </c>
      <c r="AJ6" s="3">
        <f t="shared" si="2"/>
        <v>120.58407072348</v>
      </c>
      <c r="AK6" s="3">
        <f t="shared" si="3"/>
        <v>104.44289590222699</v>
      </c>
      <c r="AL6" s="3">
        <f t="shared" si="4"/>
        <v>94.9480871838431</v>
      </c>
      <c r="AM6" s="3">
        <f t="shared" si="5"/>
        <v>92.108475059332307</v>
      </c>
      <c r="AN6" s="3">
        <f t="shared" si="6"/>
        <v>88.961164754970895</v>
      </c>
      <c r="AO6" s="3">
        <f t="shared" si="7"/>
        <v>85.453278465458794</v>
      </c>
      <c r="AX6" s="118" t="s">
        <v>76</v>
      </c>
      <c r="AY6" s="118">
        <f t="shared" si="17" ref="AY6:AY11">AY5</f>
        <v>2023</v>
      </c>
      <c r="AZ6" s="118">
        <f t="shared" si="8"/>
        <v>85.347696666666593</v>
      </c>
      <c r="BA6" s="118">
        <f t="shared" si="9"/>
        <v>56.101469999999999</v>
      </c>
      <c r="BB6" s="118">
        <f t="shared" si="10"/>
        <v>116.32796</v>
      </c>
      <c r="BE6" s="3" t="s">
        <v>77</v>
      </c>
      <c r="BF6" s="3">
        <v>2023</v>
      </c>
      <c r="BG6" s="3">
        <f t="shared" si="11"/>
        <v>51.208617999999952</v>
      </c>
      <c r="BH6" s="3">
        <f t="shared" si="12"/>
        <v>33.660882000000001</v>
      </c>
      <c r="BI6" s="3">
        <f t="shared" si="13"/>
        <v>69.796775999999994</v>
      </c>
      <c r="BL6" s="3" t="s">
        <v>78</v>
      </c>
      <c r="BM6" s="3">
        <v>2023</v>
      </c>
      <c r="BN6" s="3">
        <f t="shared" si="14"/>
        <v>34.139078666666641</v>
      </c>
      <c r="BO6" s="3">
        <f t="shared" si="15"/>
        <v>22.440588000000002</v>
      </c>
      <c r="BP6" s="3">
        <f t="shared" si="16"/>
        <v>46.531184000000003</v>
      </c>
      <c r="BS6" s="112">
        <v>85.347696666666593</v>
      </c>
      <c r="BT6" s="112">
        <v>56.101469999999999</v>
      </c>
      <c r="BU6" s="112">
        <v>116.32796</v>
      </c>
    </row>
    <row r="7" spans="6:73" s="3" customFormat="1" ht="14.5">
      <c r="F7" s="120" t="s">
        <v>79</v>
      </c>
      <c r="G7" s="121">
        <f>[3]R_strategies_n_GridBattery!$D$133</f>
        <v>85.347696666666593</v>
      </c>
      <c r="H7" s="121">
        <f>[3]R_strategies_n_GridBattery!$E$133</f>
        <v>56.101469999999999</v>
      </c>
      <c r="I7" s="121">
        <f>[3]R_strategies_n_GridBattery!$F$133</f>
        <v>116.32796</v>
      </c>
      <c r="S7" s="115">
        <v>2045</v>
      </c>
      <c r="T7" s="115" t="s">
        <v>53</v>
      </c>
      <c r="U7" s="115" t="s">
        <v>54</v>
      </c>
      <c r="V7" s="115" t="s">
        <v>55</v>
      </c>
      <c r="W7" s="115" t="s">
        <v>56</v>
      </c>
      <c r="X7" s="115" t="s">
        <v>57</v>
      </c>
      <c r="Y7" s="115" t="s">
        <v>58</v>
      </c>
      <c r="Z7" s="115"/>
      <c r="AA7" s="115" t="s">
        <v>59</v>
      </c>
      <c r="AB7" s="116">
        <v>88.961164754970895</v>
      </c>
      <c r="AC7" s="115" t="s">
        <v>60</v>
      </c>
      <c r="AI7" s="3">
        <f t="shared" si="1"/>
        <v>132.92732205738</v>
      </c>
      <c r="AJ7" s="3">
        <f t="shared" si="2"/>
        <v>120.58407072348</v>
      </c>
      <c r="AK7" s="3">
        <f t="shared" si="3"/>
        <v>104.44289590222699</v>
      </c>
      <c r="AL7" s="3">
        <f t="shared" si="4"/>
        <v>94.9480871838431</v>
      </c>
      <c r="AM7" s="3">
        <f t="shared" si="5"/>
        <v>92.108475059332307</v>
      </c>
      <c r="AN7" s="3">
        <f t="shared" si="6"/>
        <v>88.961164754970895</v>
      </c>
      <c r="AO7" s="3">
        <f t="shared" si="7"/>
        <v>85.453278465458794</v>
      </c>
      <c r="AX7" s="118" t="s">
        <v>80</v>
      </c>
      <c r="AY7" s="118">
        <f t="shared" si="17"/>
        <v>2023</v>
      </c>
      <c r="AZ7" s="118">
        <f t="shared" si="8"/>
        <v>85.521569999999997</v>
      </c>
      <c r="BA7" s="118">
        <f t="shared" si="9"/>
        <v>55.559510000000003</v>
      </c>
      <c r="BB7" s="118">
        <f t="shared" si="10"/>
        <v>117.30431</v>
      </c>
      <c r="BE7" s="3" t="s">
        <v>81</v>
      </c>
      <c r="BF7" s="3">
        <v>2023</v>
      </c>
      <c r="BG7" s="3">
        <f t="shared" si="11"/>
        <v>51.312942</v>
      </c>
      <c r="BH7" s="3">
        <f t="shared" si="12"/>
        <v>33.335706000000002</v>
      </c>
      <c r="BI7" s="3">
        <f t="shared" si="13"/>
        <v>70.382586000000003</v>
      </c>
      <c r="BL7" s="3" t="s">
        <v>82</v>
      </c>
      <c r="BM7" s="3">
        <v>2023</v>
      </c>
      <c r="BN7" s="3">
        <f t="shared" si="14"/>
        <v>34.208627999999997</v>
      </c>
      <c r="BO7" s="3">
        <f t="shared" si="15"/>
        <v>22.223804000000001</v>
      </c>
      <c r="BP7" s="3">
        <f t="shared" si="16"/>
        <v>46.921724000000005</v>
      </c>
      <c r="BS7" s="112">
        <v>85.521569999999997</v>
      </c>
      <c r="BT7" s="112">
        <v>55.559510000000003</v>
      </c>
      <c r="BU7" s="112">
        <v>117.30431</v>
      </c>
    </row>
    <row r="8" spans="2:73" s="3" customFormat="1" ht="29">
      <c r="B8" s="123" t="s">
        <v>83</v>
      </c>
      <c r="F8" s="120" t="s">
        <v>84</v>
      </c>
      <c r="G8" s="121">
        <f>[3]R_strategies_n_GridBattery!$D$134</f>
        <v>85.521569999999997</v>
      </c>
      <c r="H8" s="121">
        <f>[3]R_strategies_n_GridBattery!$E$134</f>
        <v>55.559510000000003</v>
      </c>
      <c r="I8" s="121">
        <f>[3]R_strategies_n_GridBattery!$F$134</f>
        <v>117.30431</v>
      </c>
      <c r="S8" s="115">
        <v>2050</v>
      </c>
      <c r="T8" s="115" t="s">
        <v>53</v>
      </c>
      <c r="U8" s="115" t="s">
        <v>54</v>
      </c>
      <c r="V8" s="115" t="s">
        <v>55</v>
      </c>
      <c r="W8" s="115" t="s">
        <v>56</v>
      </c>
      <c r="X8" s="115" t="s">
        <v>57</v>
      </c>
      <c r="Y8" s="115" t="s">
        <v>58</v>
      </c>
      <c r="Z8" s="115"/>
      <c r="AA8" s="115" t="s">
        <v>59</v>
      </c>
      <c r="AB8" s="116">
        <v>85.453278465458794</v>
      </c>
      <c r="AC8" s="115" t="s">
        <v>60</v>
      </c>
      <c r="AI8" s="3">
        <f t="shared" si="1"/>
        <v>132.92732205738</v>
      </c>
      <c r="AJ8" s="3">
        <f t="shared" si="2"/>
        <v>120.58407072348</v>
      </c>
      <c r="AK8" s="3">
        <f t="shared" si="3"/>
        <v>104.44289590222699</v>
      </c>
      <c r="AL8" s="3">
        <f t="shared" si="4"/>
        <v>94.9480871838431</v>
      </c>
      <c r="AM8" s="3">
        <f t="shared" si="5"/>
        <v>92.108475059332307</v>
      </c>
      <c r="AN8" s="3">
        <f t="shared" si="6"/>
        <v>88.961164754970895</v>
      </c>
      <c r="AO8" s="3">
        <f t="shared" si="7"/>
        <v>85.453278465458794</v>
      </c>
      <c r="AX8" s="118" t="s">
        <v>85</v>
      </c>
      <c r="AY8" s="118">
        <f t="shared" si="17"/>
        <v>2023</v>
      </c>
      <c r="AZ8" s="118">
        <f t="shared" si="8"/>
        <v>90.092916666666596</v>
      </c>
      <c r="BA8" s="118">
        <f t="shared" si="9"/>
        <v>59.367699999999999</v>
      </c>
      <c r="BB8" s="118">
        <f t="shared" si="10"/>
        <v>122.66905</v>
      </c>
      <c r="BE8" s="3" t="s">
        <v>86</v>
      </c>
      <c r="BF8" s="3">
        <v>2023</v>
      </c>
      <c r="BG8" s="3">
        <f t="shared" si="11"/>
        <v>54.055749999999954</v>
      </c>
      <c r="BH8" s="3">
        <f t="shared" si="12"/>
        <v>35.620619999999995</v>
      </c>
      <c r="BI8" s="3">
        <f t="shared" si="13"/>
        <v>73.601429999999993</v>
      </c>
      <c r="BL8" s="3" t="s">
        <v>87</v>
      </c>
      <c r="BM8" s="3">
        <v>2023</v>
      </c>
      <c r="BN8" s="3">
        <f t="shared" si="14"/>
        <v>36.037166666666643</v>
      </c>
      <c r="BO8" s="3">
        <f t="shared" si="15"/>
        <v>23.74708</v>
      </c>
      <c r="BP8" s="3">
        <f t="shared" si="16"/>
        <v>49.067620000000005</v>
      </c>
      <c r="BS8" s="112">
        <v>90.092916666666596</v>
      </c>
      <c r="BT8" s="112">
        <v>59.367699999999999</v>
      </c>
      <c r="BU8" s="112">
        <v>122.66905</v>
      </c>
    </row>
    <row r="9" spans="6:9 35:73" s="3" customFormat="1" ht="14.5">
      <c r="F9" s="120" t="s">
        <v>88</v>
      </c>
      <c r="G9" s="121">
        <f>[3]R_strategies_n_GridBattery!$D$135</f>
        <v>90.092916666666596</v>
      </c>
      <c r="H9" s="121">
        <f>[3]R_strategies_n_GridBattery!$E$135</f>
        <v>59.367699999999999</v>
      </c>
      <c r="I9" s="121">
        <f>[3]R_strategies_n_GridBattery!$F$135</f>
        <v>122.66905</v>
      </c>
      <c r="AI9" s="3">
        <f t="shared" si="1"/>
        <v>132.92732205738</v>
      </c>
      <c r="AJ9" s="3">
        <f t="shared" si="2"/>
        <v>120.58407072348</v>
      </c>
      <c r="AK9" s="3">
        <f t="shared" si="3"/>
        <v>104.44289590222699</v>
      </c>
      <c r="AL9" s="3">
        <f t="shared" si="4"/>
        <v>94.9480871838431</v>
      </c>
      <c r="AM9" s="3">
        <f t="shared" si="5"/>
        <v>92.108475059332307</v>
      </c>
      <c r="AN9" s="3">
        <f t="shared" si="6"/>
        <v>88.961164754970895</v>
      </c>
      <c r="AO9" s="3">
        <f t="shared" si="7"/>
        <v>85.453278465458794</v>
      </c>
      <c r="AX9" s="118" t="s">
        <v>89</v>
      </c>
      <c r="AY9" s="118">
        <f t="shared" si="17"/>
        <v>2023</v>
      </c>
      <c r="AZ9" s="118">
        <f t="shared" si="8"/>
        <v>86.922216666666699</v>
      </c>
      <c r="BA9" s="118">
        <f t="shared" si="9"/>
        <v>57.33755</v>
      </c>
      <c r="BB9" s="118">
        <f t="shared" si="10"/>
        <v>118.2723</v>
      </c>
      <c r="BE9" s="3" t="s">
        <v>90</v>
      </c>
      <c r="BF9" s="3">
        <v>2023</v>
      </c>
      <c r="BG9" s="3">
        <f t="shared" si="11"/>
        <v>52.153330000000018</v>
      </c>
      <c r="BH9" s="3">
        <f t="shared" si="12"/>
        <v>34.402529999999999</v>
      </c>
      <c r="BI9" s="3">
        <f t="shared" si="13"/>
        <v>70.963380000000001</v>
      </c>
      <c r="BL9" s="3" t="s">
        <v>91</v>
      </c>
      <c r="BM9" s="3">
        <v>2023</v>
      </c>
      <c r="BN9" s="3">
        <f t="shared" si="14"/>
        <v>34.768886666666681</v>
      </c>
      <c r="BO9" s="3">
        <f t="shared" si="15"/>
        <v>22.935020000000002</v>
      </c>
      <c r="BP9" s="3">
        <f t="shared" si="16"/>
        <v>47.308920000000001</v>
      </c>
      <c r="BS9" s="112">
        <v>86.922216666666699</v>
      </c>
      <c r="BT9" s="112">
        <v>57.33755</v>
      </c>
      <c r="BU9" s="112">
        <v>118.2723</v>
      </c>
    </row>
    <row r="10" spans="6:9 35:73" s="3" customFormat="1" ht="14.5">
      <c r="F10" s="120" t="s">
        <v>92</v>
      </c>
      <c r="G10" s="121">
        <f>[3]R_strategies_n_GridBattery!$D$136</f>
        <v>86.922216666666699</v>
      </c>
      <c r="H10" s="121">
        <f>[3]R_strategies_n_GridBattery!$E$136</f>
        <v>57.33755</v>
      </c>
      <c r="I10" s="121">
        <f>[3]R_strategies_n_GridBattery!$F$136</f>
        <v>118.2723</v>
      </c>
      <c r="AI10" s="3">
        <f t="shared" si="1"/>
        <v>132.92732205738</v>
      </c>
      <c r="AJ10" s="3">
        <f t="shared" si="2"/>
        <v>120.58407072348</v>
      </c>
      <c r="AK10" s="3">
        <f t="shared" si="3"/>
        <v>104.44289590222699</v>
      </c>
      <c r="AL10" s="3">
        <f t="shared" si="4"/>
        <v>94.9480871838431</v>
      </c>
      <c r="AM10" s="3">
        <f t="shared" si="5"/>
        <v>92.108475059332307</v>
      </c>
      <c r="AN10" s="3">
        <f t="shared" si="6"/>
        <v>88.961164754970895</v>
      </c>
      <c r="AO10" s="3">
        <f t="shared" si="7"/>
        <v>85.453278465458794</v>
      </c>
      <c r="AX10" s="118" t="s">
        <v>93</v>
      </c>
      <c r="AY10" s="118">
        <f t="shared" si="17"/>
        <v>2023</v>
      </c>
      <c r="AZ10" s="118">
        <f t="shared" si="8"/>
        <v>89.552666666666696</v>
      </c>
      <c r="BA10" s="118">
        <f t="shared" si="9"/>
        <v>59.98948</v>
      </c>
      <c r="BB10" s="118">
        <f t="shared" si="10"/>
        <v>120.87452</v>
      </c>
      <c r="BE10" s="3" t="s">
        <v>94</v>
      </c>
      <c r="BF10" s="3">
        <v>2023</v>
      </c>
      <c r="BG10" s="3">
        <f t="shared" si="11"/>
        <v>53.731600000000014</v>
      </c>
      <c r="BH10" s="3">
        <f t="shared" si="12"/>
        <v>35.993687999999999</v>
      </c>
      <c r="BI10" s="3">
        <f t="shared" si="13"/>
        <v>72.524711999999994</v>
      </c>
      <c r="BL10" s="3" t="s">
        <v>95</v>
      </c>
      <c r="BM10" s="3">
        <v>2023</v>
      </c>
      <c r="BN10" s="3">
        <f t="shared" si="14"/>
        <v>35.821066666666681</v>
      </c>
      <c r="BO10" s="3">
        <f t="shared" si="15"/>
        <v>23.995792000000002</v>
      </c>
      <c r="BP10" s="3">
        <f t="shared" si="16"/>
        <v>48.349808000000003</v>
      </c>
      <c r="BS10" s="112">
        <v>89.552666666666696</v>
      </c>
      <c r="BT10" s="112">
        <v>59.98948</v>
      </c>
      <c r="BU10" s="112">
        <v>120.87452</v>
      </c>
    </row>
    <row r="11" spans="6:9 35:73" s="3" customFormat="1" ht="14.5">
      <c r="F11" s="120" t="s">
        <v>96</v>
      </c>
      <c r="G11" s="121">
        <f>[3]R_strategies_n_GridBattery!$D$137</f>
        <v>89.552666666666696</v>
      </c>
      <c r="H11" s="121">
        <f>[3]R_strategies_n_GridBattery!$E$137</f>
        <v>59.98948</v>
      </c>
      <c r="I11" s="121">
        <f>[3]R_strategies_n_GridBattery!$F$137</f>
        <v>120.87452</v>
      </c>
      <c r="AI11" s="3">
        <f t="shared" si="1"/>
        <v>132.92732205738</v>
      </c>
      <c r="AJ11" s="3">
        <f t="shared" si="2"/>
        <v>120.58407072348</v>
      </c>
      <c r="AK11" s="3">
        <f t="shared" si="3"/>
        <v>104.44289590222699</v>
      </c>
      <c r="AL11" s="3">
        <f t="shared" si="4"/>
        <v>94.9480871838431</v>
      </c>
      <c r="AM11" s="3">
        <f t="shared" si="5"/>
        <v>92.108475059332307</v>
      </c>
      <c r="AN11" s="3">
        <f t="shared" si="6"/>
        <v>88.961164754970895</v>
      </c>
      <c r="AO11" s="3">
        <f t="shared" si="7"/>
        <v>85.453278465458794</v>
      </c>
      <c r="AV11" s="111"/>
      <c r="AW11" s="111"/>
      <c r="AX11" s="124"/>
      <c r="AY11" s="118"/>
      <c r="AZ11" s="124"/>
      <c r="BA11" s="124"/>
      <c r="BB11" s="124"/>
      <c r="BC11" s="111"/>
      <c r="BE11" s="3" t="s">
        <v>97</v>
      </c>
      <c r="BF11" s="3">
        <v>2023</v>
      </c>
      <c r="BG11" s="3">
        <f t="shared" si="11"/>
        <v>97.255999999999787</v>
      </c>
      <c r="BH11" s="3">
        <f t="shared" si="12"/>
        <v>97.255999999999787</v>
      </c>
      <c r="BI11" s="3">
        <f t="shared" si="13"/>
        <v>97.255999999999787</v>
      </c>
      <c r="BL11" s="3" t="s">
        <v>98</v>
      </c>
      <c r="BM11" s="3">
        <v>2023</v>
      </c>
      <c r="BN11" s="3">
        <f t="shared" si="14"/>
        <v>64.837333333333206</v>
      </c>
      <c r="BO11" s="3">
        <f t="shared" si="15"/>
        <v>64.837333333333206</v>
      </c>
      <c r="BP11" s="3">
        <f t="shared" si="16"/>
        <v>64.837333333333206</v>
      </c>
      <c r="BS11" s="112">
        <v>162.09333333333299</v>
      </c>
      <c r="BT11" s="112">
        <v>162.09333333333299</v>
      </c>
      <c r="BU11" s="112">
        <v>162.09333333333299</v>
      </c>
    </row>
    <row r="12" spans="35:73" s="3" customFormat="1" ht="14.5">
      <c r="AI12" s="3">
        <f t="shared" si="1"/>
        <v>132.92732205738</v>
      </c>
      <c r="AJ12" s="3">
        <f t="shared" si="2"/>
        <v>120.58407072348</v>
      </c>
      <c r="AK12" s="3">
        <f t="shared" si="3"/>
        <v>104.44289590222699</v>
      </c>
      <c r="AL12" s="3">
        <f t="shared" si="4"/>
        <v>94.9480871838431</v>
      </c>
      <c r="AM12" s="3">
        <f t="shared" si="5"/>
        <v>92.108475059332307</v>
      </c>
      <c r="AN12" s="3">
        <f t="shared" si="6"/>
        <v>88.961164754970895</v>
      </c>
      <c r="AO12" s="3">
        <f t="shared" si="7"/>
        <v>85.453278465458794</v>
      </c>
      <c r="BS12" s="112"/>
      <c r="BT12" s="112"/>
      <c r="BU12" s="112"/>
    </row>
    <row r="14" spans="39:73" s="3" customFormat="1" ht="14.5">
      <c r="AM14" s="3">
        <f>AM2/AL2</f>
        <v>0.97009300335863957</v>
      </c>
      <c r="AN14" s="3">
        <f>AN2/AM2</f>
        <v>0.96583039397477755</v>
      </c>
      <c r="AO14" s="3">
        <f>AO2/AN2</f>
        <v>0.96056834126245982</v>
      </c>
      <c r="BS14" s="112"/>
      <c r="BT14" s="112"/>
      <c r="BU14" s="112"/>
    </row>
    <row r="15" spans="50:64" ht="14.5">
      <c r="AX15" t="s">
        <v>62</v>
      </c>
      <c r="AY15"/>
      <c r="AZ15" s="118"/>
      <c r="BE15" s="3" t="s">
        <v>63</v>
      </c>
      <c r="BL15" s="3" t="s">
        <v>62</v>
      </c>
    </row>
    <row r="16" spans="50:73" s="3" customFormat="1" ht="14.5">
      <c r="AX16" s="118" t="s">
        <v>65</v>
      </c>
      <c r="AY16" s="118" t="s">
        <v>41</v>
      </c>
      <c r="AZ16" s="122" t="s">
        <v>66</v>
      </c>
      <c r="BA16" s="122" t="s">
        <v>11</v>
      </c>
      <c r="BB16" s="122" t="s">
        <v>25</v>
      </c>
      <c r="BE16" s="3" t="s">
        <v>65</v>
      </c>
      <c r="BF16" s="3" t="s">
        <v>41</v>
      </c>
      <c r="BG16" s="3" t="s">
        <v>66</v>
      </c>
      <c r="BH16" s="3" t="s">
        <v>11</v>
      </c>
      <c r="BI16" s="3" t="s">
        <v>25</v>
      </c>
      <c r="BL16" s="3" t="s">
        <v>65</v>
      </c>
      <c r="BM16" s="3" t="s">
        <v>41</v>
      </c>
      <c r="BN16" s="3" t="s">
        <v>66</v>
      </c>
      <c r="BO16" s="3" t="s">
        <v>11</v>
      </c>
      <c r="BP16" s="3" t="s">
        <v>25</v>
      </c>
      <c r="BS16" s="112" t="s">
        <v>66</v>
      </c>
      <c r="BT16" s="112" t="s">
        <v>11</v>
      </c>
      <c r="BU16" s="112" t="s">
        <v>25</v>
      </c>
    </row>
    <row r="17" spans="50:73" s="3" customFormat="1" ht="14.5">
      <c r="AX17" s="118" t="s">
        <v>67</v>
      </c>
      <c r="AY17" s="118">
        <v>2025</v>
      </c>
      <c r="AZ17" s="118">
        <f t="shared" si="18" ref="AZ17:AZ24">AZ4*AJ2/AI2</f>
        <v>72.919024547618818</v>
      </c>
      <c r="BA17" s="118">
        <f>BA4*AJ2/AI2</f>
        <v>50.334390785714113</v>
      </c>
      <c r="BB17" s="118">
        <f>BB4*AJ2/AI2</f>
        <v>96.90558107142823</v>
      </c>
      <c r="BE17" s="3" t="s">
        <v>68</v>
      </c>
      <c r="BF17" s="3">
        <v>2025</v>
      </c>
      <c r="BG17" s="3">
        <f>BS17*60%</f>
        <v>43.751414728571284</v>
      </c>
      <c r="BH17" s="3">
        <f>BT17*60%</f>
        <v>30.200634471428458</v>
      </c>
      <c r="BI17" s="3">
        <f>BU17*60%</f>
        <v>58.143348642856921</v>
      </c>
      <c r="BL17" s="3" t="s">
        <v>69</v>
      </c>
      <c r="BM17" s="3">
        <v>2025</v>
      </c>
      <c r="BN17" s="3">
        <f>BS17*40%</f>
        <v>29.167609819047524</v>
      </c>
      <c r="BO17" s="3">
        <f>BT17*40%</f>
        <v>20.133756314285641</v>
      </c>
      <c r="BP17" s="3">
        <f>BU17*40%</f>
        <v>38.762232428571281</v>
      </c>
      <c r="BS17" s="112">
        <v>72.919024547618804</v>
      </c>
      <c r="BT17" s="112">
        <v>50.334390785714099</v>
      </c>
      <c r="BU17" s="112">
        <v>96.905581071428202</v>
      </c>
    </row>
    <row r="18" spans="50:73" s="3" customFormat="1" ht="14.5">
      <c r="AX18" s="118" t="s">
        <v>72</v>
      </c>
      <c r="AY18" s="118">
        <f t="shared" si="19" ref="AY18:AY24">AY17</f>
        <v>2025</v>
      </c>
      <c r="AZ18" s="118">
        <f t="shared" si="18"/>
        <v>86.549229999999696</v>
      </c>
      <c r="BA18" s="118">
        <f t="shared" si="20" ref="BA18:BA24">BA5*AJ3/AI3</f>
        <v>60.166839642856928</v>
      </c>
      <c r="BB18" s="118">
        <f t="shared" si="21" ref="BB18:BB24">BB5*AJ3/AI3</f>
        <v>114.53907749999959</v>
      </c>
      <c r="BE18" s="3" t="s">
        <v>73</v>
      </c>
      <c r="BF18" s="3">
        <v>2025</v>
      </c>
      <c r="BG18" s="3">
        <f t="shared" si="22" ref="BG18:BG24">BS18*60%</f>
        <v>51.929537999999816</v>
      </c>
      <c r="BH18" s="3">
        <f t="shared" si="23" ref="BH18:BH24">BT18*60%</f>
        <v>36.10010378571414</v>
      </c>
      <c r="BI18" s="3">
        <f t="shared" si="24" ref="BI18:BI24">BU18*60%</f>
        <v>68.723446499999994</v>
      </c>
      <c r="BL18" s="3" t="s">
        <v>74</v>
      </c>
      <c r="BM18" s="3">
        <v>2025</v>
      </c>
      <c r="BN18" s="3">
        <f t="shared" si="25" ref="BN18:BN24">BS18*40%</f>
        <v>34.61969199999988</v>
      </c>
      <c r="BO18" s="3">
        <f>BT18*40%</f>
        <v>24.06673585714276</v>
      </c>
      <c r="BP18" s="3">
        <f>BU18*40%</f>
        <v>45.815631000000003</v>
      </c>
      <c r="BS18" s="112">
        <v>86.549229999999696</v>
      </c>
      <c r="BT18" s="112">
        <v>60.1668396428569</v>
      </c>
      <c r="BU18" s="112">
        <v>114.5390775</v>
      </c>
    </row>
    <row r="19" spans="50:73" s="3" customFormat="1" ht="14.5">
      <c r="AX19" s="118" t="s">
        <v>76</v>
      </c>
      <c r="AY19" s="118">
        <f t="shared" si="19"/>
        <v>2025</v>
      </c>
      <c r="AZ19" s="118">
        <f t="shared" si="18"/>
        <v>77.422553404761558</v>
      </c>
      <c r="BA19" s="118">
        <f t="shared" si="20"/>
        <v>50.892047785714098</v>
      </c>
      <c r="BB19" s="118">
        <f t="shared" si="21"/>
        <v>105.52607799999963</v>
      </c>
      <c r="BE19" s="3" t="s">
        <v>77</v>
      </c>
      <c r="BF19" s="3">
        <v>2025</v>
      </c>
      <c r="BG19" s="3">
        <f t="shared" si="22"/>
        <v>46.453532042856956</v>
      </c>
      <c r="BH19" s="3">
        <f t="shared" si="23"/>
        <v>30.535228671428456</v>
      </c>
      <c r="BI19" s="3">
        <f t="shared" si="24"/>
        <v>63.315646799999996</v>
      </c>
      <c r="BL19" s="3" t="s">
        <v>78</v>
      </c>
      <c r="BM19" s="3">
        <v>2025</v>
      </c>
      <c r="BN19" s="3">
        <f t="shared" si="25"/>
        <v>30.969021361904641</v>
      </c>
      <c r="BO19" s="3">
        <f>BT19*40%</f>
        <v>20.356819114285642</v>
      </c>
      <c r="BP19" s="3">
        <f>BU19*40%</f>
        <v>42.210431200000002</v>
      </c>
      <c r="BS19" s="112">
        <v>77.422553404761601</v>
      </c>
      <c r="BT19" s="112">
        <v>50.892047785714098</v>
      </c>
      <c r="BU19" s="112">
        <v>105.526078</v>
      </c>
    </row>
    <row r="20" spans="50:73" s="3" customFormat="1" ht="14.5">
      <c r="AX20" s="118" t="s">
        <v>80</v>
      </c>
      <c r="AY20" s="118">
        <f t="shared" si="19"/>
        <v>2025</v>
      </c>
      <c r="AZ20" s="118">
        <f t="shared" si="18"/>
        <v>77.580281357142582</v>
      </c>
      <c r="BA20" s="118">
        <f t="shared" si="20"/>
        <v>50.400412642856963</v>
      </c>
      <c r="BB20" s="118">
        <f t="shared" si="21"/>
        <v>106.41176692857105</v>
      </c>
      <c r="BE20" s="3" t="s">
        <v>81</v>
      </c>
      <c r="BF20" s="3">
        <v>2025</v>
      </c>
      <c r="BG20" s="3">
        <f t="shared" si="22"/>
        <v>46.548168814285553</v>
      </c>
      <c r="BH20" s="3">
        <f t="shared" si="23"/>
        <v>30.240247585714197</v>
      </c>
      <c r="BI20" s="3">
        <f t="shared" si="24"/>
        <v>63.847060157142593</v>
      </c>
      <c r="BL20" s="3" t="s">
        <v>82</v>
      </c>
      <c r="BM20" s="3">
        <v>2025</v>
      </c>
      <c r="BN20" s="3">
        <f t="shared" si="25"/>
        <v>31.032112542857039</v>
      </c>
      <c r="BO20" s="3">
        <f>BT20*40%</f>
        <v>20.160165057142802</v>
      </c>
      <c r="BP20" s="3">
        <f>BU20*40%</f>
        <v>42.564706771428405</v>
      </c>
      <c r="BS20" s="112">
        <v>77.580281357142596</v>
      </c>
      <c r="BT20" s="112">
        <v>50.400412642856999</v>
      </c>
      <c r="BU20" s="112">
        <v>106.411766928571</v>
      </c>
    </row>
    <row r="21" spans="50:73" s="3" customFormat="1" ht="14.5">
      <c r="AX21" s="118" t="s">
        <v>85</v>
      </c>
      <c r="AY21" s="118">
        <f t="shared" si="19"/>
        <v>2025</v>
      </c>
      <c r="AZ21" s="118">
        <f t="shared" si="18"/>
        <v>81.727145833332983</v>
      </c>
      <c r="BA21" s="118">
        <f t="shared" si="20"/>
        <v>53.854984999999807</v>
      </c>
      <c r="BB21" s="118">
        <f t="shared" si="21"/>
        <v>111.2783524999996</v>
      </c>
      <c r="BE21" s="3" t="s">
        <v>86</v>
      </c>
      <c r="BF21" s="3">
        <v>2025</v>
      </c>
      <c r="BG21" s="3">
        <f t="shared" si="22"/>
        <v>49.036287499999794</v>
      </c>
      <c r="BH21" s="3">
        <f t="shared" si="23"/>
        <v>32.312990999999876</v>
      </c>
      <c r="BI21" s="3">
        <f t="shared" si="24"/>
        <v>66.767011499999995</v>
      </c>
      <c r="BL21" s="3" t="s">
        <v>87</v>
      </c>
      <c r="BM21" s="3">
        <v>2025</v>
      </c>
      <c r="BN21" s="3">
        <f t="shared" si="25"/>
        <v>32.690858333333203</v>
      </c>
      <c r="BO21" s="3">
        <f>BT21*40%</f>
        <v>21.541993999999921</v>
      </c>
      <c r="BP21" s="3">
        <f>BU21*40%</f>
        <v>44.511341000000002</v>
      </c>
      <c r="BS21" s="112">
        <v>81.727145833332997</v>
      </c>
      <c r="BT21" s="112">
        <v>53.8549849999998</v>
      </c>
      <c r="BU21" s="112">
        <v>111.2783525</v>
      </c>
    </row>
    <row r="22" spans="50:73" s="3" customFormat="1" ht="14.5">
      <c r="AX22" s="118" t="s">
        <v>89</v>
      </c>
      <c r="AY22" s="118">
        <f t="shared" si="19"/>
        <v>2025</v>
      </c>
      <c r="AZ22" s="118">
        <f t="shared" si="18"/>
        <v>78.85086797619023</v>
      </c>
      <c r="BA22" s="118">
        <f t="shared" si="20"/>
        <v>52.01334892857124</v>
      </c>
      <c r="BB22" s="118">
        <f t="shared" si="21"/>
        <v>107.28987214285677</v>
      </c>
      <c r="BE22" s="3" t="s">
        <v>90</v>
      </c>
      <c r="BF22" s="3">
        <v>2025</v>
      </c>
      <c r="BG22" s="3">
        <f t="shared" si="22"/>
        <v>47.310520785714118</v>
      </c>
      <c r="BH22" s="3">
        <f t="shared" si="23"/>
        <v>31.208009357142718</v>
      </c>
      <c r="BI22" s="3">
        <f t="shared" si="24"/>
        <v>64.373923285714199</v>
      </c>
      <c r="BL22" s="3" t="s">
        <v>91</v>
      </c>
      <c r="BM22" s="3">
        <v>2025</v>
      </c>
      <c r="BN22" s="3">
        <f t="shared" si="25"/>
        <v>31.540347190476083</v>
      </c>
      <c r="BO22" s="3">
        <f>BT22*40%</f>
        <v>20.80533957142848</v>
      </c>
      <c r="BP22" s="3">
        <f>BU22*40%</f>
        <v>42.915948857142808</v>
      </c>
      <c r="BS22" s="112">
        <v>78.850867976190202</v>
      </c>
      <c r="BT22" s="112">
        <v>52.013348928571197</v>
      </c>
      <c r="BU22" s="112">
        <v>107.28987214285701</v>
      </c>
    </row>
    <row r="23" spans="50:73" s="3" customFormat="1" ht="14.5">
      <c r="AX23" s="118" t="s">
        <v>93</v>
      </c>
      <c r="AY23" s="118">
        <f t="shared" si="19"/>
        <v>2025</v>
      </c>
      <c r="AZ23" s="118">
        <f t="shared" si="18"/>
        <v>81.237061904761646</v>
      </c>
      <c r="BA23" s="118">
        <f t="shared" si="20"/>
        <v>54.419028285714091</v>
      </c>
      <c r="BB23" s="118">
        <f t="shared" si="21"/>
        <v>109.65045742857104</v>
      </c>
      <c r="BE23" s="3" t="s">
        <v>94</v>
      </c>
      <c r="BF23" s="3">
        <v>2025</v>
      </c>
      <c r="BG23" s="3">
        <f t="shared" si="22"/>
        <v>48.742237142856958</v>
      </c>
      <c r="BH23" s="3">
        <f t="shared" si="23"/>
        <v>32.651416971428461</v>
      </c>
      <c r="BI23" s="3">
        <f t="shared" si="24"/>
        <v>65.790274457142601</v>
      </c>
      <c r="BL23" s="3" t="s">
        <v>95</v>
      </c>
      <c r="BM23" s="3">
        <v>2025</v>
      </c>
      <c r="BN23" s="3">
        <f t="shared" si="25"/>
        <v>32.494824761904646</v>
      </c>
      <c r="BO23" s="3">
        <f>BT23*40%</f>
        <v>21.767611314285642</v>
      </c>
      <c r="BP23" s="3">
        <f>BU23*40%</f>
        <v>43.860182971428401</v>
      </c>
      <c r="BS23" s="112">
        <v>81.237061904761603</v>
      </c>
      <c r="BT23" s="112">
        <v>54.419028285714099</v>
      </c>
      <c r="BU23" s="112">
        <v>109.650457428571</v>
      </c>
    </row>
    <row r="24" spans="49:73" s="3" customFormat="1" ht="14.5">
      <c r="AW24" s="111"/>
      <c r="AX24" s="124"/>
      <c r="AY24" s="118"/>
      <c r="AZ24" s="118"/>
      <c r="BA24" s="118"/>
      <c r="BB24" s="118"/>
      <c r="BE24" s="3" t="s">
        <v>97</v>
      </c>
      <c r="BF24" s="3">
        <v>2025</v>
      </c>
      <c r="BG24" s="3">
        <f t="shared" si="22"/>
        <v>88.225085714285399</v>
      </c>
      <c r="BH24" s="3">
        <f t="shared" si="23"/>
        <v>88.225085714285399</v>
      </c>
      <c r="BI24" s="3">
        <f t="shared" si="24"/>
        <v>88.225085714285399</v>
      </c>
      <c r="BL24" s="3" t="s">
        <v>98</v>
      </c>
      <c r="BM24" s="3">
        <v>2025</v>
      </c>
      <c r="BN24" s="3">
        <f t="shared" si="25"/>
        <v>58.816723809523609</v>
      </c>
      <c r="BO24" s="3">
        <f>BT24*40%</f>
        <v>58.816723809523609</v>
      </c>
      <c r="BP24" s="3">
        <f>BU24*40%</f>
        <v>58.816723809523609</v>
      </c>
      <c r="BS24" s="112">
        <v>147.04180952380901</v>
      </c>
      <c r="BT24" s="112">
        <v>147.04180952380901</v>
      </c>
      <c r="BU24" s="112">
        <v>147.04180952380901</v>
      </c>
    </row>
    <row r="25" spans="48:73" s="111" customFormat="1" ht="14.5">
      <c r="AV25" s="3"/>
      <c r="AW25" s="3"/>
      <c r="AX25" s="3"/>
      <c r="AY25" s="3"/>
      <c r="AZ25" s="3"/>
      <c r="BA25" s="3"/>
      <c r="BB25" s="3"/>
      <c r="BC25" s="3"/>
      <c r="BS25" s="125"/>
      <c r="BT25" s="125"/>
      <c r="BU25" s="125"/>
    </row>
    <row r="30" spans="50:64" ht="14.5">
      <c r="AX30" t="s">
        <v>62</v>
      </c>
      <c r="AY30"/>
      <c r="AZ30" s="118"/>
      <c r="BE30" s="3" t="s">
        <v>63</v>
      </c>
      <c r="BL30" s="3" t="s">
        <v>62</v>
      </c>
    </row>
    <row r="31" spans="49:73" ht="14.5">
      <c r="AW31" s="126"/>
      <c r="AX31" s="118" t="s">
        <v>65</v>
      </c>
      <c r="AY31" s="118" t="s">
        <v>41</v>
      </c>
      <c r="AZ31" s="122" t="s">
        <v>66</v>
      </c>
      <c r="BA31" s="122" t="s">
        <v>11</v>
      </c>
      <c r="BB31" s="122" t="s">
        <v>25</v>
      </c>
      <c r="BE31" s="3" t="s">
        <v>65</v>
      </c>
      <c r="BF31" s="3" t="s">
        <v>41</v>
      </c>
      <c r="BG31" s="3" t="s">
        <v>66</v>
      </c>
      <c r="BH31" s="3" t="s">
        <v>11</v>
      </c>
      <c r="BI31" s="3" t="s">
        <v>25</v>
      </c>
      <c r="BL31" s="3" t="s">
        <v>65</v>
      </c>
      <c r="BM31" s="3" t="s">
        <v>41</v>
      </c>
      <c r="BN31" s="3" t="s">
        <v>66</v>
      </c>
      <c r="BO31" s="3" t="s">
        <v>11</v>
      </c>
      <c r="BP31" s="3" t="s">
        <v>25</v>
      </c>
      <c r="BS31" s="112" t="s">
        <v>66</v>
      </c>
      <c r="BT31" s="112" t="s">
        <v>11</v>
      </c>
      <c r="BU31" s="112" t="s">
        <v>25</v>
      </c>
    </row>
    <row r="32" spans="2:3 49:73" ht="14.5">
      <c r="B32" s="38" t="s">
        <v>99</v>
      </c>
      <c r="C32" s="38" t="s">
        <v>100</v>
      </c>
      <c r="AW32" s="118"/>
      <c r="AX32" s="118" t="s">
        <v>67</v>
      </c>
      <c r="AY32" s="118">
        <v>2030</v>
      </c>
      <c r="AZ32" s="118">
        <f>AZ17*AK2/AJ2</f>
        <v>63.158210238095172</v>
      </c>
      <c r="BA32" s="118">
        <f>BA17*AK2/AJ2</f>
        <v>43.596716428571376</v>
      </c>
      <c r="BB32" s="118">
        <f>BB17*AK2/AJ2</f>
        <v>83.933967857142733</v>
      </c>
      <c r="BE32" s="3" t="s">
        <v>68</v>
      </c>
      <c r="BF32" s="3">
        <v>2030</v>
      </c>
      <c r="BG32" s="3">
        <f>BS32*60%</f>
        <v>37.894926142857116</v>
      </c>
      <c r="BH32" s="3">
        <f>BT32*60%</f>
        <v>26.158029857142839</v>
      </c>
      <c r="BI32" s="3">
        <f>BU32*60%</f>
        <v>50.360380714285618</v>
      </c>
      <c r="BL32" s="3" t="s">
        <v>69</v>
      </c>
      <c r="BM32" s="3">
        <v>2030</v>
      </c>
      <c r="BN32" s="3">
        <f>BS32*40%</f>
        <v>25.263284095238081</v>
      </c>
      <c r="BO32" s="3">
        <f>BT32*40%</f>
        <v>17.438686571428558</v>
      </c>
      <c r="BP32" s="3">
        <f>BU32*40%</f>
        <v>33.573587142857086</v>
      </c>
      <c r="BS32" s="112">
        <v>63.158210238095201</v>
      </c>
      <c r="BT32" s="112">
        <v>43.596716428571398</v>
      </c>
      <c r="BU32" s="112">
        <v>83.933967857142704</v>
      </c>
    </row>
    <row r="33" spans="2:3 49:73" ht="14.5">
      <c r="B33" s="38">
        <v>121.57</v>
      </c>
      <c r="C33" s="38">
        <f>B33/0.75</f>
        <v>162.09333333333333</v>
      </c>
      <c r="AW33" s="118"/>
      <c r="AX33" s="118" t="s">
        <v>72</v>
      </c>
      <c r="AY33" s="118">
        <f t="shared" si="26" ref="AY33:AY39">AY32</f>
        <v>2030</v>
      </c>
      <c r="AZ33" s="118">
        <f t="shared" si="27" ref="AZ33:AZ39">AZ18*AK3/AJ3</f>
        <v>74.963899999999896</v>
      </c>
      <c r="BA33" s="118">
        <f t="shared" si="28" ref="BA33:BA39">BA18*AK3/AJ3</f>
        <v>52.113010714285643</v>
      </c>
      <c r="BB33" s="118">
        <f t="shared" si="29" ref="BB33:BB39">BB18*AK3/AJ3</f>
        <v>99.207074999999861</v>
      </c>
      <c r="BE33" s="3" t="s">
        <v>73</v>
      </c>
      <c r="BF33" s="3">
        <v>2030</v>
      </c>
      <c r="BG33" s="3">
        <f t="shared" si="30" ref="BG33:BG39">BS33*60%</f>
        <v>44.978339999999939</v>
      </c>
      <c r="BH33" s="3">
        <f t="shared" si="31" ref="BH33:BH39">BT33*60%</f>
        <v>31.267806428571358</v>
      </c>
      <c r="BI33" s="3">
        <f t="shared" si="32" ref="BI33:BI39">BU33*60%</f>
        <v>59.524244999999937</v>
      </c>
      <c r="BL33" s="3" t="s">
        <v>74</v>
      </c>
      <c r="BM33" s="3">
        <v>2030</v>
      </c>
      <c r="BN33" s="3">
        <f t="shared" si="33" ref="BN33:BN39">BS33*40%</f>
        <v>29.98555999999996</v>
      </c>
      <c r="BO33" s="3">
        <f t="shared" si="34" ref="BO33:BO39">BT33*40%</f>
        <v>20.845204285714242</v>
      </c>
      <c r="BP33" s="3">
        <f t="shared" si="35" ref="BP33:BP39">BU33*40%</f>
        <v>39.682829999999967</v>
      </c>
      <c r="BS33" s="112">
        <v>74.963899999999896</v>
      </c>
      <c r="BT33" s="112">
        <v>52.1130107142856</v>
      </c>
      <c r="BU33" s="112">
        <v>99.207074999999904</v>
      </c>
    </row>
    <row r="34" spans="49:73" ht="14.5">
      <c r="AW34" s="118"/>
      <c r="AX34" s="118" t="s">
        <v>76</v>
      </c>
      <c r="AY34" s="118">
        <f t="shared" si="26"/>
        <v>2030</v>
      </c>
      <c r="AZ34" s="118">
        <f t="shared" si="27"/>
        <v>67.058904523809375</v>
      </c>
      <c r="BA34" s="118">
        <f t="shared" si="28"/>
        <v>44.079726428571362</v>
      </c>
      <c r="BB34" s="118">
        <f t="shared" si="29"/>
        <v>91.400539999999864</v>
      </c>
      <c r="BE34" s="3" t="s">
        <v>77</v>
      </c>
      <c r="BF34" s="3">
        <v>2030</v>
      </c>
      <c r="BG34" s="3">
        <f t="shared" si="30"/>
        <v>40.235342714285643</v>
      </c>
      <c r="BH34" s="3">
        <f t="shared" si="31"/>
        <v>26.447835857142838</v>
      </c>
      <c r="BI34" s="3">
        <f t="shared" si="32"/>
        <v>54.840323999999946</v>
      </c>
      <c r="BL34" s="3" t="s">
        <v>78</v>
      </c>
      <c r="BM34" s="3">
        <v>2030</v>
      </c>
      <c r="BN34" s="3">
        <f t="shared" si="33"/>
        <v>26.823561809523763</v>
      </c>
      <c r="BO34" s="3">
        <f t="shared" si="34"/>
        <v>17.63189057142856</v>
      </c>
      <c r="BP34" s="3">
        <f t="shared" si="35"/>
        <v>36.560215999999961</v>
      </c>
      <c r="BS34" s="112">
        <v>67.058904523809403</v>
      </c>
      <c r="BT34" s="112">
        <v>44.079726428571398</v>
      </c>
      <c r="BU34" s="112">
        <v>91.400539999999907</v>
      </c>
    </row>
    <row r="35" spans="49:73" ht="14.5">
      <c r="AW35" s="118"/>
      <c r="AX35" s="118" t="s">
        <v>80</v>
      </c>
      <c r="AY35" s="118">
        <f t="shared" si="26"/>
        <v>2030</v>
      </c>
      <c r="AZ35" s="118">
        <f t="shared" si="27"/>
        <v>67.195519285714184</v>
      </c>
      <c r="BA35" s="118">
        <f t="shared" si="28"/>
        <v>43.653900714285655</v>
      </c>
      <c r="BB35" s="118">
        <f t="shared" si="29"/>
        <v>92.167672142857015</v>
      </c>
      <c r="BE35" s="3" t="s">
        <v>81</v>
      </c>
      <c r="BF35" s="3">
        <v>2030</v>
      </c>
      <c r="BG35" s="3">
        <f t="shared" si="30"/>
        <v>40.317311571428519</v>
      </c>
      <c r="BH35" s="3">
        <f t="shared" si="31"/>
        <v>26.192340428571416</v>
      </c>
      <c r="BI35" s="3">
        <f t="shared" si="32"/>
        <v>55.300603285714196</v>
      </c>
      <c r="BL35" s="3" t="s">
        <v>82</v>
      </c>
      <c r="BM35" s="3">
        <v>2030</v>
      </c>
      <c r="BN35" s="3">
        <f t="shared" si="33"/>
        <v>26.878207714285679</v>
      </c>
      <c r="BO35" s="3">
        <f t="shared" si="34"/>
        <v>17.461560285714281</v>
      </c>
      <c r="BP35" s="3">
        <f t="shared" si="35"/>
        <v>36.867068857142804</v>
      </c>
      <c r="BS35" s="112">
        <v>67.195519285714198</v>
      </c>
      <c r="BT35" s="112">
        <v>43.653900714285697</v>
      </c>
      <c r="BU35" s="112">
        <v>92.167672142857</v>
      </c>
    </row>
    <row r="36" spans="49:73" ht="14.5">
      <c r="AW36" s="118"/>
      <c r="AX36" s="118" t="s">
        <v>85</v>
      </c>
      <c r="AY36" s="118">
        <f t="shared" si="26"/>
        <v>2030</v>
      </c>
      <c r="AZ36" s="118">
        <f t="shared" si="27"/>
        <v>70.787291666666519</v>
      </c>
      <c r="BA36" s="118">
        <f t="shared" si="28"/>
        <v>46.646049999999931</v>
      </c>
      <c r="BB36" s="118">
        <f t="shared" si="29"/>
        <v>96.382824999999855</v>
      </c>
      <c r="BE36" s="3" t="s">
        <v>86</v>
      </c>
      <c r="BF36" s="3">
        <v>2030</v>
      </c>
      <c r="BG36" s="3">
        <f t="shared" si="30"/>
        <v>42.4723749999999</v>
      </c>
      <c r="BH36" s="3">
        <f t="shared" si="31"/>
        <v>27.987629999999942</v>
      </c>
      <c r="BI36" s="3">
        <f t="shared" si="32"/>
        <v>57.829694999999937</v>
      </c>
      <c r="BL36" s="3" t="s">
        <v>87</v>
      </c>
      <c r="BM36" s="3">
        <v>2030</v>
      </c>
      <c r="BN36" s="3">
        <f t="shared" si="33"/>
        <v>28.314916666666605</v>
      </c>
      <c r="BO36" s="3">
        <f t="shared" si="34"/>
        <v>18.65841999999996</v>
      </c>
      <c r="BP36" s="3">
        <f t="shared" si="35"/>
        <v>38.55312999999996</v>
      </c>
      <c r="BS36" s="112">
        <v>70.787291666666505</v>
      </c>
      <c r="BT36" s="112">
        <v>46.646049999999903</v>
      </c>
      <c r="BU36" s="112">
        <v>96.382824999999897</v>
      </c>
    </row>
    <row r="37" spans="49:73" ht="14.5">
      <c r="AW37" s="118"/>
      <c r="AX37" s="118" t="s">
        <v>89</v>
      </c>
      <c r="AY37" s="118">
        <f t="shared" si="26"/>
        <v>2030</v>
      </c>
      <c r="AZ37" s="118">
        <f t="shared" si="27"/>
        <v>68.29602738095231</v>
      </c>
      <c r="BA37" s="118">
        <f t="shared" si="28"/>
        <v>45.050932142857079</v>
      </c>
      <c r="BB37" s="118">
        <f t="shared" si="29"/>
        <v>92.928235714285591</v>
      </c>
      <c r="BE37" s="3" t="s">
        <v>90</v>
      </c>
      <c r="BF37" s="3">
        <v>2030</v>
      </c>
      <c r="BG37" s="3">
        <f t="shared" si="30"/>
        <v>40.977616428571373</v>
      </c>
      <c r="BH37" s="3">
        <f t="shared" si="31"/>
        <v>27.030559285714258</v>
      </c>
      <c r="BI37" s="3">
        <f t="shared" si="32"/>
        <v>55.756941428571359</v>
      </c>
      <c r="BL37" s="3" t="s">
        <v>91</v>
      </c>
      <c r="BM37" s="3">
        <v>2030</v>
      </c>
      <c r="BN37" s="3">
        <f t="shared" si="33"/>
        <v>27.318410952380919</v>
      </c>
      <c r="BO37" s="3">
        <f t="shared" si="34"/>
        <v>18.020372857142842</v>
      </c>
      <c r="BP37" s="3">
        <f t="shared" si="35"/>
        <v>37.171294285714247</v>
      </c>
      <c r="BS37" s="112">
        <v>68.296027380952296</v>
      </c>
      <c r="BT37" s="112">
        <v>45.0509321428571</v>
      </c>
      <c r="BU37" s="112">
        <v>92.928235714285606</v>
      </c>
    </row>
    <row r="38" spans="49:73" ht="14.5">
      <c r="AW38" s="118"/>
      <c r="AX38" s="118" t="s">
        <v>93</v>
      </c>
      <c r="AY38" s="118">
        <f t="shared" si="26"/>
        <v>2030</v>
      </c>
      <c r="AZ38" s="118">
        <f t="shared" si="27"/>
        <v>70.362809523809446</v>
      </c>
      <c r="BA38" s="118">
        <f t="shared" si="28"/>
        <v>47.134591428571362</v>
      </c>
      <c r="BB38" s="118">
        <f t="shared" si="29"/>
        <v>94.972837142857017</v>
      </c>
      <c r="BE38" s="3" t="s">
        <v>94</v>
      </c>
      <c r="BF38" s="3">
        <v>2030</v>
      </c>
      <c r="BG38" s="3">
        <f t="shared" si="30"/>
        <v>42.217685714285643</v>
      </c>
      <c r="BH38" s="3">
        <f t="shared" si="31"/>
        <v>28.280754857142838</v>
      </c>
      <c r="BI38" s="3">
        <f t="shared" si="32"/>
        <v>56.983702285714202</v>
      </c>
      <c r="BL38" s="3" t="s">
        <v>95</v>
      </c>
      <c r="BM38" s="3">
        <v>2030</v>
      </c>
      <c r="BN38" s="3">
        <f t="shared" si="33"/>
        <v>28.145123809523763</v>
      </c>
      <c r="BO38" s="3">
        <f t="shared" si="34"/>
        <v>18.853836571428559</v>
      </c>
      <c r="BP38" s="3">
        <f t="shared" si="35"/>
        <v>37.989134857142801</v>
      </c>
      <c r="BS38" s="112">
        <v>70.362809523809403</v>
      </c>
      <c r="BT38" s="112">
        <v>47.134591428571397</v>
      </c>
      <c r="BU38" s="112">
        <v>94.972837142857003</v>
      </c>
    </row>
    <row r="39" spans="49:73" ht="14.5">
      <c r="AW39" s="124"/>
      <c r="AX39" s="124"/>
      <c r="AY39" s="118"/>
      <c r="AZ39" s="118"/>
      <c r="BA39" s="118"/>
      <c r="BB39" s="118"/>
      <c r="BE39" s="3" t="s">
        <v>97</v>
      </c>
      <c r="BF39" s="3">
        <v>2030</v>
      </c>
      <c r="BG39" s="3">
        <f t="shared" si="30"/>
        <v>76.415428571428194</v>
      </c>
      <c r="BH39" s="3">
        <f t="shared" si="31"/>
        <v>76.415428571428194</v>
      </c>
      <c r="BI39" s="3">
        <f t="shared" si="32"/>
        <v>76.415428571428194</v>
      </c>
      <c r="BL39" s="3" t="s">
        <v>98</v>
      </c>
      <c r="BM39" s="3">
        <v>2030</v>
      </c>
      <c r="BN39" s="3">
        <f t="shared" si="33"/>
        <v>50.943619047618803</v>
      </c>
      <c r="BO39" s="3">
        <f t="shared" si="34"/>
        <v>50.943619047618803</v>
      </c>
      <c r="BP39" s="3">
        <f t="shared" si="35"/>
        <v>50.943619047618803</v>
      </c>
      <c r="BS39" s="112">
        <v>127.359047619047</v>
      </c>
      <c r="BT39" s="112">
        <v>127.359047619047</v>
      </c>
      <c r="BU39" s="112">
        <v>127.359047619047</v>
      </c>
    </row>
    <row r="44" spans="50:64" ht="14.5">
      <c r="AX44" t="s">
        <v>62</v>
      </c>
      <c r="AY44"/>
      <c r="AZ44" s="118"/>
      <c r="BE44" s="3" t="s">
        <v>63</v>
      </c>
      <c r="BL44" s="3" t="s">
        <v>62</v>
      </c>
    </row>
    <row r="45" spans="50:73" ht="14.5">
      <c r="AX45" s="118" t="s">
        <v>65</v>
      </c>
      <c r="AY45" s="118" t="s">
        <v>41</v>
      </c>
      <c r="AZ45" s="122" t="s">
        <v>66</v>
      </c>
      <c r="BA45" s="122" t="s">
        <v>11</v>
      </c>
      <c r="BB45" s="122" t="s">
        <v>25</v>
      </c>
      <c r="BE45" s="3" t="s">
        <v>65</v>
      </c>
      <c r="BF45" s="3" t="s">
        <v>41</v>
      </c>
      <c r="BG45" s="3" t="s">
        <v>66</v>
      </c>
      <c r="BH45" s="3" t="s">
        <v>11</v>
      </c>
      <c r="BI45" s="3" t="s">
        <v>25</v>
      </c>
      <c r="BL45" s="3" t="s">
        <v>65</v>
      </c>
      <c r="BM45" s="3" t="s">
        <v>41</v>
      </c>
      <c r="BN45" s="3" t="s">
        <v>66</v>
      </c>
      <c r="BO45" s="3" t="s">
        <v>11</v>
      </c>
      <c r="BP45" s="3" t="s">
        <v>25</v>
      </c>
      <c r="BS45" s="112" t="s">
        <v>66</v>
      </c>
      <c r="BT45" s="112" t="s">
        <v>11</v>
      </c>
      <c r="BU45" s="112" t="s">
        <v>25</v>
      </c>
    </row>
    <row r="46" spans="2:3 50:73" ht="14.5">
      <c r="B46"/>
      <c r="C46" s="118"/>
      <c r="AX46" s="118" t="s">
        <v>67</v>
      </c>
      <c r="AY46" s="118">
        <v>2035</v>
      </c>
      <c r="AZ46" s="118">
        <f>AZ32*AL2/AK2</f>
        <v>57.416554761904926</v>
      </c>
      <c r="BA46" s="118">
        <f>BA32*AL2/AK2</f>
        <v>39.633378571428679</v>
      </c>
      <c r="BB46" s="118">
        <f>BB32*AL2/AK2</f>
        <v>76.303607142857331</v>
      </c>
      <c r="BE46" s="3" t="s">
        <v>68</v>
      </c>
      <c r="BF46" s="3">
        <v>2035</v>
      </c>
      <c r="BG46" s="3">
        <f>BS46*60%</f>
        <v>34.44993285714294</v>
      </c>
      <c r="BH46" s="3">
        <f>BT46*60%</f>
        <v>23.780027142857218</v>
      </c>
      <c r="BI46" s="3">
        <f>BU46*60%</f>
        <v>45.78216428571438</v>
      </c>
      <c r="BL46" s="3" t="s">
        <v>69</v>
      </c>
      <c r="BM46" s="3">
        <v>2035</v>
      </c>
      <c r="BN46" s="3">
        <f>BS46*40%</f>
        <v>22.966621904761961</v>
      </c>
      <c r="BO46" s="3">
        <f>BT46*40%</f>
        <v>15.85335142857148</v>
      </c>
      <c r="BP46" s="3">
        <f>BU46*40%</f>
        <v>30.521442857142922</v>
      </c>
      <c r="BS46" s="112">
        <v>57.416554761904898</v>
      </c>
      <c r="BT46" s="112">
        <v>39.6333785714287</v>
      </c>
      <c r="BU46" s="112">
        <v>76.303607142857302</v>
      </c>
    </row>
    <row r="47" spans="2:5 50:73" ht="14.5">
      <c r="B47" s="118"/>
      <c r="C47" s="122"/>
      <c r="D47" s="122"/>
      <c r="E47" s="122"/>
      <c r="AX47" s="118" t="s">
        <v>72</v>
      </c>
      <c r="AY47" s="118">
        <f t="shared" si="36" ref="AY47:AY53">AY46</f>
        <v>2035</v>
      </c>
      <c r="AZ47" s="118">
        <f t="shared" si="37" ref="AZ47:AZ53">AZ33*AL3/AK3</f>
        <v>68.149000000000171</v>
      </c>
      <c r="BA47" s="118">
        <f t="shared" si="38" ref="BA47:BA53">BA33*AL3/AK3</f>
        <v>47.375464285714415</v>
      </c>
      <c r="BB47" s="118">
        <f t="shared" si="39" ref="BB47:BB53">BB33*AL3/AK3</f>
        <v>90.188250000000224</v>
      </c>
      <c r="BE47" s="3" t="s">
        <v>73</v>
      </c>
      <c r="BF47" s="3">
        <v>2035</v>
      </c>
      <c r="BG47" s="3">
        <f t="shared" si="40" ref="BG47:BG53">BS47*60%</f>
        <v>40.889400000000116</v>
      </c>
      <c r="BH47" s="3">
        <f t="shared" si="41" ref="BH47:BH53">BT47*60%</f>
        <v>28.425278571428638</v>
      </c>
      <c r="BI47" s="3">
        <f t="shared" si="42" ref="BI47:BI53">BU47*60%</f>
        <v>54.112950000000119</v>
      </c>
      <c r="BL47" s="3" t="s">
        <v>74</v>
      </c>
      <c r="BM47" s="3">
        <v>2035</v>
      </c>
      <c r="BN47" s="3">
        <f t="shared" si="43" ref="BN47:BN53">BS47*40%</f>
        <v>27.259600000000081</v>
      </c>
      <c r="BO47" s="3">
        <f>BT47*40%</f>
        <v>18.950185714285762</v>
      </c>
      <c r="BP47" s="3">
        <f>BU47*40%</f>
        <v>36.075300000000077</v>
      </c>
      <c r="BS47" s="112">
        <v>68.1490000000002</v>
      </c>
      <c r="BT47" s="112">
        <v>47.375464285714401</v>
      </c>
      <c r="BU47" s="112">
        <v>90.188250000000195</v>
      </c>
    </row>
    <row r="48" spans="2:5 50:73" ht="14.5">
      <c r="B48" s="118"/>
      <c r="C48" s="118"/>
      <c r="D48" s="118"/>
      <c r="E48" s="118"/>
      <c r="AX48" s="118" t="s">
        <v>76</v>
      </c>
      <c r="AY48" s="118">
        <f t="shared" si="36"/>
        <v>2035</v>
      </c>
      <c r="AZ48" s="118">
        <f t="shared" si="37"/>
        <v>60.962640476190586</v>
      </c>
      <c r="BA48" s="118">
        <f t="shared" si="38"/>
        <v>40.072478571428675</v>
      </c>
      <c r="BB48" s="118">
        <f t="shared" si="39"/>
        <v>83.091400000000206</v>
      </c>
      <c r="BE48" s="3" t="s">
        <v>77</v>
      </c>
      <c r="BF48" s="3">
        <v>2035</v>
      </c>
      <c r="BG48" s="3">
        <f t="shared" si="40"/>
        <v>36.577584285714359</v>
      </c>
      <c r="BH48" s="3">
        <f t="shared" si="41"/>
        <v>24.043487142857217</v>
      </c>
      <c r="BI48" s="3">
        <f t="shared" si="42"/>
        <v>49.854840000000124</v>
      </c>
      <c r="BL48" s="3" t="s">
        <v>78</v>
      </c>
      <c r="BM48" s="3">
        <v>2035</v>
      </c>
      <c r="BN48" s="3">
        <f t="shared" si="43"/>
        <v>24.385056190476242</v>
      </c>
      <c r="BO48" s="3">
        <f>BT48*40%</f>
        <v>16.02899142857148</v>
      </c>
      <c r="BP48" s="3">
        <f>BU48*40%</f>
        <v>33.236560000000082</v>
      </c>
      <c r="BS48" s="112">
        <v>60.9626404761906</v>
      </c>
      <c r="BT48" s="112">
        <v>40.072478571428697</v>
      </c>
      <c r="BU48" s="112">
        <v>83.091400000000206</v>
      </c>
    </row>
    <row r="49" spans="2:5 50:73" ht="14.5">
      <c r="B49" s="118"/>
      <c r="C49" s="118"/>
      <c r="D49" s="118"/>
      <c r="E49" s="118"/>
      <c r="AX49" s="118" t="s">
        <v>80</v>
      </c>
      <c r="AY49" s="118">
        <f t="shared" si="36"/>
        <v>2035</v>
      </c>
      <c r="AZ49" s="118">
        <f t="shared" si="37"/>
        <v>61.086835714285861</v>
      </c>
      <c r="BA49" s="118">
        <f t="shared" si="38"/>
        <v>39.685364285714392</v>
      </c>
      <c r="BB49" s="118">
        <f t="shared" si="39"/>
        <v>83.788792857143065</v>
      </c>
      <c r="BE49" s="3" t="s">
        <v>81</v>
      </c>
      <c r="BF49" s="3">
        <v>2035</v>
      </c>
      <c r="BG49" s="3">
        <f t="shared" si="40"/>
        <v>36.652101428571534</v>
      </c>
      <c r="BH49" s="3">
        <f t="shared" si="41"/>
        <v>23.81121857142864</v>
      </c>
      <c r="BI49" s="3">
        <f t="shared" si="42"/>
        <v>50.273275714285852</v>
      </c>
      <c r="BL49" s="3" t="s">
        <v>82</v>
      </c>
      <c r="BM49" s="3">
        <v>2035</v>
      </c>
      <c r="BN49" s="3">
        <f t="shared" si="43"/>
        <v>24.434734285714359</v>
      </c>
      <c r="BO49" s="3">
        <f>BT49*40%</f>
        <v>15.87414571428576</v>
      </c>
      <c r="BP49" s="3">
        <f>BU49*40%</f>
        <v>33.515517142857242</v>
      </c>
      <c r="BS49" s="112">
        <v>61.086835714285897</v>
      </c>
      <c r="BT49" s="112">
        <v>39.6853642857144</v>
      </c>
      <c r="BU49" s="112">
        <v>83.788792857143093</v>
      </c>
    </row>
    <row r="50" spans="2:5 50:73" ht="14.5">
      <c r="B50" s="118"/>
      <c r="C50" s="118"/>
      <c r="D50" s="118"/>
      <c r="E50" s="118"/>
      <c r="AX50" s="118" t="s">
        <v>85</v>
      </c>
      <c r="AY50" s="118">
        <f t="shared" si="36"/>
        <v>2035</v>
      </c>
      <c r="AZ50" s="118">
        <f t="shared" si="37"/>
        <v>64.352083333333454</v>
      </c>
      <c r="BA50" s="118">
        <f t="shared" si="38"/>
        <v>42.40550000000011</v>
      </c>
      <c r="BB50" s="118">
        <f t="shared" si="39"/>
        <v>87.620750000000214</v>
      </c>
      <c r="BE50" s="3" t="s">
        <v>86</v>
      </c>
      <c r="BF50" s="3">
        <v>2035</v>
      </c>
      <c r="BG50" s="3">
        <f t="shared" si="40"/>
        <v>38.611250000000098</v>
      </c>
      <c r="BH50" s="3">
        <f t="shared" si="41"/>
        <v>25.443300000000061</v>
      </c>
      <c r="BI50" s="3">
        <f t="shared" si="42"/>
        <v>52.572450000000117</v>
      </c>
      <c r="BL50" s="3" t="s">
        <v>87</v>
      </c>
      <c r="BM50" s="3">
        <v>2035</v>
      </c>
      <c r="BN50" s="3">
        <f t="shared" si="43"/>
        <v>25.740833333333399</v>
      </c>
      <c r="BO50" s="3">
        <f>BT50*40%</f>
        <v>16.962200000000042</v>
      </c>
      <c r="BP50" s="3">
        <f>BU50*40%</f>
        <v>35.048300000000083</v>
      </c>
      <c r="BS50" s="112">
        <v>64.352083333333496</v>
      </c>
      <c r="BT50" s="112">
        <v>42.405500000000103</v>
      </c>
      <c r="BU50" s="112">
        <v>87.6207500000002</v>
      </c>
    </row>
    <row r="51" spans="2:5 50:73" ht="14.5">
      <c r="B51" s="118"/>
      <c r="C51" s="118"/>
      <c r="D51" s="118"/>
      <c r="E51" s="118"/>
      <c r="AX51" s="118" t="s">
        <v>89</v>
      </c>
      <c r="AY51" s="118">
        <f t="shared" si="36"/>
        <v>2035</v>
      </c>
      <c r="AZ51" s="118">
        <f t="shared" si="37"/>
        <v>62.087297619047803</v>
      </c>
      <c r="BA51" s="118">
        <f t="shared" si="38"/>
        <v>40.955392857142961</v>
      </c>
      <c r="BB51" s="118">
        <f t="shared" si="39"/>
        <v>84.48021428571451</v>
      </c>
      <c r="BE51" s="3" t="s">
        <v>90</v>
      </c>
      <c r="BF51" s="3">
        <v>2035</v>
      </c>
      <c r="BG51" s="3">
        <f t="shared" si="40"/>
        <v>37.252378571428679</v>
      </c>
      <c r="BH51" s="3">
        <f t="shared" si="41"/>
        <v>24.573235714285801</v>
      </c>
      <c r="BI51" s="3">
        <f t="shared" si="42"/>
        <v>50.688128571428699</v>
      </c>
      <c r="BL51" s="3" t="s">
        <v>91</v>
      </c>
      <c r="BM51" s="3">
        <v>2035</v>
      </c>
      <c r="BN51" s="3">
        <f t="shared" si="43"/>
        <v>24.834919047619124</v>
      </c>
      <c r="BO51" s="3">
        <f>BT51*40%</f>
        <v>16.382157142857203</v>
      </c>
      <c r="BP51" s="3">
        <f>BU51*40%</f>
        <v>33.792085714285797</v>
      </c>
      <c r="BS51" s="112">
        <v>62.087297619047803</v>
      </c>
      <c r="BT51" s="112">
        <v>40.955392857143003</v>
      </c>
      <c r="BU51" s="112">
        <v>84.480214285714496</v>
      </c>
    </row>
    <row r="52" spans="2:5 50:73" ht="14.5">
      <c r="B52" s="118"/>
      <c r="C52" s="118"/>
      <c r="D52" s="118"/>
      <c r="E52" s="118"/>
      <c r="AX52" s="118" t="s">
        <v>93</v>
      </c>
      <c r="AY52" s="118">
        <f t="shared" si="36"/>
        <v>2035</v>
      </c>
      <c r="AZ52" s="118">
        <f t="shared" si="37"/>
        <v>63.966190476190661</v>
      </c>
      <c r="BA52" s="118">
        <f t="shared" si="38"/>
        <v>42.849628571428674</v>
      </c>
      <c r="BB52" s="118">
        <f t="shared" si="39"/>
        <v>86.338942857143095</v>
      </c>
      <c r="BE52" s="3" t="s">
        <v>94</v>
      </c>
      <c r="BF52" s="3">
        <v>2035</v>
      </c>
      <c r="BG52" s="3">
        <f t="shared" si="40"/>
        <v>38.379714285714414</v>
      </c>
      <c r="BH52" s="3">
        <f t="shared" si="41"/>
        <v>25.70977714285722</v>
      </c>
      <c r="BI52" s="3">
        <f t="shared" si="42"/>
        <v>51.803365714285853</v>
      </c>
      <c r="BL52" s="3" t="s">
        <v>95</v>
      </c>
      <c r="BM52" s="3">
        <v>2035</v>
      </c>
      <c r="BN52" s="3">
        <f t="shared" si="43"/>
        <v>25.586476190476279</v>
      </c>
      <c r="BO52" s="3">
        <f>BT52*40%</f>
        <v>17.139851428571482</v>
      </c>
      <c r="BP52" s="3">
        <f>BU52*40%</f>
        <v>34.535577142857242</v>
      </c>
      <c r="BS52" s="112">
        <v>63.966190476190697</v>
      </c>
      <c r="BT52" s="112">
        <v>42.849628571428703</v>
      </c>
      <c r="BU52" s="112">
        <v>86.338942857143095</v>
      </c>
    </row>
    <row r="53" spans="2:5 49:73" ht="14.5">
      <c r="B53" s="118"/>
      <c r="C53" s="118"/>
      <c r="D53" s="118"/>
      <c r="E53" s="118"/>
      <c r="AW53" s="111"/>
      <c r="AX53" s="124"/>
      <c r="AY53" s="118"/>
      <c r="AZ53" s="118"/>
      <c r="BA53" s="118"/>
      <c r="BB53" s="118"/>
      <c r="BE53" s="3" t="s">
        <v>97</v>
      </c>
      <c r="BF53" s="3">
        <v>2035</v>
      </c>
      <c r="BG53" s="3">
        <f t="shared" si="40"/>
        <v>69.468571428571792</v>
      </c>
      <c r="BH53" s="3">
        <f t="shared" si="41"/>
        <v>69.468571428571792</v>
      </c>
      <c r="BI53" s="3">
        <f t="shared" si="42"/>
        <v>69.468571428571792</v>
      </c>
      <c r="BL53" s="3" t="s">
        <v>98</v>
      </c>
      <c r="BM53" s="3">
        <v>2035</v>
      </c>
      <c r="BN53" s="3">
        <f t="shared" si="43"/>
        <v>46.312380952381204</v>
      </c>
      <c r="BO53" s="3">
        <f>BT53*40%</f>
        <v>46.312380952381204</v>
      </c>
      <c r="BP53" s="3">
        <f>BU53*40%</f>
        <v>46.312380952381204</v>
      </c>
      <c r="BS53" s="112">
        <v>115.780952380953</v>
      </c>
      <c r="BT53" s="112">
        <v>115.780952380953</v>
      </c>
      <c r="BU53" s="112">
        <v>115.780952380953</v>
      </c>
    </row>
    <row r="54" spans="2:5" ht="14.5">
      <c r="B54" s="118"/>
      <c r="C54" s="118"/>
      <c r="D54" s="118"/>
      <c r="E54" s="118"/>
    </row>
    <row r="55" spans="2:5" ht="14.5">
      <c r="B55" s="127"/>
      <c r="C55" s="128"/>
      <c r="D55" s="128"/>
      <c r="E55" s="128"/>
    </row>
    <row r="58" spans="50:64" ht="14.5">
      <c r="AX58" t="s">
        <v>62</v>
      </c>
      <c r="AY58"/>
      <c r="AZ58" s="118"/>
      <c r="BE58" s="3" t="s">
        <v>63</v>
      </c>
      <c r="BL58" s="3" t="s">
        <v>62</v>
      </c>
    </row>
    <row r="59" spans="50:73" ht="14.5">
      <c r="AX59" s="118" t="s">
        <v>65</v>
      </c>
      <c r="AY59" s="118" t="s">
        <v>41</v>
      </c>
      <c r="AZ59" s="122" t="s">
        <v>66</v>
      </c>
      <c r="BA59" s="122" t="s">
        <v>11</v>
      </c>
      <c r="BB59" s="122" t="s">
        <v>25</v>
      </c>
      <c r="BE59" s="3" t="s">
        <v>65</v>
      </c>
      <c r="BF59" s="3" t="s">
        <v>41</v>
      </c>
      <c r="BG59" s="3" t="s">
        <v>66</v>
      </c>
      <c r="BH59" s="3" t="s">
        <v>11</v>
      </c>
      <c r="BI59" s="3" t="s">
        <v>25</v>
      </c>
      <c r="BL59" s="3" t="s">
        <v>65</v>
      </c>
      <c r="BM59" s="3" t="s">
        <v>41</v>
      </c>
      <c r="BN59" s="3" t="s">
        <v>66</v>
      </c>
      <c r="BO59" s="3" t="s">
        <v>11</v>
      </c>
      <c r="BP59" s="3" t="s">
        <v>25</v>
      </c>
      <c r="BS59" s="112" t="s">
        <v>66</v>
      </c>
      <c r="BT59" s="112" t="s">
        <v>11</v>
      </c>
      <c r="BU59" s="112" t="s">
        <v>25</v>
      </c>
    </row>
    <row r="60" spans="50:73" ht="14.5">
      <c r="AX60" s="118" t="s">
        <v>67</v>
      </c>
      <c r="AY60" s="118">
        <v>2040</v>
      </c>
      <c r="AZ60" s="118">
        <f>AZ46*0.97</f>
        <v>55.694058119047774</v>
      </c>
      <c r="BA60" s="118">
        <f>BA46*0.97</f>
        <v>38.444377214285815</v>
      </c>
      <c r="BB60" s="118">
        <f>BB46*0.97</f>
        <v>74.014498928571612</v>
      </c>
      <c r="BE60" s="3" t="s">
        <v>68</v>
      </c>
      <c r="BF60" s="3">
        <v>2040</v>
      </c>
      <c r="BG60" s="3">
        <f>BS60*60%</f>
        <v>33.416434871428677</v>
      </c>
      <c r="BH60" s="3">
        <f>BT60*60%</f>
        <v>23.066626328571481</v>
      </c>
      <c r="BI60" s="3">
        <f>BU60*60%</f>
        <v>44.408699357142957</v>
      </c>
      <c r="BL60" s="3" t="s">
        <v>69</v>
      </c>
      <c r="BM60" s="3">
        <v>2040</v>
      </c>
      <c r="BN60" s="3">
        <f>BS60*40%</f>
        <v>22.277623247619122</v>
      </c>
      <c r="BO60" s="3">
        <f>BT60*40%</f>
        <v>15.37775088571432</v>
      </c>
      <c r="BP60" s="3">
        <f>BU60*40%</f>
        <v>29.605799571428641</v>
      </c>
      <c r="BS60" s="112">
        <v>55.694058119047803</v>
      </c>
      <c r="BT60" s="112">
        <v>38.444377214285801</v>
      </c>
      <c r="BU60" s="112">
        <v>74.014498928571598</v>
      </c>
    </row>
    <row r="61" spans="50:73" ht="14.5">
      <c r="AX61" s="118" t="s">
        <v>72</v>
      </c>
      <c r="AY61" s="118">
        <f t="shared" si="44" ref="AY61:AY67">AY60</f>
        <v>2040</v>
      </c>
      <c r="AZ61" s="118">
        <f t="shared" si="45" ref="AZ61:AZ67">AZ47*0.97</f>
        <v>66.104530000000167</v>
      </c>
      <c r="BA61" s="118">
        <f t="shared" si="46" ref="BA61:BA67">BA47*0.97</f>
        <v>45.95420035714298</v>
      </c>
      <c r="BB61" s="118">
        <f t="shared" si="47" ref="BB61:BB67">BB47*0.97</f>
        <v>87.482602500000212</v>
      </c>
      <c r="BE61" s="3" t="s">
        <v>73</v>
      </c>
      <c r="BF61" s="3">
        <v>2040</v>
      </c>
      <c r="BG61" s="3">
        <f t="shared" si="48" ref="BG61:BG67">BS61*60%</f>
        <v>39.662718000000119</v>
      </c>
      <c r="BH61" s="3">
        <f t="shared" si="49" ref="BH61:BH67">BT61*60%</f>
        <v>27.572520214285799</v>
      </c>
      <c r="BI61" s="3">
        <f t="shared" si="50" ref="BI61:BI67">BU61*60%</f>
        <v>52.489561500000114</v>
      </c>
      <c r="BL61" s="3" t="s">
        <v>74</v>
      </c>
      <c r="BM61" s="3">
        <v>2040</v>
      </c>
      <c r="BN61" s="3">
        <f t="shared" si="51" ref="BN61:BN67">BS61*40%</f>
        <v>26.44181200000008</v>
      </c>
      <c r="BO61" s="3">
        <f>BT61*40%</f>
        <v>18.381680142857203</v>
      </c>
      <c r="BP61" s="3">
        <f>BU61*40%</f>
        <v>34.993041000000083</v>
      </c>
      <c r="BS61" s="112">
        <v>66.104530000000196</v>
      </c>
      <c r="BT61" s="112">
        <v>45.954200357143002</v>
      </c>
      <c r="BU61" s="112">
        <v>87.482602500000198</v>
      </c>
    </row>
    <row r="62" spans="50:73" ht="14.5">
      <c r="AX62" s="118" t="s">
        <v>76</v>
      </c>
      <c r="AY62" s="118">
        <f t="shared" si="44"/>
        <v>2040</v>
      </c>
      <c r="AZ62" s="118">
        <f t="shared" si="45"/>
        <v>59.133761261904866</v>
      </c>
      <c r="BA62" s="118">
        <f t="shared" si="46"/>
        <v>38.870304214285817</v>
      </c>
      <c r="BB62" s="118">
        <f t="shared" si="47"/>
        <v>80.598658000000199</v>
      </c>
      <c r="BE62" s="3" t="s">
        <v>77</v>
      </c>
      <c r="BF62" s="3">
        <v>2040</v>
      </c>
      <c r="BG62" s="3">
        <f t="shared" si="48"/>
        <v>35.480256757142939</v>
      </c>
      <c r="BH62" s="3">
        <f t="shared" si="49"/>
        <v>23.322182528571481</v>
      </c>
      <c r="BI62" s="3">
        <f t="shared" si="50"/>
        <v>48.359194800000118</v>
      </c>
      <c r="BL62" s="3" t="s">
        <v>78</v>
      </c>
      <c r="BM62" s="3">
        <v>2040</v>
      </c>
      <c r="BN62" s="3">
        <f t="shared" si="51"/>
        <v>23.653504504761962</v>
      </c>
      <c r="BO62" s="3">
        <f>BT62*40%</f>
        <v>15.548121685714321</v>
      </c>
      <c r="BP62" s="3">
        <f>BU62*40%</f>
        <v>32.239463200000081</v>
      </c>
      <c r="BS62" s="112">
        <v>59.133761261904901</v>
      </c>
      <c r="BT62" s="112">
        <v>38.870304214285802</v>
      </c>
      <c r="BU62" s="112">
        <v>80.598658000000199</v>
      </c>
    </row>
    <row r="63" spans="50:73" ht="14.5">
      <c r="AX63" s="118" t="s">
        <v>80</v>
      </c>
      <c r="AY63" s="118">
        <f t="shared" si="44"/>
        <v>2040</v>
      </c>
      <c r="AZ63" s="118">
        <f t="shared" si="45"/>
        <v>59.254230642857287</v>
      </c>
      <c r="BA63" s="118">
        <f t="shared" si="46"/>
        <v>38.494803357142956</v>
      </c>
      <c r="BB63" s="118">
        <f t="shared" si="47"/>
        <v>81.275129071428765</v>
      </c>
      <c r="BE63" s="3" t="s">
        <v>81</v>
      </c>
      <c r="BF63" s="3">
        <v>2040</v>
      </c>
      <c r="BG63" s="3">
        <f t="shared" si="48"/>
        <v>35.552538385714378</v>
      </c>
      <c r="BH63" s="3">
        <f t="shared" si="49"/>
        <v>23.0968820142858</v>
      </c>
      <c r="BI63" s="3">
        <f t="shared" si="50"/>
        <v>48.765077442857276</v>
      </c>
      <c r="BL63" s="3" t="s">
        <v>82</v>
      </c>
      <c r="BM63" s="3">
        <v>2040</v>
      </c>
      <c r="BN63" s="3">
        <f t="shared" si="51"/>
        <v>23.701692257142923</v>
      </c>
      <c r="BO63" s="3">
        <f>BT63*40%</f>
        <v>15.397921342857201</v>
      </c>
      <c r="BP63" s="3">
        <f>BU63*40%</f>
        <v>32.510051628571517</v>
      </c>
      <c r="BS63" s="112">
        <v>59.254230642857301</v>
      </c>
      <c r="BT63" s="112">
        <v>38.494803357142999</v>
      </c>
      <c r="BU63" s="112">
        <v>81.275129071428793</v>
      </c>
    </row>
    <row r="64" spans="50:73" ht="14.5">
      <c r="AX64" s="118" t="s">
        <v>85</v>
      </c>
      <c r="AY64" s="118">
        <f t="shared" si="44"/>
        <v>2040</v>
      </c>
      <c r="AZ64" s="118">
        <f t="shared" si="45"/>
        <v>62.421520833333446</v>
      </c>
      <c r="BA64" s="118">
        <f t="shared" si="46"/>
        <v>41.133335000000109</v>
      </c>
      <c r="BB64" s="118">
        <f t="shared" si="47"/>
        <v>84.992127500000208</v>
      </c>
      <c r="BE64" s="3" t="s">
        <v>86</v>
      </c>
      <c r="BF64" s="3">
        <v>2040</v>
      </c>
      <c r="BG64" s="3">
        <f t="shared" si="48"/>
        <v>37.452912500000039</v>
      </c>
      <c r="BH64" s="3">
        <f t="shared" si="49"/>
        <v>24.680001000000061</v>
      </c>
      <c r="BI64" s="3">
        <f t="shared" si="50"/>
        <v>50.995276500000116</v>
      </c>
      <c r="BL64" s="3" t="s">
        <v>87</v>
      </c>
      <c r="BM64" s="3">
        <v>2040</v>
      </c>
      <c r="BN64" s="3">
        <f t="shared" si="51"/>
        <v>24.968608333333364</v>
      </c>
      <c r="BO64" s="3">
        <f>BT64*40%</f>
        <v>16.453334000000041</v>
      </c>
      <c r="BP64" s="3">
        <f>BU64*40%</f>
        <v>33.996851000000078</v>
      </c>
      <c r="BS64" s="112">
        <v>62.421520833333403</v>
      </c>
      <c r="BT64" s="112">
        <v>41.133335000000102</v>
      </c>
      <c r="BU64" s="112">
        <v>84.992127500000194</v>
      </c>
    </row>
    <row r="65" spans="50:73" ht="14.5">
      <c r="AX65" s="118" t="s">
        <v>89</v>
      </c>
      <c r="AY65" s="118">
        <f t="shared" si="44"/>
        <v>2040</v>
      </c>
      <c r="AZ65" s="118">
        <f t="shared" si="45"/>
        <v>60.224678690476367</v>
      </c>
      <c r="BA65" s="118">
        <f t="shared" si="46"/>
        <v>39.726731071428674</v>
      </c>
      <c r="BB65" s="118">
        <f t="shared" si="47"/>
        <v>81.945807857143066</v>
      </c>
      <c r="BE65" s="3" t="s">
        <v>90</v>
      </c>
      <c r="BF65" s="3">
        <v>2040</v>
      </c>
      <c r="BG65" s="3">
        <f t="shared" si="48"/>
        <v>36.134807214285843</v>
      </c>
      <c r="BH65" s="3">
        <f t="shared" si="49"/>
        <v>23.836038642857222</v>
      </c>
      <c r="BI65" s="3">
        <f t="shared" si="50"/>
        <v>49.167484714285855</v>
      </c>
      <c r="BL65" s="3" t="s">
        <v>91</v>
      </c>
      <c r="BM65" s="3">
        <v>2040</v>
      </c>
      <c r="BN65" s="3">
        <f t="shared" si="51"/>
        <v>24.089871476190563</v>
      </c>
      <c r="BO65" s="3">
        <f>BT65*40%</f>
        <v>15.890692428571482</v>
      </c>
      <c r="BP65" s="3">
        <f>BU65*40%</f>
        <v>32.778323142857239</v>
      </c>
      <c r="BS65" s="112">
        <v>60.224678690476402</v>
      </c>
      <c r="BT65" s="112">
        <v>39.726731071428702</v>
      </c>
      <c r="BU65" s="112">
        <v>81.945807857143095</v>
      </c>
    </row>
    <row r="66" spans="50:73" ht="14.5">
      <c r="AX66" s="118" t="s">
        <v>93</v>
      </c>
      <c r="AY66" s="118">
        <f t="shared" si="44"/>
        <v>2040</v>
      </c>
      <c r="AZ66" s="118">
        <f t="shared" si="45"/>
        <v>62.047204761904936</v>
      </c>
      <c r="BA66" s="118">
        <f t="shared" si="46"/>
        <v>41.564139714285815</v>
      </c>
      <c r="BB66" s="118">
        <f t="shared" si="47"/>
        <v>83.748774571428797</v>
      </c>
      <c r="BE66" s="3" t="s">
        <v>94</v>
      </c>
      <c r="BF66" s="3">
        <v>2040</v>
      </c>
      <c r="BG66" s="3">
        <f t="shared" si="48"/>
        <v>37.228322857142942</v>
      </c>
      <c r="BH66" s="3">
        <f t="shared" si="49"/>
        <v>24.938483828571481</v>
      </c>
      <c r="BI66" s="3">
        <f t="shared" si="50"/>
        <v>50.249264742857278</v>
      </c>
      <c r="BL66" s="3" t="s">
        <v>95</v>
      </c>
      <c r="BM66" s="3">
        <v>2040</v>
      </c>
      <c r="BN66" s="3">
        <f t="shared" si="51"/>
        <v>24.818881904761962</v>
      </c>
      <c r="BO66" s="3">
        <f>BT66*40%</f>
        <v>16.62565588571432</v>
      </c>
      <c r="BP66" s="3">
        <f>BU66*40%</f>
        <v>33.499509828571519</v>
      </c>
      <c r="BS66" s="112">
        <v>62.047204761904901</v>
      </c>
      <c r="BT66" s="112">
        <v>41.564139714285801</v>
      </c>
      <c r="BU66" s="112">
        <v>83.748774571428797</v>
      </c>
    </row>
    <row r="67" spans="49:73" ht="14.5">
      <c r="AW67" s="111"/>
      <c r="AX67" s="124"/>
      <c r="AY67" s="118"/>
      <c r="AZ67" s="118"/>
      <c r="BA67" s="118"/>
      <c r="BB67" s="118"/>
      <c r="BE67" s="3" t="s">
        <v>97</v>
      </c>
      <c r="BF67" s="3">
        <v>2040</v>
      </c>
      <c r="BG67" s="3">
        <f t="shared" si="48"/>
        <v>67.384514285714403</v>
      </c>
      <c r="BH67" s="3">
        <f t="shared" si="49"/>
        <v>67.384514285714403</v>
      </c>
      <c r="BI67" s="3">
        <f t="shared" si="50"/>
        <v>67.384514285714403</v>
      </c>
      <c r="BL67" s="3" t="s">
        <v>98</v>
      </c>
      <c r="BM67" s="3">
        <v>2040</v>
      </c>
      <c r="BN67" s="3">
        <f t="shared" si="51"/>
        <v>44.923009523809604</v>
      </c>
      <c r="BO67" s="3">
        <f>BT67*40%</f>
        <v>44.923009523809604</v>
      </c>
      <c r="BP67" s="3">
        <f>BU67*40%</f>
        <v>44.923009523809604</v>
      </c>
      <c r="BS67" s="112">
        <v>112.307523809524</v>
      </c>
      <c r="BT67" s="112">
        <v>112.307523809524</v>
      </c>
      <c r="BU67" s="112">
        <v>112.307523809524</v>
      </c>
    </row>
    <row r="74" spans="50:64" ht="14.5">
      <c r="AX74" t="s">
        <v>62</v>
      </c>
      <c r="AY74"/>
      <c r="AZ74" s="118"/>
      <c r="BE74" s="3" t="s">
        <v>63</v>
      </c>
      <c r="BL74" s="3" t="s">
        <v>62</v>
      </c>
    </row>
    <row r="75" spans="50:73" ht="14.5">
      <c r="AX75" s="118" t="s">
        <v>65</v>
      </c>
      <c r="AY75" s="118" t="s">
        <v>41</v>
      </c>
      <c r="AZ75" s="122" t="s">
        <v>66</v>
      </c>
      <c r="BA75" s="122" t="s">
        <v>11</v>
      </c>
      <c r="BB75" s="122" t="s">
        <v>25</v>
      </c>
      <c r="BE75" s="3" t="s">
        <v>65</v>
      </c>
      <c r="BF75" s="3" t="s">
        <v>41</v>
      </c>
      <c r="BG75" s="3" t="s">
        <v>66</v>
      </c>
      <c r="BH75" s="3" t="s">
        <v>11</v>
      </c>
      <c r="BI75" s="3" t="s">
        <v>25</v>
      </c>
      <c r="BL75" s="3" t="s">
        <v>65</v>
      </c>
      <c r="BM75" s="3" t="s">
        <v>41</v>
      </c>
      <c r="BN75" s="3" t="s">
        <v>66</v>
      </c>
      <c r="BO75" s="3" t="s">
        <v>11</v>
      </c>
      <c r="BP75" s="3" t="s">
        <v>25</v>
      </c>
      <c r="BS75" s="112" t="s">
        <v>66</v>
      </c>
      <c r="BT75" s="112" t="s">
        <v>11</v>
      </c>
      <c r="BU75" s="112" t="s">
        <v>25</v>
      </c>
    </row>
    <row r="76" spans="50:73" ht="14.5">
      <c r="AX76" s="118" t="s">
        <v>67</v>
      </c>
      <c r="AY76" s="118">
        <v>2045</v>
      </c>
      <c r="AZ76" s="118">
        <f>AZ60*0.96</f>
        <v>53.466295794285863</v>
      </c>
      <c r="BA76" s="118">
        <f>BA60*0.96</f>
        <v>36.906602125714379</v>
      </c>
      <c r="BB76" s="118">
        <f>BB60*0.96</f>
        <v>71.053918971428743</v>
      </c>
      <c r="BE76" s="3" t="s">
        <v>68</v>
      </c>
      <c r="BF76" s="3">
        <v>2045</v>
      </c>
      <c r="BG76" s="3">
        <f>BS76*60%</f>
        <v>32.079777476571536</v>
      </c>
      <c r="BH76" s="3">
        <f>BT76*60%</f>
        <v>22.143961275428641</v>
      </c>
      <c r="BI76" s="3">
        <f>BU76*60%</f>
        <v>42.632351382857216</v>
      </c>
      <c r="BL76" s="3" t="s">
        <v>69</v>
      </c>
      <c r="BM76" s="3">
        <v>2045</v>
      </c>
      <c r="BN76" s="3">
        <f>BS76*40%</f>
        <v>21.386518317714362</v>
      </c>
      <c r="BO76" s="3">
        <f>BT76*40%</f>
        <v>14.762640850285761</v>
      </c>
      <c r="BP76" s="3">
        <f>BU76*40%</f>
        <v>28.421567588571481</v>
      </c>
      <c r="BS76" s="112">
        <v>53.466295794285898</v>
      </c>
      <c r="BT76" s="112">
        <v>36.9066021257144</v>
      </c>
      <c r="BU76" s="112">
        <v>71.053918971428701</v>
      </c>
    </row>
    <row r="77" spans="50:73" ht="14.5">
      <c r="AX77" s="118" t="s">
        <v>72</v>
      </c>
      <c r="AY77" s="118">
        <f t="shared" si="52" ref="AY77:AY83">AY76</f>
        <v>2045</v>
      </c>
      <c r="AZ77" s="118">
        <f t="shared" si="53" ref="AZ77:AZ83">AZ61*0.96</f>
        <v>63.460348800000162</v>
      </c>
      <c r="BA77" s="118">
        <f t="shared" si="54" ref="BA77:BA83">BA61*0.96</f>
        <v>44.11603234285726</v>
      </c>
      <c r="BB77" s="118">
        <f t="shared" si="55" ref="BB77:BB83">BB61*0.96</f>
        <v>83.983298400000194</v>
      </c>
      <c r="BE77" s="3" t="s">
        <v>73</v>
      </c>
      <c r="BF77" s="3">
        <v>2045</v>
      </c>
      <c r="BG77" s="3">
        <f t="shared" si="56" ref="BG77:BG83">BS77*60%</f>
        <v>38.076209280000114</v>
      </c>
      <c r="BH77" s="3">
        <f t="shared" si="57" ref="BH77:BH83">BT77*60%</f>
        <v>26.469619405714379</v>
      </c>
      <c r="BI77" s="3">
        <f t="shared" si="58" ref="BI77:BI83">BU77*60%</f>
        <v>50.389979040000114</v>
      </c>
      <c r="BL77" s="3" t="s">
        <v>74</v>
      </c>
      <c r="BM77" s="3">
        <v>2045</v>
      </c>
      <c r="BN77" s="3">
        <f t="shared" si="59" ref="BN77:BN83">BS77*40%</f>
        <v>25.38413952000008</v>
      </c>
      <c r="BO77" s="3">
        <f>BT77*40%</f>
        <v>17.646412937142923</v>
      </c>
      <c r="BP77" s="3">
        <f>BU77*40%</f>
        <v>33.593319360000081</v>
      </c>
      <c r="BS77" s="112">
        <v>63.460348800000197</v>
      </c>
      <c r="BT77" s="112">
        <v>44.116032342857302</v>
      </c>
      <c r="BU77" s="112">
        <v>83.983298400000194</v>
      </c>
    </row>
    <row r="78" spans="50:73" ht="14.5">
      <c r="AX78" s="118" t="s">
        <v>76</v>
      </c>
      <c r="AY78" s="118">
        <f t="shared" si="52"/>
        <v>2045</v>
      </c>
      <c r="AZ78" s="118">
        <f t="shared" si="53"/>
        <v>56.768410811428666</v>
      </c>
      <c r="BA78" s="118">
        <f t="shared" si="54"/>
        <v>37.315492045714386</v>
      </c>
      <c r="BB78" s="118">
        <f t="shared" si="55"/>
        <v>77.374711680000189</v>
      </c>
      <c r="BE78" s="3" t="s">
        <v>77</v>
      </c>
      <c r="BF78" s="3">
        <v>2045</v>
      </c>
      <c r="BG78" s="3">
        <f t="shared" si="56"/>
        <v>34.061046486857222</v>
      </c>
      <c r="BH78" s="3">
        <f t="shared" si="57"/>
        <v>22.38929522742864</v>
      </c>
      <c r="BI78" s="3">
        <f t="shared" si="58"/>
        <v>46.424827008000122</v>
      </c>
      <c r="BL78" s="3" t="s">
        <v>78</v>
      </c>
      <c r="BM78" s="3">
        <v>2045</v>
      </c>
      <c r="BN78" s="3">
        <f t="shared" si="59"/>
        <v>22.707364324571483</v>
      </c>
      <c r="BO78" s="3">
        <f>BT78*40%</f>
        <v>14.92619681828576</v>
      </c>
      <c r="BP78" s="3">
        <f>BU78*40%</f>
        <v>30.949884672000081</v>
      </c>
      <c r="BS78" s="112">
        <v>56.768410811428701</v>
      </c>
      <c r="BT78" s="112">
        <v>37.3154920457144</v>
      </c>
      <c r="BU78" s="112">
        <v>77.374711680000203</v>
      </c>
    </row>
    <row r="79" spans="50:73" ht="14.5">
      <c r="AX79" s="118" t="s">
        <v>80</v>
      </c>
      <c r="AY79" s="118">
        <f t="shared" si="52"/>
        <v>2045</v>
      </c>
      <c r="AZ79" s="118">
        <f t="shared" si="53"/>
        <v>56.884061417142995</v>
      </c>
      <c r="BA79" s="118">
        <f t="shared" si="54"/>
        <v>36.955011222857237</v>
      </c>
      <c r="BB79" s="118">
        <f t="shared" si="55"/>
        <v>78.02412390857161</v>
      </c>
      <c r="BE79" s="3" t="s">
        <v>81</v>
      </c>
      <c r="BF79" s="3">
        <v>2045</v>
      </c>
      <c r="BG79" s="3">
        <f t="shared" si="56"/>
        <v>34.130436850285797</v>
      </c>
      <c r="BH79" s="3">
        <f t="shared" si="57"/>
        <v>22.17300673371432</v>
      </c>
      <c r="BI79" s="3">
        <f t="shared" si="58"/>
        <v>46.814474345142955</v>
      </c>
      <c r="BL79" s="3" t="s">
        <v>82</v>
      </c>
      <c r="BM79" s="3">
        <v>2045</v>
      </c>
      <c r="BN79" s="3">
        <f t="shared" si="59"/>
        <v>22.753624566857201</v>
      </c>
      <c r="BO79" s="3">
        <f>BT79*40%</f>
        <v>14.782004489142881</v>
      </c>
      <c r="BP79" s="3">
        <f>BU79*40%</f>
        <v>31.209649563428641</v>
      </c>
      <c r="BS79" s="112">
        <v>56.884061417143002</v>
      </c>
      <c r="BT79" s="112">
        <v>36.955011222857202</v>
      </c>
      <c r="BU79" s="112">
        <v>78.024123908571596</v>
      </c>
    </row>
    <row r="80" spans="50:73" ht="14.5">
      <c r="AX80" s="118" t="s">
        <v>85</v>
      </c>
      <c r="AY80" s="118">
        <f t="shared" si="52"/>
        <v>2045</v>
      </c>
      <c r="AZ80" s="118">
        <f t="shared" si="53"/>
        <v>59.924660000000102</v>
      </c>
      <c r="BA80" s="118">
        <f t="shared" si="54"/>
        <v>39.488001600000104</v>
      </c>
      <c r="BB80" s="118">
        <f t="shared" si="55"/>
        <v>81.592442400000195</v>
      </c>
      <c r="BE80" s="3" t="s">
        <v>86</v>
      </c>
      <c r="BF80" s="3">
        <v>2045</v>
      </c>
      <c r="BG80" s="3">
        <f t="shared" si="56"/>
        <v>35.954796000000059</v>
      </c>
      <c r="BH80" s="3">
        <f t="shared" si="57"/>
        <v>23.69280096000006</v>
      </c>
      <c r="BI80" s="3">
        <f t="shared" si="58"/>
        <v>48.955465440000118</v>
      </c>
      <c r="BL80" s="3" t="s">
        <v>87</v>
      </c>
      <c r="BM80" s="3">
        <v>2045</v>
      </c>
      <c r="BN80" s="3">
        <f t="shared" si="59"/>
        <v>23.969864000000044</v>
      </c>
      <c r="BO80" s="3">
        <f>BT80*40%</f>
        <v>15.795200640000042</v>
      </c>
      <c r="BP80" s="3">
        <f>BU80*40%</f>
        <v>32.636976960000077</v>
      </c>
      <c r="BS80" s="112">
        <v>59.924660000000102</v>
      </c>
      <c r="BT80" s="112">
        <v>39.488001600000104</v>
      </c>
      <c r="BU80" s="112">
        <v>81.592442400000195</v>
      </c>
    </row>
    <row r="81" spans="50:73" ht="14.5">
      <c r="AX81" s="118" t="s">
        <v>89</v>
      </c>
      <c r="AY81" s="118">
        <f t="shared" si="52"/>
        <v>2045</v>
      </c>
      <c r="AZ81" s="118">
        <f t="shared" si="53"/>
        <v>57.815691542857309</v>
      </c>
      <c r="BA81" s="118">
        <f t="shared" si="54"/>
        <v>38.137661828571524</v>
      </c>
      <c r="BB81" s="118">
        <f t="shared" si="55"/>
        <v>78.667975542857334</v>
      </c>
      <c r="BE81" s="3" t="s">
        <v>90</v>
      </c>
      <c r="BF81" s="3">
        <v>2045</v>
      </c>
      <c r="BG81" s="3">
        <f t="shared" si="56"/>
        <v>34.689414925714381</v>
      </c>
      <c r="BH81" s="3">
        <f t="shared" si="57"/>
        <v>22.882597097142902</v>
      </c>
      <c r="BI81" s="3">
        <f t="shared" si="58"/>
        <v>47.200785325714385</v>
      </c>
      <c r="BL81" s="3" t="s">
        <v>91</v>
      </c>
      <c r="BM81" s="3">
        <v>2045</v>
      </c>
      <c r="BN81" s="3">
        <f t="shared" si="59"/>
        <v>23.126276617142921</v>
      </c>
      <c r="BO81" s="3">
        <f>BT81*40%</f>
        <v>15.255064731428602</v>
      </c>
      <c r="BP81" s="3">
        <f>BU81*40%</f>
        <v>31.467190217142925</v>
      </c>
      <c r="BS81" s="112">
        <v>57.815691542857301</v>
      </c>
      <c r="BT81" s="112">
        <v>38.137661828571503</v>
      </c>
      <c r="BU81" s="112">
        <v>78.667975542857306</v>
      </c>
    </row>
    <row r="82" spans="50:73" ht="14.5">
      <c r="AX82" s="118" t="s">
        <v>93</v>
      </c>
      <c r="AY82" s="118">
        <f t="shared" si="52"/>
        <v>2045</v>
      </c>
      <c r="AZ82" s="118">
        <f t="shared" si="53"/>
        <v>59.565316571428738</v>
      </c>
      <c r="BA82" s="118">
        <f t="shared" si="54"/>
        <v>39.901574125714383</v>
      </c>
      <c r="BB82" s="118">
        <f t="shared" si="55"/>
        <v>80.398823588571645</v>
      </c>
      <c r="BE82" s="3" t="s">
        <v>94</v>
      </c>
      <c r="BF82" s="3">
        <v>2045</v>
      </c>
      <c r="BG82" s="3">
        <f t="shared" si="56"/>
        <v>35.739189942857223</v>
      </c>
      <c r="BH82" s="3">
        <f t="shared" si="57"/>
        <v>23.940944475428637</v>
      </c>
      <c r="BI82" s="3">
        <f t="shared" si="58"/>
        <v>48.239294153142957</v>
      </c>
      <c r="BL82" s="3" t="s">
        <v>95</v>
      </c>
      <c r="BM82" s="3">
        <v>2045</v>
      </c>
      <c r="BN82" s="3">
        <f t="shared" si="59"/>
        <v>23.826126628571483</v>
      </c>
      <c r="BO82" s="3">
        <f>BT82*40%</f>
        <v>15.96062965028576</v>
      </c>
      <c r="BP82" s="3">
        <f>BU82*40%</f>
        <v>32.159529435428645</v>
      </c>
      <c r="BS82" s="112">
        <v>59.565316571428703</v>
      </c>
      <c r="BT82" s="112">
        <v>39.901574125714397</v>
      </c>
      <c r="BU82" s="112">
        <v>80.398823588571602</v>
      </c>
    </row>
    <row r="83" spans="49:73" ht="14.5">
      <c r="AW83" s="111"/>
      <c r="AX83" s="124"/>
      <c r="AY83" s="118"/>
      <c r="AZ83" s="118"/>
      <c r="BA83" s="118"/>
      <c r="BB83" s="118"/>
      <c r="BE83" s="3" t="s">
        <v>97</v>
      </c>
      <c r="BF83" s="3">
        <v>2045</v>
      </c>
      <c r="BG83" s="3">
        <f t="shared" si="56"/>
        <v>64.689133714285802</v>
      </c>
      <c r="BH83" s="3">
        <f t="shared" si="57"/>
        <v>64.689133714285802</v>
      </c>
      <c r="BI83" s="3">
        <f t="shared" si="58"/>
        <v>64.689133714285802</v>
      </c>
      <c r="BL83" s="3" t="s">
        <v>98</v>
      </c>
      <c r="BM83" s="3">
        <v>2045</v>
      </c>
      <c r="BN83" s="3">
        <f t="shared" si="59"/>
        <v>43.126089142857204</v>
      </c>
      <c r="BO83" s="3">
        <f>BT83*40%</f>
        <v>43.126089142857204</v>
      </c>
      <c r="BP83" s="3">
        <f>BU83*40%</f>
        <v>43.126089142857204</v>
      </c>
      <c r="BS83" s="112">
        <v>107.815222857143</v>
      </c>
      <c r="BT83" s="112">
        <v>107.815222857143</v>
      </c>
      <c r="BU83" s="112">
        <v>107.815222857143</v>
      </c>
    </row>
    <row r="87" spans="50:64" ht="14.5">
      <c r="AX87" t="s">
        <v>62</v>
      </c>
      <c r="AY87"/>
      <c r="AZ87" s="118"/>
      <c r="BE87" s="3" t="s">
        <v>63</v>
      </c>
      <c r="BL87" s="3" t="s">
        <v>62</v>
      </c>
    </row>
    <row r="88" spans="50:73" ht="14.5">
      <c r="AX88" s="118" t="s">
        <v>65</v>
      </c>
      <c r="AY88" s="118" t="s">
        <v>41</v>
      </c>
      <c r="AZ88" s="122" t="s">
        <v>66</v>
      </c>
      <c r="BA88" s="122" t="s">
        <v>11</v>
      </c>
      <c r="BB88" s="122" t="s">
        <v>25</v>
      </c>
      <c r="BE88" s="3" t="s">
        <v>65</v>
      </c>
      <c r="BF88" s="3" t="s">
        <v>41</v>
      </c>
      <c r="BG88" s="3" t="s">
        <v>66</v>
      </c>
      <c r="BH88" s="3" t="s">
        <v>11</v>
      </c>
      <c r="BI88" s="3" t="s">
        <v>25</v>
      </c>
      <c r="BL88" s="3" t="s">
        <v>65</v>
      </c>
      <c r="BM88" s="3" t="s">
        <v>41</v>
      </c>
      <c r="BN88" s="3" t="s">
        <v>66</v>
      </c>
      <c r="BO88" s="3" t="s">
        <v>11</v>
      </c>
      <c r="BP88" s="3" t="s">
        <v>25</v>
      </c>
      <c r="BS88" s="112" t="s">
        <v>66</v>
      </c>
      <c r="BT88" s="112" t="s">
        <v>11</v>
      </c>
      <c r="BU88" s="112" t="s">
        <v>25</v>
      </c>
    </row>
    <row r="89" spans="50:73" ht="14.5">
      <c r="AX89" s="118" t="s">
        <v>67</v>
      </c>
      <c r="AY89" s="118">
        <v>2050</v>
      </c>
      <c r="AZ89" s="118">
        <f>AZ76*0.96</f>
        <v>51.327643962514429</v>
      </c>
      <c r="BA89" s="118">
        <f>BA76*0.96</f>
        <v>35.430338040685804</v>
      </c>
      <c r="BB89" s="118">
        <f>BB76*0.96</f>
        <v>68.211762212571585</v>
      </c>
      <c r="BE89" s="3" t="s">
        <v>68</v>
      </c>
      <c r="BF89" s="3">
        <v>2050</v>
      </c>
      <c r="BG89" s="3">
        <f>BS89*60%</f>
        <v>30.796586377508639</v>
      </c>
      <c r="BH89" s="3">
        <f>BT89*60%</f>
        <v>21.258202824411477</v>
      </c>
      <c r="BI89" s="3">
        <f>BU89*60%</f>
        <v>40.927057327542961</v>
      </c>
      <c r="BL89" s="3" t="s">
        <v>69</v>
      </c>
      <c r="BM89" s="3">
        <v>2050</v>
      </c>
      <c r="BN89" s="3">
        <f>BS89*40%</f>
        <v>20.531057585005762</v>
      </c>
      <c r="BO89" s="3">
        <f>BT89*40%</f>
        <v>14.17213521627432</v>
      </c>
      <c r="BP89" s="3">
        <f>BU89*40%</f>
        <v>27.284704885028642</v>
      </c>
      <c r="BS89" s="112">
        <v>51.327643962514401</v>
      </c>
      <c r="BT89" s="112">
        <v>35.430338040685797</v>
      </c>
      <c r="BU89" s="112">
        <v>68.2117622125716</v>
      </c>
    </row>
    <row r="90" spans="50:73" ht="14.5">
      <c r="AX90" s="118" t="s">
        <v>72</v>
      </c>
      <c r="AY90" s="118">
        <f t="shared" si="60" ref="AY90:AY96">AY89</f>
        <v>2050</v>
      </c>
      <c r="AZ90" s="118">
        <f t="shared" si="61" ref="AZ90:BB90">AZ77*0.96</f>
        <v>60.921934848000156</v>
      </c>
      <c r="BA90" s="118">
        <f t="shared" si="61"/>
        <v>42.351391049142968</v>
      </c>
      <c r="BB90" s="118">
        <f t="shared" si="61"/>
        <v>80.623966464000191</v>
      </c>
      <c r="BE90" s="3" t="s">
        <v>73</v>
      </c>
      <c r="BF90" s="3">
        <v>2050</v>
      </c>
      <c r="BG90" s="3">
        <f t="shared" si="62" ref="BG90:BG96">BS90*60%</f>
        <v>36.553160908800116</v>
      </c>
      <c r="BH90" s="3">
        <f>BT90*60%</f>
        <v>25.410834629485798</v>
      </c>
      <c r="BI90" s="3">
        <f>BU90*60%</f>
        <v>48.37437987840012</v>
      </c>
      <c r="BL90" s="3" t="s">
        <v>74</v>
      </c>
      <c r="BM90" s="3">
        <v>2050</v>
      </c>
      <c r="BN90" s="3">
        <f t="shared" si="63" ref="BN90:BN96">BS90*40%</f>
        <v>24.368773939200082</v>
      </c>
      <c r="BO90" s="3">
        <f t="shared" si="64" ref="BO90:BO96">BT90*40%</f>
        <v>16.940556419657199</v>
      </c>
      <c r="BP90" s="3">
        <f t="shared" si="65" ref="BP90:BP96">BU90*40%</f>
        <v>32.249586585600085</v>
      </c>
      <c r="BS90" s="112">
        <v>60.921934848000198</v>
      </c>
      <c r="BT90" s="112">
        <v>42.351391049142997</v>
      </c>
      <c r="BU90" s="112">
        <v>80.623966464000205</v>
      </c>
    </row>
    <row r="91" spans="50:73" ht="14.5">
      <c r="AX91" s="118" t="s">
        <v>76</v>
      </c>
      <c r="AY91" s="118">
        <f t="shared" si="60"/>
        <v>2050</v>
      </c>
      <c r="AZ91" s="118">
        <f t="shared" si="66" ref="AZ91:BB91">AZ78*0.96</f>
        <v>54.497674378971517</v>
      </c>
      <c r="BA91" s="118">
        <f t="shared" si="66"/>
        <v>35.822872363885807</v>
      </c>
      <c r="BB91" s="118">
        <f t="shared" si="66"/>
        <v>74.279723212800178</v>
      </c>
      <c r="BE91" s="3" t="s">
        <v>77</v>
      </c>
      <c r="BF91" s="3">
        <v>2050</v>
      </c>
      <c r="BG91" s="3">
        <f t="shared" si="62"/>
        <v>32.698604627382899</v>
      </c>
      <c r="BH91" s="3">
        <f>BT91*60%</f>
        <v>21.493723418331481</v>
      </c>
      <c r="BI91" s="3">
        <f>BU91*60%</f>
        <v>44.56783392768012</v>
      </c>
      <c r="BL91" s="3" t="s">
        <v>78</v>
      </c>
      <c r="BM91" s="3">
        <v>2050</v>
      </c>
      <c r="BN91" s="3">
        <f t="shared" si="63"/>
        <v>21.799069751588604</v>
      </c>
      <c r="BO91" s="3">
        <f t="shared" si="64"/>
        <v>14.329148945554321</v>
      </c>
      <c r="BP91" s="3">
        <f t="shared" si="65"/>
        <v>29.711889285120083</v>
      </c>
      <c r="BS91" s="112">
        <v>54.497674378971503</v>
      </c>
      <c r="BT91" s="112">
        <v>35.8228723638858</v>
      </c>
      <c r="BU91" s="112">
        <v>74.279723212800207</v>
      </c>
    </row>
    <row r="92" spans="50:73" ht="14.5">
      <c r="AX92" s="118" t="s">
        <v>80</v>
      </c>
      <c r="AY92" s="118">
        <f t="shared" si="60"/>
        <v>2050</v>
      </c>
      <c r="AZ92" s="118">
        <f t="shared" si="67" ref="AZ92:BB92">AZ79*0.96</f>
        <v>54.608698960457275</v>
      </c>
      <c r="BA92" s="118">
        <f t="shared" si="67"/>
        <v>35.476810773942944</v>
      </c>
      <c r="BB92" s="118">
        <f t="shared" si="67"/>
        <v>74.903158952228736</v>
      </c>
      <c r="BE92" s="3" t="s">
        <v>81</v>
      </c>
      <c r="BF92" s="3">
        <v>2050</v>
      </c>
      <c r="BG92" s="3">
        <f t="shared" si="62"/>
        <v>32.765219376274381</v>
      </c>
      <c r="BH92" s="3">
        <f>BT92*60%</f>
        <v>21.286086464365741</v>
      </c>
      <c r="BI92" s="3">
        <f>BU92*60%</f>
        <v>44.941895371337218</v>
      </c>
      <c r="BL92" s="3" t="s">
        <v>82</v>
      </c>
      <c r="BM92" s="3">
        <v>2050</v>
      </c>
      <c r="BN92" s="3">
        <f t="shared" si="63"/>
        <v>21.843479584182923</v>
      </c>
      <c r="BO92" s="3">
        <f t="shared" si="64"/>
        <v>14.190724309577162</v>
      </c>
      <c r="BP92" s="3">
        <f t="shared" si="65"/>
        <v>29.96126358089148</v>
      </c>
      <c r="BS92" s="112">
        <v>54.608698960457303</v>
      </c>
      <c r="BT92" s="112">
        <v>35.476810773942901</v>
      </c>
      <c r="BU92" s="112">
        <v>74.903158952228694</v>
      </c>
    </row>
    <row r="93" spans="50:73" ht="14.5">
      <c r="AX93" s="118" t="s">
        <v>85</v>
      </c>
      <c r="AY93" s="118">
        <f t="shared" si="60"/>
        <v>2050</v>
      </c>
      <c r="AZ93" s="118">
        <f t="shared" si="68" ref="AZ93:BB93">AZ80*0.96</f>
        <v>57.527673600000099</v>
      </c>
      <c r="BA93" s="118">
        <f t="shared" si="68"/>
        <v>37.908481536000096</v>
      </c>
      <c r="BB93" s="118">
        <f t="shared" si="68"/>
        <v>78.328744704000187</v>
      </c>
      <c r="BE93" s="3" t="s">
        <v>86</v>
      </c>
      <c r="BF93" s="3">
        <v>2050</v>
      </c>
      <c r="BG93" s="3">
        <f t="shared" si="62"/>
        <v>34.516604160000057</v>
      </c>
      <c r="BH93" s="3">
        <f>BT93*60%</f>
        <v>22.745088921600061</v>
      </c>
      <c r="BI93" s="3">
        <f>BU93*60%</f>
        <v>46.997246822400122</v>
      </c>
      <c r="BL93" s="3" t="s">
        <v>87</v>
      </c>
      <c r="BM93" s="3">
        <v>2050</v>
      </c>
      <c r="BN93" s="3">
        <f t="shared" si="63"/>
        <v>23.011069440000043</v>
      </c>
      <c r="BO93" s="3">
        <f t="shared" si="64"/>
        <v>15.163392614400042</v>
      </c>
      <c r="BP93" s="3">
        <f t="shared" si="65"/>
        <v>31.331497881600082</v>
      </c>
      <c r="BS93" s="112">
        <v>57.527673600000099</v>
      </c>
      <c r="BT93" s="112">
        <v>37.908481536000103</v>
      </c>
      <c r="BU93" s="112">
        <v>78.328744704000201</v>
      </c>
    </row>
    <row r="94" spans="50:73" ht="14.5">
      <c r="AX94" s="118" t="s">
        <v>89</v>
      </c>
      <c r="AY94" s="118">
        <f t="shared" si="60"/>
        <v>2050</v>
      </c>
      <c r="AZ94" s="118">
        <f t="shared" si="69" ref="AZ94:BB94">AZ81*0.96</f>
        <v>55.503063881143014</v>
      </c>
      <c r="BA94" s="118">
        <f t="shared" si="69"/>
        <v>36.612155355428662</v>
      </c>
      <c r="BB94" s="118">
        <f t="shared" si="69"/>
        <v>75.521256521143044</v>
      </c>
      <c r="BE94" s="3" t="s">
        <v>90</v>
      </c>
      <c r="BF94" s="3">
        <v>2050</v>
      </c>
      <c r="BG94" s="3">
        <f t="shared" si="62"/>
        <v>33.301838328685797</v>
      </c>
      <c r="BH94" s="3">
        <f>BT94*60%</f>
        <v>21.967293213257218</v>
      </c>
      <c r="BI94" s="3">
        <f>BU94*60%</f>
        <v>45.3127539126858</v>
      </c>
      <c r="BL94" s="3" t="s">
        <v>91</v>
      </c>
      <c r="BM94" s="3">
        <v>2050</v>
      </c>
      <c r="BN94" s="3">
        <f t="shared" si="63"/>
        <v>22.201225552457203</v>
      </c>
      <c r="BO94" s="3">
        <f t="shared" si="64"/>
        <v>14.64486214217148</v>
      </c>
      <c r="BP94" s="3">
        <f t="shared" si="65"/>
        <v>30.208502608457202</v>
      </c>
      <c r="BS94" s="112">
        <v>55.503063881142999</v>
      </c>
      <c r="BT94" s="112">
        <v>36.612155355428698</v>
      </c>
      <c r="BU94" s="112">
        <v>75.521256521143002</v>
      </c>
    </row>
    <row r="95" spans="50:73" ht="14.5">
      <c r="AX95" s="118" t="s">
        <v>93</v>
      </c>
      <c r="AY95" s="118">
        <f t="shared" si="60"/>
        <v>2050</v>
      </c>
      <c r="AZ95" s="118">
        <f t="shared" si="70" ref="AZ95:BB95">AZ82*0.96</f>
        <v>57.18270390857159</v>
      </c>
      <c r="BA95" s="118">
        <f t="shared" si="70"/>
        <v>38.305511160685803</v>
      </c>
      <c r="BB95" s="118">
        <f t="shared" si="70"/>
        <v>77.182870645028771</v>
      </c>
      <c r="BE95" s="3" t="s">
        <v>94</v>
      </c>
      <c r="BF95" s="3">
        <v>2050</v>
      </c>
      <c r="BG95" s="3">
        <f t="shared" si="62"/>
        <v>34.309622345142955</v>
      </c>
      <c r="BH95" s="3">
        <f>BT95*60%</f>
        <v>22.983306696411482</v>
      </c>
      <c r="BI95" s="3">
        <f>BU95*60%</f>
        <v>46.309722387017281</v>
      </c>
      <c r="BL95" s="3" t="s">
        <v>95</v>
      </c>
      <c r="BM95" s="3">
        <v>2050</v>
      </c>
      <c r="BN95" s="3">
        <f t="shared" si="63"/>
        <v>22.873081563428642</v>
      </c>
      <c r="BO95" s="3">
        <f t="shared" si="64"/>
        <v>15.322204464274321</v>
      </c>
      <c r="BP95" s="3">
        <f t="shared" si="65"/>
        <v>30.873148258011522</v>
      </c>
      <c r="BS95" s="112">
        <v>57.182703908571597</v>
      </c>
      <c r="BT95" s="112">
        <v>38.305511160685803</v>
      </c>
      <c r="BU95" s="112">
        <v>77.1828706450288</v>
      </c>
    </row>
    <row r="96" spans="49:73" ht="14.5">
      <c r="AW96" s="111"/>
      <c r="AX96" s="124"/>
      <c r="AY96" s="118"/>
      <c r="AZ96" s="118"/>
      <c r="BA96" s="118"/>
      <c r="BB96" s="118"/>
      <c r="BE96" s="3" t="s">
        <v>97</v>
      </c>
      <c r="BF96" s="3">
        <v>2050</v>
      </c>
      <c r="BG96" s="3">
        <f t="shared" si="62"/>
        <v>62.101568365714193</v>
      </c>
      <c r="BH96" s="3">
        <f>BT96*60%</f>
        <v>62.101568365714193</v>
      </c>
      <c r="BI96" s="3">
        <f>BU96*60%</f>
        <v>62.101568365714193</v>
      </c>
      <c r="BL96" s="3" t="s">
        <v>98</v>
      </c>
      <c r="BM96" s="3">
        <v>2050</v>
      </c>
      <c r="BN96" s="3">
        <f t="shared" si="63"/>
        <v>41.401045577142803</v>
      </c>
      <c r="BO96" s="3">
        <f t="shared" si="64"/>
        <v>41.401045577142803</v>
      </c>
      <c r="BP96" s="3">
        <f t="shared" si="65"/>
        <v>41.401045577142803</v>
      </c>
      <c r="BS96" s="112">
        <v>103.502613942857</v>
      </c>
      <c r="BT96" s="112">
        <v>103.502613942857</v>
      </c>
      <c r="BU96" s="112">
        <v>103.502613942857</v>
      </c>
    </row>
    <row r="104" spans="50:64" ht="14.5">
      <c r="AX104" t="s">
        <v>62</v>
      </c>
      <c r="AY104"/>
      <c r="AZ104" s="118"/>
      <c r="BE104" s="3" t="s">
        <v>63</v>
      </c>
      <c r="BL104" s="3" t="s">
        <v>62</v>
      </c>
    </row>
    <row r="105" spans="50:73" ht="14.5">
      <c r="AX105" s="118" t="s">
        <v>65</v>
      </c>
      <c r="AY105" s="118" t="s">
        <v>41</v>
      </c>
      <c r="AZ105" s="122" t="s">
        <v>66</v>
      </c>
      <c r="BA105" s="122" t="s">
        <v>11</v>
      </c>
      <c r="BB105" s="122" t="s">
        <v>25</v>
      </c>
      <c r="BE105" s="3" t="s">
        <v>65</v>
      </c>
      <c r="BF105" s="3" t="s">
        <v>41</v>
      </c>
      <c r="BG105" s="3" t="s">
        <v>66</v>
      </c>
      <c r="BH105" s="3" t="s">
        <v>11</v>
      </c>
      <c r="BI105" s="3" t="s">
        <v>25</v>
      </c>
      <c r="BL105" s="3" t="s">
        <v>65</v>
      </c>
      <c r="BM105" s="3" t="s">
        <v>41</v>
      </c>
      <c r="BN105" s="3" t="s">
        <v>66</v>
      </c>
      <c r="BO105" s="3" t="s">
        <v>11</v>
      </c>
      <c r="BP105" s="3" t="s">
        <v>25</v>
      </c>
      <c r="BS105" s="112" t="s">
        <v>66</v>
      </c>
      <c r="BT105" s="112" t="s">
        <v>11</v>
      </c>
      <c r="BU105" s="112" t="s">
        <v>25</v>
      </c>
    </row>
    <row r="106" spans="50:73" ht="14.5">
      <c r="AX106" s="118" t="s">
        <v>67</v>
      </c>
      <c r="AY106" s="118">
        <v>2100</v>
      </c>
      <c r="AZ106" s="118">
        <f>AZ89</f>
        <v>51.327643962514429</v>
      </c>
      <c r="BA106" s="118">
        <f t="shared" si="71" ref="BA106:BA113">BA89</f>
        <v>35.430338040685804</v>
      </c>
      <c r="BB106" s="118">
        <f t="shared" si="72" ref="BB106:BB113">BB89</f>
        <v>68.211762212571585</v>
      </c>
      <c r="BE106" s="3" t="s">
        <v>68</v>
      </c>
      <c r="BF106" s="3">
        <v>2100</v>
      </c>
      <c r="BG106" s="3">
        <f>BS106*60%</f>
        <v>30.796586377508639</v>
      </c>
      <c r="BH106" s="3">
        <f>BT106*60%</f>
        <v>21.258202824411477</v>
      </c>
      <c r="BI106" s="3">
        <f>BU106*60%</f>
        <v>40.927057327542961</v>
      </c>
      <c r="BL106" s="3" t="s">
        <v>69</v>
      </c>
      <c r="BM106" s="3">
        <v>2100</v>
      </c>
      <c r="BN106" s="3">
        <f>BS106*40%</f>
        <v>20.531057585005762</v>
      </c>
      <c r="BO106" s="3">
        <f>BT106*40%</f>
        <v>14.17213521627432</v>
      </c>
      <c r="BP106" s="3">
        <f>BU106*40%</f>
        <v>27.284704885028642</v>
      </c>
      <c r="BS106" s="112">
        <v>51.327643962514401</v>
      </c>
      <c r="BT106" s="112">
        <v>35.430338040685797</v>
      </c>
      <c r="BU106" s="112">
        <v>68.2117622125716</v>
      </c>
    </row>
    <row r="107" spans="50:73" ht="14.5">
      <c r="AX107" s="118" t="s">
        <v>72</v>
      </c>
      <c r="AY107" s="118">
        <f t="shared" si="73" ref="AY107:AY113">AY106</f>
        <v>2100</v>
      </c>
      <c r="AZ107" s="118">
        <f t="shared" si="74" ref="AZ107:AZ113">AZ90</f>
        <v>60.921934848000156</v>
      </c>
      <c r="BA107" s="118">
        <f t="shared" si="71"/>
        <v>42.351391049142968</v>
      </c>
      <c r="BB107" s="118">
        <f t="shared" si="72"/>
        <v>80.623966464000191</v>
      </c>
      <c r="BE107" s="3" t="s">
        <v>73</v>
      </c>
      <c r="BF107" s="3">
        <v>2100</v>
      </c>
      <c r="BG107" s="3">
        <f t="shared" si="75" ref="BG107:BG113">BS107*60%</f>
        <v>36.553160908800116</v>
      </c>
      <c r="BH107" s="3">
        <f t="shared" si="76" ref="BH107:BH113">BT107*60%</f>
        <v>25.410834629485798</v>
      </c>
      <c r="BI107" s="3">
        <f t="shared" si="77" ref="BI107:BI113">BU107*60%</f>
        <v>48.37437987840012</v>
      </c>
      <c r="BL107" s="3" t="s">
        <v>74</v>
      </c>
      <c r="BM107" s="3">
        <v>2100</v>
      </c>
      <c r="BN107" s="3">
        <f t="shared" si="78" ref="BN107:BN113">BS107*40%</f>
        <v>24.368773939200082</v>
      </c>
      <c r="BO107" s="3">
        <f t="shared" si="79" ref="BO107:BO113">BT107*40%</f>
        <v>16.940556419657199</v>
      </c>
      <c r="BP107" s="3">
        <f t="shared" si="80" ref="BP107:BP113">BU107*40%</f>
        <v>32.249586585600085</v>
      </c>
      <c r="BS107" s="112">
        <v>60.921934848000198</v>
      </c>
      <c r="BT107" s="112">
        <v>42.351391049142997</v>
      </c>
      <c r="BU107" s="112">
        <v>80.623966464000205</v>
      </c>
    </row>
    <row r="108" spans="50:73" ht="14.5">
      <c r="AX108" s="118" t="s">
        <v>76</v>
      </c>
      <c r="AY108" s="118">
        <f t="shared" si="73"/>
        <v>2100</v>
      </c>
      <c r="AZ108" s="118">
        <f t="shared" si="74"/>
        <v>54.497674378971517</v>
      </c>
      <c r="BA108" s="118">
        <f t="shared" si="71"/>
        <v>35.822872363885807</v>
      </c>
      <c r="BB108" s="118">
        <f t="shared" si="72"/>
        <v>74.279723212800178</v>
      </c>
      <c r="BE108" s="3" t="s">
        <v>77</v>
      </c>
      <c r="BF108" s="3">
        <v>2100</v>
      </c>
      <c r="BG108" s="3">
        <f t="shared" si="75"/>
        <v>32.698604627382899</v>
      </c>
      <c r="BH108" s="3">
        <f t="shared" si="76"/>
        <v>21.493723418331481</v>
      </c>
      <c r="BI108" s="3">
        <f t="shared" si="77"/>
        <v>44.56783392768012</v>
      </c>
      <c r="BL108" s="3" t="s">
        <v>78</v>
      </c>
      <c r="BM108" s="3">
        <v>2100</v>
      </c>
      <c r="BN108" s="3">
        <f t="shared" si="78"/>
        <v>21.799069751588604</v>
      </c>
      <c r="BO108" s="3">
        <f t="shared" si="79"/>
        <v>14.329148945554321</v>
      </c>
      <c r="BP108" s="3">
        <f t="shared" si="80"/>
        <v>29.711889285120083</v>
      </c>
      <c r="BS108" s="112">
        <v>54.497674378971503</v>
      </c>
      <c r="BT108" s="112">
        <v>35.8228723638858</v>
      </c>
      <c r="BU108" s="112">
        <v>74.279723212800207</v>
      </c>
    </row>
    <row r="109" spans="50:73" ht="14.5">
      <c r="AX109" s="118" t="s">
        <v>80</v>
      </c>
      <c r="AY109" s="118">
        <f t="shared" si="73"/>
        <v>2100</v>
      </c>
      <c r="AZ109" s="118">
        <f t="shared" si="74"/>
        <v>54.608698960457275</v>
      </c>
      <c r="BA109" s="118">
        <f t="shared" si="71"/>
        <v>35.476810773942944</v>
      </c>
      <c r="BB109" s="118">
        <f t="shared" si="72"/>
        <v>74.903158952228736</v>
      </c>
      <c r="BE109" s="3" t="s">
        <v>81</v>
      </c>
      <c r="BF109" s="3">
        <v>2100</v>
      </c>
      <c r="BG109" s="3">
        <f t="shared" si="75"/>
        <v>32.765219376274381</v>
      </c>
      <c r="BH109" s="3">
        <f t="shared" si="76"/>
        <v>21.286086464365741</v>
      </c>
      <c r="BI109" s="3">
        <f t="shared" si="77"/>
        <v>44.941895371337218</v>
      </c>
      <c r="BL109" s="3" t="s">
        <v>82</v>
      </c>
      <c r="BM109" s="3">
        <v>2100</v>
      </c>
      <c r="BN109" s="3">
        <f t="shared" si="78"/>
        <v>21.843479584182923</v>
      </c>
      <c r="BO109" s="3">
        <f t="shared" si="79"/>
        <v>14.190724309577162</v>
      </c>
      <c r="BP109" s="3">
        <f t="shared" si="80"/>
        <v>29.96126358089148</v>
      </c>
      <c r="BS109" s="112">
        <v>54.608698960457303</v>
      </c>
      <c r="BT109" s="112">
        <v>35.476810773942901</v>
      </c>
      <c r="BU109" s="112">
        <v>74.903158952228694</v>
      </c>
    </row>
    <row r="110" spans="50:73" ht="14.5">
      <c r="AX110" s="118" t="s">
        <v>85</v>
      </c>
      <c r="AY110" s="118">
        <f t="shared" si="73"/>
        <v>2100</v>
      </c>
      <c r="AZ110" s="118">
        <f t="shared" si="74"/>
        <v>57.527673600000099</v>
      </c>
      <c r="BA110" s="118">
        <f t="shared" si="71"/>
        <v>37.908481536000096</v>
      </c>
      <c r="BB110" s="118">
        <f t="shared" si="72"/>
        <v>78.328744704000187</v>
      </c>
      <c r="BE110" s="3" t="s">
        <v>86</v>
      </c>
      <c r="BF110" s="3">
        <v>2100</v>
      </c>
      <c r="BG110" s="3">
        <f t="shared" si="75"/>
        <v>34.516604160000057</v>
      </c>
      <c r="BH110" s="3">
        <f t="shared" si="76"/>
        <v>22.745088921600061</v>
      </c>
      <c r="BI110" s="3">
        <f t="shared" si="77"/>
        <v>46.997246822400122</v>
      </c>
      <c r="BL110" s="3" t="s">
        <v>87</v>
      </c>
      <c r="BM110" s="3">
        <v>2100</v>
      </c>
      <c r="BN110" s="3">
        <f t="shared" si="78"/>
        <v>23.011069440000043</v>
      </c>
      <c r="BO110" s="3">
        <f t="shared" si="79"/>
        <v>15.163392614400042</v>
      </c>
      <c r="BP110" s="3">
        <f t="shared" si="80"/>
        <v>31.331497881600082</v>
      </c>
      <c r="BS110" s="112">
        <v>57.527673600000099</v>
      </c>
      <c r="BT110" s="112">
        <v>37.908481536000103</v>
      </c>
      <c r="BU110" s="112">
        <v>78.328744704000201</v>
      </c>
    </row>
    <row r="111" spans="50:73" ht="14.5">
      <c r="AX111" s="118" t="s">
        <v>89</v>
      </c>
      <c r="AY111" s="118">
        <f t="shared" si="73"/>
        <v>2100</v>
      </c>
      <c r="AZ111" s="118">
        <f t="shared" si="74"/>
        <v>55.503063881143014</v>
      </c>
      <c r="BA111" s="118">
        <f t="shared" si="71"/>
        <v>36.612155355428662</v>
      </c>
      <c r="BB111" s="118">
        <f t="shared" si="72"/>
        <v>75.521256521143044</v>
      </c>
      <c r="BE111" s="3" t="s">
        <v>90</v>
      </c>
      <c r="BF111" s="3">
        <v>2100</v>
      </c>
      <c r="BG111" s="3">
        <f t="shared" si="75"/>
        <v>33.301838328685797</v>
      </c>
      <c r="BH111" s="3">
        <f t="shared" si="76"/>
        <v>21.967293213257218</v>
      </c>
      <c r="BI111" s="3">
        <f t="shared" si="77"/>
        <v>45.3127539126858</v>
      </c>
      <c r="BL111" s="3" t="s">
        <v>91</v>
      </c>
      <c r="BM111" s="3">
        <v>2100</v>
      </c>
      <c r="BN111" s="3">
        <f t="shared" si="78"/>
        <v>22.201225552457203</v>
      </c>
      <c r="BO111" s="3">
        <f t="shared" si="79"/>
        <v>14.64486214217148</v>
      </c>
      <c r="BP111" s="3">
        <f t="shared" si="80"/>
        <v>30.208502608457202</v>
      </c>
      <c r="BS111" s="112">
        <v>55.503063881142999</v>
      </c>
      <c r="BT111" s="112">
        <v>36.612155355428698</v>
      </c>
      <c r="BU111" s="112">
        <v>75.521256521143002</v>
      </c>
    </row>
    <row r="112" spans="50:73" ht="14.5">
      <c r="AX112" s="118" t="s">
        <v>93</v>
      </c>
      <c r="AY112" s="118">
        <f t="shared" si="73"/>
        <v>2100</v>
      </c>
      <c r="AZ112" s="118">
        <f t="shared" si="74"/>
        <v>57.18270390857159</v>
      </c>
      <c r="BA112" s="118">
        <f t="shared" si="71"/>
        <v>38.305511160685803</v>
      </c>
      <c r="BB112" s="118">
        <f t="shared" si="72"/>
        <v>77.182870645028771</v>
      </c>
      <c r="BE112" s="3" t="s">
        <v>94</v>
      </c>
      <c r="BF112" s="3">
        <v>2100</v>
      </c>
      <c r="BG112" s="3">
        <f t="shared" si="75"/>
        <v>34.309622345142955</v>
      </c>
      <c r="BH112" s="3">
        <f t="shared" si="76"/>
        <v>22.983306696411482</v>
      </c>
      <c r="BI112" s="3">
        <f t="shared" si="77"/>
        <v>46.309722387017281</v>
      </c>
      <c r="BL112" s="3" t="s">
        <v>95</v>
      </c>
      <c r="BM112" s="3">
        <v>2100</v>
      </c>
      <c r="BN112" s="3">
        <f t="shared" si="78"/>
        <v>22.873081563428642</v>
      </c>
      <c r="BO112" s="3">
        <f t="shared" si="79"/>
        <v>15.322204464274321</v>
      </c>
      <c r="BP112" s="3">
        <f t="shared" si="80"/>
        <v>30.873148258011522</v>
      </c>
      <c r="BS112" s="112">
        <v>57.182703908571597</v>
      </c>
      <c r="BT112" s="112">
        <v>38.305511160685803</v>
      </c>
      <c r="BU112" s="112">
        <v>77.1828706450288</v>
      </c>
    </row>
    <row r="113" spans="49:73" ht="14.5">
      <c r="AW113" s="111"/>
      <c r="AX113" s="124"/>
      <c r="AY113" s="118"/>
      <c r="AZ113" s="118"/>
      <c r="BA113" s="118"/>
      <c r="BB113" s="118"/>
      <c r="BE113" s="3" t="s">
        <v>97</v>
      </c>
      <c r="BF113" s="3">
        <v>2100</v>
      </c>
      <c r="BG113" s="3">
        <f t="shared" si="75"/>
        <v>62.101568365714193</v>
      </c>
      <c r="BH113" s="3">
        <f t="shared" si="76"/>
        <v>62.101568365714193</v>
      </c>
      <c r="BI113" s="3">
        <f t="shared" si="77"/>
        <v>62.101568365714193</v>
      </c>
      <c r="BL113" s="3" t="s">
        <v>98</v>
      </c>
      <c r="BM113" s="3">
        <v>2100</v>
      </c>
      <c r="BN113" s="3">
        <f t="shared" si="78"/>
        <v>41.401045577142803</v>
      </c>
      <c r="BO113" s="3">
        <f t="shared" si="79"/>
        <v>41.401045577142803</v>
      </c>
      <c r="BP113" s="3">
        <f t="shared" si="80"/>
        <v>41.401045577142803</v>
      </c>
      <c r="BS113" s="112">
        <v>103.502613942857</v>
      </c>
      <c r="BT113" s="112">
        <v>103.502613942857</v>
      </c>
      <c r="BU113" s="112">
        <v>103.502613942857</v>
      </c>
    </row>
    <row r="118" spans="50:64" ht="14.5">
      <c r="AX118" t="s">
        <v>62</v>
      </c>
      <c r="AY118"/>
      <c r="AZ118" s="118"/>
      <c r="BE118" s="3" t="s">
        <v>63</v>
      </c>
      <c r="BL118" s="3" t="s">
        <v>62</v>
      </c>
    </row>
    <row r="119" spans="50:73" ht="14.5">
      <c r="AX119" s="118" t="s">
        <v>65</v>
      </c>
      <c r="AY119" s="118" t="s">
        <v>41</v>
      </c>
      <c r="AZ119" s="122" t="s">
        <v>66</v>
      </c>
      <c r="BA119" s="122" t="s">
        <v>11</v>
      </c>
      <c r="BB119" s="122" t="s">
        <v>25</v>
      </c>
      <c r="BE119" s="3" t="s">
        <v>65</v>
      </c>
      <c r="BF119" s="3" t="s">
        <v>41</v>
      </c>
      <c r="BG119" s="3" t="s">
        <v>66</v>
      </c>
      <c r="BH119" s="3" t="s">
        <v>11</v>
      </c>
      <c r="BI119" s="3" t="s">
        <v>25</v>
      </c>
      <c r="BL119" s="3" t="s">
        <v>65</v>
      </c>
      <c r="BM119" s="3" t="s">
        <v>41</v>
      </c>
      <c r="BN119" s="3" t="s">
        <v>66</v>
      </c>
      <c r="BO119" s="3" t="s">
        <v>11</v>
      </c>
      <c r="BP119" s="3" t="s">
        <v>25</v>
      </c>
      <c r="BS119" s="112" t="s">
        <v>66</v>
      </c>
      <c r="BT119" s="112" t="s">
        <v>11</v>
      </c>
      <c r="BU119" s="112" t="s">
        <v>25</v>
      </c>
    </row>
    <row r="120" spans="50:73" ht="14.5">
      <c r="AX120" s="118" t="s">
        <v>67</v>
      </c>
      <c r="AY120" s="118">
        <v>0</v>
      </c>
      <c r="AZ120" s="118">
        <v>3</v>
      </c>
      <c r="BA120" s="118">
        <v>3</v>
      </c>
      <c r="BB120" s="118">
        <v>3</v>
      </c>
      <c r="BE120" s="3" t="s">
        <v>68</v>
      </c>
      <c r="BF120" s="3">
        <v>0</v>
      </c>
      <c r="BG120" s="3">
        <v>3</v>
      </c>
      <c r="BH120" s="3">
        <v>3</v>
      </c>
      <c r="BI120" s="3">
        <v>3</v>
      </c>
      <c r="BL120" s="3" t="s">
        <v>69</v>
      </c>
      <c r="BM120" s="3">
        <v>0</v>
      </c>
      <c r="BN120" s="3">
        <v>3</v>
      </c>
      <c r="BO120" s="3">
        <v>3</v>
      </c>
      <c r="BP120" s="3">
        <v>3</v>
      </c>
      <c r="BS120" s="112">
        <v>3</v>
      </c>
      <c r="BT120" s="112">
        <v>3</v>
      </c>
      <c r="BU120" s="112">
        <v>3</v>
      </c>
    </row>
    <row r="121" spans="50:73" ht="14.5">
      <c r="AX121" s="118" t="s">
        <v>72</v>
      </c>
      <c r="AY121" s="118">
        <f t="shared" si="81" ref="AY121:AY127">AY120</f>
        <v>0</v>
      </c>
      <c r="AZ121" s="118">
        <v>3</v>
      </c>
      <c r="BA121" s="118">
        <v>3</v>
      </c>
      <c r="BB121" s="118">
        <v>3</v>
      </c>
      <c r="BE121" s="3" t="s">
        <v>73</v>
      </c>
      <c r="BF121" s="3">
        <v>0</v>
      </c>
      <c r="BG121" s="3">
        <v>3</v>
      </c>
      <c r="BH121" s="3">
        <v>3</v>
      </c>
      <c r="BI121" s="3">
        <v>3</v>
      </c>
      <c r="BL121" s="3" t="s">
        <v>74</v>
      </c>
      <c r="BM121" s="3">
        <v>0</v>
      </c>
      <c r="BN121" s="3">
        <v>3</v>
      </c>
      <c r="BO121" s="3">
        <v>3</v>
      </c>
      <c r="BP121" s="3">
        <v>3</v>
      </c>
      <c r="BS121" s="112">
        <v>3</v>
      </c>
      <c r="BT121" s="112">
        <v>3</v>
      </c>
      <c r="BU121" s="112">
        <v>3</v>
      </c>
    </row>
    <row r="122" spans="50:73" ht="14.5">
      <c r="AX122" s="118" t="s">
        <v>76</v>
      </c>
      <c r="AY122" s="118">
        <f t="shared" si="81"/>
        <v>0</v>
      </c>
      <c r="AZ122" s="118">
        <v>3</v>
      </c>
      <c r="BA122" s="118">
        <v>3</v>
      </c>
      <c r="BB122" s="118">
        <v>3</v>
      </c>
      <c r="BE122" s="3" t="s">
        <v>77</v>
      </c>
      <c r="BF122" s="3">
        <v>0</v>
      </c>
      <c r="BG122" s="3">
        <v>3</v>
      </c>
      <c r="BH122" s="3">
        <v>3</v>
      </c>
      <c r="BI122" s="3">
        <v>3</v>
      </c>
      <c r="BL122" s="3" t="s">
        <v>78</v>
      </c>
      <c r="BM122" s="3">
        <v>0</v>
      </c>
      <c r="BN122" s="3">
        <v>3</v>
      </c>
      <c r="BO122" s="3">
        <v>3</v>
      </c>
      <c r="BP122" s="3">
        <v>3</v>
      </c>
      <c r="BS122" s="112">
        <v>3</v>
      </c>
      <c r="BT122" s="112">
        <v>3</v>
      </c>
      <c r="BU122" s="112">
        <v>3</v>
      </c>
    </row>
    <row r="123" spans="50:73" ht="14.5">
      <c r="AX123" s="118" t="s">
        <v>80</v>
      </c>
      <c r="AY123" s="118">
        <f t="shared" si="81"/>
        <v>0</v>
      </c>
      <c r="AZ123" s="118">
        <v>3</v>
      </c>
      <c r="BA123" s="118">
        <v>3</v>
      </c>
      <c r="BB123" s="118">
        <v>3</v>
      </c>
      <c r="BE123" s="3" t="s">
        <v>81</v>
      </c>
      <c r="BF123" s="3">
        <v>0</v>
      </c>
      <c r="BG123" s="3">
        <v>3</v>
      </c>
      <c r="BH123" s="3">
        <v>3</v>
      </c>
      <c r="BI123" s="3">
        <v>3</v>
      </c>
      <c r="BL123" s="3" t="s">
        <v>82</v>
      </c>
      <c r="BM123" s="3">
        <v>0</v>
      </c>
      <c r="BN123" s="3">
        <v>3</v>
      </c>
      <c r="BO123" s="3">
        <v>3</v>
      </c>
      <c r="BP123" s="3">
        <v>3</v>
      </c>
      <c r="BS123" s="112">
        <v>3</v>
      </c>
      <c r="BT123" s="112">
        <v>3</v>
      </c>
      <c r="BU123" s="112">
        <v>3</v>
      </c>
    </row>
    <row r="124" spans="50:73" ht="14.5">
      <c r="AX124" s="118" t="s">
        <v>85</v>
      </c>
      <c r="AY124" s="118">
        <f t="shared" si="81"/>
        <v>0</v>
      </c>
      <c r="AZ124" s="118">
        <v>3</v>
      </c>
      <c r="BA124" s="118">
        <v>3</v>
      </c>
      <c r="BB124" s="118">
        <v>3</v>
      </c>
      <c r="BE124" s="3" t="s">
        <v>86</v>
      </c>
      <c r="BF124" s="3">
        <v>0</v>
      </c>
      <c r="BG124" s="3">
        <v>3</v>
      </c>
      <c r="BH124" s="3">
        <v>3</v>
      </c>
      <c r="BI124" s="3">
        <v>3</v>
      </c>
      <c r="BL124" s="3" t="s">
        <v>87</v>
      </c>
      <c r="BM124" s="3">
        <v>0</v>
      </c>
      <c r="BN124" s="3">
        <v>3</v>
      </c>
      <c r="BO124" s="3">
        <v>3</v>
      </c>
      <c r="BP124" s="3">
        <v>3</v>
      </c>
      <c r="BS124" s="112">
        <v>3</v>
      </c>
      <c r="BT124" s="112">
        <v>3</v>
      </c>
      <c r="BU124" s="112">
        <v>3</v>
      </c>
    </row>
    <row r="125" spans="50:73" ht="14.5">
      <c r="AX125" s="118" t="s">
        <v>89</v>
      </c>
      <c r="AY125" s="118">
        <f t="shared" si="81"/>
        <v>0</v>
      </c>
      <c r="AZ125" s="118">
        <v>3</v>
      </c>
      <c r="BA125" s="118">
        <v>3</v>
      </c>
      <c r="BB125" s="118">
        <v>3</v>
      </c>
      <c r="BE125" s="3" t="s">
        <v>90</v>
      </c>
      <c r="BF125" s="3">
        <v>0</v>
      </c>
      <c r="BG125" s="3">
        <v>3</v>
      </c>
      <c r="BH125" s="3">
        <v>3</v>
      </c>
      <c r="BI125" s="3">
        <v>3</v>
      </c>
      <c r="BL125" s="3" t="s">
        <v>91</v>
      </c>
      <c r="BM125" s="3">
        <v>0</v>
      </c>
      <c r="BN125" s="3">
        <v>3</v>
      </c>
      <c r="BO125" s="3">
        <v>3</v>
      </c>
      <c r="BP125" s="3">
        <v>3</v>
      </c>
      <c r="BS125" s="112">
        <v>3</v>
      </c>
      <c r="BT125" s="112">
        <v>3</v>
      </c>
      <c r="BU125" s="112">
        <v>3</v>
      </c>
    </row>
    <row r="126" spans="50:73" ht="14.5">
      <c r="AX126" s="118" t="s">
        <v>93</v>
      </c>
      <c r="AY126" s="118">
        <f t="shared" si="81"/>
        <v>0</v>
      </c>
      <c r="AZ126" s="118">
        <v>3</v>
      </c>
      <c r="BA126" s="118">
        <v>3</v>
      </c>
      <c r="BB126" s="118">
        <v>3</v>
      </c>
      <c r="BE126" s="3" t="s">
        <v>94</v>
      </c>
      <c r="BF126" s="3">
        <v>0</v>
      </c>
      <c r="BG126" s="3">
        <v>3</v>
      </c>
      <c r="BH126" s="3">
        <v>3</v>
      </c>
      <c r="BI126" s="3">
        <v>3</v>
      </c>
      <c r="BL126" s="3" t="s">
        <v>95</v>
      </c>
      <c r="BM126" s="3">
        <v>0</v>
      </c>
      <c r="BN126" s="3">
        <v>3</v>
      </c>
      <c r="BO126" s="3">
        <v>3</v>
      </c>
      <c r="BP126" s="3">
        <v>3</v>
      </c>
      <c r="BS126" s="112">
        <v>3</v>
      </c>
      <c r="BT126" s="112">
        <v>3</v>
      </c>
      <c r="BU126" s="112">
        <v>3</v>
      </c>
    </row>
    <row r="127" spans="49:73" ht="14.5">
      <c r="AW127" s="111"/>
      <c r="AX127" s="124"/>
      <c r="AY127" s="118"/>
      <c r="AZ127" s="118"/>
      <c r="BA127" s="118"/>
      <c r="BB127" s="118"/>
      <c r="BE127" s="3" t="s">
        <v>97</v>
      </c>
      <c r="BF127" s="3">
        <v>0</v>
      </c>
      <c r="BG127" s="3">
        <v>3</v>
      </c>
      <c r="BH127" s="3">
        <v>3</v>
      </c>
      <c r="BI127" s="3">
        <v>3</v>
      </c>
      <c r="BL127" s="3" t="s">
        <v>98</v>
      </c>
      <c r="BM127" s="3">
        <v>0</v>
      </c>
      <c r="BN127" s="3">
        <v>3</v>
      </c>
      <c r="BO127" s="3">
        <v>3</v>
      </c>
      <c r="BP127" s="3">
        <v>3</v>
      </c>
      <c r="BS127" s="112">
        <v>3</v>
      </c>
      <c r="BT127" s="112">
        <v>3</v>
      </c>
      <c r="BU127" s="112">
        <v>3</v>
      </c>
    </row>
    <row r="143" spans="57:57" ht="14.5">
      <c r="BE143" s="3" t="s">
        <v>62</v>
      </c>
    </row>
    <row r="144" spans="57:61" ht="14.5">
      <c r="BE144" s="3" t="s">
        <v>65</v>
      </c>
      <c r="BF144" s="3" t="s">
        <v>41</v>
      </c>
      <c r="BG144" s="3" t="s">
        <v>66</v>
      </c>
      <c r="BH144" s="3" t="s">
        <v>11</v>
      </c>
      <c r="BI144" s="3" t="s">
        <v>25</v>
      </c>
    </row>
    <row r="145" spans="57:61" ht="14.5">
      <c r="BE145" s="3" t="s">
        <v>68</v>
      </c>
      <c r="BF145" s="3">
        <v>2023</v>
      </c>
      <c r="BG145" s="3">
        <v>0.001</v>
      </c>
      <c r="BH145" s="3">
        <f>BG145</f>
        <v>0.001</v>
      </c>
      <c r="BI145" s="3">
        <f>BH145</f>
        <v>0.001</v>
      </c>
    </row>
    <row r="146" spans="57:61" ht="14.5">
      <c r="BE146" s="3" t="s">
        <v>73</v>
      </c>
      <c r="BF146" s="3">
        <v>2023</v>
      </c>
      <c r="BG146" s="3">
        <f>BG145</f>
        <v>0.001</v>
      </c>
      <c r="BH146" s="3">
        <f>BH145</f>
        <v>0.001</v>
      </c>
      <c r="BI146" s="3">
        <f>BI145</f>
        <v>0.001</v>
      </c>
    </row>
    <row r="147" spans="57:61" ht="14.5">
      <c r="BE147" s="3" t="s">
        <v>77</v>
      </c>
      <c r="BF147" s="3">
        <v>2023</v>
      </c>
      <c r="BG147" s="3">
        <f t="shared" si="82" ref="BG147:BG152">BG146</f>
        <v>0.001</v>
      </c>
      <c r="BH147" s="3">
        <f t="shared" si="83" ref="BH147:BH152">BH146</f>
        <v>0.001</v>
      </c>
      <c r="BI147" s="3">
        <f t="shared" si="84" ref="BI147:BI152">BI146</f>
        <v>0.001</v>
      </c>
    </row>
    <row r="148" spans="57:61" ht="14.5">
      <c r="BE148" s="3" t="s">
        <v>81</v>
      </c>
      <c r="BF148" s="3">
        <v>2023</v>
      </c>
      <c r="BG148" s="3">
        <f t="shared" si="82"/>
        <v>0.001</v>
      </c>
      <c r="BH148" s="3">
        <f t="shared" si="83"/>
        <v>0.001</v>
      </c>
      <c r="BI148" s="3">
        <f t="shared" si="84"/>
        <v>0.001</v>
      </c>
    </row>
    <row r="149" spans="57:61" ht="14.5">
      <c r="BE149" s="3" t="s">
        <v>86</v>
      </c>
      <c r="BF149" s="3">
        <v>2023</v>
      </c>
      <c r="BG149" s="3">
        <f t="shared" si="82"/>
        <v>0.001</v>
      </c>
      <c r="BH149" s="3">
        <f t="shared" si="83"/>
        <v>0.001</v>
      </c>
      <c r="BI149" s="3">
        <f t="shared" si="84"/>
        <v>0.001</v>
      </c>
    </row>
    <row r="150" spans="57:61" ht="14.5">
      <c r="BE150" s="3" t="s">
        <v>90</v>
      </c>
      <c r="BF150" s="3">
        <v>2023</v>
      </c>
      <c r="BG150" s="3">
        <f t="shared" si="82"/>
        <v>0.001</v>
      </c>
      <c r="BH150" s="3">
        <f t="shared" si="83"/>
        <v>0.001</v>
      </c>
      <c r="BI150" s="3">
        <f t="shared" si="84"/>
        <v>0.001</v>
      </c>
    </row>
    <row r="151" spans="57:61" ht="14.5">
      <c r="BE151" s="3" t="s">
        <v>94</v>
      </c>
      <c r="BF151" s="3">
        <v>2023</v>
      </c>
      <c r="BG151" s="3">
        <f t="shared" si="82"/>
        <v>0.001</v>
      </c>
      <c r="BH151" s="3">
        <f t="shared" si="83"/>
        <v>0.001</v>
      </c>
      <c r="BI151" s="3">
        <f t="shared" si="84"/>
        <v>0.001</v>
      </c>
    </row>
    <row r="152" spans="57:61" ht="14.5">
      <c r="BE152" s="3" t="s">
        <v>97</v>
      </c>
      <c r="BF152" s="3">
        <v>2023</v>
      </c>
      <c r="BG152" s="3">
        <f t="shared" si="82"/>
        <v>0.001</v>
      </c>
      <c r="BH152" s="3">
        <f t="shared" si="83"/>
        <v>0.001</v>
      </c>
      <c r="BI152" s="3">
        <f t="shared" si="84"/>
        <v>0.001</v>
      </c>
    </row>
    <row r="156" spans="57:57" ht="14.5">
      <c r="BE156" s="3" t="s">
        <v>62</v>
      </c>
    </row>
    <row r="157" spans="57:61" ht="14.5">
      <c r="BE157" s="3" t="s">
        <v>65</v>
      </c>
      <c r="BF157" s="3" t="s">
        <v>41</v>
      </c>
      <c r="BG157" s="3" t="s">
        <v>66</v>
      </c>
      <c r="BH157" s="3" t="s">
        <v>11</v>
      </c>
      <c r="BI157" s="3" t="s">
        <v>25</v>
      </c>
    </row>
    <row r="158" spans="57:61" ht="14.5">
      <c r="BE158" s="3" t="s">
        <v>68</v>
      </c>
      <c r="BF158" s="3">
        <v>2025</v>
      </c>
      <c r="BG158" s="3">
        <v>0.001</v>
      </c>
      <c r="BH158" s="3">
        <f>BG158</f>
        <v>0.001</v>
      </c>
      <c r="BI158" s="3">
        <f>BH158</f>
        <v>0.001</v>
      </c>
    </row>
    <row r="159" spans="57:61" ht="14.5">
      <c r="BE159" s="3" t="s">
        <v>73</v>
      </c>
      <c r="BF159" s="3">
        <v>2025</v>
      </c>
      <c r="BG159" s="3">
        <f t="shared" si="85" ref="BG159:BI159">BG158</f>
        <v>0.001</v>
      </c>
      <c r="BH159" s="3">
        <f t="shared" si="85"/>
        <v>0.001</v>
      </c>
      <c r="BI159" s="3">
        <f t="shared" si="85"/>
        <v>0.001</v>
      </c>
    </row>
    <row r="160" spans="57:61" ht="14.5">
      <c r="BE160" s="3" t="s">
        <v>77</v>
      </c>
      <c r="BF160" s="3">
        <v>2025</v>
      </c>
      <c r="BG160" s="3">
        <f t="shared" si="86" ref="BG160:BI160">BG159</f>
        <v>0.001</v>
      </c>
      <c r="BH160" s="3">
        <f t="shared" si="86"/>
        <v>0.001</v>
      </c>
      <c r="BI160" s="3">
        <f t="shared" si="86"/>
        <v>0.001</v>
      </c>
    </row>
    <row r="161" spans="57:61" ht="14.5">
      <c r="BE161" s="3" t="s">
        <v>81</v>
      </c>
      <c r="BF161" s="3">
        <v>2025</v>
      </c>
      <c r="BG161" s="3">
        <f t="shared" si="87" ref="BG161:BI161">BG160</f>
        <v>0.001</v>
      </c>
      <c r="BH161" s="3">
        <f t="shared" si="87"/>
        <v>0.001</v>
      </c>
      <c r="BI161" s="3">
        <f t="shared" si="87"/>
        <v>0.001</v>
      </c>
    </row>
    <row r="162" spans="57:61" ht="14.5">
      <c r="BE162" s="3" t="s">
        <v>86</v>
      </c>
      <c r="BF162" s="3">
        <v>2025</v>
      </c>
      <c r="BG162" s="3">
        <f t="shared" si="88" ref="BG162:BI162">BG161</f>
        <v>0.001</v>
      </c>
      <c r="BH162" s="3">
        <f t="shared" si="88"/>
        <v>0.001</v>
      </c>
      <c r="BI162" s="3">
        <f t="shared" si="88"/>
        <v>0.001</v>
      </c>
    </row>
    <row r="163" spans="57:61" ht="14.5">
      <c r="BE163" s="3" t="s">
        <v>90</v>
      </c>
      <c r="BF163" s="3">
        <v>2025</v>
      </c>
      <c r="BG163" s="3">
        <f t="shared" si="89" ref="BG163:BI163">BG162</f>
        <v>0.001</v>
      </c>
      <c r="BH163" s="3">
        <f t="shared" si="89"/>
        <v>0.001</v>
      </c>
      <c r="BI163" s="3">
        <f t="shared" si="89"/>
        <v>0.001</v>
      </c>
    </row>
    <row r="164" spans="57:61" ht="14.5">
      <c r="BE164" s="3" t="s">
        <v>94</v>
      </c>
      <c r="BF164" s="3">
        <v>2025</v>
      </c>
      <c r="BG164" s="3">
        <f t="shared" si="90" ref="BG164:BI164">BG163</f>
        <v>0.001</v>
      </c>
      <c r="BH164" s="3">
        <f t="shared" si="90"/>
        <v>0.001</v>
      </c>
      <c r="BI164" s="3">
        <f t="shared" si="90"/>
        <v>0.001</v>
      </c>
    </row>
    <row r="165" spans="57:61" ht="14.5">
      <c r="BE165" s="3" t="s">
        <v>97</v>
      </c>
      <c r="BF165" s="3">
        <v>2025</v>
      </c>
      <c r="BG165" s="3">
        <f t="shared" si="91" ref="BG165:BI165">BG164</f>
        <v>0.001</v>
      </c>
      <c r="BH165" s="3">
        <f t="shared" si="91"/>
        <v>0.001</v>
      </c>
      <c r="BI165" s="3">
        <f t="shared" si="91"/>
        <v>0.001</v>
      </c>
    </row>
    <row r="171" spans="57:57" ht="14.5">
      <c r="BE171" s="3" t="s">
        <v>62</v>
      </c>
    </row>
    <row r="172" spans="57:61" ht="14.5">
      <c r="BE172" s="3" t="s">
        <v>65</v>
      </c>
      <c r="BF172" s="3" t="s">
        <v>41</v>
      </c>
      <c r="BG172" s="3" t="s">
        <v>66</v>
      </c>
      <c r="BH172" s="3" t="s">
        <v>11</v>
      </c>
      <c r="BI172" s="3" t="s">
        <v>25</v>
      </c>
    </row>
    <row r="173" spans="57:61" ht="14.5">
      <c r="BE173" s="3" t="s">
        <v>68</v>
      </c>
      <c r="BF173" s="3">
        <v>2030</v>
      </c>
      <c r="BG173" s="3">
        <v>0.001</v>
      </c>
      <c r="BH173" s="3">
        <f>BG173</f>
        <v>0.001</v>
      </c>
      <c r="BI173" s="3">
        <f>BH173</f>
        <v>0.001</v>
      </c>
    </row>
    <row r="174" spans="57:61" ht="14.5">
      <c r="BE174" s="3" t="s">
        <v>73</v>
      </c>
      <c r="BF174" s="3">
        <v>2030</v>
      </c>
      <c r="BG174" s="3">
        <f t="shared" si="92" ref="BG174:BI174">BG173</f>
        <v>0.001</v>
      </c>
      <c r="BH174" s="3">
        <f t="shared" si="92"/>
        <v>0.001</v>
      </c>
      <c r="BI174" s="3">
        <f t="shared" si="92"/>
        <v>0.001</v>
      </c>
    </row>
    <row r="175" spans="57:61" ht="14.5">
      <c r="BE175" s="3" t="s">
        <v>77</v>
      </c>
      <c r="BF175" s="3">
        <v>2030</v>
      </c>
      <c r="BG175" s="3">
        <f t="shared" si="93" ref="BG175:BI175">BG174</f>
        <v>0.001</v>
      </c>
      <c r="BH175" s="3">
        <f t="shared" si="93"/>
        <v>0.001</v>
      </c>
      <c r="BI175" s="3">
        <f t="shared" si="93"/>
        <v>0.001</v>
      </c>
    </row>
    <row r="176" spans="57:61" ht="14.5">
      <c r="BE176" s="3" t="s">
        <v>81</v>
      </c>
      <c r="BF176" s="3">
        <v>2030</v>
      </c>
      <c r="BG176" s="3">
        <f t="shared" si="94" ref="BG176:BI176">BG175</f>
        <v>0.001</v>
      </c>
      <c r="BH176" s="3">
        <f t="shared" si="94"/>
        <v>0.001</v>
      </c>
      <c r="BI176" s="3">
        <f t="shared" si="94"/>
        <v>0.001</v>
      </c>
    </row>
    <row r="177" spans="57:61" ht="14.5">
      <c r="BE177" s="3" t="s">
        <v>86</v>
      </c>
      <c r="BF177" s="3">
        <v>2030</v>
      </c>
      <c r="BG177" s="3">
        <f t="shared" si="95" ref="BG177:BI177">BG176</f>
        <v>0.001</v>
      </c>
      <c r="BH177" s="3">
        <f t="shared" si="95"/>
        <v>0.001</v>
      </c>
      <c r="BI177" s="3">
        <f t="shared" si="95"/>
        <v>0.001</v>
      </c>
    </row>
    <row r="178" spans="57:61" ht="14.5">
      <c r="BE178" s="3" t="s">
        <v>90</v>
      </c>
      <c r="BF178" s="3">
        <v>2030</v>
      </c>
      <c r="BG178" s="3">
        <f t="shared" si="96" ref="BG178:BI178">BG177</f>
        <v>0.001</v>
      </c>
      <c r="BH178" s="3">
        <f t="shared" si="96"/>
        <v>0.001</v>
      </c>
      <c r="BI178" s="3">
        <f t="shared" si="96"/>
        <v>0.001</v>
      </c>
    </row>
    <row r="179" spans="57:61" ht="14.5">
      <c r="BE179" s="3" t="s">
        <v>94</v>
      </c>
      <c r="BF179" s="3">
        <v>2030</v>
      </c>
      <c r="BG179" s="3">
        <f t="shared" si="97" ref="BG179:BI179">BG178</f>
        <v>0.001</v>
      </c>
      <c r="BH179" s="3">
        <f t="shared" si="97"/>
        <v>0.001</v>
      </c>
      <c r="BI179" s="3">
        <f t="shared" si="97"/>
        <v>0.001</v>
      </c>
    </row>
    <row r="180" spans="57:61" ht="14.5">
      <c r="BE180" s="3" t="s">
        <v>97</v>
      </c>
      <c r="BF180" s="3">
        <v>2030</v>
      </c>
      <c r="BG180" s="3">
        <f t="shared" si="98" ref="BG180:BI180">BG179</f>
        <v>0.001</v>
      </c>
      <c r="BH180" s="3">
        <f t="shared" si="98"/>
        <v>0.001</v>
      </c>
      <c r="BI180" s="3">
        <f t="shared" si="98"/>
        <v>0.001</v>
      </c>
    </row>
    <row r="185" spans="57:57" ht="14.5">
      <c r="BE185" s="3" t="s">
        <v>62</v>
      </c>
    </row>
    <row r="186" spans="57:61" ht="14.5">
      <c r="BE186" s="3" t="s">
        <v>65</v>
      </c>
      <c r="BF186" s="3" t="s">
        <v>41</v>
      </c>
      <c r="BG186" s="3" t="s">
        <v>66</v>
      </c>
      <c r="BH186" s="3" t="s">
        <v>11</v>
      </c>
      <c r="BI186" s="3" t="s">
        <v>25</v>
      </c>
    </row>
    <row r="187" spans="57:61" ht="14.5">
      <c r="BE187" s="3" t="s">
        <v>68</v>
      </c>
      <c r="BF187" s="3">
        <v>2035</v>
      </c>
      <c r="BG187" s="3">
        <v>0.001</v>
      </c>
      <c r="BH187" s="3">
        <f>BG187</f>
        <v>0.001</v>
      </c>
      <c r="BI187" s="3">
        <f>BH187</f>
        <v>0.001</v>
      </c>
    </row>
    <row r="188" spans="57:61" ht="14.5">
      <c r="BE188" s="3" t="s">
        <v>73</v>
      </c>
      <c r="BF188" s="3">
        <v>2035</v>
      </c>
      <c r="BG188" s="3">
        <f t="shared" si="99" ref="BG188:BI188">BG187</f>
        <v>0.001</v>
      </c>
      <c r="BH188" s="3">
        <f t="shared" si="99"/>
        <v>0.001</v>
      </c>
      <c r="BI188" s="3">
        <f t="shared" si="99"/>
        <v>0.001</v>
      </c>
    </row>
    <row r="189" spans="57:61" ht="14.5">
      <c r="BE189" s="3" t="s">
        <v>77</v>
      </c>
      <c r="BF189" s="3">
        <v>2035</v>
      </c>
      <c r="BG189" s="3">
        <f t="shared" si="100" ref="BG189:BI189">BG188</f>
        <v>0.001</v>
      </c>
      <c r="BH189" s="3">
        <f t="shared" si="100"/>
        <v>0.001</v>
      </c>
      <c r="BI189" s="3">
        <f t="shared" si="100"/>
        <v>0.001</v>
      </c>
    </row>
    <row r="190" spans="57:61" ht="14.5">
      <c r="BE190" s="3" t="s">
        <v>81</v>
      </c>
      <c r="BF190" s="3">
        <v>2035</v>
      </c>
      <c r="BG190" s="3">
        <f t="shared" si="101" ref="BG190:BI190">BG189</f>
        <v>0.001</v>
      </c>
      <c r="BH190" s="3">
        <f t="shared" si="101"/>
        <v>0.001</v>
      </c>
      <c r="BI190" s="3">
        <f t="shared" si="101"/>
        <v>0.001</v>
      </c>
    </row>
    <row r="191" spans="57:61" ht="14.5">
      <c r="BE191" s="3" t="s">
        <v>86</v>
      </c>
      <c r="BF191" s="3">
        <v>2035</v>
      </c>
      <c r="BG191" s="3">
        <f t="shared" si="102" ref="BG191:BI191">BG190</f>
        <v>0.001</v>
      </c>
      <c r="BH191" s="3">
        <f t="shared" si="102"/>
        <v>0.001</v>
      </c>
      <c r="BI191" s="3">
        <f t="shared" si="102"/>
        <v>0.001</v>
      </c>
    </row>
    <row r="192" spans="57:61" ht="14.5">
      <c r="BE192" s="3" t="s">
        <v>90</v>
      </c>
      <c r="BF192" s="3">
        <v>2035</v>
      </c>
      <c r="BG192" s="3">
        <f t="shared" si="103" ref="BG192:BI192">BG191</f>
        <v>0.001</v>
      </c>
      <c r="BH192" s="3">
        <f t="shared" si="103"/>
        <v>0.001</v>
      </c>
      <c r="BI192" s="3">
        <f t="shared" si="103"/>
        <v>0.001</v>
      </c>
    </row>
    <row r="193" spans="57:61" ht="14.5">
      <c r="BE193" s="3" t="s">
        <v>94</v>
      </c>
      <c r="BF193" s="3">
        <v>2035</v>
      </c>
      <c r="BG193" s="3">
        <f t="shared" si="104" ref="BG193:BI193">BG192</f>
        <v>0.001</v>
      </c>
      <c r="BH193" s="3">
        <f t="shared" si="104"/>
        <v>0.001</v>
      </c>
      <c r="BI193" s="3">
        <f t="shared" si="104"/>
        <v>0.001</v>
      </c>
    </row>
    <row r="194" spans="57:61" ht="14.5">
      <c r="BE194" s="3" t="s">
        <v>97</v>
      </c>
      <c r="BF194" s="3">
        <v>2035</v>
      </c>
      <c r="BG194" s="3">
        <f t="shared" si="105" ref="BG194:BI194">BG193</f>
        <v>0.001</v>
      </c>
      <c r="BH194" s="3">
        <f t="shared" si="105"/>
        <v>0.001</v>
      </c>
      <c r="BI194" s="3">
        <f t="shared" si="105"/>
        <v>0.001</v>
      </c>
    </row>
    <row r="199" spans="57:57" ht="14.5">
      <c r="BE199" s="3" t="s">
        <v>62</v>
      </c>
    </row>
    <row r="200" spans="57:61" ht="14.5">
      <c r="BE200" s="3" t="s">
        <v>65</v>
      </c>
      <c r="BF200" s="3" t="s">
        <v>41</v>
      </c>
      <c r="BG200" s="3" t="s">
        <v>66</v>
      </c>
      <c r="BH200" s="3" t="s">
        <v>11</v>
      </c>
      <c r="BI200" s="3" t="s">
        <v>25</v>
      </c>
    </row>
    <row r="201" spans="57:61" ht="14.5">
      <c r="BE201" s="3" t="s">
        <v>68</v>
      </c>
      <c r="BF201" s="3">
        <v>2040</v>
      </c>
      <c r="BG201" s="3">
        <v>0.001</v>
      </c>
      <c r="BH201" s="3">
        <f>BG201</f>
        <v>0.001</v>
      </c>
      <c r="BI201" s="3">
        <f>BH201</f>
        <v>0.001</v>
      </c>
    </row>
    <row r="202" spans="57:61" ht="14.5">
      <c r="BE202" s="3" t="s">
        <v>73</v>
      </c>
      <c r="BF202" s="3">
        <v>2040</v>
      </c>
      <c r="BG202" s="3">
        <f t="shared" si="106" ref="BG202:BI202">BG201</f>
        <v>0.001</v>
      </c>
      <c r="BH202" s="3">
        <f t="shared" si="106"/>
        <v>0.001</v>
      </c>
      <c r="BI202" s="3">
        <f t="shared" si="106"/>
        <v>0.001</v>
      </c>
    </row>
    <row r="203" spans="57:61" ht="14.5">
      <c r="BE203" s="3" t="s">
        <v>77</v>
      </c>
      <c r="BF203" s="3">
        <v>2040</v>
      </c>
      <c r="BG203" s="3">
        <f t="shared" si="107" ref="BG203:BI203">BG202</f>
        <v>0.001</v>
      </c>
      <c r="BH203" s="3">
        <f t="shared" si="107"/>
        <v>0.001</v>
      </c>
      <c r="BI203" s="3">
        <f t="shared" si="107"/>
        <v>0.001</v>
      </c>
    </row>
    <row r="204" spans="57:61" ht="14.5">
      <c r="BE204" s="3" t="s">
        <v>81</v>
      </c>
      <c r="BF204" s="3">
        <v>2040</v>
      </c>
      <c r="BG204" s="3">
        <f t="shared" si="108" ref="BG204:BI204">BG203</f>
        <v>0.001</v>
      </c>
      <c r="BH204" s="3">
        <f t="shared" si="108"/>
        <v>0.001</v>
      </c>
      <c r="BI204" s="3">
        <f t="shared" si="108"/>
        <v>0.001</v>
      </c>
    </row>
    <row r="205" spans="57:61" ht="14.5">
      <c r="BE205" s="3" t="s">
        <v>86</v>
      </c>
      <c r="BF205" s="3">
        <v>2040</v>
      </c>
      <c r="BG205" s="3">
        <f t="shared" si="109" ref="BG205:BI205">BG204</f>
        <v>0.001</v>
      </c>
      <c r="BH205" s="3">
        <f t="shared" si="109"/>
        <v>0.001</v>
      </c>
      <c r="BI205" s="3">
        <f t="shared" si="109"/>
        <v>0.001</v>
      </c>
    </row>
    <row r="206" spans="57:61" ht="14.5">
      <c r="BE206" s="3" t="s">
        <v>90</v>
      </c>
      <c r="BF206" s="3">
        <v>2040</v>
      </c>
      <c r="BG206" s="3">
        <f t="shared" si="110" ref="BG206:BI206">BG205</f>
        <v>0.001</v>
      </c>
      <c r="BH206" s="3">
        <f t="shared" si="110"/>
        <v>0.001</v>
      </c>
      <c r="BI206" s="3">
        <f t="shared" si="110"/>
        <v>0.001</v>
      </c>
    </row>
    <row r="207" spans="57:61" ht="14.5">
      <c r="BE207" s="3" t="s">
        <v>94</v>
      </c>
      <c r="BF207" s="3">
        <v>2040</v>
      </c>
      <c r="BG207" s="3">
        <f t="shared" si="111" ref="BG207:BI207">BG206</f>
        <v>0.001</v>
      </c>
      <c r="BH207" s="3">
        <f t="shared" si="111"/>
        <v>0.001</v>
      </c>
      <c r="BI207" s="3">
        <f t="shared" si="111"/>
        <v>0.001</v>
      </c>
    </row>
    <row r="208" spans="57:61" ht="14.5">
      <c r="BE208" s="3" t="s">
        <v>97</v>
      </c>
      <c r="BF208" s="3">
        <v>2040</v>
      </c>
      <c r="BG208" s="3">
        <f t="shared" si="112" ref="BG208:BI208">BG207</f>
        <v>0.001</v>
      </c>
      <c r="BH208" s="3">
        <f t="shared" si="112"/>
        <v>0.001</v>
      </c>
      <c r="BI208" s="3">
        <f t="shared" si="112"/>
        <v>0.001</v>
      </c>
    </row>
    <row r="215" spans="57:57" ht="14.5">
      <c r="BE215" s="3" t="s">
        <v>62</v>
      </c>
    </row>
    <row r="216" spans="57:61" ht="14.5">
      <c r="BE216" s="3" t="s">
        <v>65</v>
      </c>
      <c r="BF216" s="3" t="s">
        <v>41</v>
      </c>
      <c r="BG216" s="3" t="s">
        <v>66</v>
      </c>
      <c r="BH216" s="3" t="s">
        <v>11</v>
      </c>
      <c r="BI216" s="3" t="s">
        <v>25</v>
      </c>
    </row>
    <row r="217" spans="57:61" ht="14.5">
      <c r="BE217" s="3" t="s">
        <v>68</v>
      </c>
      <c r="BF217" s="3">
        <v>2045</v>
      </c>
      <c r="BG217" s="3">
        <v>0.001</v>
      </c>
      <c r="BH217" s="3">
        <f>BG217</f>
        <v>0.001</v>
      </c>
      <c r="BI217" s="3">
        <f>BH217</f>
        <v>0.001</v>
      </c>
    </row>
    <row r="218" spans="57:61" ht="14.5">
      <c r="BE218" s="3" t="s">
        <v>73</v>
      </c>
      <c r="BF218" s="3">
        <v>2045</v>
      </c>
      <c r="BG218" s="3">
        <f t="shared" si="113" ref="BG218:BI218">BG217</f>
        <v>0.001</v>
      </c>
      <c r="BH218" s="3">
        <f t="shared" si="113"/>
        <v>0.001</v>
      </c>
      <c r="BI218" s="3">
        <f t="shared" si="113"/>
        <v>0.001</v>
      </c>
    </row>
    <row r="219" spans="57:61" ht="14.5">
      <c r="BE219" s="3" t="s">
        <v>77</v>
      </c>
      <c r="BF219" s="3">
        <v>2045</v>
      </c>
      <c r="BG219" s="3">
        <f t="shared" si="114" ref="BG219:BI219">BG218</f>
        <v>0.001</v>
      </c>
      <c r="BH219" s="3">
        <f t="shared" si="114"/>
        <v>0.001</v>
      </c>
      <c r="BI219" s="3">
        <f t="shared" si="114"/>
        <v>0.001</v>
      </c>
    </row>
    <row r="220" spans="57:61" ht="14.5">
      <c r="BE220" s="3" t="s">
        <v>81</v>
      </c>
      <c r="BF220" s="3">
        <v>2045</v>
      </c>
      <c r="BG220" s="3">
        <f t="shared" si="115" ref="BG220:BI220">BG219</f>
        <v>0.001</v>
      </c>
      <c r="BH220" s="3">
        <f t="shared" si="115"/>
        <v>0.001</v>
      </c>
      <c r="BI220" s="3">
        <f t="shared" si="115"/>
        <v>0.001</v>
      </c>
    </row>
    <row r="221" spans="57:61" ht="14.5">
      <c r="BE221" s="3" t="s">
        <v>86</v>
      </c>
      <c r="BF221" s="3">
        <v>2045</v>
      </c>
      <c r="BG221" s="3">
        <f t="shared" si="116" ref="BG221:BI221">BG220</f>
        <v>0.001</v>
      </c>
      <c r="BH221" s="3">
        <f t="shared" si="116"/>
        <v>0.001</v>
      </c>
      <c r="BI221" s="3">
        <f t="shared" si="116"/>
        <v>0.001</v>
      </c>
    </row>
    <row r="222" spans="57:61" ht="14.5">
      <c r="BE222" s="3" t="s">
        <v>90</v>
      </c>
      <c r="BF222" s="3">
        <v>2045</v>
      </c>
      <c r="BG222" s="3">
        <f t="shared" si="117" ref="BG222:BI222">BG221</f>
        <v>0.001</v>
      </c>
      <c r="BH222" s="3">
        <f t="shared" si="117"/>
        <v>0.001</v>
      </c>
      <c r="BI222" s="3">
        <f t="shared" si="117"/>
        <v>0.001</v>
      </c>
    </row>
    <row r="223" spans="57:61" ht="14.5">
      <c r="BE223" s="3" t="s">
        <v>94</v>
      </c>
      <c r="BF223" s="3">
        <v>2045</v>
      </c>
      <c r="BG223" s="3">
        <f t="shared" si="118" ref="BG223:BI223">BG222</f>
        <v>0.001</v>
      </c>
      <c r="BH223" s="3">
        <f t="shared" si="118"/>
        <v>0.001</v>
      </c>
      <c r="BI223" s="3">
        <f t="shared" si="118"/>
        <v>0.001</v>
      </c>
    </row>
    <row r="224" spans="57:61" ht="14.5">
      <c r="BE224" s="3" t="s">
        <v>97</v>
      </c>
      <c r="BF224" s="3">
        <v>2045</v>
      </c>
      <c r="BG224" s="3">
        <f t="shared" si="119" ref="BG224:BI224">BG223</f>
        <v>0.001</v>
      </c>
      <c r="BH224" s="3">
        <f t="shared" si="119"/>
        <v>0.001</v>
      </c>
      <c r="BI224" s="3">
        <f t="shared" si="119"/>
        <v>0.001</v>
      </c>
    </row>
    <row r="228" spans="57:57" ht="14.5">
      <c r="BE228" s="3" t="s">
        <v>62</v>
      </c>
    </row>
    <row r="229" spans="57:61" ht="14.5">
      <c r="BE229" s="3" t="s">
        <v>65</v>
      </c>
      <c r="BF229" s="3" t="s">
        <v>41</v>
      </c>
      <c r="BG229" s="3" t="s">
        <v>66</v>
      </c>
      <c r="BH229" s="3" t="s">
        <v>11</v>
      </c>
      <c r="BI229" s="3" t="s">
        <v>25</v>
      </c>
    </row>
    <row r="230" spans="57:61" ht="14.5">
      <c r="BE230" s="3" t="s">
        <v>68</v>
      </c>
      <c r="BF230" s="3">
        <v>2050</v>
      </c>
      <c r="BG230" s="3">
        <v>0.001</v>
      </c>
      <c r="BH230" s="3">
        <f>BG230</f>
        <v>0.001</v>
      </c>
      <c r="BI230" s="3">
        <f>BH230</f>
        <v>0.001</v>
      </c>
    </row>
    <row r="231" spans="57:61" ht="14.5">
      <c r="BE231" s="3" t="s">
        <v>73</v>
      </c>
      <c r="BF231" s="3">
        <v>2050</v>
      </c>
      <c r="BG231" s="3">
        <f t="shared" si="120" ref="BG231:BI231">BG230</f>
        <v>0.001</v>
      </c>
      <c r="BH231" s="3">
        <f t="shared" si="120"/>
        <v>0.001</v>
      </c>
      <c r="BI231" s="3">
        <f t="shared" si="120"/>
        <v>0.001</v>
      </c>
    </row>
    <row r="232" spans="57:61" ht="14.5">
      <c r="BE232" s="3" t="s">
        <v>77</v>
      </c>
      <c r="BF232" s="3">
        <v>2050</v>
      </c>
      <c r="BG232" s="3">
        <f t="shared" si="121" ref="BG232:BI232">BG231</f>
        <v>0.001</v>
      </c>
      <c r="BH232" s="3">
        <f t="shared" si="121"/>
        <v>0.001</v>
      </c>
      <c r="BI232" s="3">
        <f t="shared" si="121"/>
        <v>0.001</v>
      </c>
    </row>
    <row r="233" spans="57:61" ht="14.5">
      <c r="BE233" s="3" t="s">
        <v>81</v>
      </c>
      <c r="BF233" s="3">
        <v>2050</v>
      </c>
      <c r="BG233" s="3">
        <f t="shared" si="122" ref="BG233:BI233">BG232</f>
        <v>0.001</v>
      </c>
      <c r="BH233" s="3">
        <f t="shared" si="122"/>
        <v>0.001</v>
      </c>
      <c r="BI233" s="3">
        <f t="shared" si="122"/>
        <v>0.001</v>
      </c>
    </row>
    <row r="234" spans="57:61" ht="14.5">
      <c r="BE234" s="3" t="s">
        <v>86</v>
      </c>
      <c r="BF234" s="3">
        <v>2050</v>
      </c>
      <c r="BG234" s="3">
        <f t="shared" si="123" ref="BG234:BI234">BG233</f>
        <v>0.001</v>
      </c>
      <c r="BH234" s="3">
        <f t="shared" si="123"/>
        <v>0.001</v>
      </c>
      <c r="BI234" s="3">
        <f t="shared" si="123"/>
        <v>0.001</v>
      </c>
    </row>
    <row r="235" spans="57:61" ht="14.5">
      <c r="BE235" s="3" t="s">
        <v>90</v>
      </c>
      <c r="BF235" s="3">
        <v>2050</v>
      </c>
      <c r="BG235" s="3">
        <f t="shared" si="124" ref="BG235:BI235">BG234</f>
        <v>0.001</v>
      </c>
      <c r="BH235" s="3">
        <f t="shared" si="124"/>
        <v>0.001</v>
      </c>
      <c r="BI235" s="3">
        <f t="shared" si="124"/>
        <v>0.001</v>
      </c>
    </row>
    <row r="236" spans="57:61" ht="14.5">
      <c r="BE236" s="3" t="s">
        <v>94</v>
      </c>
      <c r="BF236" s="3">
        <v>2050</v>
      </c>
      <c r="BG236" s="3">
        <f t="shared" si="125" ref="BG236:BI236">BG235</f>
        <v>0.001</v>
      </c>
      <c r="BH236" s="3">
        <f t="shared" si="125"/>
        <v>0.001</v>
      </c>
      <c r="BI236" s="3">
        <f t="shared" si="125"/>
        <v>0.001</v>
      </c>
    </row>
    <row r="237" spans="57:61" ht="14.5">
      <c r="BE237" s="3" t="s">
        <v>97</v>
      </c>
      <c r="BF237" s="3">
        <v>2050</v>
      </c>
      <c r="BG237" s="3">
        <f t="shared" si="126" ref="BG237:BI237">BG236</f>
        <v>0.001</v>
      </c>
      <c r="BH237" s="3">
        <f t="shared" si="126"/>
        <v>0.001</v>
      </c>
      <c r="BI237" s="3">
        <f t="shared" si="126"/>
        <v>0.001</v>
      </c>
    </row>
    <row r="245" spans="57:57" ht="14.5">
      <c r="BE245" s="3" t="s">
        <v>62</v>
      </c>
    </row>
    <row r="246" spans="57:61" ht="14.5">
      <c r="BE246" s="3" t="s">
        <v>65</v>
      </c>
      <c r="BF246" s="3" t="s">
        <v>41</v>
      </c>
      <c r="BG246" s="3" t="s">
        <v>66</v>
      </c>
      <c r="BH246" s="3" t="s">
        <v>11</v>
      </c>
      <c r="BI246" s="3" t="s">
        <v>25</v>
      </c>
    </row>
    <row r="247" spans="57:61" ht="14.5">
      <c r="BE247" s="3" t="s">
        <v>68</v>
      </c>
      <c r="BF247" s="3">
        <v>2100</v>
      </c>
      <c r="BG247" s="3">
        <v>0.001</v>
      </c>
      <c r="BH247" s="3">
        <f>BG247</f>
        <v>0.001</v>
      </c>
      <c r="BI247" s="3">
        <f>BH247</f>
        <v>0.001</v>
      </c>
    </row>
    <row r="248" spans="57:61" ht="14.5">
      <c r="BE248" s="3" t="s">
        <v>73</v>
      </c>
      <c r="BF248" s="3">
        <v>2100</v>
      </c>
      <c r="BG248" s="3">
        <f t="shared" si="127" ref="BG248:BI248">BG247</f>
        <v>0.001</v>
      </c>
      <c r="BH248" s="3">
        <f t="shared" si="127"/>
        <v>0.001</v>
      </c>
      <c r="BI248" s="3">
        <f t="shared" si="127"/>
        <v>0.001</v>
      </c>
    </row>
    <row r="249" spans="57:61" ht="14.5">
      <c r="BE249" s="3" t="s">
        <v>77</v>
      </c>
      <c r="BF249" s="3">
        <v>2100</v>
      </c>
      <c r="BG249" s="3">
        <f t="shared" si="128" ref="BG249:BI249">BG248</f>
        <v>0.001</v>
      </c>
      <c r="BH249" s="3">
        <f t="shared" si="128"/>
        <v>0.001</v>
      </c>
      <c r="BI249" s="3">
        <f t="shared" si="128"/>
        <v>0.001</v>
      </c>
    </row>
    <row r="250" spans="57:61" ht="14.5">
      <c r="BE250" s="3" t="s">
        <v>81</v>
      </c>
      <c r="BF250" s="3">
        <v>2100</v>
      </c>
      <c r="BG250" s="3">
        <f t="shared" si="129" ref="BG250:BI250">BG249</f>
        <v>0.001</v>
      </c>
      <c r="BH250" s="3">
        <f t="shared" si="129"/>
        <v>0.001</v>
      </c>
      <c r="BI250" s="3">
        <f t="shared" si="129"/>
        <v>0.001</v>
      </c>
    </row>
    <row r="251" spans="57:61" ht="14.5">
      <c r="BE251" s="3" t="s">
        <v>86</v>
      </c>
      <c r="BF251" s="3">
        <v>2100</v>
      </c>
      <c r="BG251" s="3">
        <f t="shared" si="130" ref="BG251:BI251">BG250</f>
        <v>0.001</v>
      </c>
      <c r="BH251" s="3">
        <f t="shared" si="130"/>
        <v>0.001</v>
      </c>
      <c r="BI251" s="3">
        <f t="shared" si="130"/>
        <v>0.001</v>
      </c>
    </row>
    <row r="252" spans="57:61" ht="14.5">
      <c r="BE252" s="3" t="s">
        <v>90</v>
      </c>
      <c r="BF252" s="3">
        <v>2100</v>
      </c>
      <c r="BG252" s="3">
        <f t="shared" si="131" ref="BG252:BI252">BG251</f>
        <v>0.001</v>
      </c>
      <c r="BH252" s="3">
        <f t="shared" si="131"/>
        <v>0.001</v>
      </c>
      <c r="BI252" s="3">
        <f t="shared" si="131"/>
        <v>0.001</v>
      </c>
    </row>
    <row r="253" spans="57:61" ht="14.5">
      <c r="BE253" s="3" t="s">
        <v>94</v>
      </c>
      <c r="BF253" s="3">
        <v>2100</v>
      </c>
      <c r="BG253" s="3">
        <f t="shared" si="132" ref="BG253:BI253">BG252</f>
        <v>0.001</v>
      </c>
      <c r="BH253" s="3">
        <f t="shared" si="132"/>
        <v>0.001</v>
      </c>
      <c r="BI253" s="3">
        <f t="shared" si="132"/>
        <v>0.001</v>
      </c>
    </row>
    <row r="254" spans="57:61" ht="14.5">
      <c r="BE254" s="3" t="s">
        <v>97</v>
      </c>
      <c r="BF254" s="3">
        <v>2100</v>
      </c>
      <c r="BG254" s="3">
        <f t="shared" si="133" ref="BG254:BI254">BG253</f>
        <v>0.001</v>
      </c>
      <c r="BH254" s="3">
        <f t="shared" si="133"/>
        <v>0.001</v>
      </c>
      <c r="BI254" s="3">
        <f t="shared" si="133"/>
        <v>0.001</v>
      </c>
    </row>
    <row r="259" spans="57:57" ht="14.5">
      <c r="BE259" s="3" t="s">
        <v>62</v>
      </c>
    </row>
    <row r="260" spans="57:61" ht="14.5">
      <c r="BE260" s="3" t="s">
        <v>65</v>
      </c>
      <c r="BF260" s="3" t="s">
        <v>41</v>
      </c>
      <c r="BG260" s="3" t="s">
        <v>66</v>
      </c>
      <c r="BH260" s="3" t="s">
        <v>11</v>
      </c>
      <c r="BI260" s="3" t="s">
        <v>25</v>
      </c>
    </row>
    <row r="261" spans="57:61" ht="14.5">
      <c r="BE261" s="3" t="s">
        <v>68</v>
      </c>
      <c r="BF261" s="3">
        <v>0</v>
      </c>
      <c r="BG261" s="3">
        <v>3</v>
      </c>
      <c r="BH261" s="3">
        <v>3</v>
      </c>
      <c r="BI261" s="3">
        <v>3</v>
      </c>
    </row>
    <row r="262" spans="57:61" ht="14.5">
      <c r="BE262" s="3" t="s">
        <v>73</v>
      </c>
      <c r="BF262" s="3">
        <v>0</v>
      </c>
      <c r="BG262" s="3">
        <v>3</v>
      </c>
      <c r="BH262" s="3">
        <v>3</v>
      </c>
      <c r="BI262" s="3">
        <v>3</v>
      </c>
    </row>
    <row r="263" spans="57:61" ht="14.5">
      <c r="BE263" s="3" t="s">
        <v>77</v>
      </c>
      <c r="BF263" s="3">
        <v>0</v>
      </c>
      <c r="BG263" s="3">
        <v>3</v>
      </c>
      <c r="BH263" s="3">
        <v>3</v>
      </c>
      <c r="BI263" s="3">
        <v>3</v>
      </c>
    </row>
    <row r="264" spans="57:61" ht="14.5">
      <c r="BE264" s="3" t="s">
        <v>81</v>
      </c>
      <c r="BF264" s="3">
        <v>0</v>
      </c>
      <c r="BG264" s="3">
        <v>3</v>
      </c>
      <c r="BH264" s="3">
        <v>3</v>
      </c>
      <c r="BI264" s="3">
        <v>3</v>
      </c>
    </row>
    <row r="265" spans="57:61" ht="14.5">
      <c r="BE265" s="3" t="s">
        <v>86</v>
      </c>
      <c r="BF265" s="3">
        <v>0</v>
      </c>
      <c r="BG265" s="3">
        <v>3</v>
      </c>
      <c r="BH265" s="3">
        <v>3</v>
      </c>
      <c r="BI265" s="3">
        <v>3</v>
      </c>
    </row>
    <row r="266" spans="57:61" ht="14.5">
      <c r="BE266" s="3" t="s">
        <v>90</v>
      </c>
      <c r="BF266" s="3">
        <v>0</v>
      </c>
      <c r="BG266" s="3">
        <v>3</v>
      </c>
      <c r="BH266" s="3">
        <v>3</v>
      </c>
      <c r="BI266" s="3">
        <v>3</v>
      </c>
    </row>
    <row r="267" spans="57:61" ht="14.5">
      <c r="BE267" s="3" t="s">
        <v>94</v>
      </c>
      <c r="BF267" s="3">
        <v>0</v>
      </c>
      <c r="BG267" s="3">
        <v>3</v>
      </c>
      <c r="BH267" s="3">
        <v>3</v>
      </c>
      <c r="BI267" s="3">
        <v>3</v>
      </c>
    </row>
    <row r="268" spans="57:61" ht="14.5">
      <c r="BE268" s="3" t="s">
        <v>97</v>
      </c>
      <c r="BF268" s="3">
        <v>0</v>
      </c>
      <c r="BG268" s="3">
        <v>3</v>
      </c>
      <c r="BH268" s="3">
        <v>3</v>
      </c>
      <c r="BI268" s="3">
        <v>3</v>
      </c>
    </row>
  </sheetData>
  <hyperlinks>
    <hyperlink ref="B2" r:id="rId1" tooltip="https://atb.nrel.gov/transportation/2024/battery_electric_vehicle_assumptions" display="Battery Electric Vehicle Assumptions | Transportation | 2024 | ATB | NLR"/>
  </hyperlinks>
  <pageMargins left="0.75" right="0.75" top="1" bottom="1" header="0.5" footer="0.5"/>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200-000000000000}">
  <dimension ref="A2:DB292"/>
  <sheetViews>
    <sheetView zoomScale="44" zoomScaleNormal="44" workbookViewId="0" topLeftCell="B1">
      <selection pane="topLeft" activeCell="Q58" sqref="Q58"/>
    </sheetView>
  </sheetViews>
  <sheetFormatPr defaultColWidth="9.00428571428571" defaultRowHeight="12.5"/>
  <cols>
    <col min="2" max="2" width="32.1428571428571" customWidth="1"/>
    <col min="3" max="3" width="12.7142857142857" customWidth="1"/>
    <col min="4" max="4" width="59.7142857142857" customWidth="1"/>
    <col min="5" max="5" width="22.1428571428571" customWidth="1"/>
    <col min="6" max="6" width="12" customWidth="1"/>
    <col min="7" max="7" width="13" customWidth="1"/>
    <col min="8" max="9" width="7.14285714285714" customWidth="1"/>
    <col min="10" max="10" width="10.5714285714286" customWidth="1"/>
    <col min="11" max="11" width="11.2857142857143" customWidth="1"/>
    <col min="12" max="12" width="15.5714285714286" customWidth="1"/>
    <col min="13" max="13" width="7.14285714285714" customWidth="1"/>
    <col min="14" max="14" width="17.8571428571429" customWidth="1"/>
    <col min="15" max="17" width="12.8571428571429" customWidth="1"/>
    <col min="18" max="18" width="10.8571428571429" customWidth="1"/>
    <col min="19" max="19" width="12.7142857142857" customWidth="1"/>
    <col min="20" max="20" width="8.57142857142857" customWidth="1"/>
    <col min="21" max="21" width="7.85714285714286" customWidth="1"/>
    <col min="22" max="24" width="7.14285714285714" customWidth="1"/>
    <col min="25" max="25" width="9.57142857142857" customWidth="1"/>
    <col min="26" max="26" width="17.8571428571429" customWidth="1"/>
    <col min="27" max="27" width="9.85714285714286" customWidth="1"/>
    <col min="28" max="32" width="7.14285714285714" customWidth="1"/>
    <col min="33" max="33" width="10.8571428571429" customWidth="1"/>
    <col min="34" max="34" width="11.1428571428571" customWidth="1"/>
    <col min="35" max="37" width="6" customWidth="1"/>
    <col min="38" max="39" width="15.5714285714286" customWidth="1"/>
    <col min="40" max="40" width="22.5714285714286" customWidth="1"/>
    <col min="41" max="41" width="13.5714285714286" customWidth="1"/>
    <col min="42" max="43" width="6" customWidth="1"/>
    <col min="44" max="44" width="8.42857142857143" customWidth="1"/>
    <col min="45" max="45" width="10.4285714285714" customWidth="1"/>
    <col min="46" max="49" width="6" customWidth="1"/>
    <col min="50" max="50" width="12.2857142857143" customWidth="1"/>
    <col min="51" max="51" width="13.5714285714286" customWidth="1"/>
    <col min="103" max="103" width="15.5714285714286" customWidth="1"/>
  </cols>
  <sheetData>
    <row r="2" spans="2:19" ht="12.5">
      <c r="B2" s="60" t="s">
        <v>101</v>
      </c>
      <c r="C2" s="60"/>
      <c r="D2" s="60"/>
      <c r="E2" s="60"/>
      <c r="K2" t="s">
        <v>102</v>
      </c>
      <c r="P2" s="61" t="s">
        <v>103</v>
      </c>
      <c r="Q2" s="61"/>
      <c r="R2" s="61"/>
      <c r="S2" s="61"/>
    </row>
    <row r="3" spans="2:19" ht="12.5">
      <c r="B3" s="62" t="s">
        <v>104</v>
      </c>
      <c r="C3" s="62" t="s">
        <v>105</v>
      </c>
      <c r="D3" s="62" t="s">
        <v>106</v>
      </c>
      <c r="E3" s="62" t="s">
        <v>66</v>
      </c>
      <c r="K3" t="s">
        <v>65</v>
      </c>
      <c r="L3" t="s">
        <v>107</v>
      </c>
      <c r="M3" t="s">
        <v>108</v>
      </c>
      <c r="P3" s="61" t="s">
        <v>109</v>
      </c>
      <c r="Q3" s="61" t="s">
        <v>110</v>
      </c>
      <c r="R3" s="61" t="s">
        <v>111</v>
      </c>
      <c r="S3" s="61" t="s">
        <v>107</v>
      </c>
    </row>
    <row r="4" spans="2:19" ht="12.5">
      <c r="B4" s="60" t="s">
        <v>112</v>
      </c>
      <c r="C4" s="60" t="s">
        <v>113</v>
      </c>
      <c r="D4" s="60" t="s">
        <v>114</v>
      </c>
      <c r="E4" s="60" t="s">
        <v>115</v>
      </c>
      <c r="K4" t="s">
        <v>116</v>
      </c>
      <c r="L4" t="s">
        <v>117</v>
      </c>
      <c r="M4" t="s">
        <v>118</v>
      </c>
      <c r="P4" s="61" t="s">
        <v>119</v>
      </c>
      <c r="Q4" s="61" t="s">
        <v>120</v>
      </c>
      <c r="R4" s="61" t="s">
        <v>121</v>
      </c>
      <c r="S4" s="61" t="s">
        <v>122</v>
      </c>
    </row>
    <row r="5" spans="2:13" ht="12.5">
      <c r="B5" s="60" t="s">
        <v>112</v>
      </c>
      <c r="C5" s="60" t="s">
        <v>123</v>
      </c>
      <c r="D5" s="60" t="s">
        <v>114</v>
      </c>
      <c r="E5" s="60" t="s">
        <v>115</v>
      </c>
      <c r="K5" t="s">
        <v>124</v>
      </c>
      <c r="L5" t="s">
        <v>117</v>
      </c>
      <c r="M5" t="s">
        <v>125</v>
      </c>
    </row>
    <row r="6" spans="11:13" ht="12.5">
      <c r="K6" t="s">
        <v>126</v>
      </c>
      <c r="L6" t="s">
        <v>117</v>
      </c>
      <c r="M6" t="s">
        <v>127</v>
      </c>
    </row>
    <row r="7" spans="11:13" ht="12.5">
      <c r="K7" t="s">
        <v>128</v>
      </c>
      <c r="L7" t="s">
        <v>117</v>
      </c>
      <c r="M7" t="s">
        <v>129</v>
      </c>
    </row>
    <row r="8" spans="2:13" ht="12.5">
      <c r="B8" t="s">
        <v>130</v>
      </c>
      <c r="K8" t="s">
        <v>131</v>
      </c>
      <c r="L8" t="s">
        <v>117</v>
      </c>
      <c r="M8" t="s">
        <v>120</v>
      </c>
    </row>
    <row r="9" spans="2:13" ht="12.5">
      <c r="B9" t="s">
        <v>132</v>
      </c>
      <c r="C9" t="s">
        <v>133</v>
      </c>
      <c r="D9" t="s">
        <v>134</v>
      </c>
      <c r="E9" t="s">
        <v>135</v>
      </c>
      <c r="F9" t="s">
        <v>50</v>
      </c>
      <c r="G9" t="s">
        <v>136</v>
      </c>
      <c r="H9" t="s">
        <v>41</v>
      </c>
      <c r="K9" t="s">
        <v>137</v>
      </c>
      <c r="L9" t="s">
        <v>117</v>
      </c>
      <c r="M9" t="s">
        <v>129</v>
      </c>
    </row>
    <row r="10" spans="2:13" ht="12.5">
      <c r="B10" t="s">
        <v>138</v>
      </c>
      <c r="C10" t="s">
        <v>139</v>
      </c>
      <c r="E10" t="s">
        <v>120</v>
      </c>
      <c r="F10">
        <v>0.25</v>
      </c>
      <c r="G10" t="s">
        <v>140</v>
      </c>
      <c r="K10" t="s">
        <v>139</v>
      </c>
      <c r="L10" t="s">
        <v>117</v>
      </c>
      <c r="M10" t="s">
        <v>120</v>
      </c>
    </row>
    <row r="11" spans="2:8" ht="12.5">
      <c r="B11" t="s">
        <v>138</v>
      </c>
      <c r="C11" t="s">
        <v>139</v>
      </c>
      <c r="E11" t="s">
        <v>120</v>
      </c>
      <c r="F11">
        <v>3</v>
      </c>
      <c r="G11" t="s">
        <v>140</v>
      </c>
      <c r="H11">
        <v>0</v>
      </c>
    </row>
    <row r="12" spans="2:11" ht="12.5">
      <c r="B12" t="s">
        <v>141</v>
      </c>
      <c r="C12" t="s">
        <v>114</v>
      </c>
      <c r="F12">
        <v>25</v>
      </c>
      <c r="K12" t="s">
        <v>142</v>
      </c>
    </row>
    <row r="13" spans="2:14" ht="12.5">
      <c r="B13" t="s">
        <v>143</v>
      </c>
      <c r="C13" t="s">
        <v>114</v>
      </c>
      <c r="E13" s="130" t="s">
        <v>144</v>
      </c>
      <c r="F13">
        <v>2020</v>
      </c>
      <c r="K13" t="s">
        <v>132</v>
      </c>
      <c r="L13" t="s">
        <v>50</v>
      </c>
      <c r="M13" t="s">
        <v>145</v>
      </c>
      <c r="N13" t="s">
        <v>146</v>
      </c>
    </row>
    <row r="14" spans="11:14" ht="12.5">
      <c r="K14" t="s">
        <v>147</v>
      </c>
      <c r="L14" t="s">
        <v>148</v>
      </c>
      <c r="M14" t="s">
        <v>149</v>
      </c>
      <c r="N14" t="s">
        <v>114</v>
      </c>
    </row>
    <row r="15" spans="2:14" ht="12.5">
      <c r="B15" s="1" t="s">
        <v>150</v>
      </c>
      <c r="C15" s="1"/>
      <c r="D15" s="1" t="s">
        <v>151</v>
      </c>
      <c r="E15" s="1" t="s">
        <v>152</v>
      </c>
      <c r="F15" s="1">
        <v>0.93</v>
      </c>
      <c r="G15" s="1"/>
      <c r="H15" s="1"/>
      <c r="K15" t="s">
        <v>147</v>
      </c>
      <c r="L15" t="s">
        <v>153</v>
      </c>
      <c r="M15" t="s">
        <v>149</v>
      </c>
      <c r="N15" t="s">
        <v>131</v>
      </c>
    </row>
    <row r="16" spans="2:2" ht="12.5">
      <c r="B16" s="63" t="s">
        <v>154</v>
      </c>
    </row>
    <row r="18" spans="2:7" ht="12.5">
      <c r="B18" t="s">
        <v>109</v>
      </c>
      <c r="C18">
        <v>2020</v>
      </c>
      <c r="D18">
        <v>0</v>
      </c>
      <c r="E18" t="s">
        <v>155</v>
      </c>
      <c r="F18" t="s">
        <v>108</v>
      </c>
      <c r="G18" t="s">
        <v>156</v>
      </c>
    </row>
    <row r="19" spans="2:7" ht="12.5">
      <c r="B19" s="130" t="s">
        <v>144</v>
      </c>
      <c r="C19">
        <v>0.20</v>
      </c>
      <c r="D19">
        <v>3</v>
      </c>
      <c r="E19" s="130" t="s">
        <v>157</v>
      </c>
      <c r="F19" t="s">
        <v>114</v>
      </c>
      <c r="G19" t="s">
        <v>158</v>
      </c>
    </row>
    <row r="21" spans="3:3" ht="12.5">
      <c r="C21" t="s">
        <v>130</v>
      </c>
    </row>
    <row r="22" spans="3:50" ht="12.5">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3:50" ht="12.5">
      <c r="C23" t="s">
        <v>113</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159</v>
      </c>
    </row>
    <row r="24" spans="3:50" ht="12.5">
      <c r="C24" t="s">
        <v>113</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160</v>
      </c>
    </row>
    <row r="25" spans="3:50" ht="12.5">
      <c r="C25" t="s">
        <v>113</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161</v>
      </c>
    </row>
    <row r="26" spans="3:50" ht="12.5">
      <c r="C26" t="s">
        <v>113</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162</v>
      </c>
    </row>
    <row r="27" spans="3:50" ht="12.5">
      <c r="C27" t="s">
        <v>113</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163</v>
      </c>
    </row>
    <row r="28" spans="3:50" ht="12.5">
      <c r="C28" t="s">
        <v>113</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164</v>
      </c>
    </row>
    <row r="31" spans="3:3" ht="12.5">
      <c r="C31" t="s">
        <v>165</v>
      </c>
    </row>
    <row r="32" spans="3:50" ht="12.5">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3:53" ht="12.5">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si="0" ref="AZ33:AZ38">IFERROR(IF(FIND("gsl",BA33)&gt;0,1,0),2)</f>
        <v>1</v>
      </c>
      <c r="BA33" t="s">
        <v>166</v>
      </c>
    </row>
    <row r="34" spans="3:53" ht="12.5">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si="1" ref="AX34:AX38">SUBSTITUTE(SUBSTITUTE(BA34,"gsl",""),"dsl","")&amp;"*"</f>
        <v>Trd_3w_*</v>
      </c>
      <c r="AZ34">
        <f t="shared" si="0"/>
        <v>1</v>
      </c>
      <c r="BA34" t="s">
        <v>167</v>
      </c>
    </row>
    <row r="35" spans="3:53" ht="12.5">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pans="3:53" s="52" customFormat="1" ht="12.5">
      <c r="C36" s="52" t="s">
        <v>123</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169</v>
      </c>
    </row>
    <row r="37" spans="3:53" ht="12.5">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3:53" ht="12.5">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5:5" ht="12.5">
      <c r="E45" s="65"/>
    </row>
    <row r="48" spans="2:2" ht="12.5">
      <c r="B48" t="s">
        <v>165</v>
      </c>
    </row>
    <row r="49" spans="2:9" ht="12.5">
      <c r="B49" t="s">
        <v>132</v>
      </c>
      <c r="C49" t="s">
        <v>50</v>
      </c>
      <c r="D49" t="s">
        <v>109</v>
      </c>
      <c r="E49" t="s">
        <v>110</v>
      </c>
      <c r="I49" t="s">
        <v>172</v>
      </c>
    </row>
    <row r="50" spans="2:5" ht="12.5">
      <c r="B50" t="s">
        <v>123</v>
      </c>
      <c r="C50" t="s">
        <v>173</v>
      </c>
      <c r="D50" t="s">
        <v>120</v>
      </c>
      <c r="E50" t="s">
        <v>174</v>
      </c>
    </row>
    <row r="53" spans="2:2" ht="12.5">
      <c r="B53" t="s">
        <v>130</v>
      </c>
    </row>
    <row r="54" spans="2:9" ht="12.5">
      <c r="B54" t="s">
        <v>132</v>
      </c>
      <c r="C54" t="s">
        <v>50</v>
      </c>
      <c r="D54" t="s">
        <v>175</v>
      </c>
      <c r="E54" t="s">
        <v>155</v>
      </c>
      <c r="F54" t="s">
        <v>111</v>
      </c>
      <c r="G54" t="s">
        <v>176</v>
      </c>
      <c r="H54" t="s">
        <v>110</v>
      </c>
      <c r="I54" t="s">
        <v>146</v>
      </c>
    </row>
    <row r="55" spans="2:5" ht="12.5">
      <c r="B55" t="s">
        <v>147</v>
      </c>
      <c r="C55">
        <v>10</v>
      </c>
      <c r="D55" t="s">
        <v>177</v>
      </c>
      <c r="E55" s="130" t="s">
        <v>178</v>
      </c>
    </row>
    <row r="56" spans="2:9" ht="12.5">
      <c r="B56" t="s">
        <v>179</v>
      </c>
      <c r="C56">
        <v>1</v>
      </c>
      <c r="F56" t="s">
        <v>180</v>
      </c>
      <c r="G56" t="s">
        <v>119</v>
      </c>
      <c r="H56" t="str">
        <f>F56</f>
        <v>AuxStoIN</v>
      </c>
      <c r="I56" t="s">
        <v>181</v>
      </c>
    </row>
    <row r="62" spans="8:8" ht="12.5">
      <c r="H62" s="57"/>
    </row>
    <row r="63" spans="8:8 53:53" ht="12.5">
      <c r="H63" s="57"/>
      <c r="BA63" s="54"/>
    </row>
    <row r="64" spans="1:1" ht="12.5">
      <c r="A64" t="s">
        <v>182</v>
      </c>
    </row>
    <row r="65" spans="1:61 93:106" s="53" customFormat="1" ht="12.5">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130</v>
      </c>
      <c r="CY65" s="57"/>
      <c r="CZ65" s="57"/>
      <c r="DA65" s="57"/>
      <c r="DB65" s="57"/>
    </row>
    <row r="66" spans="1:40 95:106" s="54" customFormat="1" ht="12.5">
      <c r="A66" s="54" t="s">
        <v>41</v>
      </c>
      <c r="B66" s="58" t="s">
        <v>132</v>
      </c>
      <c r="C66" s="58" t="s">
        <v>136</v>
      </c>
      <c r="D66" s="58" t="s">
        <v>65</v>
      </c>
      <c r="E66" s="58" t="s">
        <v>111</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183</v>
      </c>
      <c r="CQ66" s="69"/>
      <c r="CR66" s="69"/>
      <c r="CT66" s="69"/>
      <c r="CU66" s="69"/>
      <c r="CW66" t="s">
        <v>132</v>
      </c>
      <c r="CX66" t="s">
        <v>136</v>
      </c>
      <c r="CY66" t="s">
        <v>65</v>
      </c>
      <c r="CZ66" t="s">
        <v>111</v>
      </c>
      <c r="DA66" s="70" t="s">
        <v>41</v>
      </c>
      <c r="DB66" s="70" t="s">
        <v>66</v>
      </c>
    </row>
    <row r="67" spans="1:40 95:106" s="54" customFormat="1" ht="14.5">
      <c r="A67" s="54">
        <v>2020</v>
      </c>
      <c r="B67" s="71" t="s">
        <v>184</v>
      </c>
      <c r="C67" s="58" t="s">
        <v>185</v>
      </c>
      <c r="D67" s="72" t="s">
        <v>186</v>
      </c>
      <c r="E67" s="66" t="s">
        <v>187</v>
      </c>
      <c r="F67" s="54">
        <f t="shared" si="2" ref="F67:L68">D77/1000</f>
        <v>0</v>
      </c>
      <c r="G67" s="54">
        <f t="shared" si="2"/>
        <v>310</v>
      </c>
      <c r="H67" s="54">
        <f t="shared" si="2"/>
        <v>6200</v>
      </c>
      <c r="I67" s="54">
        <f t="shared" si="2"/>
        <v>0</v>
      </c>
      <c r="J67" s="54">
        <f t="shared" si="2"/>
        <v>0</v>
      </c>
      <c r="K67" s="54">
        <f t="shared" si="2"/>
        <v>0</v>
      </c>
      <c r="L67" s="54">
        <f t="shared" si="2"/>
        <v>250</v>
      </c>
      <c r="M67" s="54">
        <v>2000</v>
      </c>
      <c r="N67" s="54">
        <f t="shared" si="3" ref="N67:W68">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si="4" ref="X67:AG68">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si="5" ref="AH67:AM68">AF77/1000</f>
        <v>60</v>
      </c>
      <c r="AI67" s="54">
        <f t="shared" si="5"/>
        <v>0</v>
      </c>
      <c r="AJ67" s="54">
        <f t="shared" si="5"/>
        <v>0</v>
      </c>
      <c r="AK67" s="54">
        <f t="shared" si="5"/>
        <v>0</v>
      </c>
      <c r="AL67" s="54">
        <f t="shared" si="5"/>
        <v>0</v>
      </c>
      <c r="AM67" s="54">
        <f t="shared" si="5"/>
        <v>0</v>
      </c>
      <c r="AN67" s="54" t="str">
        <f>E67</f>
        <v>m_lithium</v>
      </c>
      <c r="CQ67" s="69"/>
      <c r="CR67" s="69"/>
      <c r="CT67" s="69"/>
      <c r="CU67" s="69"/>
      <c r="CW67" s="73" t="s">
        <v>184</v>
      </c>
      <c r="CX67" t="s">
        <v>185</v>
      </c>
      <c r="CY67" s="57" t="str">
        <f>D67</f>
        <v>MINBatMaterials_LI</v>
      </c>
      <c r="CZ67" s="57" t="s">
        <v>187</v>
      </c>
      <c r="DA67" s="70">
        <v>0</v>
      </c>
      <c r="DB67" s="70">
        <v>5</v>
      </c>
    </row>
    <row r="68" spans="1:40 95:106" s="54" customFormat="1" ht="16">
      <c r="A68" s="54">
        <v>2020</v>
      </c>
      <c r="B68" s="71" t="s">
        <v>184</v>
      </c>
      <c r="C68" s="58" t="s">
        <v>185</v>
      </c>
      <c r="D68" s="74" t="s">
        <v>188</v>
      </c>
      <c r="E68" s="66" t="s">
        <v>189</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si="6" ref="AN68:AN73">E68</f>
        <v>m_nickel</v>
      </c>
      <c r="CQ68" s="69"/>
      <c r="CR68" s="69"/>
      <c r="CT68" s="69"/>
      <c r="CU68" s="69"/>
      <c r="CW68" s="73" t="s">
        <v>184</v>
      </c>
      <c r="CX68" t="s">
        <v>185</v>
      </c>
      <c r="CY68" s="57" t="str">
        <f t="shared" si="7" ref="CY68:CY73">D68</f>
        <v>MINBatMaterials_NI</v>
      </c>
      <c r="CZ68" s="57" t="s">
        <v>189</v>
      </c>
      <c r="DA68" s="70">
        <v>0</v>
      </c>
      <c r="DB68" s="70">
        <v>5</v>
      </c>
    </row>
    <row r="69" spans="1:40 95:106" s="55" customFormat="1" ht="16">
      <c r="A69" s="54">
        <v>2020</v>
      </c>
      <c r="B69" s="75" t="s">
        <v>184</v>
      </c>
      <c r="C69" s="55" t="s">
        <v>185</v>
      </c>
      <c r="D69" s="74" t="s">
        <v>190</v>
      </c>
      <c r="E69" s="76" t="s">
        <v>191</v>
      </c>
      <c r="F69" s="77">
        <v>0</v>
      </c>
      <c r="G69" s="77">
        <f>E79/10000</f>
        <v>410</v>
      </c>
      <c r="H69" s="77">
        <f>F79/10000</f>
        <v>150</v>
      </c>
      <c r="I69" s="77">
        <f>G79/10000</f>
        <v>0</v>
      </c>
      <c r="J69" s="77">
        <f>H79/10000</f>
        <v>0</v>
      </c>
      <c r="K69" s="77">
        <f>I79/10000</f>
        <v>0</v>
      </c>
      <c r="L69" s="77">
        <f t="shared" si="8" ref="L69:AM69">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3.6000000000000001</v>
      </c>
      <c r="AA69" s="77">
        <f t="shared" si="8"/>
        <v>28.899999999999999</v>
      </c>
      <c r="AB69" s="77">
        <f t="shared" si="8"/>
        <v>0</v>
      </c>
      <c r="AC69" s="77">
        <f t="shared" si="8"/>
        <v>0</v>
      </c>
      <c r="AD69" s="77">
        <f t="shared" si="8"/>
        <v>151.69999999999999</v>
      </c>
      <c r="AE69" s="77">
        <f t="shared" si="8"/>
        <v>25</v>
      </c>
      <c r="AF69" s="77">
        <f t="shared" si="8"/>
        <v>0</v>
      </c>
      <c r="AG69" s="77">
        <f t="shared" si="8"/>
        <v>0</v>
      </c>
      <c r="AH69" s="77">
        <f t="shared" si="8"/>
        <v>0</v>
      </c>
      <c r="AI69" s="77">
        <f t="shared" si="8"/>
        <v>0</v>
      </c>
      <c r="AJ69" s="77">
        <f t="shared" si="8"/>
        <v>0</v>
      </c>
      <c r="AK69" s="77">
        <f t="shared" si="8"/>
        <v>3.6000000000000001</v>
      </c>
      <c r="AL69" s="77">
        <f t="shared" si="8"/>
        <v>0</v>
      </c>
      <c r="AM69" s="77">
        <f t="shared" si="8"/>
        <v>0</v>
      </c>
      <c r="AN69" s="54" t="str">
        <f t="shared" si="6"/>
        <v>m_cobalt</v>
      </c>
      <c r="CQ69" s="78"/>
      <c r="CR69" s="78"/>
      <c r="CT69" s="78"/>
      <c r="CU69" s="78"/>
      <c r="CW69" s="75" t="s">
        <v>184</v>
      </c>
      <c r="CX69" s="55" t="s">
        <v>185</v>
      </c>
      <c r="CY69" s="57" t="str">
        <f t="shared" si="7"/>
        <v>MINBatMaterials_COB</v>
      </c>
      <c r="CZ69" s="76" t="s">
        <v>191</v>
      </c>
      <c r="DA69" s="78">
        <v>0</v>
      </c>
      <c r="DB69" s="78">
        <v>5</v>
      </c>
    </row>
    <row r="70" spans="1:40 95:106" s="54" customFormat="1" ht="16">
      <c r="A70" s="54">
        <v>2020</v>
      </c>
      <c r="B70" s="71" t="s">
        <v>184</v>
      </c>
      <c r="C70" s="58" t="s">
        <v>185</v>
      </c>
      <c r="D70" s="74" t="s">
        <v>192</v>
      </c>
      <c r="E70" s="79" t="s">
        <v>193</v>
      </c>
      <c r="F70" s="80">
        <f t="shared" si="9" ref="F70:Z70">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si="10" ref="AB70:AM73">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184</v>
      </c>
      <c r="CX70" t="s">
        <v>185</v>
      </c>
      <c r="CY70" s="57" t="str">
        <f t="shared" si="7"/>
        <v>MINBatMaterials_MN</v>
      </c>
      <c r="CZ70" s="82" t="s">
        <v>193</v>
      </c>
      <c r="DA70" s="70">
        <v>0</v>
      </c>
      <c r="DB70" s="70">
        <v>5</v>
      </c>
    </row>
    <row r="71" spans="1:40 95:106" s="56" customFormat="1" ht="16">
      <c r="A71" s="56">
        <v>2020</v>
      </c>
      <c r="B71" s="83" t="s">
        <v>184</v>
      </c>
      <c r="C71" s="56" t="s">
        <v>185</v>
      </c>
      <c r="D71" s="84" t="s">
        <v>194</v>
      </c>
      <c r="E71" s="85" t="s">
        <v>195</v>
      </c>
      <c r="F71" s="56">
        <f t="shared" si="11" ref="F71:L73">D81/1000</f>
        <v>0</v>
      </c>
      <c r="G71" s="56">
        <f t="shared" si="11"/>
        <v>0</v>
      </c>
      <c r="H71" s="56">
        <f t="shared" si="11"/>
        <v>0</v>
      </c>
      <c r="I71" s="56">
        <f t="shared" si="11"/>
        <v>0</v>
      </c>
      <c r="J71" s="56">
        <f t="shared" si="11"/>
        <v>0</v>
      </c>
      <c r="K71" s="56">
        <f t="shared" si="11"/>
        <v>0</v>
      </c>
      <c r="L71" s="56">
        <f t="shared" si="11"/>
        <v>0</v>
      </c>
      <c r="M71" s="86">
        <v>41500</v>
      </c>
      <c r="N71" s="56">
        <f t="shared" si="12" ref="N71:Z73">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184</v>
      </c>
      <c r="CX71" s="56" t="s">
        <v>185</v>
      </c>
      <c r="CY71" s="85" t="str">
        <f t="shared" si="7"/>
        <v>MINBatMaterials_AL</v>
      </c>
      <c r="CZ71" s="85" t="s">
        <v>195</v>
      </c>
      <c r="DA71" s="87">
        <v>0</v>
      </c>
      <c r="DB71" s="87">
        <v>5</v>
      </c>
    </row>
    <row r="72" spans="1:40 95:106" s="54" customFormat="1" ht="16">
      <c r="A72" s="54">
        <v>2020</v>
      </c>
      <c r="B72" s="71" t="s">
        <v>184</v>
      </c>
      <c r="C72" s="58" t="s">
        <v>185</v>
      </c>
      <c r="D72" s="74" t="s">
        <v>196</v>
      </c>
      <c r="E72" s="66" t="s">
        <v>197</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184</v>
      </c>
      <c r="CX72" t="s">
        <v>185</v>
      </c>
      <c r="CY72" s="57" t="str">
        <f t="shared" si="7"/>
        <v>MINBatMaterials_COP</v>
      </c>
      <c r="CZ72" s="57" t="s">
        <v>197</v>
      </c>
      <c r="DA72" s="70">
        <v>0</v>
      </c>
      <c r="DB72" s="70">
        <v>5</v>
      </c>
    </row>
    <row r="73" spans="1:54 95:106" s="53" customFormat="1" ht="16">
      <c r="A73" s="54">
        <v>2020</v>
      </c>
      <c r="B73" s="71" t="s">
        <v>184</v>
      </c>
      <c r="C73" s="58" t="s">
        <v>185</v>
      </c>
      <c r="D73" s="74" t="s">
        <v>198</v>
      </c>
      <c r="E73" s="66" t="s">
        <v>199</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184</v>
      </c>
      <c r="CX73" t="s">
        <v>185</v>
      </c>
      <c r="CY73" s="57" t="str">
        <f t="shared" si="7"/>
        <v>MINBatMaterials_GR</v>
      </c>
      <c r="CZ73" s="57" t="s">
        <v>199</v>
      </c>
      <c r="DA73" s="70">
        <v>0</v>
      </c>
      <c r="DB73" s="70">
        <v>5</v>
      </c>
    </row>
    <row r="74" s="57" customFormat="1" ht="12.5"/>
    <row r="75" spans="5:5" s="57" customFormat="1" ht="12.5">
      <c r="E75" s="57" t="s">
        <v>200</v>
      </c>
    </row>
    <row r="76" s="57" customFormat="1" ht="12.5"/>
    <row r="77" spans="2:37" s="57" customFormat="1" ht="12.5">
      <c r="B77" t="s">
        <v>201</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pans="4:37" s="57" customFormat="1" ht="12.5">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pans="4:37" s="57" customFormat="1" ht="12.5">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pans="4:37" s="57" customFormat="1" ht="12.5">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pans="4:37" s="57" customFormat="1" ht="12.5">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pans="4:37" s="57" customFormat="1" ht="12.5">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pans="4:37" s="57" customFormat="1" ht="12.5">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ht="12.5"/>
    <row r="85" spans="49:49" ht="12.5">
      <c r="AW85" t="s">
        <v>202</v>
      </c>
    </row>
    <row r="86" spans="2:2" ht="12.5">
      <c r="B86" t="s">
        <v>130</v>
      </c>
    </row>
    <row r="87" spans="1:104" ht="12.5">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89" t="s">
        <v>1</v>
      </c>
      <c r="AX87" s="90" t="s">
        <v>203</v>
      </c>
      <c r="AY87" s="90" t="s">
        <v>204</v>
      </c>
      <c r="AZ87" s="90" t="s">
        <v>205</v>
      </c>
      <c r="BA87" s="90" t="s">
        <v>206</v>
      </c>
      <c r="BB87" s="90" t="s">
        <v>207</v>
      </c>
      <c r="BC87" s="90" t="s">
        <v>208</v>
      </c>
      <c r="BD87" s="90" t="s">
        <v>209</v>
      </c>
      <c r="BH87" s="91" t="s">
        <v>1</v>
      </c>
      <c r="BI87" s="92" t="s">
        <v>210</v>
      </c>
      <c r="BJ87" s="92" t="s">
        <v>211</v>
      </c>
      <c r="BK87" s="92" t="s">
        <v>212</v>
      </c>
      <c r="BL87" s="92" t="s">
        <v>213</v>
      </c>
      <c r="BM87" s="92" t="s">
        <v>214</v>
      </c>
      <c r="BN87" s="92" t="s">
        <v>215</v>
      </c>
      <c r="BO87" s="92" t="s">
        <v>216</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217</v>
      </c>
    </row>
    <row r="88" spans="1:104" ht="12.5">
      <c r="A88">
        <v>2020</v>
      </c>
      <c r="B88" t="s">
        <v>184</v>
      </c>
      <c r="C88" t="s">
        <v>185</v>
      </c>
      <c r="D88" t="s">
        <v>186</v>
      </c>
      <c r="E88" t="s">
        <v>187</v>
      </c>
      <c r="F88">
        <f>BR88*1.5</f>
        <v>0</v>
      </c>
      <c r="G88">
        <f t="shared" si="13" ref="G88:AM88">BS88*1.5</f>
        <v>37.049999999999997</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6.4499999999999993</v>
      </c>
      <c r="AB88">
        <f t="shared" si="13"/>
        <v>0</v>
      </c>
      <c r="AC88">
        <f t="shared" si="13"/>
        <v>0</v>
      </c>
      <c r="AD88">
        <f t="shared" si="13"/>
        <v>6.8999999999999995</v>
      </c>
      <c r="AE88">
        <f t="shared" si="13"/>
        <v>0</v>
      </c>
      <c r="AF88">
        <f t="shared" si="13"/>
        <v>0</v>
      </c>
      <c r="AG88">
        <f t="shared" si="13"/>
        <v>0</v>
      </c>
      <c r="AH88">
        <f t="shared" si="13"/>
        <v>0.60000000000000009</v>
      </c>
      <c r="AI88">
        <f t="shared" si="13"/>
        <v>0</v>
      </c>
      <c r="AJ88">
        <f t="shared" si="13"/>
        <v>0</v>
      </c>
      <c r="AK88">
        <f t="shared" si="13"/>
        <v>0</v>
      </c>
      <c r="AL88">
        <f t="shared" si="13"/>
        <v>0</v>
      </c>
      <c r="AM88">
        <f t="shared" si="13"/>
        <v>0</v>
      </c>
      <c r="AN88" t="s">
        <v>187</v>
      </c>
      <c r="AW88" s="94" t="s">
        <v>218</v>
      </c>
      <c r="AX88" s="95" t="s">
        <v>219</v>
      </c>
      <c r="AY88" s="95" t="s">
        <v>219</v>
      </c>
      <c r="AZ88" s="95" t="s">
        <v>219</v>
      </c>
      <c r="BA88" s="95" t="s">
        <v>219</v>
      </c>
      <c r="BB88" s="95" t="s">
        <v>219</v>
      </c>
      <c r="BC88" s="95" t="s">
        <v>219</v>
      </c>
      <c r="BD88" s="95" t="s">
        <v>219</v>
      </c>
      <c r="BH88" s="93" t="s">
        <v>3</v>
      </c>
      <c r="BI88" s="96">
        <v>0</v>
      </c>
      <c r="BJ88" s="96">
        <v>0</v>
      </c>
      <c r="BK88" s="96">
        <v>0</v>
      </c>
      <c r="BL88" s="96">
        <v>0</v>
      </c>
      <c r="BM88" s="96">
        <v>0</v>
      </c>
      <c r="BN88" s="96">
        <v>0</v>
      </c>
      <c r="BO88" s="96">
        <v>0</v>
      </c>
      <c r="BQ88" s="92" t="s">
        <v>210</v>
      </c>
      <c r="BR88" s="97">
        <v>0</v>
      </c>
      <c r="BS88" s="97">
        <v>24.70</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4.30</v>
      </c>
      <c r="CN88" s="97">
        <v>0</v>
      </c>
      <c r="CO88" s="97">
        <v>0</v>
      </c>
      <c r="CP88" s="97">
        <v>4.60</v>
      </c>
      <c r="CQ88" s="97">
        <v>0</v>
      </c>
      <c r="CR88" s="97">
        <v>0</v>
      </c>
      <c r="CS88" s="97">
        <v>0</v>
      </c>
      <c r="CT88" s="97">
        <v>0.40</v>
      </c>
      <c r="CU88" s="97">
        <v>0</v>
      </c>
      <c r="CV88" s="97">
        <v>0</v>
      </c>
      <c r="CW88" s="97">
        <v>0</v>
      </c>
      <c r="CX88" s="97">
        <v>0</v>
      </c>
      <c r="CY88" s="97">
        <v>0</v>
      </c>
      <c r="CZ88" s="98">
        <v>240</v>
      </c>
    </row>
    <row r="89" spans="1:104" ht="12.5">
      <c r="A89">
        <v>2020</v>
      </c>
      <c r="B89" t="s">
        <v>184</v>
      </c>
      <c r="C89" t="s">
        <v>185</v>
      </c>
      <c r="D89" t="s">
        <v>188</v>
      </c>
      <c r="E89" t="s">
        <v>189</v>
      </c>
      <c r="F89">
        <f t="shared" si="14" ref="F89:F94">BR89*1.5</f>
        <v>0</v>
      </c>
      <c r="G89">
        <f t="shared" si="15" ref="G89:AM89">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189</v>
      </c>
      <c r="AW89" s="94" t="s">
        <v>220</v>
      </c>
      <c r="AX89" s="99">
        <v>24.70</v>
      </c>
      <c r="AY89" s="99">
        <v>223</v>
      </c>
      <c r="AZ89" s="95" t="s">
        <v>219</v>
      </c>
      <c r="BA89" s="100">
        <v>5780</v>
      </c>
      <c r="BB89" s="100">
        <v>3980</v>
      </c>
      <c r="BC89" s="95" t="s">
        <v>219</v>
      </c>
      <c r="BD89" s="99">
        <v>189</v>
      </c>
      <c r="BH89" s="93" t="s">
        <v>5</v>
      </c>
      <c r="BI89" s="96">
        <v>24.70</v>
      </c>
      <c r="BJ89" s="96">
        <v>0</v>
      </c>
      <c r="BK89" s="96">
        <v>222.60</v>
      </c>
      <c r="BL89" s="101">
        <v>5780</v>
      </c>
      <c r="BM89" s="96">
        <v>0</v>
      </c>
      <c r="BN89" s="101">
        <v>3980</v>
      </c>
      <c r="BO89" s="96">
        <v>189</v>
      </c>
      <c r="BQ89" s="92" t="s">
        <v>211</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ht="12.5">
      <c r="A90">
        <v>2020</v>
      </c>
      <c r="B90" t="s">
        <v>184</v>
      </c>
      <c r="C90" t="s">
        <v>185</v>
      </c>
      <c r="D90" t="s">
        <v>190</v>
      </c>
      <c r="E90" t="s">
        <v>191</v>
      </c>
      <c r="F90">
        <f t="shared" si="14"/>
        <v>0</v>
      </c>
      <c r="G90">
        <f t="shared" si="16" ref="G90:AM90">BS90*1.5</f>
        <v>333.89999999999998</v>
      </c>
      <c r="H90">
        <f t="shared" si="16"/>
        <v>5.4000000000000004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7.1999999999999993</v>
      </c>
      <c r="AB90">
        <f t="shared" si="16"/>
        <v>0</v>
      </c>
      <c r="AC90">
        <f t="shared" si="16"/>
        <v>0</v>
      </c>
      <c r="AD90">
        <f t="shared" si="16"/>
        <v>65.699999999999989</v>
      </c>
      <c r="AE90">
        <f t="shared" si="16"/>
        <v>13.049999999999999</v>
      </c>
      <c r="AF90">
        <f t="shared" si="16"/>
        <v>0</v>
      </c>
      <c r="AG90">
        <f t="shared" si="16"/>
        <v>0</v>
      </c>
      <c r="AH90">
        <f t="shared" si="16"/>
        <v>0</v>
      </c>
      <c r="AI90">
        <f t="shared" si="16"/>
        <v>0</v>
      </c>
      <c r="AJ90">
        <f t="shared" si="16"/>
        <v>0</v>
      </c>
      <c r="AK90">
        <f t="shared" si="16"/>
        <v>4.0500000000000007</v>
      </c>
      <c r="AL90">
        <f t="shared" si="16"/>
        <v>0</v>
      </c>
      <c r="AM90">
        <f t="shared" si="16"/>
        <v>0</v>
      </c>
      <c r="AN90" t="s">
        <v>191</v>
      </c>
      <c r="AW90" s="94" t="s">
        <v>221</v>
      </c>
      <c r="AX90" s="99">
        <v>88</v>
      </c>
      <c r="AY90" s="99">
        <v>3.60</v>
      </c>
      <c r="AZ90" s="99">
        <v>110</v>
      </c>
      <c r="BA90" s="100">
        <v>2800</v>
      </c>
      <c r="BB90" s="99">
        <v>800</v>
      </c>
      <c r="BC90" s="100">
        <v>1500</v>
      </c>
      <c r="BD90" s="95" t="s">
        <v>219</v>
      </c>
      <c r="BH90" s="93" t="s">
        <v>6</v>
      </c>
      <c r="BI90" s="96">
        <v>88</v>
      </c>
      <c r="BJ90" s="96">
        <v>110</v>
      </c>
      <c r="BK90" s="96">
        <v>3.60</v>
      </c>
      <c r="BL90" s="101">
        <v>2800</v>
      </c>
      <c r="BM90" s="101">
        <v>1500</v>
      </c>
      <c r="BN90" s="96">
        <v>800</v>
      </c>
      <c r="BO90" s="96">
        <v>0</v>
      </c>
      <c r="BQ90" s="92" t="s">
        <v>212</v>
      </c>
      <c r="BR90" s="97">
        <v>0</v>
      </c>
      <c r="BS90" s="97">
        <v>222.60</v>
      </c>
      <c r="BT90" s="97">
        <v>3.60</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3.50</v>
      </c>
      <c r="CL90" s="97">
        <v>0</v>
      </c>
      <c r="CM90" s="97">
        <v>4.80</v>
      </c>
      <c r="CN90" s="97">
        <v>0</v>
      </c>
      <c r="CO90" s="97">
        <v>0</v>
      </c>
      <c r="CP90" s="97">
        <v>43.80</v>
      </c>
      <c r="CQ90" s="97">
        <v>8.70</v>
      </c>
      <c r="CR90" s="97">
        <v>0</v>
      </c>
      <c r="CS90" s="97">
        <v>0</v>
      </c>
      <c r="CT90" s="97">
        <v>0</v>
      </c>
      <c r="CU90" s="97">
        <v>0</v>
      </c>
      <c r="CV90" s="97">
        <v>0</v>
      </c>
      <c r="CW90" s="97">
        <v>2.70</v>
      </c>
      <c r="CX90" s="97">
        <v>0</v>
      </c>
      <c r="CY90" s="97">
        <v>0</v>
      </c>
      <c r="CZ90" s="98">
        <v>290</v>
      </c>
    </row>
    <row r="91" spans="1:104" ht="12.5">
      <c r="A91">
        <v>2020</v>
      </c>
      <c r="B91" t="s">
        <v>184</v>
      </c>
      <c r="C91" t="s">
        <v>185</v>
      </c>
      <c r="D91" t="s">
        <v>192</v>
      </c>
      <c r="E91" t="s">
        <v>193</v>
      </c>
      <c r="F91">
        <f t="shared" si="14"/>
        <v>0</v>
      </c>
      <c r="G91">
        <f t="shared" si="17" ref="G91:AM91">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193</v>
      </c>
      <c r="AW91" s="94" t="s">
        <v>222</v>
      </c>
      <c r="AX91" s="95" t="s">
        <v>219</v>
      </c>
      <c r="AY91" s="95" t="s">
        <v>219</v>
      </c>
      <c r="AZ91" s="95" t="s">
        <v>219</v>
      </c>
      <c r="BA91" s="95" t="s">
        <v>219</v>
      </c>
      <c r="BB91" s="95" t="s">
        <v>219</v>
      </c>
      <c r="BC91" s="95" t="s">
        <v>219</v>
      </c>
      <c r="BD91" s="99">
        <v>0.50</v>
      </c>
      <c r="BH91" s="93" t="s">
        <v>7</v>
      </c>
      <c r="BI91" s="96">
        <v>0</v>
      </c>
      <c r="BJ91" s="96">
        <v>0</v>
      </c>
      <c r="BK91" s="96">
        <v>0</v>
      </c>
      <c r="BL91" s="96">
        <v>0</v>
      </c>
      <c r="BM91" s="96">
        <v>0</v>
      </c>
      <c r="BN91" s="96">
        <v>0</v>
      </c>
      <c r="BO91" s="96">
        <v>0.50</v>
      </c>
      <c r="BQ91" s="92" t="s">
        <v>213</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ht="12.5">
      <c r="A92">
        <v>2020</v>
      </c>
      <c r="B92" t="s">
        <v>184</v>
      </c>
      <c r="C92" t="s">
        <v>185</v>
      </c>
      <c r="D92" s="57" t="s">
        <v>194</v>
      </c>
      <c r="E92" t="s">
        <v>195</v>
      </c>
      <c r="F92">
        <f t="shared" si="14"/>
        <v>0</v>
      </c>
      <c r="G92">
        <f t="shared" si="18" ref="G92:AM92">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195</v>
      </c>
      <c r="AW92" s="94" t="s">
        <v>223</v>
      </c>
      <c r="AX92" s="95" t="s">
        <v>219</v>
      </c>
      <c r="AY92" s="95" t="s">
        <v>219</v>
      </c>
      <c r="AZ92" s="95" t="s">
        <v>219</v>
      </c>
      <c r="BA92" s="95" t="s">
        <v>219</v>
      </c>
      <c r="BB92" s="95" t="s">
        <v>219</v>
      </c>
      <c r="BC92" s="95" t="s">
        <v>219</v>
      </c>
      <c r="BD92" s="95" t="s">
        <v>219</v>
      </c>
      <c r="BH92" s="93" t="s">
        <v>8</v>
      </c>
      <c r="BI92" s="96">
        <v>0</v>
      </c>
      <c r="BJ92" s="96">
        <v>0</v>
      </c>
      <c r="BK92" s="96">
        <v>0</v>
      </c>
      <c r="BL92" s="96">
        <v>0</v>
      </c>
      <c r="BM92" s="96">
        <v>0</v>
      </c>
      <c r="BN92" s="96">
        <v>0</v>
      </c>
      <c r="BO92" s="96">
        <v>0</v>
      </c>
      <c r="BQ92" s="92" t="s">
        <v>214</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ht="12.5">
      <c r="A93">
        <v>2020</v>
      </c>
      <c r="B93" t="s">
        <v>184</v>
      </c>
      <c r="C93" s="57" t="s">
        <v>185</v>
      </c>
      <c r="D93" s="57" t="s">
        <v>196</v>
      </c>
      <c r="E93" t="s">
        <v>197</v>
      </c>
      <c r="F93">
        <f t="shared" si="14"/>
        <v>0</v>
      </c>
      <c r="G93">
        <f t="shared" si="19" ref="G93:AM93">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197</v>
      </c>
      <c r="AW93" s="94" t="s">
        <v>224</v>
      </c>
      <c r="AX93" s="95" t="s">
        <v>219</v>
      </c>
      <c r="AY93" s="95" t="s">
        <v>219</v>
      </c>
      <c r="AZ93" s="95" t="s">
        <v>219</v>
      </c>
      <c r="BA93" s="95" t="s">
        <v>219</v>
      </c>
      <c r="BB93" s="95" t="s">
        <v>219</v>
      </c>
      <c r="BC93" s="95" t="s">
        <v>219</v>
      </c>
      <c r="BD93" s="95" t="s">
        <v>219</v>
      </c>
      <c r="BH93" s="93" t="s">
        <v>9</v>
      </c>
      <c r="BI93" s="96">
        <v>0</v>
      </c>
      <c r="BJ93" s="96">
        <v>0</v>
      </c>
      <c r="BK93" s="96">
        <v>0</v>
      </c>
      <c r="BL93" s="96">
        <v>0</v>
      </c>
      <c r="BM93" s="96">
        <v>0</v>
      </c>
      <c r="BN93" s="96">
        <v>0</v>
      </c>
      <c r="BO93" s="96">
        <v>0</v>
      </c>
      <c r="BQ93" s="92" t="s">
        <v>215</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ht="12.5">
      <c r="A94">
        <v>2020</v>
      </c>
      <c r="B94" t="s">
        <v>184</v>
      </c>
      <c r="C94" s="57" t="s">
        <v>185</v>
      </c>
      <c r="D94" s="57" t="s">
        <v>198</v>
      </c>
      <c r="E94" t="s">
        <v>199</v>
      </c>
      <c r="F94">
        <f t="shared" si="14"/>
        <v>0</v>
      </c>
      <c r="G94">
        <f t="shared" si="20" ref="G94:AM94">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0.30000000000000004</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31.349999999999998</v>
      </c>
      <c r="AB94">
        <f t="shared" si="20"/>
        <v>10.5</v>
      </c>
      <c r="AC94">
        <f t="shared" si="20"/>
        <v>0</v>
      </c>
      <c r="AD94">
        <f t="shared" si="20"/>
        <v>34.349999999999994</v>
      </c>
      <c r="AE94">
        <f t="shared" si="20"/>
        <v>30</v>
      </c>
      <c r="AF94">
        <f t="shared" si="20"/>
        <v>0</v>
      </c>
      <c r="AG94">
        <f t="shared" si="20"/>
        <v>0</v>
      </c>
      <c r="AH94">
        <f t="shared" si="20"/>
        <v>0</v>
      </c>
      <c r="AI94">
        <f t="shared" si="20"/>
        <v>0</v>
      </c>
      <c r="AJ94">
        <f t="shared" si="20"/>
        <v>0</v>
      </c>
      <c r="AK94">
        <f t="shared" si="20"/>
        <v>4.5</v>
      </c>
      <c r="AL94">
        <f t="shared" si="20"/>
        <v>0</v>
      </c>
      <c r="AM94">
        <f t="shared" si="20"/>
        <v>1.7999999999999998</v>
      </c>
      <c r="AN94" t="s">
        <v>199</v>
      </c>
      <c r="AW94" s="94" t="s">
        <v>225</v>
      </c>
      <c r="AX94" s="99">
        <v>10</v>
      </c>
      <c r="AY94" s="95" t="s">
        <v>219</v>
      </c>
      <c r="AZ94" s="99">
        <v>77</v>
      </c>
      <c r="BA94" s="99">
        <v>590</v>
      </c>
      <c r="BB94" s="95" t="s">
        <v>219</v>
      </c>
      <c r="BC94" s="100">
        <v>1100</v>
      </c>
      <c r="BD94" s="99">
        <v>68</v>
      </c>
      <c r="BH94" s="93" t="s">
        <v>10</v>
      </c>
      <c r="BI94" s="96">
        <v>10</v>
      </c>
      <c r="BJ94" s="96">
        <v>77</v>
      </c>
      <c r="BK94" s="96">
        <v>0</v>
      </c>
      <c r="BL94" s="96">
        <v>590</v>
      </c>
      <c r="BM94" s="101">
        <v>1100</v>
      </c>
      <c r="BN94" s="96">
        <v>0</v>
      </c>
      <c r="BO94" s="96">
        <v>68</v>
      </c>
      <c r="BQ94" s="92" t="s">
        <v>216</v>
      </c>
      <c r="BR94" s="97">
        <v>0</v>
      </c>
      <c r="BS94" s="97">
        <v>189</v>
      </c>
      <c r="BT94" s="97">
        <v>0</v>
      </c>
      <c r="BU94" s="97">
        <v>0.50</v>
      </c>
      <c r="BV94" s="97">
        <v>0</v>
      </c>
      <c r="BW94" s="97">
        <v>0</v>
      </c>
      <c r="BX94" s="97">
        <v>68</v>
      </c>
      <c r="BY94" s="97">
        <v>1270</v>
      </c>
      <c r="BZ94" s="97">
        <v>0</v>
      </c>
      <c r="CA94" s="97">
        <v>0</v>
      </c>
      <c r="CB94" s="97">
        <v>0</v>
      </c>
      <c r="CC94" s="97">
        <v>0.20</v>
      </c>
      <c r="CD94" s="97">
        <v>0</v>
      </c>
      <c r="CE94" s="97">
        <v>0</v>
      </c>
      <c r="CF94" s="97">
        <v>0</v>
      </c>
      <c r="CG94" s="97">
        <v>28</v>
      </c>
      <c r="CH94" s="97">
        <v>0</v>
      </c>
      <c r="CI94" s="97">
        <v>0</v>
      </c>
      <c r="CJ94" s="97">
        <v>0</v>
      </c>
      <c r="CK94" s="97">
        <v>0</v>
      </c>
      <c r="CL94" s="97">
        <v>0</v>
      </c>
      <c r="CM94" s="97">
        <v>20.90</v>
      </c>
      <c r="CN94" s="97">
        <v>7</v>
      </c>
      <c r="CO94" s="97">
        <v>0</v>
      </c>
      <c r="CP94" s="97">
        <v>22.90</v>
      </c>
      <c r="CQ94" s="97">
        <v>20</v>
      </c>
      <c r="CR94" s="97">
        <v>0</v>
      </c>
      <c r="CS94" s="97">
        <v>0</v>
      </c>
      <c r="CT94" s="97">
        <v>0</v>
      </c>
      <c r="CU94" s="97">
        <v>0</v>
      </c>
      <c r="CV94" s="97">
        <v>0</v>
      </c>
      <c r="CW94" s="97">
        <v>3</v>
      </c>
      <c r="CX94" s="97">
        <v>0</v>
      </c>
      <c r="CY94" s="97">
        <v>1.20</v>
      </c>
      <c r="CZ94" s="98">
        <v>1631</v>
      </c>
    </row>
    <row r="95" spans="3:12 49:67" ht="12.5">
      <c r="C95" s="57"/>
      <c r="D95" s="57"/>
      <c r="F95" s="57"/>
      <c r="H95" s="57"/>
      <c r="I95" s="57"/>
      <c r="J95" s="57"/>
      <c r="K95" s="57"/>
      <c r="L95" s="57"/>
      <c r="AW95" s="94" t="s">
        <v>226</v>
      </c>
      <c r="AX95" s="99">
        <v>41</v>
      </c>
      <c r="AY95" s="95" t="s">
        <v>219</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3:12 49:67" ht="12.5">
      <c r="C96" s="57"/>
      <c r="D96" s="57"/>
      <c r="H96" s="57"/>
      <c r="I96" s="57"/>
      <c r="J96" s="57"/>
      <c r="K96" s="57"/>
      <c r="L96" s="57"/>
      <c r="AW96" s="94" t="s">
        <v>227</v>
      </c>
      <c r="AX96" s="95" t="s">
        <v>219</v>
      </c>
      <c r="AY96" s="95" t="s">
        <v>219</v>
      </c>
      <c r="AZ96" s="95" t="s">
        <v>219</v>
      </c>
      <c r="BA96" s="95" t="s">
        <v>219</v>
      </c>
      <c r="BB96" s="95" t="s">
        <v>219</v>
      </c>
      <c r="BC96" s="95" t="s">
        <v>219</v>
      </c>
      <c r="BD96" s="95" t="s">
        <v>219</v>
      </c>
      <c r="BH96" s="93" t="s">
        <v>12</v>
      </c>
      <c r="BI96" s="96">
        <v>0</v>
      </c>
      <c r="BJ96" s="96">
        <v>0</v>
      </c>
      <c r="BK96" s="96">
        <v>0</v>
      </c>
      <c r="BL96" s="96">
        <v>0</v>
      </c>
      <c r="BM96" s="96">
        <v>0</v>
      </c>
      <c r="BN96" s="96">
        <v>0</v>
      </c>
      <c r="BO96" s="96">
        <v>0</v>
      </c>
    </row>
    <row r="97" spans="3:12 49:67" ht="12.5">
      <c r="C97" s="57"/>
      <c r="D97" s="57"/>
      <c r="F97" s="57"/>
      <c r="H97" s="57"/>
      <c r="I97" s="57"/>
      <c r="J97" s="57"/>
      <c r="K97" s="57"/>
      <c r="L97" s="57"/>
      <c r="AW97" s="94" t="s">
        <v>228</v>
      </c>
      <c r="AX97" s="95" t="s">
        <v>219</v>
      </c>
      <c r="AY97" s="95" t="s">
        <v>219</v>
      </c>
      <c r="AZ97" s="95" t="s">
        <v>219</v>
      </c>
      <c r="BA97" s="95" t="s">
        <v>219</v>
      </c>
      <c r="BB97" s="95" t="s">
        <v>219</v>
      </c>
      <c r="BC97" s="95" t="s">
        <v>219</v>
      </c>
      <c r="BD97" s="95" t="s">
        <v>219</v>
      </c>
      <c r="BH97" s="93" t="s">
        <v>13</v>
      </c>
      <c r="BI97" s="96">
        <v>0</v>
      </c>
      <c r="BJ97" s="96">
        <v>0</v>
      </c>
      <c r="BK97" s="96">
        <v>0</v>
      </c>
      <c r="BL97" s="96">
        <v>0</v>
      </c>
      <c r="BM97" s="96">
        <v>0</v>
      </c>
      <c r="BN97" s="96">
        <v>0</v>
      </c>
      <c r="BO97" s="96">
        <v>0</v>
      </c>
    </row>
    <row r="98" spans="3:12 49:67" ht="12.5">
      <c r="C98" s="57"/>
      <c r="D98" s="57"/>
      <c r="H98" s="57"/>
      <c r="I98" s="57"/>
      <c r="J98" s="57"/>
      <c r="K98" s="57"/>
      <c r="L98" s="57"/>
      <c r="AW98" s="94" t="s">
        <v>229</v>
      </c>
      <c r="AX98" s="95" t="s">
        <v>219</v>
      </c>
      <c r="AY98" s="95" t="s">
        <v>219</v>
      </c>
      <c r="AZ98" s="95" t="s">
        <v>219</v>
      </c>
      <c r="BA98" s="95" t="s">
        <v>219</v>
      </c>
      <c r="BB98" s="95" t="s">
        <v>219</v>
      </c>
      <c r="BC98" s="95" t="s">
        <v>219</v>
      </c>
      <c r="BD98" s="95" t="s">
        <v>219</v>
      </c>
      <c r="BH98" s="93" t="s">
        <v>14</v>
      </c>
      <c r="BI98" s="96">
        <v>0</v>
      </c>
      <c r="BJ98" s="96">
        <v>0</v>
      </c>
      <c r="BK98" s="96">
        <v>0</v>
      </c>
      <c r="BL98" s="96">
        <v>0</v>
      </c>
      <c r="BM98" s="96">
        <v>0</v>
      </c>
      <c r="BN98" s="96">
        <v>0</v>
      </c>
      <c r="BO98" s="96">
        <v>0</v>
      </c>
    </row>
    <row r="99" spans="3:6 49:67" ht="12.5">
      <c r="C99" s="57"/>
      <c r="F99" s="57"/>
      <c r="AW99" s="94" t="s">
        <v>230</v>
      </c>
      <c r="AX99" s="95" t="s">
        <v>219</v>
      </c>
      <c r="AY99" s="95" t="s">
        <v>219</v>
      </c>
      <c r="AZ99" s="95" t="s">
        <v>219</v>
      </c>
      <c r="BA99" s="95" t="s">
        <v>219</v>
      </c>
      <c r="BB99" s="95" t="s">
        <v>219</v>
      </c>
      <c r="BC99" s="95" t="s">
        <v>219</v>
      </c>
      <c r="BD99" s="99">
        <v>0.20</v>
      </c>
      <c r="BH99" s="93" t="s">
        <v>15</v>
      </c>
      <c r="BI99" s="96">
        <v>0</v>
      </c>
      <c r="BJ99" s="96">
        <v>0</v>
      </c>
      <c r="BK99" s="96">
        <v>0</v>
      </c>
      <c r="BL99" s="96">
        <v>0</v>
      </c>
      <c r="BM99" s="96">
        <v>0</v>
      </c>
      <c r="BN99" s="96">
        <v>0</v>
      </c>
      <c r="BO99" s="96">
        <v>0.20</v>
      </c>
    </row>
    <row r="100" spans="3:4 49:67" ht="12.5">
      <c r="C100" s="57"/>
      <c r="D100" s="57"/>
      <c r="AW100" s="94" t="s">
        <v>231</v>
      </c>
      <c r="AX100" s="95" t="s">
        <v>219</v>
      </c>
      <c r="AY100" s="95" t="s">
        <v>219</v>
      </c>
      <c r="AZ100" s="95" t="s">
        <v>219</v>
      </c>
      <c r="BA100" s="95" t="s">
        <v>219</v>
      </c>
      <c r="BB100" s="95" t="s">
        <v>219</v>
      </c>
      <c r="BC100" s="95" t="s">
        <v>219</v>
      </c>
      <c r="BD100" s="95" t="s">
        <v>219</v>
      </c>
      <c r="BH100" s="93" t="s">
        <v>16</v>
      </c>
      <c r="BI100" s="96">
        <v>0</v>
      </c>
      <c r="BJ100" s="96">
        <v>0</v>
      </c>
      <c r="BK100" s="96">
        <v>0</v>
      </c>
      <c r="BL100" s="96">
        <v>0</v>
      </c>
      <c r="BM100" s="96">
        <v>0</v>
      </c>
      <c r="BN100" s="96">
        <v>0</v>
      </c>
      <c r="BO100" s="96">
        <v>0</v>
      </c>
    </row>
    <row r="101" spans="3:7 49:67" ht="12.5">
      <c r="C101" s="57"/>
      <c r="D101" s="102"/>
      <c r="E101" s="102"/>
      <c r="F101" s="102"/>
      <c r="G101" s="102"/>
      <c r="AW101" s="94" t="s">
        <v>232</v>
      </c>
      <c r="AX101" s="95" t="s">
        <v>219</v>
      </c>
      <c r="AY101" s="95" t="s">
        <v>219</v>
      </c>
      <c r="AZ101" s="95" t="s">
        <v>219</v>
      </c>
      <c r="BA101" s="95" t="s">
        <v>219</v>
      </c>
      <c r="BB101" s="95" t="s">
        <v>219</v>
      </c>
      <c r="BC101" s="95" t="s">
        <v>219</v>
      </c>
      <c r="BD101" s="95" t="s">
        <v>219</v>
      </c>
      <c r="BH101" s="93" t="s">
        <v>17</v>
      </c>
      <c r="BI101" s="96">
        <v>0</v>
      </c>
      <c r="BJ101" s="96">
        <v>0</v>
      </c>
      <c r="BK101" s="96">
        <v>0</v>
      </c>
      <c r="BL101" s="96">
        <v>0</v>
      </c>
      <c r="BM101" s="96">
        <v>0</v>
      </c>
      <c r="BN101" s="96">
        <v>0</v>
      </c>
      <c r="BO101" s="96">
        <v>0</v>
      </c>
    </row>
    <row r="102" spans="3:26 49:67" ht="12.5">
      <c r="C102" s="57"/>
      <c r="D102" t="s">
        <v>130</v>
      </c>
      <c r="M102" s="57"/>
      <c r="N102" t="s">
        <v>130</v>
      </c>
      <c r="Y102" s="57"/>
      <c r="Z102" t="s">
        <v>130</v>
      </c>
      <c r="AW102" s="94" t="s">
        <v>233</v>
      </c>
      <c r="AX102" s="95" t="s">
        <v>219</v>
      </c>
      <c r="AY102" s="95" t="s">
        <v>219</v>
      </c>
      <c r="AZ102" s="95" t="s">
        <v>219</v>
      </c>
      <c r="BA102" s="95" t="s">
        <v>219</v>
      </c>
      <c r="BB102" s="95" t="s">
        <v>219</v>
      </c>
      <c r="BC102" s="99">
        <v>780</v>
      </c>
      <c r="BD102" s="95" t="s">
        <v>219</v>
      </c>
      <c r="BH102" s="93" t="s">
        <v>18</v>
      </c>
      <c r="BI102" s="96">
        <v>0</v>
      </c>
      <c r="BJ102" s="96">
        <v>0</v>
      </c>
      <c r="BK102" s="96">
        <v>0</v>
      </c>
      <c r="BL102" s="96">
        <v>0</v>
      </c>
      <c r="BM102" s="96">
        <v>780</v>
      </c>
      <c r="BN102" s="96">
        <v>0</v>
      </c>
      <c r="BO102" s="96">
        <v>0</v>
      </c>
    </row>
    <row r="103" spans="3:67" ht="12.5">
      <c r="C103" s="57" t="s">
        <v>132</v>
      </c>
      <c r="D103" s="102" t="s">
        <v>65</v>
      </c>
      <c r="E103" s="102" t="s">
        <v>66</v>
      </c>
      <c r="F103" s="102" t="s">
        <v>11</v>
      </c>
      <c r="G103" s="102" t="s">
        <v>25</v>
      </c>
      <c r="L103" t="s">
        <v>41</v>
      </c>
      <c r="M103" s="57" t="s">
        <v>132</v>
      </c>
      <c r="N103" s="102" t="s">
        <v>65</v>
      </c>
      <c r="O103" s="102" t="s">
        <v>66</v>
      </c>
      <c r="P103" s="102" t="s">
        <v>11</v>
      </c>
      <c r="Q103" s="102" t="s">
        <v>25</v>
      </c>
      <c r="X103" t="s">
        <v>41</v>
      </c>
      <c r="Y103" s="57" t="s">
        <v>132</v>
      </c>
      <c r="Z103" s="102" t="s">
        <v>65</v>
      </c>
      <c r="AA103" s="102" t="s">
        <v>66</v>
      </c>
      <c r="AB103" s="102" t="s">
        <v>11</v>
      </c>
      <c r="AC103" s="102" t="s">
        <v>25</v>
      </c>
      <c r="AW103" s="94" t="s">
        <v>234</v>
      </c>
      <c r="AX103" s="95" t="s">
        <v>219</v>
      </c>
      <c r="AY103" s="95" t="s">
        <v>219</v>
      </c>
      <c r="AZ103" s="95" t="s">
        <v>219</v>
      </c>
      <c r="BA103" s="99">
        <v>800</v>
      </c>
      <c r="BB103" s="99">
        <v>30</v>
      </c>
      <c r="BC103" s="100">
        <v>4200</v>
      </c>
      <c r="BD103" s="99">
        <v>28</v>
      </c>
      <c r="BH103" s="93" t="s">
        <v>19</v>
      </c>
      <c r="BI103" s="96">
        <v>0</v>
      </c>
      <c r="BJ103" s="96">
        <v>0</v>
      </c>
      <c r="BK103" s="96">
        <v>0</v>
      </c>
      <c r="BL103" s="96">
        <v>800</v>
      </c>
      <c r="BM103" s="101">
        <v>4200</v>
      </c>
      <c r="BN103" s="96">
        <v>30</v>
      </c>
      <c r="BO103" s="96">
        <v>28</v>
      </c>
    </row>
    <row r="104" spans="3:67" ht="12.5">
      <c r="C104" s="57" t="s">
        <v>235</v>
      </c>
      <c r="D104" s="102" t="s">
        <v>236</v>
      </c>
      <c r="E104" s="102">
        <v>7.1138439695406497</v>
      </c>
      <c r="F104" s="103">
        <v>5.4017985261606496</v>
      </c>
      <c r="G104" s="103">
        <v>8.8554074428887208</v>
      </c>
      <c r="L104">
        <v>2050</v>
      </c>
      <c r="M104" s="57" t="s">
        <v>235</v>
      </c>
      <c r="N104" s="102" t="s">
        <v>236</v>
      </c>
      <c r="O104" s="102">
        <f>E104*0.313</f>
        <v>2.2266331624662232</v>
      </c>
      <c r="P104" s="102">
        <f>F104*0.313</f>
        <v>1.6907629386882834</v>
      </c>
      <c r="Q104" s="102">
        <f>G104*0.313</f>
        <v>2.7717425296241696</v>
      </c>
      <c r="X104">
        <v>0</v>
      </c>
      <c r="Y104" s="57" t="s">
        <v>235</v>
      </c>
      <c r="Z104" s="102" t="s">
        <v>236</v>
      </c>
      <c r="AA104" s="102">
        <v>5</v>
      </c>
      <c r="AB104" s="102">
        <v>5</v>
      </c>
      <c r="AC104" s="102">
        <v>5</v>
      </c>
      <c r="AW104" s="94" t="s">
        <v>237</v>
      </c>
      <c r="AX104" s="95" t="s">
        <v>219</v>
      </c>
      <c r="AY104" s="95" t="s">
        <v>219</v>
      </c>
      <c r="AZ104" s="95" t="s">
        <v>219</v>
      </c>
      <c r="BA104" s="95" t="s">
        <v>219</v>
      </c>
      <c r="BB104" s="95" t="s">
        <v>219</v>
      </c>
      <c r="BC104" s="95" t="s">
        <v>219</v>
      </c>
      <c r="BD104" s="95" t="s">
        <v>219</v>
      </c>
      <c r="BH104" s="93" t="s">
        <v>20</v>
      </c>
      <c r="BI104" s="96">
        <v>0</v>
      </c>
      <c r="BJ104" s="96">
        <v>0</v>
      </c>
      <c r="BK104" s="96">
        <v>0</v>
      </c>
      <c r="BL104" s="96">
        <v>0</v>
      </c>
      <c r="BM104" s="96">
        <v>0</v>
      </c>
      <c r="BN104" s="96">
        <v>0</v>
      </c>
      <c r="BO104" s="96">
        <v>0</v>
      </c>
    </row>
    <row r="105" spans="3:67" ht="12.5">
      <c r="C105" s="57" t="s">
        <v>235</v>
      </c>
      <c r="D105" s="102" t="s">
        <v>238</v>
      </c>
      <c r="E105" s="102">
        <v>7.1138439695406497</v>
      </c>
      <c r="F105" s="103">
        <v>5.4017985261606496</v>
      </c>
      <c r="G105" s="103">
        <v>8.8554074428887208</v>
      </c>
      <c r="L105">
        <v>2050</v>
      </c>
      <c r="M105" s="57" t="s">
        <v>235</v>
      </c>
      <c r="N105" s="102" t="s">
        <v>238</v>
      </c>
      <c r="O105" s="102">
        <f t="shared" si="21" ref="O105:O124">E105*0.313</f>
        <v>2.2266331624662232</v>
      </c>
      <c r="P105" s="102">
        <f t="shared" si="22" ref="P105:P124">F105*0.313</f>
        <v>1.6907629386882834</v>
      </c>
      <c r="Q105" s="102">
        <f t="shared" si="23" ref="Q105:Q124">G105*0.313</f>
        <v>2.7717425296241696</v>
      </c>
      <c r="X105">
        <v>0</v>
      </c>
      <c r="Y105" s="57" t="s">
        <v>235</v>
      </c>
      <c r="Z105" s="102" t="s">
        <v>238</v>
      </c>
      <c r="AA105" s="102">
        <v>5</v>
      </c>
      <c r="AB105" s="102">
        <v>5</v>
      </c>
      <c r="AC105" s="102">
        <v>5</v>
      </c>
      <c r="AW105" s="94" t="s">
        <v>239</v>
      </c>
      <c r="AX105" s="95" t="s">
        <v>219</v>
      </c>
      <c r="AY105" s="95" t="s">
        <v>219</v>
      </c>
      <c r="AZ105" s="95" t="s">
        <v>219</v>
      </c>
      <c r="BA105" s="95" t="s">
        <v>219</v>
      </c>
      <c r="BB105" s="95" t="s">
        <v>219</v>
      </c>
      <c r="BC105" s="95" t="s">
        <v>219</v>
      </c>
      <c r="BD105" s="95" t="s">
        <v>219</v>
      </c>
      <c r="BH105" s="93" t="s">
        <v>21</v>
      </c>
      <c r="BI105" s="96">
        <v>0</v>
      </c>
      <c r="BJ105" s="96">
        <v>0</v>
      </c>
      <c r="BK105" s="96">
        <v>0</v>
      </c>
      <c r="BL105" s="96">
        <v>0</v>
      </c>
      <c r="BM105" s="96">
        <v>0</v>
      </c>
      <c r="BN105" s="96">
        <v>0</v>
      </c>
      <c r="BO105" s="96">
        <v>0</v>
      </c>
    </row>
    <row r="106" spans="3:67" ht="12.5">
      <c r="C106" s="57" t="s">
        <v>235</v>
      </c>
      <c r="D106" s="102" t="s">
        <v>240</v>
      </c>
      <c r="E106" s="102">
        <v>7.6297544583640402</v>
      </c>
      <c r="F106" s="103">
        <v>5.7935479734708899</v>
      </c>
      <c r="G106" s="103">
        <v>9.4976196757553399</v>
      </c>
      <c r="L106">
        <v>2050</v>
      </c>
      <c r="M106" s="57" t="s">
        <v>235</v>
      </c>
      <c r="N106" s="102" t="s">
        <v>240</v>
      </c>
      <c r="O106" s="102">
        <f t="shared" si="21"/>
        <v>2.3881131454679445</v>
      </c>
      <c r="P106" s="102">
        <f t="shared" si="22"/>
        <v>1.8133805156963885</v>
      </c>
      <c r="Q106" s="102">
        <f t="shared" si="23"/>
        <v>2.9727549585114215</v>
      </c>
      <c r="X106">
        <v>0</v>
      </c>
      <c r="Y106" s="57" t="s">
        <v>235</v>
      </c>
      <c r="Z106" s="102" t="s">
        <v>240</v>
      </c>
      <c r="AA106" s="102">
        <v>5</v>
      </c>
      <c r="AB106" s="102">
        <v>5</v>
      </c>
      <c r="AC106" s="102">
        <v>5</v>
      </c>
      <c r="AW106" s="94" t="s">
        <v>241</v>
      </c>
      <c r="AX106" s="95" t="s">
        <v>219</v>
      </c>
      <c r="AY106" s="95" t="s">
        <v>219</v>
      </c>
      <c r="AZ106" s="95" t="s">
        <v>219</v>
      </c>
      <c r="BA106" s="95" t="s">
        <v>219</v>
      </c>
      <c r="BB106" s="95" t="s">
        <v>219</v>
      </c>
      <c r="BC106" s="95" t="s">
        <v>219</v>
      </c>
      <c r="BD106" s="95" t="s">
        <v>219</v>
      </c>
      <c r="BH106" s="93" t="s">
        <v>22</v>
      </c>
      <c r="BI106" s="96">
        <v>0</v>
      </c>
      <c r="BJ106" s="96">
        <v>0</v>
      </c>
      <c r="BK106" s="96">
        <v>0</v>
      </c>
      <c r="BL106" s="96">
        <v>0</v>
      </c>
      <c r="BM106" s="96">
        <v>0</v>
      </c>
      <c r="BN106" s="96">
        <v>0</v>
      </c>
      <c r="BO106" s="96">
        <v>0</v>
      </c>
    </row>
    <row r="107" spans="3:67" ht="12.5">
      <c r="C107" s="57" t="s">
        <v>235</v>
      </c>
      <c r="D107" s="102" t="s">
        <v>242</v>
      </c>
      <c r="E107" s="102">
        <v>7.4709708179808398</v>
      </c>
      <c r="F107" s="103">
        <v>5.6729778187177597</v>
      </c>
      <c r="G107" s="103">
        <v>9.2999636698599897</v>
      </c>
      <c r="L107">
        <v>2050</v>
      </c>
      <c r="M107" s="57" t="s">
        <v>235</v>
      </c>
      <c r="N107" s="102" t="s">
        <v>242</v>
      </c>
      <c r="O107" s="102">
        <f t="shared" si="21"/>
        <v>2.3384138660280027</v>
      </c>
      <c r="P107" s="102">
        <f t="shared" si="22"/>
        <v>1.7756420572586589</v>
      </c>
      <c r="Q107" s="102">
        <f t="shared" si="23"/>
        <v>2.9108886286661768</v>
      </c>
      <c r="X107">
        <v>0</v>
      </c>
      <c r="Y107" s="57" t="s">
        <v>235</v>
      </c>
      <c r="Z107" s="102" t="s">
        <v>242</v>
      </c>
      <c r="AA107" s="102">
        <v>5</v>
      </c>
      <c r="AB107" s="102">
        <v>5</v>
      </c>
      <c r="AC107" s="102">
        <v>5</v>
      </c>
      <c r="AW107" s="94" t="s">
        <v>243</v>
      </c>
      <c r="AX107" s="99">
        <v>67</v>
      </c>
      <c r="AY107" s="99">
        <v>3.50</v>
      </c>
      <c r="AZ107" s="95" t="s">
        <v>219</v>
      </c>
      <c r="BA107" s="95" t="s">
        <v>219</v>
      </c>
      <c r="BB107" s="100">
        <v>7900</v>
      </c>
      <c r="BC107" s="95" t="s">
        <v>219</v>
      </c>
      <c r="BD107" s="95" t="s">
        <v>219</v>
      </c>
      <c r="BH107" s="93" t="s">
        <v>23</v>
      </c>
      <c r="BI107" s="96">
        <v>67</v>
      </c>
      <c r="BJ107" s="96">
        <v>0</v>
      </c>
      <c r="BK107" s="96">
        <v>3.50</v>
      </c>
      <c r="BL107" s="96">
        <v>0</v>
      </c>
      <c r="BM107" s="96">
        <v>0</v>
      </c>
      <c r="BN107" s="101">
        <v>7900</v>
      </c>
      <c r="BO107" s="96">
        <v>0</v>
      </c>
    </row>
    <row r="108" spans="3:67" ht="12.5">
      <c r="C108" s="57" t="s">
        <v>235</v>
      </c>
      <c r="D108" s="102" t="s">
        <v>244</v>
      </c>
      <c r="E108" s="102">
        <v>7.5164352001965096</v>
      </c>
      <c r="F108" s="103">
        <v>5.7075005895357398</v>
      </c>
      <c r="G108" s="103">
        <v>9.3565583640383192</v>
      </c>
      <c r="L108">
        <v>2050</v>
      </c>
      <c r="M108" s="57" t="s">
        <v>235</v>
      </c>
      <c r="N108" s="102" t="s">
        <v>244</v>
      </c>
      <c r="O108" s="102">
        <f t="shared" si="21"/>
        <v>2.3526442176615077</v>
      </c>
      <c r="P108" s="102">
        <f t="shared" si="22"/>
        <v>1.7864476845246866</v>
      </c>
      <c r="Q108" s="102">
        <f t="shared" si="23"/>
        <v>2.9286027679439939</v>
      </c>
      <c r="X108">
        <v>0</v>
      </c>
      <c r="Y108" s="57" t="s">
        <v>235</v>
      </c>
      <c r="Z108" s="102" t="s">
        <v>244</v>
      </c>
      <c r="AA108" s="102">
        <v>5</v>
      </c>
      <c r="AB108" s="102">
        <v>5</v>
      </c>
      <c r="AC108" s="102">
        <v>5</v>
      </c>
      <c r="AW108" s="94" t="s">
        <v>245</v>
      </c>
      <c r="AX108" s="95" t="s">
        <v>219</v>
      </c>
      <c r="AY108" s="95" t="s">
        <v>219</v>
      </c>
      <c r="AZ108" s="95" t="s">
        <v>219</v>
      </c>
      <c r="BA108" s="95" t="s">
        <v>219</v>
      </c>
      <c r="BB108" s="95" t="s">
        <v>219</v>
      </c>
      <c r="BC108" s="100">
        <v>4300</v>
      </c>
      <c r="BD108" s="95" t="s">
        <v>219</v>
      </c>
      <c r="BH108" s="93" t="s">
        <v>24</v>
      </c>
      <c r="BI108" s="96">
        <v>0</v>
      </c>
      <c r="BJ108" s="96">
        <v>0</v>
      </c>
      <c r="BK108" s="96">
        <v>0</v>
      </c>
      <c r="BL108" s="96">
        <v>0</v>
      </c>
      <c r="BM108" s="101">
        <v>4300</v>
      </c>
      <c r="BN108" s="96">
        <v>0</v>
      </c>
      <c r="BO108" s="96">
        <v>0</v>
      </c>
    </row>
    <row r="109" spans="3:67" ht="12.5">
      <c r="C109" s="57" t="s">
        <v>235</v>
      </c>
      <c r="D109" s="102" t="s">
        <v>246</v>
      </c>
      <c r="E109" s="102">
        <v>7.55036263817244</v>
      </c>
      <c r="F109" s="103">
        <v>5.7332629329403098</v>
      </c>
      <c r="G109" s="103">
        <v>9.3987916728076595</v>
      </c>
      <c r="L109">
        <v>2050</v>
      </c>
      <c r="M109" s="57" t="s">
        <v>235</v>
      </c>
      <c r="N109" s="102" t="s">
        <v>246</v>
      </c>
      <c r="O109" s="102">
        <f t="shared" si="21"/>
        <v>2.3632635057479736</v>
      </c>
      <c r="P109" s="102">
        <f t="shared" si="22"/>
        <v>1.7945112980103171</v>
      </c>
      <c r="Q109" s="102">
        <f t="shared" si="23"/>
        <v>2.9418217935887974</v>
      </c>
      <c r="X109">
        <v>0</v>
      </c>
      <c r="Y109" s="57" t="s">
        <v>235</v>
      </c>
      <c r="Z109" s="102" t="s">
        <v>246</v>
      </c>
      <c r="AA109" s="102">
        <v>5</v>
      </c>
      <c r="AB109" s="102">
        <v>5</v>
      </c>
      <c r="AC109" s="102">
        <v>5</v>
      </c>
      <c r="AW109" s="94" t="s">
        <v>247</v>
      </c>
      <c r="AX109" s="99">
        <v>4.30</v>
      </c>
      <c r="AY109" s="99">
        <v>4.80</v>
      </c>
      <c r="AZ109" s="99">
        <v>198</v>
      </c>
      <c r="BA109" s="95" t="s">
        <v>219</v>
      </c>
      <c r="BB109" s="100">
        <v>2250</v>
      </c>
      <c r="BC109" s="100">
        <v>3970</v>
      </c>
      <c r="BD109" s="99">
        <v>20.90</v>
      </c>
      <c r="BH109" s="93" t="s">
        <v>25</v>
      </c>
      <c r="BI109" s="96">
        <v>4.30</v>
      </c>
      <c r="BJ109" s="96">
        <v>198</v>
      </c>
      <c r="BK109" s="96">
        <v>4.80</v>
      </c>
      <c r="BL109" s="96">
        <v>0</v>
      </c>
      <c r="BM109" s="101">
        <v>3970</v>
      </c>
      <c r="BN109" s="101">
        <v>2250</v>
      </c>
      <c r="BO109" s="96">
        <v>20.90</v>
      </c>
    </row>
    <row r="110" spans="3:67" ht="12.5">
      <c r="C110" s="57" t="s">
        <v>235</v>
      </c>
      <c r="D110" s="102" t="s">
        <v>248</v>
      </c>
      <c r="E110" s="102">
        <v>7.6297544583640402</v>
      </c>
      <c r="F110" s="103">
        <v>5.7935479734708899</v>
      </c>
      <c r="G110" s="103">
        <v>9.4976196757553399</v>
      </c>
      <c r="L110">
        <v>2050</v>
      </c>
      <c r="M110" s="57" t="s">
        <v>235</v>
      </c>
      <c r="N110" s="102" t="s">
        <v>248</v>
      </c>
      <c r="O110" s="102">
        <f t="shared" si="21"/>
        <v>2.3881131454679445</v>
      </c>
      <c r="P110" s="102">
        <f t="shared" si="22"/>
        <v>1.8133805156963885</v>
      </c>
      <c r="Q110" s="102">
        <f t="shared" si="23"/>
        <v>2.9727549585114215</v>
      </c>
      <c r="X110">
        <v>0</v>
      </c>
      <c r="Y110" s="57" t="s">
        <v>235</v>
      </c>
      <c r="Z110" s="102" t="s">
        <v>248</v>
      </c>
      <c r="AA110" s="102">
        <v>5</v>
      </c>
      <c r="AB110" s="102">
        <v>5</v>
      </c>
      <c r="AC110" s="102">
        <v>5</v>
      </c>
      <c r="AW110" s="94" t="s">
        <v>249</v>
      </c>
      <c r="AX110" s="95" t="s">
        <v>219</v>
      </c>
      <c r="AY110" s="95" t="s">
        <v>219</v>
      </c>
      <c r="AZ110" s="95" t="s">
        <v>219</v>
      </c>
      <c r="BA110" s="95" t="s">
        <v>219</v>
      </c>
      <c r="BB110" s="95" t="s">
        <v>219</v>
      </c>
      <c r="BC110" s="100">
        <v>1300</v>
      </c>
      <c r="BD110" s="99">
        <v>7</v>
      </c>
      <c r="BH110" s="93" t="s">
        <v>26</v>
      </c>
      <c r="BI110" s="96">
        <v>0</v>
      </c>
      <c r="BJ110" s="96">
        <v>0</v>
      </c>
      <c r="BK110" s="96">
        <v>0</v>
      </c>
      <c r="BL110" s="96">
        <v>0</v>
      </c>
      <c r="BM110" s="101">
        <v>1300</v>
      </c>
      <c r="BN110" s="96">
        <v>0</v>
      </c>
      <c r="BO110" s="96">
        <v>7</v>
      </c>
    </row>
    <row r="111" spans="3:67" ht="12.5">
      <c r="C111" s="57" t="s">
        <v>235</v>
      </c>
      <c r="D111" s="102" t="s">
        <v>250</v>
      </c>
      <c r="E111" s="102">
        <v>4.1838460083517601</v>
      </c>
      <c r="F111" s="103">
        <v>3.1769453205600602</v>
      </c>
      <c r="G111" s="103">
        <v>5.2081070744288898</v>
      </c>
      <c r="L111">
        <v>2050</v>
      </c>
      <c r="M111" s="57" t="s">
        <v>235</v>
      </c>
      <c r="N111" s="102" t="s">
        <v>250</v>
      </c>
      <c r="O111" s="102">
        <f t="shared" si="21"/>
        <v>1.3095438006141009</v>
      </c>
      <c r="P111" s="102">
        <f t="shared" si="22"/>
        <v>0.99438388533529887</v>
      </c>
      <c r="Q111" s="102">
        <f t="shared" si="23"/>
        <v>1.6301375142962424</v>
      </c>
      <c r="X111">
        <v>0</v>
      </c>
      <c r="Y111" s="57" t="s">
        <v>235</v>
      </c>
      <c r="Z111" s="102" t="s">
        <v>250</v>
      </c>
      <c r="AA111" s="102">
        <v>5</v>
      </c>
      <c r="AB111" s="102">
        <v>5</v>
      </c>
      <c r="AC111" s="102">
        <v>5</v>
      </c>
      <c r="AW111" s="94" t="s">
        <v>251</v>
      </c>
      <c r="AX111" s="95" t="s">
        <v>219</v>
      </c>
      <c r="AY111" s="95" t="s">
        <v>219</v>
      </c>
      <c r="AZ111" s="95" t="s">
        <v>219</v>
      </c>
      <c r="BA111" s="95" t="s">
        <v>219</v>
      </c>
      <c r="BB111" s="99">
        <v>410</v>
      </c>
      <c r="BC111" s="95" t="s">
        <v>219</v>
      </c>
      <c r="BD111" s="95" t="s">
        <v>219</v>
      </c>
      <c r="BH111" s="93" t="s">
        <v>27</v>
      </c>
      <c r="BI111" s="96">
        <v>0</v>
      </c>
      <c r="BJ111" s="96">
        <v>0</v>
      </c>
      <c r="BK111" s="96">
        <v>0</v>
      </c>
      <c r="BL111" s="96">
        <v>0</v>
      </c>
      <c r="BM111" s="96">
        <v>0</v>
      </c>
      <c r="BN111" s="96">
        <v>410</v>
      </c>
      <c r="BO111" s="96">
        <v>0</v>
      </c>
    </row>
    <row r="112" spans="3:67" ht="12.5">
      <c r="C112" s="57" t="s">
        <v>235</v>
      </c>
      <c r="D112" s="102" t="s">
        <v>252</v>
      </c>
      <c r="E112" s="102">
        <v>4.1838460083517601</v>
      </c>
      <c r="F112" s="103">
        <v>3.1769453205600602</v>
      </c>
      <c r="G112" s="103">
        <v>5.2081070744288898</v>
      </c>
      <c r="L112">
        <v>2050</v>
      </c>
      <c r="M112" s="57" t="s">
        <v>235</v>
      </c>
      <c r="N112" s="102" t="s">
        <v>252</v>
      </c>
      <c r="O112" s="102">
        <f t="shared" si="21"/>
        <v>1.3095438006141009</v>
      </c>
      <c r="P112" s="102">
        <f t="shared" si="22"/>
        <v>0.99438388533529887</v>
      </c>
      <c r="Q112" s="102">
        <f t="shared" si="23"/>
        <v>1.6301375142962424</v>
      </c>
      <c r="X112">
        <v>0</v>
      </c>
      <c r="Y112" s="57" t="s">
        <v>235</v>
      </c>
      <c r="Z112" s="102" t="s">
        <v>252</v>
      </c>
      <c r="AA112" s="102">
        <v>5</v>
      </c>
      <c r="AB112" s="102">
        <v>5</v>
      </c>
      <c r="AC112" s="102">
        <v>5</v>
      </c>
      <c r="AW112" s="94" t="s">
        <v>28</v>
      </c>
      <c r="AX112" s="99">
        <v>4.60</v>
      </c>
      <c r="AY112" s="99">
        <v>43.80</v>
      </c>
      <c r="AZ112" s="100">
        <v>2985</v>
      </c>
      <c r="BA112" s="100">
        <v>2060</v>
      </c>
      <c r="BB112" s="100">
        <v>4700</v>
      </c>
      <c r="BC112" s="100">
        <v>8050</v>
      </c>
      <c r="BD112" s="99">
        <v>22.90</v>
      </c>
      <c r="BH112" s="93" t="s">
        <v>28</v>
      </c>
      <c r="BI112" s="96">
        <v>4.60</v>
      </c>
      <c r="BJ112" s="101">
        <v>2985</v>
      </c>
      <c r="BK112" s="96">
        <v>43.80</v>
      </c>
      <c r="BL112" s="101">
        <v>2060</v>
      </c>
      <c r="BM112" s="101">
        <v>8050</v>
      </c>
      <c r="BN112" s="101">
        <v>4700</v>
      </c>
      <c r="BO112" s="96">
        <v>22.90</v>
      </c>
    </row>
    <row r="113" spans="3:67" ht="12.5">
      <c r="C113" s="57" t="s">
        <v>235</v>
      </c>
      <c r="D113" s="102" t="s">
        <v>253</v>
      </c>
      <c r="E113" s="102">
        <v>4.1838460083517601</v>
      </c>
      <c r="F113" s="103">
        <v>3.1769453205600602</v>
      </c>
      <c r="G113" s="103">
        <v>5.2081070744288898</v>
      </c>
      <c r="L113">
        <v>2050</v>
      </c>
      <c r="M113" s="57" t="s">
        <v>235</v>
      </c>
      <c r="N113" s="102" t="s">
        <v>253</v>
      </c>
      <c r="O113" s="102">
        <f t="shared" si="21"/>
        <v>1.3095438006141009</v>
      </c>
      <c r="P113" s="102">
        <f t="shared" si="22"/>
        <v>0.99438388533529887</v>
      </c>
      <c r="Q113" s="102">
        <f t="shared" si="23"/>
        <v>1.6301375142962424</v>
      </c>
      <c r="X113">
        <v>0</v>
      </c>
      <c r="Y113" s="57" t="s">
        <v>235</v>
      </c>
      <c r="Z113" s="102" t="s">
        <v>253</v>
      </c>
      <c r="AA113" s="102">
        <v>5</v>
      </c>
      <c r="AB113" s="102">
        <v>5</v>
      </c>
      <c r="AC113" s="102">
        <v>5</v>
      </c>
      <c r="AW113" s="94" t="s">
        <v>254</v>
      </c>
      <c r="AX113" s="95" t="s">
        <v>219</v>
      </c>
      <c r="AY113" s="99">
        <v>8.70</v>
      </c>
      <c r="AZ113" s="99">
        <v>210</v>
      </c>
      <c r="BA113" s="95" t="s">
        <v>219</v>
      </c>
      <c r="BB113" s="99">
        <v>930</v>
      </c>
      <c r="BC113" s="100">
        <v>3800</v>
      </c>
      <c r="BD113" s="99">
        <v>20</v>
      </c>
      <c r="BH113" s="93" t="s">
        <v>29</v>
      </c>
      <c r="BI113" s="96">
        <v>0</v>
      </c>
      <c r="BJ113" s="96">
        <v>210</v>
      </c>
      <c r="BK113" s="96">
        <v>8.70</v>
      </c>
      <c r="BL113" s="96">
        <v>0</v>
      </c>
      <c r="BM113" s="101">
        <v>3800</v>
      </c>
      <c r="BN113" s="96">
        <v>930</v>
      </c>
      <c r="BO113" s="96">
        <v>20</v>
      </c>
    </row>
    <row r="114" spans="3:67" ht="12.5">
      <c r="C114" s="57" t="s">
        <v>235</v>
      </c>
      <c r="D114" s="102" t="s">
        <v>255</v>
      </c>
      <c r="E114" s="102">
        <v>4.1838460083517601</v>
      </c>
      <c r="F114" s="103">
        <v>3.1769453205600602</v>
      </c>
      <c r="G114" s="103">
        <v>5.2081070744288898</v>
      </c>
      <c r="L114">
        <v>2050</v>
      </c>
      <c r="M114" s="57" t="s">
        <v>235</v>
      </c>
      <c r="N114" s="102" t="s">
        <v>255</v>
      </c>
      <c r="O114" s="102">
        <f t="shared" si="21"/>
        <v>1.3095438006141009</v>
      </c>
      <c r="P114" s="102">
        <f t="shared" si="22"/>
        <v>0.99438388533529887</v>
      </c>
      <c r="Q114" s="102">
        <f t="shared" si="23"/>
        <v>1.6301375142962424</v>
      </c>
      <c r="X114">
        <v>0</v>
      </c>
      <c r="Y114" s="57" t="s">
        <v>235</v>
      </c>
      <c r="Z114" s="102" t="s">
        <v>255</v>
      </c>
      <c r="AA114" s="102">
        <v>5</v>
      </c>
      <c r="AB114" s="102">
        <v>5</v>
      </c>
      <c r="AC114" s="102">
        <v>5</v>
      </c>
      <c r="AW114" s="94" t="s">
        <v>256</v>
      </c>
      <c r="AX114" s="95" t="s">
        <v>219</v>
      </c>
      <c r="AY114" s="95" t="s">
        <v>219</v>
      </c>
      <c r="AZ114" s="95" t="s">
        <v>219</v>
      </c>
      <c r="BA114" s="95" t="s">
        <v>219</v>
      </c>
      <c r="BB114" s="95" t="s">
        <v>219</v>
      </c>
      <c r="BC114" s="95" t="s">
        <v>219</v>
      </c>
      <c r="BD114" s="95" t="s">
        <v>219</v>
      </c>
      <c r="BH114" s="93" t="s">
        <v>30</v>
      </c>
      <c r="BI114" s="96">
        <v>0</v>
      </c>
      <c r="BJ114" s="96">
        <v>0</v>
      </c>
      <c r="BK114" s="96">
        <v>0</v>
      </c>
      <c r="BL114" s="96">
        <v>0</v>
      </c>
      <c r="BM114" s="96">
        <v>0</v>
      </c>
      <c r="BN114" s="96">
        <v>0</v>
      </c>
      <c r="BO114" s="96">
        <v>0</v>
      </c>
    </row>
    <row r="115" spans="3:67" ht="12.5">
      <c r="C115" s="57" t="s">
        <v>235</v>
      </c>
      <c r="D115" s="102" t="s">
        <v>257</v>
      </c>
      <c r="E115" s="102">
        <v>4.1838460083517601</v>
      </c>
      <c r="F115" s="103">
        <v>3.1769453205600602</v>
      </c>
      <c r="G115" s="103">
        <v>5.2081070744288898</v>
      </c>
      <c r="L115">
        <v>2050</v>
      </c>
      <c r="M115" s="57" t="s">
        <v>235</v>
      </c>
      <c r="N115" s="102" t="s">
        <v>257</v>
      </c>
      <c r="O115" s="102">
        <f t="shared" si="21"/>
        <v>1.3095438006141009</v>
      </c>
      <c r="P115" s="102">
        <f t="shared" si="22"/>
        <v>0.99438388533529887</v>
      </c>
      <c r="Q115" s="102">
        <f t="shared" si="23"/>
        <v>1.6301375142962424</v>
      </c>
      <c r="X115">
        <v>0</v>
      </c>
      <c r="Y115" s="57" t="s">
        <v>235</v>
      </c>
      <c r="Z115" s="102" t="s">
        <v>257</v>
      </c>
      <c r="AA115" s="102">
        <v>5</v>
      </c>
      <c r="AB115" s="102">
        <v>5</v>
      </c>
      <c r="AC115" s="102">
        <v>5</v>
      </c>
      <c r="AW115" s="94" t="s">
        <v>258</v>
      </c>
      <c r="AX115" s="95" t="s">
        <v>219</v>
      </c>
      <c r="AY115" s="95" t="s">
        <v>219</v>
      </c>
      <c r="AZ115" s="95" t="s">
        <v>219</v>
      </c>
      <c r="BA115" s="100">
        <v>7400</v>
      </c>
      <c r="BB115" s="95" t="s">
        <v>219</v>
      </c>
      <c r="BC115" s="95" t="s">
        <v>219</v>
      </c>
      <c r="BD115" s="95" t="s">
        <v>219</v>
      </c>
      <c r="BH115" s="93" t="s">
        <v>31</v>
      </c>
      <c r="BI115" s="96">
        <v>0</v>
      </c>
      <c r="BJ115" s="96">
        <v>0</v>
      </c>
      <c r="BK115" s="96">
        <v>0</v>
      </c>
      <c r="BL115" s="101">
        <v>7400</v>
      </c>
      <c r="BM115" s="96">
        <v>0</v>
      </c>
      <c r="BN115" s="96">
        <v>0</v>
      </c>
      <c r="BO115" s="96">
        <v>0</v>
      </c>
    </row>
    <row r="116" spans="3:67" ht="12.5">
      <c r="C116" s="57" t="s">
        <v>235</v>
      </c>
      <c r="D116" s="102" t="s">
        <v>259</v>
      </c>
      <c r="E116" s="102">
        <v>4.1838460083517601</v>
      </c>
      <c r="F116" s="103">
        <v>3.1769453205600602</v>
      </c>
      <c r="G116" s="103">
        <v>5.2081070744288898</v>
      </c>
      <c r="L116">
        <v>2050</v>
      </c>
      <c r="M116" s="57" t="s">
        <v>235</v>
      </c>
      <c r="N116" s="102" t="s">
        <v>259</v>
      </c>
      <c r="O116" s="102">
        <f t="shared" si="21"/>
        <v>1.3095438006141009</v>
      </c>
      <c r="P116" s="102">
        <f t="shared" si="22"/>
        <v>0.99438388533529887</v>
      </c>
      <c r="Q116" s="102">
        <f t="shared" si="23"/>
        <v>1.6301375142962424</v>
      </c>
      <c r="X116">
        <v>0</v>
      </c>
      <c r="Y116" s="57" t="s">
        <v>235</v>
      </c>
      <c r="Z116" s="102" t="s">
        <v>259</v>
      </c>
      <c r="AA116" s="102">
        <v>5</v>
      </c>
      <c r="AB116" s="102">
        <v>5</v>
      </c>
      <c r="AC116" s="102">
        <v>5</v>
      </c>
      <c r="AW116" s="94" t="s">
        <v>260</v>
      </c>
      <c r="AX116" s="99">
        <v>0.40</v>
      </c>
      <c r="AY116" s="95" t="s">
        <v>219</v>
      </c>
      <c r="AZ116" s="95" t="s">
        <v>219</v>
      </c>
      <c r="BA116" s="95" t="s">
        <v>219</v>
      </c>
      <c r="BB116" s="95" t="s">
        <v>219</v>
      </c>
      <c r="BC116" s="95" t="s">
        <v>219</v>
      </c>
      <c r="BD116" s="95" t="s">
        <v>219</v>
      </c>
      <c r="BH116" s="93" t="s">
        <v>32</v>
      </c>
      <c r="BI116" s="96">
        <v>0.40</v>
      </c>
      <c r="BJ116" s="96">
        <v>0</v>
      </c>
      <c r="BK116" s="96">
        <v>0</v>
      </c>
      <c r="BL116" s="96">
        <v>0</v>
      </c>
      <c r="BM116" s="96">
        <v>0</v>
      </c>
      <c r="BN116" s="96">
        <v>0</v>
      </c>
      <c r="BO116" s="96">
        <v>0</v>
      </c>
    </row>
    <row r="117" spans="3:67" ht="12.5">
      <c r="C117" s="57" t="s">
        <v>235</v>
      </c>
      <c r="D117" s="102" t="s">
        <v>261</v>
      </c>
      <c r="E117" s="102">
        <v>4.1838460083517601</v>
      </c>
      <c r="F117" s="103">
        <v>3.1769453205600602</v>
      </c>
      <c r="G117" s="103">
        <v>5.2081070744288898</v>
      </c>
      <c r="L117">
        <v>2050</v>
      </c>
      <c r="M117" s="57" t="s">
        <v>235</v>
      </c>
      <c r="N117" s="102" t="s">
        <v>261</v>
      </c>
      <c r="O117" s="102">
        <f t="shared" si="21"/>
        <v>1.3095438006141009</v>
      </c>
      <c r="P117" s="102">
        <f t="shared" si="22"/>
        <v>0.99438388533529887</v>
      </c>
      <c r="Q117" s="102">
        <f t="shared" si="23"/>
        <v>1.6301375142962424</v>
      </c>
      <c r="X117">
        <v>0</v>
      </c>
      <c r="Y117" s="57" t="s">
        <v>235</v>
      </c>
      <c r="Z117" s="102" t="s">
        <v>261</v>
      </c>
      <c r="AA117" s="102">
        <v>5</v>
      </c>
      <c r="AB117" s="102">
        <v>5</v>
      </c>
      <c r="AC117" s="102">
        <v>5</v>
      </c>
      <c r="AW117" s="94" t="s">
        <v>262</v>
      </c>
      <c r="AX117" s="95" t="s">
        <v>219</v>
      </c>
      <c r="AY117" s="95" t="s">
        <v>219</v>
      </c>
      <c r="AZ117" s="95" t="s">
        <v>219</v>
      </c>
      <c r="BA117" s="95" t="s">
        <v>219</v>
      </c>
      <c r="BB117" s="95" t="s">
        <v>219</v>
      </c>
      <c r="BC117" s="95" t="s">
        <v>219</v>
      </c>
      <c r="BD117" s="95" t="s">
        <v>219</v>
      </c>
      <c r="BH117" s="93" t="s">
        <v>33</v>
      </c>
      <c r="BI117" s="96">
        <v>0</v>
      </c>
      <c r="BJ117" s="96">
        <v>0</v>
      </c>
      <c r="BK117" s="96">
        <v>0</v>
      </c>
      <c r="BL117" s="96">
        <v>0</v>
      </c>
      <c r="BM117" s="96">
        <v>0</v>
      </c>
      <c r="BN117" s="96">
        <v>0</v>
      </c>
      <c r="BO117" s="96">
        <v>0</v>
      </c>
    </row>
    <row r="118" spans="3:67" ht="12.5">
      <c r="C118" s="57" t="s">
        <v>235</v>
      </c>
      <c r="D118" s="102" t="s">
        <v>263</v>
      </c>
      <c r="E118" s="102">
        <v>3.5655626627364301</v>
      </c>
      <c r="F118" s="103">
        <v>2.7074604274134102</v>
      </c>
      <c r="G118" s="103">
        <v>4.4384597641857004</v>
      </c>
      <c r="L118">
        <v>2050</v>
      </c>
      <c r="M118" s="57" t="s">
        <v>235</v>
      </c>
      <c r="N118" s="102" t="s">
        <v>263</v>
      </c>
      <c r="O118" s="102">
        <f t="shared" si="21"/>
        <v>1.1160211134365026</v>
      </c>
      <c r="P118" s="102">
        <f t="shared" si="22"/>
        <v>0.84743511378039738</v>
      </c>
      <c r="Q118" s="102">
        <f t="shared" si="23"/>
        <v>1.3892379061901243</v>
      </c>
      <c r="X118">
        <v>0</v>
      </c>
      <c r="Y118" s="57" t="s">
        <v>235</v>
      </c>
      <c r="Z118" s="102" t="s">
        <v>263</v>
      </c>
      <c r="AA118" s="102">
        <v>5</v>
      </c>
      <c r="AB118" s="102">
        <v>5</v>
      </c>
      <c r="AC118" s="102">
        <v>5</v>
      </c>
      <c r="AW118" s="94" t="s">
        <v>264</v>
      </c>
      <c r="AX118" s="95" t="s">
        <v>219</v>
      </c>
      <c r="AY118" s="95" t="s">
        <v>219</v>
      </c>
      <c r="AZ118" s="95" t="s">
        <v>219</v>
      </c>
      <c r="BA118" s="95" t="s">
        <v>219</v>
      </c>
      <c r="BB118" s="95" t="s">
        <v>219</v>
      </c>
      <c r="BC118" s="95" t="s">
        <v>219</v>
      </c>
      <c r="BD118" s="95" t="s">
        <v>219</v>
      </c>
      <c r="BH118" s="93" t="s">
        <v>34</v>
      </c>
      <c r="BI118" s="96">
        <v>0</v>
      </c>
      <c r="BJ118" s="96">
        <v>0</v>
      </c>
      <c r="BK118" s="96">
        <v>0</v>
      </c>
      <c r="BL118" s="96">
        <v>0</v>
      </c>
      <c r="BM118" s="96">
        <v>0</v>
      </c>
      <c r="BN118" s="96">
        <v>0</v>
      </c>
      <c r="BO118" s="96">
        <v>0</v>
      </c>
    </row>
    <row r="119" spans="3:67" ht="12.5">
      <c r="C119" s="57" t="s">
        <v>235</v>
      </c>
      <c r="D119" s="102" t="s">
        <v>265</v>
      </c>
      <c r="E119" s="102">
        <v>3.6008770817980902</v>
      </c>
      <c r="F119" s="103">
        <v>2.7342759764185698</v>
      </c>
      <c r="G119" s="103">
        <v>4.4824196020633797</v>
      </c>
      <c r="L119">
        <v>2050</v>
      </c>
      <c r="M119" s="57" t="s">
        <v>235</v>
      </c>
      <c r="N119" s="102" t="s">
        <v>265</v>
      </c>
      <c r="O119" s="102">
        <f t="shared" si="21"/>
        <v>1.1270745266028022</v>
      </c>
      <c r="P119" s="102">
        <f t="shared" si="22"/>
        <v>0.85582838061901234</v>
      </c>
      <c r="Q119" s="102">
        <f t="shared" si="23"/>
        <v>1.4029973354458378</v>
      </c>
      <c r="X119">
        <v>0</v>
      </c>
      <c r="Y119" s="57" t="s">
        <v>235</v>
      </c>
      <c r="Z119" s="102" t="s">
        <v>265</v>
      </c>
      <c r="AA119" s="102">
        <v>5</v>
      </c>
      <c r="AB119" s="102">
        <v>5</v>
      </c>
      <c r="AC119" s="102">
        <v>5</v>
      </c>
      <c r="AW119" s="94" t="s">
        <v>266</v>
      </c>
      <c r="AX119" s="95" t="s">
        <v>219</v>
      </c>
      <c r="AY119" s="99">
        <v>2.70</v>
      </c>
      <c r="AZ119" s="95" t="s">
        <v>219</v>
      </c>
      <c r="BA119" s="95" t="s">
        <v>219</v>
      </c>
      <c r="BB119" s="95" t="s">
        <v>219</v>
      </c>
      <c r="BC119" s="95" t="s">
        <v>219</v>
      </c>
      <c r="BD119" s="99">
        <v>3</v>
      </c>
      <c r="BH119" s="93" t="s">
        <v>35</v>
      </c>
      <c r="BI119" s="96">
        <v>0</v>
      </c>
      <c r="BJ119" s="96">
        <v>0</v>
      </c>
      <c r="BK119" s="96">
        <v>2.70</v>
      </c>
      <c r="BL119" s="96">
        <v>0</v>
      </c>
      <c r="BM119" s="96">
        <v>0</v>
      </c>
      <c r="BN119" s="96">
        <v>0</v>
      </c>
      <c r="BO119" s="96">
        <v>3</v>
      </c>
    </row>
    <row r="120" spans="3:67" ht="12.5">
      <c r="C120" s="57" t="s">
        <v>235</v>
      </c>
      <c r="D120" s="102" t="s">
        <v>267</v>
      </c>
      <c r="E120" s="102">
        <v>3.5655626627364301</v>
      </c>
      <c r="F120" s="103">
        <v>2.7074604274134102</v>
      </c>
      <c r="G120" s="103">
        <v>4.4384597641857004</v>
      </c>
      <c r="L120">
        <v>2050</v>
      </c>
      <c r="M120" s="57" t="s">
        <v>235</v>
      </c>
      <c r="N120" s="102" t="s">
        <v>267</v>
      </c>
      <c r="O120" s="102">
        <f t="shared" si="21"/>
        <v>1.1160211134365026</v>
      </c>
      <c r="P120" s="102">
        <f t="shared" si="22"/>
        <v>0.84743511378039738</v>
      </c>
      <c r="Q120" s="102">
        <f t="shared" si="23"/>
        <v>1.3892379061901243</v>
      </c>
      <c r="X120">
        <v>0</v>
      </c>
      <c r="Y120" s="57" t="s">
        <v>235</v>
      </c>
      <c r="Z120" s="102" t="s">
        <v>267</v>
      </c>
      <c r="AA120" s="102">
        <v>5</v>
      </c>
      <c r="AB120" s="102">
        <v>5</v>
      </c>
      <c r="AC120" s="102">
        <v>5</v>
      </c>
      <c r="AW120" s="94" t="s">
        <v>36</v>
      </c>
      <c r="AX120" s="95" t="s">
        <v>219</v>
      </c>
      <c r="AY120" s="95" t="s">
        <v>219</v>
      </c>
      <c r="AZ120" s="95" t="s">
        <v>219</v>
      </c>
      <c r="BA120" s="95" t="s">
        <v>219</v>
      </c>
      <c r="BB120" s="95" t="s">
        <v>219</v>
      </c>
      <c r="BC120" s="95" t="s">
        <v>219</v>
      </c>
      <c r="BD120" s="95" t="s">
        <v>219</v>
      </c>
      <c r="BH120" s="93" t="s">
        <v>36</v>
      </c>
      <c r="BI120" s="96">
        <v>0</v>
      </c>
      <c r="BJ120" s="96">
        <v>0</v>
      </c>
      <c r="BK120" s="96">
        <v>0</v>
      </c>
      <c r="BL120" s="96">
        <v>0</v>
      </c>
      <c r="BM120" s="96">
        <v>0</v>
      </c>
      <c r="BN120" s="96">
        <v>0</v>
      </c>
      <c r="BO120" s="96">
        <v>0</v>
      </c>
    </row>
    <row r="121" spans="3:67" ht="12.5">
      <c r="C121" s="57" t="s">
        <v>235</v>
      </c>
      <c r="D121" s="102" t="s">
        <v>268</v>
      </c>
      <c r="E121" s="102">
        <v>3.56645369688037</v>
      </c>
      <c r="F121" s="103">
        <v>2.70813706705969</v>
      </c>
      <c r="G121" s="103">
        <v>4.4395689019896798</v>
      </c>
      <c r="L121">
        <v>2050</v>
      </c>
      <c r="M121" s="57" t="s">
        <v>235</v>
      </c>
      <c r="N121" s="102" t="s">
        <v>268</v>
      </c>
      <c r="O121" s="102">
        <f t="shared" si="21"/>
        <v>1.1163000071235558</v>
      </c>
      <c r="P121" s="102">
        <f t="shared" si="22"/>
        <v>0.84764690198968295</v>
      </c>
      <c r="Q121" s="102">
        <f t="shared" si="23"/>
        <v>1.3895850663227698</v>
      </c>
      <c r="X121">
        <v>0</v>
      </c>
      <c r="Y121" s="57" t="s">
        <v>235</v>
      </c>
      <c r="Z121" s="102" t="s">
        <v>268</v>
      </c>
      <c r="AA121" s="102">
        <v>5</v>
      </c>
      <c r="AB121" s="102">
        <v>5</v>
      </c>
      <c r="AC121" s="102">
        <v>5</v>
      </c>
      <c r="AW121" s="94" t="s">
        <v>269</v>
      </c>
      <c r="AX121" s="95" t="s">
        <v>219</v>
      </c>
      <c r="AY121" s="95" t="s">
        <v>219</v>
      </c>
      <c r="AZ121" s="95" t="s">
        <v>219</v>
      </c>
      <c r="BA121" s="95" t="s">
        <v>219</v>
      </c>
      <c r="BB121" s="95" t="s">
        <v>219</v>
      </c>
      <c r="BC121" s="95" t="s">
        <v>219</v>
      </c>
      <c r="BD121" s="99">
        <v>1.20</v>
      </c>
      <c r="BH121" s="93" t="s">
        <v>37</v>
      </c>
      <c r="BI121" s="96">
        <v>0</v>
      </c>
      <c r="BJ121" s="96">
        <v>0</v>
      </c>
      <c r="BK121" s="96">
        <v>0</v>
      </c>
      <c r="BL121" s="96">
        <v>0</v>
      </c>
      <c r="BM121" s="96">
        <v>0</v>
      </c>
      <c r="BN121" s="96">
        <v>0</v>
      </c>
      <c r="BO121" s="96">
        <v>1.20</v>
      </c>
    </row>
    <row r="122" spans="3:67" ht="12.5">
      <c r="C122" s="57" t="s">
        <v>235</v>
      </c>
      <c r="D122" s="102" t="s">
        <v>270</v>
      </c>
      <c r="E122" s="102">
        <v>3.5658596168017702</v>
      </c>
      <c r="F122" s="103">
        <v>2.7076859248341898</v>
      </c>
      <c r="G122" s="103">
        <v>4.4388294030950597</v>
      </c>
      <c r="L122">
        <v>2050</v>
      </c>
      <c r="M122" s="57" t="s">
        <v>235</v>
      </c>
      <c r="N122" s="102" t="s">
        <v>270</v>
      </c>
      <c r="O122" s="102">
        <f t="shared" si="21"/>
        <v>1.1161140600589541</v>
      </c>
      <c r="P122" s="102">
        <f t="shared" si="22"/>
        <v>0.84750569447310142</v>
      </c>
      <c r="Q122" s="102">
        <f t="shared" si="23"/>
        <v>1.3893536031687537</v>
      </c>
      <c r="X122">
        <v>0</v>
      </c>
      <c r="Y122" s="57" t="s">
        <v>235</v>
      </c>
      <c r="Z122" s="102" t="s">
        <v>270</v>
      </c>
      <c r="AA122" s="102">
        <v>5</v>
      </c>
      <c r="AB122" s="102">
        <v>5</v>
      </c>
      <c r="AC122" s="102">
        <v>5</v>
      </c>
      <c r="AW122" s="94" t="s">
        <v>271</v>
      </c>
      <c r="AX122" s="95" t="s">
        <v>219</v>
      </c>
      <c r="AY122" s="95" t="s">
        <v>219</v>
      </c>
      <c r="AZ122" s="95" t="s">
        <v>219</v>
      </c>
      <c r="BA122" s="95" t="s">
        <v>219</v>
      </c>
      <c r="BB122" s="95" t="s">
        <v>219</v>
      </c>
      <c r="BC122" s="95" t="s">
        <v>219</v>
      </c>
      <c r="BD122" s="95" t="s">
        <v>219</v>
      </c>
      <c r="BH122" s="89" t="s">
        <v>217</v>
      </c>
      <c r="BI122" s="90">
        <v>240</v>
      </c>
      <c r="BJ122" s="104">
        <v>3700</v>
      </c>
      <c r="BK122" s="90">
        <v>290</v>
      </c>
      <c r="BL122" s="104">
        <v>20200</v>
      </c>
      <c r="BM122" s="104">
        <v>72000</v>
      </c>
      <c r="BN122" s="104">
        <v>22000</v>
      </c>
      <c r="BO122" s="104">
        <v>1631</v>
      </c>
    </row>
    <row r="123" spans="3:56" ht="12.5">
      <c r="C123" s="57" t="s">
        <v>235</v>
      </c>
      <c r="D123" s="102" t="s">
        <v>272</v>
      </c>
      <c r="E123" s="102">
        <v>3.5655626627364301</v>
      </c>
      <c r="F123" s="103">
        <v>2.7074604274134102</v>
      </c>
      <c r="G123" s="103">
        <v>4.4384597641857004</v>
      </c>
      <c r="L123">
        <v>2050</v>
      </c>
      <c r="M123" s="57" t="s">
        <v>235</v>
      </c>
      <c r="N123" s="102" t="s">
        <v>272</v>
      </c>
      <c r="O123" s="102">
        <f t="shared" si="21"/>
        <v>1.1160211134365026</v>
      </c>
      <c r="P123" s="102">
        <f t="shared" si="22"/>
        <v>0.84743511378039738</v>
      </c>
      <c r="Q123" s="102">
        <f t="shared" si="23"/>
        <v>1.3892379061901243</v>
      </c>
      <c r="X123">
        <v>0</v>
      </c>
      <c r="Y123" s="57" t="s">
        <v>235</v>
      </c>
      <c r="Z123" s="102" t="s">
        <v>272</v>
      </c>
      <c r="AA123" s="102">
        <v>5</v>
      </c>
      <c r="AB123" s="102">
        <v>5</v>
      </c>
      <c r="AC123" s="102">
        <v>5</v>
      </c>
      <c r="AW123" s="105" t="s">
        <v>217</v>
      </c>
      <c r="AX123" s="106">
        <v>240</v>
      </c>
      <c r="AY123" s="106">
        <v>290</v>
      </c>
      <c r="AZ123" s="107">
        <v>3700</v>
      </c>
      <c r="BA123" s="107">
        <v>20200</v>
      </c>
      <c r="BB123" s="107">
        <v>22000</v>
      </c>
      <c r="BC123" s="107">
        <v>72000</v>
      </c>
      <c r="BD123" s="107">
        <v>1631</v>
      </c>
    </row>
    <row r="124" spans="3:29" ht="12.5">
      <c r="C124" s="57" t="s">
        <v>235</v>
      </c>
      <c r="D124" s="108" t="s">
        <v>273</v>
      </c>
      <c r="E124" s="102">
        <v>3.5649689019896802</v>
      </c>
      <c r="F124" s="103">
        <v>2.7070095799557801</v>
      </c>
      <c r="G124" s="103">
        <v>4.4377206337509199</v>
      </c>
      <c r="L124">
        <v>2050</v>
      </c>
      <c r="M124" s="57" t="s">
        <v>235</v>
      </c>
      <c r="N124" s="108" t="s">
        <v>273</v>
      </c>
      <c r="O124" s="102">
        <f t="shared" si="21"/>
        <v>1.11583526632277</v>
      </c>
      <c r="P124" s="102">
        <f t="shared" si="22"/>
        <v>0.84729399852615916</v>
      </c>
      <c r="Q124" s="102">
        <f t="shared" si="23"/>
        <v>1.3890065583640379</v>
      </c>
      <c r="X124">
        <v>0</v>
      </c>
      <c r="Y124" s="57" t="s">
        <v>235</v>
      </c>
      <c r="Z124" s="102" t="s">
        <v>273</v>
      </c>
      <c r="AA124" s="102">
        <v>5</v>
      </c>
      <c r="AB124" s="102">
        <v>5</v>
      </c>
      <c r="AC124" s="102">
        <v>5</v>
      </c>
    </row>
    <row r="132" spans="3:25" ht="12.5">
      <c r="C132" s="57"/>
      <c r="D132" t="s">
        <v>130</v>
      </c>
      <c r="M132" s="57"/>
      <c r="Y132" s="57"/>
    </row>
    <row r="133" spans="3:29" ht="12.5">
      <c r="C133" s="57" t="s">
        <v>132</v>
      </c>
      <c r="D133" s="102" t="s">
        <v>65</v>
      </c>
      <c r="E133" s="102" t="s">
        <v>66</v>
      </c>
      <c r="F133" s="102"/>
      <c r="G133" s="102"/>
      <c r="M133" s="57"/>
      <c r="N133" s="57"/>
      <c r="O133" s="57"/>
      <c r="P133" s="57"/>
      <c r="Q133" s="57"/>
      <c r="Y133" s="57"/>
      <c r="Z133" s="57"/>
      <c r="AA133" s="57"/>
      <c r="AB133" s="57"/>
      <c r="AC133" s="57"/>
    </row>
    <row r="134" spans="3:29" ht="12.5">
      <c r="C134" s="57" t="s">
        <v>274</v>
      </c>
      <c r="D134" s="102" t="s">
        <v>236</v>
      </c>
      <c r="E134" s="102">
        <v>0.001</v>
      </c>
      <c r="F134" s="103"/>
      <c r="G134" s="103"/>
      <c r="M134" s="57"/>
      <c r="N134" s="57"/>
      <c r="O134" s="57"/>
      <c r="P134" s="57"/>
      <c r="Q134" s="57"/>
      <c r="Y134" s="57"/>
      <c r="Z134" s="57"/>
      <c r="AA134" s="57"/>
      <c r="AB134" s="57"/>
      <c r="AC134" s="57"/>
    </row>
    <row r="135" spans="3:29" ht="12.5">
      <c r="C135" s="57" t="s">
        <v>274</v>
      </c>
      <c r="D135" s="102" t="s">
        <v>238</v>
      </c>
      <c r="E135" s="102">
        <f>E134</f>
        <v>0.001</v>
      </c>
      <c r="F135" s="103"/>
      <c r="G135" s="103"/>
      <c r="M135" s="57"/>
      <c r="N135" s="57"/>
      <c r="O135" s="57"/>
      <c r="P135" s="57"/>
      <c r="Q135" s="57"/>
      <c r="Y135" s="57"/>
      <c r="Z135" s="57"/>
      <c r="AA135" s="57"/>
      <c r="AB135" s="57"/>
      <c r="AC135" s="57"/>
    </row>
    <row r="136" spans="3:29" ht="12.5">
      <c r="C136" s="57" t="s">
        <v>274</v>
      </c>
      <c r="D136" s="102" t="s">
        <v>240</v>
      </c>
      <c r="E136" s="102">
        <f t="shared" si="24" ref="E136:E154">E135</f>
        <v>0.001</v>
      </c>
      <c r="F136" s="103"/>
      <c r="G136" s="103"/>
      <c r="M136" s="57"/>
      <c r="N136" s="57"/>
      <c r="O136" s="57"/>
      <c r="P136" s="57"/>
      <c r="Q136" s="57"/>
      <c r="Y136" s="57"/>
      <c r="Z136" s="57"/>
      <c r="AA136" s="57"/>
      <c r="AB136" s="57"/>
      <c r="AC136" s="57"/>
    </row>
    <row r="137" spans="3:29" ht="12.5">
      <c r="C137" s="57" t="s">
        <v>274</v>
      </c>
      <c r="D137" s="102" t="s">
        <v>242</v>
      </c>
      <c r="E137" s="102">
        <f t="shared" si="24"/>
        <v>0.001</v>
      </c>
      <c r="F137" s="103"/>
      <c r="G137" s="103"/>
      <c r="M137" s="57"/>
      <c r="N137" s="57"/>
      <c r="O137" s="57"/>
      <c r="P137" s="57"/>
      <c r="Q137" s="57"/>
      <c r="Y137" s="57"/>
      <c r="Z137" s="57"/>
      <c r="AA137" s="57"/>
      <c r="AB137" s="57"/>
      <c r="AC137" s="57"/>
    </row>
    <row r="138" spans="3:29" ht="12.5">
      <c r="C138" s="57" t="s">
        <v>274</v>
      </c>
      <c r="D138" s="102" t="s">
        <v>244</v>
      </c>
      <c r="E138" s="102">
        <f t="shared" si="24"/>
        <v>0.001</v>
      </c>
      <c r="F138" s="103"/>
      <c r="G138" s="103"/>
      <c r="M138" s="57"/>
      <c r="N138" s="57"/>
      <c r="O138" s="57"/>
      <c r="P138" s="57"/>
      <c r="Q138" s="57"/>
      <c r="Y138" s="57"/>
      <c r="Z138" s="57"/>
      <c r="AA138" s="57"/>
      <c r="AB138" s="57"/>
      <c r="AC138" s="57"/>
    </row>
    <row r="139" spans="3:29" ht="12.5">
      <c r="C139" s="57" t="s">
        <v>274</v>
      </c>
      <c r="D139" s="102" t="s">
        <v>246</v>
      </c>
      <c r="E139" s="102">
        <f t="shared" si="24"/>
        <v>0.001</v>
      </c>
      <c r="F139" s="103"/>
      <c r="G139" s="103"/>
      <c r="M139" s="57"/>
      <c r="N139" s="57"/>
      <c r="O139" s="57"/>
      <c r="P139" s="57"/>
      <c r="Q139" s="57"/>
      <c r="Y139" s="57"/>
      <c r="Z139" s="57"/>
      <c r="AA139" s="57"/>
      <c r="AB139" s="57"/>
      <c r="AC139" s="57"/>
    </row>
    <row r="140" spans="3:29" ht="12.5">
      <c r="C140" s="57" t="s">
        <v>274</v>
      </c>
      <c r="D140" s="102" t="s">
        <v>248</v>
      </c>
      <c r="E140" s="102">
        <f t="shared" si="24"/>
        <v>0.001</v>
      </c>
      <c r="F140" s="103"/>
      <c r="G140" s="103"/>
      <c r="M140" s="57"/>
      <c r="N140" s="57"/>
      <c r="O140" s="57"/>
      <c r="P140" s="57"/>
      <c r="Q140" s="57"/>
      <c r="Y140" s="57"/>
      <c r="Z140" s="57"/>
      <c r="AA140" s="57"/>
      <c r="AB140" s="57"/>
      <c r="AC140" s="57"/>
    </row>
    <row r="141" spans="3:29" ht="12.5">
      <c r="C141" s="57" t="s">
        <v>274</v>
      </c>
      <c r="D141" s="102" t="s">
        <v>250</v>
      </c>
      <c r="E141" s="102">
        <f t="shared" si="24"/>
        <v>0.001</v>
      </c>
      <c r="F141" s="103"/>
      <c r="G141" s="103"/>
      <c r="M141" s="57"/>
      <c r="N141" s="57"/>
      <c r="O141" s="57"/>
      <c r="P141" s="57"/>
      <c r="Q141" s="57"/>
      <c r="Y141" s="57"/>
      <c r="Z141" s="57"/>
      <c r="AA141" s="57"/>
      <c r="AB141" s="57"/>
      <c r="AC141" s="57"/>
    </row>
    <row r="142" spans="3:29" ht="12.5">
      <c r="C142" s="57" t="s">
        <v>274</v>
      </c>
      <c r="D142" s="102" t="s">
        <v>252</v>
      </c>
      <c r="E142" s="102">
        <f t="shared" si="24"/>
        <v>0.001</v>
      </c>
      <c r="F142" s="103"/>
      <c r="G142" s="103"/>
      <c r="M142" s="57"/>
      <c r="N142" s="57"/>
      <c r="O142" s="57"/>
      <c r="P142" s="57"/>
      <c r="Q142" s="57"/>
      <c r="Y142" s="57"/>
      <c r="Z142" s="57"/>
      <c r="AA142" s="57"/>
      <c r="AB142" s="57"/>
      <c r="AC142" s="57"/>
    </row>
    <row r="143" spans="3:29" ht="12.5">
      <c r="C143" s="57" t="s">
        <v>274</v>
      </c>
      <c r="D143" s="102" t="s">
        <v>253</v>
      </c>
      <c r="E143" s="102">
        <f t="shared" si="24"/>
        <v>0.001</v>
      </c>
      <c r="F143" s="103"/>
      <c r="G143" s="103"/>
      <c r="M143" s="57"/>
      <c r="N143" s="57"/>
      <c r="O143" s="57"/>
      <c r="P143" s="57"/>
      <c r="Q143" s="57"/>
      <c r="Y143" s="57"/>
      <c r="Z143" s="57"/>
      <c r="AA143" s="57"/>
      <c r="AB143" s="57"/>
      <c r="AC143" s="57"/>
    </row>
    <row r="144" spans="3:29" ht="12.5">
      <c r="C144" s="57" t="s">
        <v>274</v>
      </c>
      <c r="D144" s="102" t="s">
        <v>255</v>
      </c>
      <c r="E144" s="102">
        <f t="shared" si="24"/>
        <v>0.001</v>
      </c>
      <c r="F144" s="103"/>
      <c r="G144" s="103"/>
      <c r="M144" s="57"/>
      <c r="N144" s="57"/>
      <c r="O144" s="57"/>
      <c r="P144" s="57"/>
      <c r="Q144" s="57"/>
      <c r="Y144" s="57"/>
      <c r="Z144" s="57"/>
      <c r="AA144" s="57"/>
      <c r="AB144" s="57"/>
      <c r="AC144" s="57"/>
    </row>
    <row r="145" spans="3:29" ht="12.5">
      <c r="C145" s="57" t="s">
        <v>274</v>
      </c>
      <c r="D145" s="102" t="s">
        <v>257</v>
      </c>
      <c r="E145" s="102">
        <f t="shared" si="24"/>
        <v>0.001</v>
      </c>
      <c r="F145" s="103"/>
      <c r="G145" s="103"/>
      <c r="M145" s="57"/>
      <c r="N145" s="57"/>
      <c r="O145" s="57"/>
      <c r="P145" s="57"/>
      <c r="Q145" s="57"/>
      <c r="Y145" s="57"/>
      <c r="Z145" s="57"/>
      <c r="AA145" s="57"/>
      <c r="AB145" s="57"/>
      <c r="AC145" s="57"/>
    </row>
    <row r="146" spans="3:29" ht="12.5">
      <c r="C146" s="57" t="s">
        <v>274</v>
      </c>
      <c r="D146" s="102" t="s">
        <v>259</v>
      </c>
      <c r="E146" s="102">
        <f t="shared" si="24"/>
        <v>0.001</v>
      </c>
      <c r="F146" s="103"/>
      <c r="G146" s="103"/>
      <c r="M146" s="57"/>
      <c r="N146" s="57"/>
      <c r="O146" s="57"/>
      <c r="P146" s="57"/>
      <c r="Q146" s="57"/>
      <c r="Y146" s="57"/>
      <c r="Z146" s="57"/>
      <c r="AA146" s="57"/>
      <c r="AB146" s="57"/>
      <c r="AC146" s="57"/>
    </row>
    <row r="147" spans="3:29" ht="12.5">
      <c r="C147" s="57" t="s">
        <v>274</v>
      </c>
      <c r="D147" s="102" t="s">
        <v>261</v>
      </c>
      <c r="E147" s="102">
        <f t="shared" si="24"/>
        <v>0.001</v>
      </c>
      <c r="F147" s="103"/>
      <c r="G147" s="103"/>
      <c r="M147" s="57"/>
      <c r="N147" s="57"/>
      <c r="O147" s="57"/>
      <c r="P147" s="57"/>
      <c r="Q147" s="57"/>
      <c r="Y147" s="57"/>
      <c r="Z147" s="57"/>
      <c r="AA147" s="57"/>
      <c r="AB147" s="57"/>
      <c r="AC147" s="57"/>
    </row>
    <row r="148" spans="3:29" ht="12.5">
      <c r="C148" s="57" t="s">
        <v>274</v>
      </c>
      <c r="D148" s="102" t="s">
        <v>263</v>
      </c>
      <c r="E148" s="102">
        <f t="shared" si="24"/>
        <v>0.001</v>
      </c>
      <c r="F148" s="103"/>
      <c r="G148" s="103"/>
      <c r="M148" s="57"/>
      <c r="N148" s="57"/>
      <c r="O148" s="57"/>
      <c r="P148" s="57"/>
      <c r="Q148" s="57"/>
      <c r="Y148" s="57"/>
      <c r="Z148" s="57"/>
      <c r="AA148" s="57"/>
      <c r="AB148" s="57"/>
      <c r="AC148" s="57"/>
    </row>
    <row r="149" spans="3:29" ht="12.5">
      <c r="C149" s="57" t="s">
        <v>274</v>
      </c>
      <c r="D149" s="102" t="s">
        <v>265</v>
      </c>
      <c r="E149" s="102">
        <f t="shared" si="24"/>
        <v>0.001</v>
      </c>
      <c r="F149" s="103"/>
      <c r="G149" s="103"/>
      <c r="M149" s="57"/>
      <c r="N149" s="57"/>
      <c r="O149" s="57"/>
      <c r="P149" s="57"/>
      <c r="Q149" s="57"/>
      <c r="Y149" s="57"/>
      <c r="Z149" s="57"/>
      <c r="AA149" s="57"/>
      <c r="AB149" s="57"/>
      <c r="AC149" s="57"/>
    </row>
    <row r="150" spans="3:29" ht="12.5">
      <c r="C150" s="57" t="s">
        <v>274</v>
      </c>
      <c r="D150" s="102" t="s">
        <v>267</v>
      </c>
      <c r="E150" s="102">
        <f t="shared" si="24"/>
        <v>0.001</v>
      </c>
      <c r="F150" s="103"/>
      <c r="G150" s="103"/>
      <c r="M150" s="57"/>
      <c r="N150" s="57"/>
      <c r="O150" s="57"/>
      <c r="P150" s="57"/>
      <c r="Q150" s="57"/>
      <c r="Y150" s="57"/>
      <c r="Z150" s="57"/>
      <c r="AA150" s="57"/>
      <c r="AB150" s="57"/>
      <c r="AC150" s="57"/>
    </row>
    <row r="151" spans="3:29" ht="12.5">
      <c r="C151" s="57" t="s">
        <v>274</v>
      </c>
      <c r="D151" s="102" t="s">
        <v>268</v>
      </c>
      <c r="E151" s="102">
        <f t="shared" si="24"/>
        <v>0.001</v>
      </c>
      <c r="F151" s="103"/>
      <c r="G151" s="103"/>
      <c r="M151" s="57"/>
      <c r="N151" s="57"/>
      <c r="O151" s="57"/>
      <c r="P151" s="57"/>
      <c r="Q151" s="57"/>
      <c r="Y151" s="57"/>
      <c r="Z151" s="57"/>
      <c r="AA151" s="57"/>
      <c r="AB151" s="57"/>
      <c r="AC151" s="57"/>
    </row>
    <row r="152" spans="3:29" ht="12.5">
      <c r="C152" s="57" t="s">
        <v>274</v>
      </c>
      <c r="D152" s="102" t="s">
        <v>270</v>
      </c>
      <c r="E152" s="102">
        <f t="shared" si="24"/>
        <v>0.001</v>
      </c>
      <c r="F152" s="103"/>
      <c r="G152" s="103"/>
      <c r="M152" s="57"/>
      <c r="N152" s="57"/>
      <c r="O152" s="57"/>
      <c r="P152" s="57"/>
      <c r="Q152" s="57"/>
      <c r="Y152" s="57"/>
      <c r="Z152" s="57"/>
      <c r="AA152" s="57"/>
      <c r="AB152" s="57"/>
      <c r="AC152" s="57"/>
    </row>
    <row r="153" spans="3:29" ht="12.5">
      <c r="C153" s="57" t="s">
        <v>274</v>
      </c>
      <c r="D153" s="102" t="s">
        <v>272</v>
      </c>
      <c r="E153" s="102">
        <f t="shared" si="24"/>
        <v>0.001</v>
      </c>
      <c r="F153" s="103"/>
      <c r="G153" s="103"/>
      <c r="M153" s="57"/>
      <c r="N153" s="57"/>
      <c r="O153" s="57"/>
      <c r="P153" s="57"/>
      <c r="Q153" s="57"/>
      <c r="Y153" s="57"/>
      <c r="Z153" s="57"/>
      <c r="AA153" s="57"/>
      <c r="AB153" s="57"/>
      <c r="AC153" s="57"/>
    </row>
    <row r="154" spans="3:29" ht="12.5">
      <c r="C154" s="57" t="s">
        <v>274</v>
      </c>
      <c r="D154" s="108" t="s">
        <v>273</v>
      </c>
      <c r="E154" s="102">
        <f t="shared" si="24"/>
        <v>0.001</v>
      </c>
      <c r="F154" s="103"/>
      <c r="G154" s="103"/>
      <c r="M154" s="57"/>
      <c r="N154" s="57"/>
      <c r="O154" s="57"/>
      <c r="P154" s="57"/>
      <c r="Q154" s="57"/>
      <c r="Y154" s="57"/>
      <c r="Z154" s="57"/>
      <c r="AA154" s="57"/>
      <c r="AB154" s="57"/>
      <c r="AC154" s="57"/>
    </row>
    <row r="163" spans="2:2" ht="12.5">
      <c r="B163" t="s">
        <v>130</v>
      </c>
    </row>
    <row r="164" spans="1:40" ht="12.5">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ht="12.5">
      <c r="A165">
        <v>2025</v>
      </c>
      <c r="B165" t="s">
        <v>184</v>
      </c>
      <c r="C165" t="s">
        <v>185</v>
      </c>
      <c r="D165" t="s">
        <v>186</v>
      </c>
      <c r="E165" t="s">
        <v>187</v>
      </c>
      <c r="F165">
        <f>F88</f>
        <v>0</v>
      </c>
      <c r="G165">
        <f t="shared" si="25" ref="G165:AM165">G88</f>
        <v>37.049999999999997</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6.4499999999999993</v>
      </c>
      <c r="AB165">
        <f t="shared" si="25"/>
        <v>0</v>
      </c>
      <c r="AC165">
        <f t="shared" si="25"/>
        <v>0</v>
      </c>
      <c r="AD165">
        <f t="shared" si="25"/>
        <v>6.8999999999999995</v>
      </c>
      <c r="AE165">
        <f t="shared" si="25"/>
        <v>0</v>
      </c>
      <c r="AF165">
        <f t="shared" si="25"/>
        <v>0</v>
      </c>
      <c r="AG165">
        <f t="shared" si="25"/>
        <v>0</v>
      </c>
      <c r="AH165">
        <f t="shared" si="25"/>
        <v>0.60000000000000009</v>
      </c>
      <c r="AI165">
        <f t="shared" si="25"/>
        <v>0</v>
      </c>
      <c r="AJ165">
        <f t="shared" si="25"/>
        <v>0</v>
      </c>
      <c r="AK165">
        <f t="shared" si="25"/>
        <v>0</v>
      </c>
      <c r="AL165">
        <f t="shared" si="25"/>
        <v>0</v>
      </c>
      <c r="AM165">
        <f t="shared" si="25"/>
        <v>0</v>
      </c>
      <c r="AN165" t="s">
        <v>187</v>
      </c>
    </row>
    <row r="166" spans="1:40" ht="12.5">
      <c r="A166">
        <v>2025</v>
      </c>
      <c r="B166" t="s">
        <v>184</v>
      </c>
      <c r="C166" t="s">
        <v>185</v>
      </c>
      <c r="D166" t="s">
        <v>188</v>
      </c>
      <c r="E166" t="s">
        <v>189</v>
      </c>
      <c r="F166">
        <f t="shared" si="26" ref="F166:F171">F89</f>
        <v>0</v>
      </c>
      <c r="G166">
        <f t="shared" si="27" ref="G166:AM166">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ht="12.5">
      <c r="A167">
        <v>2025</v>
      </c>
      <c r="B167" t="s">
        <v>184</v>
      </c>
      <c r="C167" t="s">
        <v>185</v>
      </c>
      <c r="D167" t="s">
        <v>190</v>
      </c>
      <c r="E167" t="s">
        <v>191</v>
      </c>
      <c r="F167">
        <f t="shared" si="26"/>
        <v>0</v>
      </c>
      <c r="G167">
        <f t="shared" si="28" ref="G167:AM167">G90</f>
        <v>333.89999999999998</v>
      </c>
      <c r="H167">
        <f t="shared" si="28"/>
        <v>5.4000000000000004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7.1999999999999993</v>
      </c>
      <c r="AB167">
        <f t="shared" si="28"/>
        <v>0</v>
      </c>
      <c r="AC167">
        <f t="shared" si="28"/>
        <v>0</v>
      </c>
      <c r="AD167">
        <f t="shared" si="28"/>
        <v>65.699999999999989</v>
      </c>
      <c r="AE167">
        <f t="shared" si="28"/>
        <v>13.049999999999999</v>
      </c>
      <c r="AF167">
        <f t="shared" si="28"/>
        <v>0</v>
      </c>
      <c r="AG167">
        <f t="shared" si="28"/>
        <v>0</v>
      </c>
      <c r="AH167">
        <f t="shared" si="28"/>
        <v>0</v>
      </c>
      <c r="AI167">
        <f t="shared" si="28"/>
        <v>0</v>
      </c>
      <c r="AJ167">
        <f t="shared" si="28"/>
        <v>0</v>
      </c>
      <c r="AK167">
        <f t="shared" si="28"/>
        <v>4.0500000000000007</v>
      </c>
      <c r="AL167">
        <f t="shared" si="28"/>
        <v>0</v>
      </c>
      <c r="AM167">
        <f t="shared" si="28"/>
        <v>0</v>
      </c>
      <c r="AN167" t="s">
        <v>191</v>
      </c>
    </row>
    <row r="168" spans="1:40" ht="12.5">
      <c r="A168">
        <v>2025</v>
      </c>
      <c r="B168" t="s">
        <v>184</v>
      </c>
      <c r="C168" t="s">
        <v>185</v>
      </c>
      <c r="D168" t="s">
        <v>192</v>
      </c>
      <c r="E168" t="s">
        <v>193</v>
      </c>
      <c r="F168">
        <f t="shared" si="26"/>
        <v>0</v>
      </c>
      <c r="G168">
        <f t="shared" si="29" ref="G168:AM168">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193</v>
      </c>
    </row>
    <row r="169" spans="1:40" ht="12.5">
      <c r="A169">
        <v>2025</v>
      </c>
      <c r="B169" t="s">
        <v>184</v>
      </c>
      <c r="C169" t="s">
        <v>185</v>
      </c>
      <c r="D169" s="57" t="s">
        <v>194</v>
      </c>
      <c r="E169" t="s">
        <v>195</v>
      </c>
      <c r="F169">
        <f t="shared" si="26"/>
        <v>0</v>
      </c>
      <c r="G169">
        <f t="shared" si="30" ref="G169:AM169">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195</v>
      </c>
    </row>
    <row r="170" spans="1:40" ht="12.5">
      <c r="A170">
        <v>2025</v>
      </c>
      <c r="B170" t="s">
        <v>184</v>
      </c>
      <c r="C170" s="57" t="s">
        <v>185</v>
      </c>
      <c r="D170" s="57" t="s">
        <v>196</v>
      </c>
      <c r="E170" t="s">
        <v>197</v>
      </c>
      <c r="F170">
        <f t="shared" si="26"/>
        <v>0</v>
      </c>
      <c r="G170">
        <f t="shared" si="31" ref="G170:AM170">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ht="12.5">
      <c r="A171">
        <v>2025</v>
      </c>
      <c r="B171" t="s">
        <v>184</v>
      </c>
      <c r="C171" s="57" t="s">
        <v>185</v>
      </c>
      <c r="D171" s="57" t="s">
        <v>198</v>
      </c>
      <c r="E171" t="s">
        <v>199</v>
      </c>
      <c r="F171">
        <f t="shared" si="26"/>
        <v>0</v>
      </c>
      <c r="G171">
        <f t="shared" si="32" ref="G171:AM171">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0.30000000000000004</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31.349999999999998</v>
      </c>
      <c r="AB171">
        <f t="shared" si="32"/>
        <v>10.5</v>
      </c>
      <c r="AC171">
        <f t="shared" si="32"/>
        <v>0</v>
      </c>
      <c r="AD171">
        <f t="shared" si="32"/>
        <v>34.349999999999994</v>
      </c>
      <c r="AE171">
        <f t="shared" si="32"/>
        <v>30</v>
      </c>
      <c r="AF171">
        <f t="shared" si="32"/>
        <v>0</v>
      </c>
      <c r="AG171">
        <f t="shared" si="32"/>
        <v>0</v>
      </c>
      <c r="AH171">
        <f t="shared" si="32"/>
        <v>0</v>
      </c>
      <c r="AI171">
        <f t="shared" si="32"/>
        <v>0</v>
      </c>
      <c r="AJ171">
        <f t="shared" si="32"/>
        <v>0</v>
      </c>
      <c r="AK171">
        <f t="shared" si="32"/>
        <v>4.5</v>
      </c>
      <c r="AL171">
        <f t="shared" si="32"/>
        <v>0</v>
      </c>
      <c r="AM171">
        <f t="shared" si="32"/>
        <v>1.7999999999999998</v>
      </c>
      <c r="AN171" t="s">
        <v>199</v>
      </c>
    </row>
    <row r="179" spans="2:2" ht="12.5">
      <c r="B179" t="s">
        <v>130</v>
      </c>
    </row>
    <row r="180" spans="1:40" ht="12.5">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ht="12.5">
      <c r="A181">
        <v>2050</v>
      </c>
      <c r="B181" t="s">
        <v>184</v>
      </c>
      <c r="C181" t="s">
        <v>185</v>
      </c>
      <c r="D181" t="s">
        <v>186</v>
      </c>
      <c r="E181" t="s">
        <v>187</v>
      </c>
      <c r="F181">
        <f>F165/1.5*10</f>
        <v>0</v>
      </c>
      <c r="G181">
        <f t="shared" si="33" ref="G181:AM181">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4.0000000000000009</v>
      </c>
      <c r="AI181">
        <f t="shared" si="33"/>
        <v>0</v>
      </c>
      <c r="AJ181">
        <f t="shared" si="33"/>
        <v>0</v>
      </c>
      <c r="AK181">
        <f t="shared" si="33"/>
        <v>0</v>
      </c>
      <c r="AL181">
        <f t="shared" si="33"/>
        <v>0</v>
      </c>
      <c r="AM181">
        <f t="shared" si="33"/>
        <v>0</v>
      </c>
      <c r="AN181" t="s">
        <v>187</v>
      </c>
    </row>
    <row r="182" spans="1:40" ht="12.5">
      <c r="A182">
        <f t="shared" si="34" ref="A182:A187">A181</f>
        <v>2050</v>
      </c>
      <c r="B182" t="s">
        <v>184</v>
      </c>
      <c r="C182" t="s">
        <v>185</v>
      </c>
      <c r="D182" t="s">
        <v>188</v>
      </c>
      <c r="E182" t="s">
        <v>189</v>
      </c>
      <c r="F182">
        <f t="shared" si="35" ref="F182:F187">F166/1.5*10</f>
        <v>0</v>
      </c>
      <c r="G182">
        <f t="shared" si="36" ref="G182:AM182">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189</v>
      </c>
    </row>
    <row r="183" spans="1:40" ht="12.5">
      <c r="A183">
        <f t="shared" si="34"/>
        <v>2050</v>
      </c>
      <c r="B183" t="s">
        <v>184</v>
      </c>
      <c r="C183" t="s">
        <v>185</v>
      </c>
      <c r="D183" t="s">
        <v>190</v>
      </c>
      <c r="E183" t="s">
        <v>191</v>
      </c>
      <c r="F183">
        <f t="shared" si="35"/>
        <v>0</v>
      </c>
      <c r="G183">
        <f t="shared" si="37" ref="G183:AM183">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437.99999999999989</v>
      </c>
      <c r="AE183">
        <f t="shared" si="37"/>
        <v>87</v>
      </c>
      <c r="AF183">
        <f t="shared" si="37"/>
        <v>0</v>
      </c>
      <c r="AG183">
        <f t="shared" si="37"/>
        <v>0</v>
      </c>
      <c r="AH183">
        <f t="shared" si="37"/>
        <v>0</v>
      </c>
      <c r="AI183">
        <f t="shared" si="37"/>
        <v>0</v>
      </c>
      <c r="AJ183">
        <f t="shared" si="37"/>
        <v>0</v>
      </c>
      <c r="AK183">
        <f t="shared" si="37"/>
        <v>27.000000000000007</v>
      </c>
      <c r="AL183">
        <f t="shared" si="37"/>
        <v>0</v>
      </c>
      <c r="AM183">
        <f t="shared" si="37"/>
        <v>0</v>
      </c>
      <c r="AN183" t="s">
        <v>191</v>
      </c>
    </row>
    <row r="184" spans="1:40" ht="12.5">
      <c r="A184">
        <f t="shared" si="34"/>
        <v>2050</v>
      </c>
      <c r="B184" t="s">
        <v>184</v>
      </c>
      <c r="C184" t="s">
        <v>185</v>
      </c>
      <c r="D184" t="s">
        <v>192</v>
      </c>
      <c r="E184" t="s">
        <v>193</v>
      </c>
      <c r="F184">
        <f t="shared" si="35"/>
        <v>0</v>
      </c>
      <c r="G184">
        <f t="shared" si="38" ref="G184:AM184">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193</v>
      </c>
    </row>
    <row r="185" spans="1:40" ht="12.5">
      <c r="A185">
        <f t="shared" si="34"/>
        <v>2050</v>
      </c>
      <c r="B185" t="s">
        <v>184</v>
      </c>
      <c r="C185" t="s">
        <v>185</v>
      </c>
      <c r="D185" t="s">
        <v>194</v>
      </c>
      <c r="E185" t="s">
        <v>195</v>
      </c>
      <c r="F185">
        <f t="shared" si="35"/>
        <v>0</v>
      </c>
      <c r="G185">
        <f t="shared" si="39" ref="G185:AM185">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195</v>
      </c>
    </row>
    <row r="186" spans="1:40" ht="12.5">
      <c r="A186">
        <f t="shared" si="34"/>
        <v>2050</v>
      </c>
      <c r="B186" t="s">
        <v>184</v>
      </c>
      <c r="C186" t="s">
        <v>185</v>
      </c>
      <c r="D186" t="s">
        <v>196</v>
      </c>
      <c r="E186" t="s">
        <v>197</v>
      </c>
      <c r="F186">
        <f t="shared" si="35"/>
        <v>0</v>
      </c>
      <c r="G186">
        <f t="shared" si="40" ref="G186:AM186">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197</v>
      </c>
    </row>
    <row r="187" spans="1:40" ht="12.5">
      <c r="A187">
        <f t="shared" si="34"/>
        <v>2050</v>
      </c>
      <c r="B187" t="s">
        <v>184</v>
      </c>
      <c r="C187" t="s">
        <v>185</v>
      </c>
      <c r="D187" t="s">
        <v>198</v>
      </c>
      <c r="E187" t="s">
        <v>199</v>
      </c>
      <c r="F187">
        <f t="shared" si="35"/>
        <v>0</v>
      </c>
      <c r="G187">
        <f t="shared" si="41" ref="G187:AM187">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2.0000000000000004</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228.99999999999994</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199</v>
      </c>
    </row>
    <row r="192" spans="2:2" ht="12.5">
      <c r="B192" t="s">
        <v>130</v>
      </c>
    </row>
    <row r="193" spans="1:40" ht="12.5">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ht="12.5">
      <c r="A194">
        <v>2100</v>
      </c>
      <c r="B194" t="s">
        <v>184</v>
      </c>
      <c r="C194" t="s">
        <v>185</v>
      </c>
      <c r="D194" t="s">
        <v>186</v>
      </c>
      <c r="E194" t="s">
        <v>187</v>
      </c>
      <c r="F194">
        <f>F165/1.5*30</f>
        <v>0</v>
      </c>
      <c r="G194">
        <f t="shared" si="42" ref="G194:AM194">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12.000000000000002</v>
      </c>
      <c r="AI194">
        <f t="shared" si="42"/>
        <v>0</v>
      </c>
      <c r="AJ194">
        <f t="shared" si="42"/>
        <v>0</v>
      </c>
      <c r="AK194">
        <f t="shared" si="42"/>
        <v>0</v>
      </c>
      <c r="AL194">
        <f t="shared" si="42"/>
        <v>0</v>
      </c>
      <c r="AM194">
        <f t="shared" si="42"/>
        <v>0</v>
      </c>
      <c r="AN194" t="s">
        <v>187</v>
      </c>
    </row>
    <row r="195" spans="1:40" ht="12.5">
      <c r="A195">
        <v>2100</v>
      </c>
      <c r="B195" t="s">
        <v>184</v>
      </c>
      <c r="C195" t="s">
        <v>185</v>
      </c>
      <c r="D195" t="s">
        <v>188</v>
      </c>
      <c r="E195" t="s">
        <v>189</v>
      </c>
      <c r="F195">
        <f t="shared" si="43" ref="F195:F200">F166/1.5*30</f>
        <v>0</v>
      </c>
      <c r="G195">
        <f t="shared" si="44" ref="G195:AM195">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189</v>
      </c>
    </row>
    <row r="196" spans="1:40" ht="12.5">
      <c r="A196">
        <v>2100</v>
      </c>
      <c r="B196" t="s">
        <v>184</v>
      </c>
      <c r="C196" t="s">
        <v>185</v>
      </c>
      <c r="D196" t="s">
        <v>190</v>
      </c>
      <c r="E196" t="s">
        <v>191</v>
      </c>
      <c r="F196">
        <f t="shared" si="43"/>
        <v>0</v>
      </c>
      <c r="G196">
        <f t="shared" si="45" ref="G196:AM196">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1313.9999999999998</v>
      </c>
      <c r="AE196">
        <f t="shared" si="45"/>
        <v>261</v>
      </c>
      <c r="AF196">
        <f t="shared" si="45"/>
        <v>0</v>
      </c>
      <c r="AG196">
        <f t="shared" si="45"/>
        <v>0</v>
      </c>
      <c r="AH196">
        <f t="shared" si="45"/>
        <v>0</v>
      </c>
      <c r="AI196">
        <f t="shared" si="45"/>
        <v>0</v>
      </c>
      <c r="AJ196">
        <f t="shared" si="45"/>
        <v>0</v>
      </c>
      <c r="AK196">
        <f t="shared" si="45"/>
        <v>81.000000000000014</v>
      </c>
      <c r="AL196">
        <f t="shared" si="45"/>
        <v>0</v>
      </c>
      <c r="AM196">
        <f t="shared" si="45"/>
        <v>0</v>
      </c>
      <c r="AN196" t="s">
        <v>191</v>
      </c>
    </row>
    <row r="197" spans="1:40" ht="12.5">
      <c r="A197">
        <v>2100</v>
      </c>
      <c r="B197" t="s">
        <v>184</v>
      </c>
      <c r="C197" t="s">
        <v>185</v>
      </c>
      <c r="D197" t="s">
        <v>192</v>
      </c>
      <c r="E197" t="s">
        <v>193</v>
      </c>
      <c r="F197">
        <f t="shared" si="43"/>
        <v>0</v>
      </c>
      <c r="G197">
        <f t="shared" si="46" ref="G197:AM197">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193</v>
      </c>
    </row>
    <row r="198" spans="1:40" ht="12.5">
      <c r="A198">
        <v>2100</v>
      </c>
      <c r="B198" t="s">
        <v>184</v>
      </c>
      <c r="C198" t="s">
        <v>185</v>
      </c>
      <c r="D198" t="s">
        <v>194</v>
      </c>
      <c r="E198" t="s">
        <v>195</v>
      </c>
      <c r="F198">
        <f t="shared" si="43"/>
        <v>0</v>
      </c>
      <c r="G198">
        <f t="shared" si="47" ref="G198:AM198">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195</v>
      </c>
    </row>
    <row r="199" spans="1:40" ht="12.5">
      <c r="A199">
        <v>2100</v>
      </c>
      <c r="B199" t="s">
        <v>184</v>
      </c>
      <c r="C199" t="s">
        <v>185</v>
      </c>
      <c r="D199" t="s">
        <v>196</v>
      </c>
      <c r="E199" t="s">
        <v>197</v>
      </c>
      <c r="F199">
        <f t="shared" si="43"/>
        <v>0</v>
      </c>
      <c r="G199">
        <f t="shared" si="48" ref="G199:AM199">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197</v>
      </c>
    </row>
    <row r="200" spans="1:40" ht="12.5">
      <c r="A200">
        <v>2100</v>
      </c>
      <c r="B200" t="s">
        <v>184</v>
      </c>
      <c r="C200" t="s">
        <v>185</v>
      </c>
      <c r="D200" t="s">
        <v>198</v>
      </c>
      <c r="E200" t="s">
        <v>199</v>
      </c>
      <c r="F200">
        <f t="shared" si="43"/>
        <v>0</v>
      </c>
      <c r="G200">
        <f t="shared" si="49" ref="G200:AM200">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6.0000000000000009</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686.99999999999989</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199</v>
      </c>
    </row>
    <row r="210" spans="2:2" s="58" customFormat="1" ht="12.5">
      <c r="B210" s="58" t="s">
        <v>130</v>
      </c>
    </row>
    <row r="211" spans="1:39" s="58" customFormat="1" ht="12.5">
      <c r="A211" s="58" t="str">
        <f>A193</f>
        <v>year</v>
      </c>
      <c r="B211" s="58" t="str">
        <f>B193</f>
        <v>attribute</v>
      </c>
      <c r="C211" s="58" t="s">
        <v>136</v>
      </c>
      <c r="D211" s="58" t="s">
        <v>65</v>
      </c>
      <c r="E211" s="58" t="str">
        <f t="shared" si="50" ref="E211:AM211">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pans="1:39" s="58" customFormat="1" ht="16">
      <c r="A212" s="58">
        <v>2020</v>
      </c>
      <c r="B212" s="109" t="s">
        <v>275</v>
      </c>
      <c r="C212" s="58" t="s">
        <v>140</v>
      </c>
      <c r="D212" s="58" t="s">
        <v>186</v>
      </c>
      <c r="E212" s="58">
        <f>F88/1.5</f>
        <v>0</v>
      </c>
      <c r="F212" s="58">
        <f t="shared" si="51" ref="F212:AL212">G88/1.5</f>
        <v>24.699999999999999</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4.2999999999999998</v>
      </c>
      <c r="AA212" s="58">
        <f t="shared" si="51"/>
        <v>0</v>
      </c>
      <c r="AB212" s="58">
        <f t="shared" si="51"/>
        <v>0</v>
      </c>
      <c r="AC212" s="58">
        <f t="shared" si="51"/>
        <v>4.5999999999999996</v>
      </c>
      <c r="AD212" s="58">
        <f t="shared" si="51"/>
        <v>0</v>
      </c>
      <c r="AE212" s="58">
        <f t="shared" si="51"/>
        <v>0</v>
      </c>
      <c r="AF212" s="58">
        <f t="shared" si="51"/>
        <v>0</v>
      </c>
      <c r="AG212" s="58">
        <f t="shared" si="51"/>
        <v>0.40000000000000008</v>
      </c>
      <c r="AH212" s="58">
        <f t="shared" si="51"/>
        <v>0</v>
      </c>
      <c r="AI212" s="58">
        <f t="shared" si="51"/>
        <v>0</v>
      </c>
      <c r="AJ212" s="58">
        <f t="shared" si="51"/>
        <v>0</v>
      </c>
      <c r="AK212" s="58">
        <f t="shared" si="51"/>
        <v>0</v>
      </c>
      <c r="AL212" s="58">
        <f t="shared" si="51"/>
        <v>0</v>
      </c>
      <c r="AM212" s="58" t="str">
        <f t="shared" si="52" ref="AM212:AM218">AN88</f>
        <v>m_lithium</v>
      </c>
    </row>
    <row r="213" spans="1:39" s="58" customFormat="1" ht="12.5">
      <c r="A213" s="58">
        <f t="shared" si="53" ref="A213:A218">A212</f>
        <v>2020</v>
      </c>
      <c r="B213" s="58" t="str">
        <f t="shared" si="54" ref="B213:B218">B212</f>
        <v>PRC_RESID</v>
      </c>
      <c r="C213" s="58" t="s">
        <v>140</v>
      </c>
      <c r="D213" s="58" t="s">
        <v>188</v>
      </c>
      <c r="E213" s="58">
        <f t="shared" si="55" ref="E213:E218">F89/1.5</f>
        <v>0</v>
      </c>
      <c r="F213" s="58">
        <f t="shared" si="56" ref="F213:AL213">G89/1.5</f>
        <v>0</v>
      </c>
      <c r="G213" s="58">
        <f t="shared" si="56"/>
        <v>110</v>
      </c>
      <c r="H213" s="58">
        <f t="shared" si="56"/>
        <v>0</v>
      </c>
      <c r="I213" s="58">
        <f t="shared" si="56"/>
        <v>0</v>
      </c>
      <c r="J213" s="58">
        <f t="shared" si="56"/>
        <v>0</v>
      </c>
      <c r="K213" s="58">
        <f t="shared" si="56"/>
        <v>77</v>
      </c>
      <c r="L213" s="58">
        <f t="shared" si="56"/>
        <v>120</v>
      </c>
      <c r="M213" s="58">
        <f t="shared" si="56"/>
        <v>0</v>
      </c>
      <c r="N213" s="58">
        <f t="shared" si="56"/>
        <v>0</v>
      </c>
      <c r="O213" s="58">
        <f t="shared" si="56"/>
        <v>0</v>
      </c>
      <c r="P213" s="58">
        <f t="shared" si="56"/>
        <v>0</v>
      </c>
      <c r="Q213" s="58">
        <f t="shared" si="56"/>
        <v>0</v>
      </c>
      <c r="R213" s="58">
        <f t="shared" si="56"/>
        <v>0</v>
      </c>
      <c r="S213" s="58">
        <f t="shared" si="56"/>
        <v>0</v>
      </c>
      <c r="T213" s="58">
        <f t="shared" si="56"/>
        <v>0</v>
      </c>
      <c r="U213" s="58">
        <f t="shared" si="56"/>
        <v>0</v>
      </c>
      <c r="V213" s="58">
        <f t="shared" si="56"/>
        <v>0</v>
      </c>
      <c r="W213" s="58">
        <f t="shared" si="56"/>
        <v>0</v>
      </c>
      <c r="X213" s="58">
        <f t="shared" si="56"/>
        <v>0</v>
      </c>
      <c r="Y213" s="58">
        <f t="shared" si="56"/>
        <v>0</v>
      </c>
      <c r="Z213" s="58">
        <f t="shared" si="56"/>
        <v>198</v>
      </c>
      <c r="AA213" s="58">
        <f t="shared" si="56"/>
        <v>0</v>
      </c>
      <c r="AB213" s="58">
        <f t="shared" si="56"/>
        <v>0</v>
      </c>
      <c r="AC213" s="58">
        <f t="shared" si="56"/>
        <v>2985</v>
      </c>
      <c r="AD213" s="58">
        <f t="shared" si="56"/>
        <v>210</v>
      </c>
      <c r="AE213" s="58">
        <f t="shared" si="56"/>
        <v>0</v>
      </c>
      <c r="AF213" s="58">
        <f t="shared" si="56"/>
        <v>0</v>
      </c>
      <c r="AG213" s="58">
        <f t="shared" si="56"/>
        <v>0</v>
      </c>
      <c r="AH213" s="58">
        <f t="shared" si="56"/>
        <v>0</v>
      </c>
      <c r="AI213" s="58">
        <f t="shared" si="56"/>
        <v>0</v>
      </c>
      <c r="AJ213" s="58">
        <f t="shared" si="56"/>
        <v>0</v>
      </c>
      <c r="AK213" s="58">
        <f t="shared" si="56"/>
        <v>0</v>
      </c>
      <c r="AL213" s="58">
        <f t="shared" si="56"/>
        <v>0</v>
      </c>
      <c r="AM213" s="58" t="str">
        <f t="shared" si="52"/>
        <v>m_nickel</v>
      </c>
    </row>
    <row r="214" spans="1:39" s="58" customFormat="1" ht="12.5">
      <c r="A214" s="58">
        <f t="shared" si="53"/>
        <v>2020</v>
      </c>
      <c r="B214" s="58" t="str">
        <f t="shared" si="54"/>
        <v>PRC_RESID</v>
      </c>
      <c r="C214" s="58" t="s">
        <v>140</v>
      </c>
      <c r="D214" s="58" t="s">
        <v>190</v>
      </c>
      <c r="E214" s="58">
        <f t="shared" si="55"/>
        <v>0</v>
      </c>
      <c r="F214" s="58">
        <f t="shared" si="57" ref="F214:AL214">G90/1.5</f>
        <v>222.59999999999999</v>
      </c>
      <c r="G214" s="58">
        <f t="shared" si="57"/>
        <v>3.6000000000000001</v>
      </c>
      <c r="H214" s="58">
        <f t="shared" si="57"/>
        <v>0</v>
      </c>
      <c r="I214" s="58">
        <f t="shared" si="57"/>
        <v>0</v>
      </c>
      <c r="J214" s="58">
        <f t="shared" si="57"/>
        <v>0</v>
      </c>
      <c r="K214" s="58">
        <f t="shared" si="57"/>
        <v>0</v>
      </c>
      <c r="L214" s="58">
        <f t="shared" si="57"/>
        <v>0</v>
      </c>
      <c r="M214" s="58">
        <f t="shared" si="57"/>
        <v>0</v>
      </c>
      <c r="N214" s="58">
        <f t="shared" si="57"/>
        <v>0</v>
      </c>
      <c r="O214" s="58">
        <f t="shared" si="57"/>
        <v>0</v>
      </c>
      <c r="P214" s="58">
        <f t="shared" si="57"/>
        <v>0</v>
      </c>
      <c r="Q214" s="58">
        <f t="shared" si="57"/>
        <v>0</v>
      </c>
      <c r="R214" s="58">
        <f t="shared" si="57"/>
        <v>0</v>
      </c>
      <c r="S214" s="58">
        <f t="shared" si="57"/>
        <v>0</v>
      </c>
      <c r="T214" s="58">
        <f t="shared" si="57"/>
        <v>0</v>
      </c>
      <c r="U214" s="58">
        <f t="shared" si="57"/>
        <v>0</v>
      </c>
      <c r="V214" s="58">
        <f t="shared" si="57"/>
        <v>0</v>
      </c>
      <c r="W214" s="58">
        <f t="shared" si="57"/>
        <v>0</v>
      </c>
      <c r="X214" s="58">
        <f t="shared" si="57"/>
        <v>3.5</v>
      </c>
      <c r="Y214" s="58">
        <f t="shared" si="57"/>
        <v>0</v>
      </c>
      <c r="Z214" s="58">
        <f t="shared" si="57"/>
        <v>4.7999999999999998</v>
      </c>
      <c r="AA214" s="58">
        <f t="shared" si="57"/>
        <v>0</v>
      </c>
      <c r="AB214" s="58">
        <f t="shared" si="57"/>
        <v>0</v>
      </c>
      <c r="AC214" s="58">
        <f t="shared" si="57"/>
        <v>43.79999999999999</v>
      </c>
      <c r="AD214" s="58">
        <f t="shared" si="57"/>
        <v>8.6999999999999993</v>
      </c>
      <c r="AE214" s="58">
        <f t="shared" si="57"/>
        <v>0</v>
      </c>
      <c r="AF214" s="58">
        <f t="shared" si="57"/>
        <v>0</v>
      </c>
      <c r="AG214" s="58">
        <f t="shared" si="57"/>
        <v>0</v>
      </c>
      <c r="AH214" s="58">
        <f t="shared" si="57"/>
        <v>0</v>
      </c>
      <c r="AI214" s="58">
        <f t="shared" si="57"/>
        <v>0</v>
      </c>
      <c r="AJ214" s="58">
        <f t="shared" si="57"/>
        <v>2.7000000000000006</v>
      </c>
      <c r="AK214" s="58">
        <f t="shared" si="57"/>
        <v>0</v>
      </c>
      <c r="AL214" s="58">
        <f t="shared" si="57"/>
        <v>0</v>
      </c>
      <c r="AM214" s="58" t="str">
        <f t="shared" si="52"/>
        <v>m_cobalt</v>
      </c>
    </row>
    <row r="215" spans="1:39" s="58" customFormat="1" ht="12.5">
      <c r="A215" s="58">
        <f t="shared" si="53"/>
        <v>2020</v>
      </c>
      <c r="B215" s="58" t="str">
        <f t="shared" si="54"/>
        <v>PRC_RESID</v>
      </c>
      <c r="C215" s="58" t="s">
        <v>140</v>
      </c>
      <c r="D215" s="58" t="s">
        <v>192</v>
      </c>
      <c r="E215" s="58">
        <f t="shared" si="55"/>
        <v>0</v>
      </c>
      <c r="F215" s="58">
        <f t="shared" si="58" ref="F215:AL215">G91/1.5</f>
        <v>5780</v>
      </c>
      <c r="G215" s="58">
        <f t="shared" si="58"/>
        <v>2800</v>
      </c>
      <c r="H215" s="58">
        <f t="shared" si="58"/>
        <v>0</v>
      </c>
      <c r="I215" s="58">
        <f t="shared" si="58"/>
        <v>0</v>
      </c>
      <c r="J215" s="58">
        <f t="shared" si="58"/>
        <v>0</v>
      </c>
      <c r="K215" s="58">
        <f t="shared" si="58"/>
        <v>590</v>
      </c>
      <c r="L215" s="58">
        <f t="shared" si="58"/>
        <v>770</v>
      </c>
      <c r="M215" s="58">
        <f t="shared" si="58"/>
        <v>0</v>
      </c>
      <c r="N215" s="58">
        <f t="shared" si="58"/>
        <v>0</v>
      </c>
      <c r="O215" s="58">
        <f t="shared" si="58"/>
        <v>0</v>
      </c>
      <c r="P215" s="58">
        <f t="shared" si="58"/>
        <v>0</v>
      </c>
      <c r="Q215" s="58">
        <f t="shared" si="58"/>
        <v>0</v>
      </c>
      <c r="R215" s="58">
        <f t="shared" si="58"/>
        <v>0</v>
      </c>
      <c r="S215" s="58">
        <f t="shared" si="58"/>
        <v>0</v>
      </c>
      <c r="T215" s="58">
        <f t="shared" si="58"/>
        <v>800</v>
      </c>
      <c r="U215" s="58">
        <f t="shared" si="58"/>
        <v>0</v>
      </c>
      <c r="V215" s="58">
        <f t="shared" si="58"/>
        <v>0</v>
      </c>
      <c r="W215" s="58">
        <f t="shared" si="58"/>
        <v>0</v>
      </c>
      <c r="X215" s="58">
        <f t="shared" si="58"/>
        <v>0</v>
      </c>
      <c r="Y215" s="58">
        <f t="shared" si="58"/>
        <v>0</v>
      </c>
      <c r="Z215" s="58">
        <f t="shared" si="58"/>
        <v>0</v>
      </c>
      <c r="AA215" s="58">
        <f t="shared" si="58"/>
        <v>0</v>
      </c>
      <c r="AB215" s="58">
        <f t="shared" si="58"/>
        <v>0</v>
      </c>
      <c r="AC215" s="58">
        <f t="shared" si="58"/>
        <v>2060</v>
      </c>
      <c r="AD215" s="58">
        <f t="shared" si="58"/>
        <v>0</v>
      </c>
      <c r="AE215" s="58">
        <f t="shared" si="58"/>
        <v>0</v>
      </c>
      <c r="AF215" s="58">
        <f t="shared" si="58"/>
        <v>7400</v>
      </c>
      <c r="AG215" s="58">
        <f t="shared" si="58"/>
        <v>0</v>
      </c>
      <c r="AH215" s="58">
        <f t="shared" si="58"/>
        <v>0</v>
      </c>
      <c r="AI215" s="58">
        <f t="shared" si="58"/>
        <v>0</v>
      </c>
      <c r="AJ215" s="58">
        <f t="shared" si="58"/>
        <v>0</v>
      </c>
      <c r="AK215" s="58">
        <f t="shared" si="58"/>
        <v>0</v>
      </c>
      <c r="AL215" s="58">
        <f t="shared" si="58"/>
        <v>0</v>
      </c>
      <c r="AM215" s="58" t="str">
        <f t="shared" si="52"/>
        <v>m_manganese</v>
      </c>
    </row>
    <row r="216" spans="1:39" s="58" customFormat="1" ht="12.5">
      <c r="A216" s="58">
        <f t="shared" si="53"/>
        <v>2020</v>
      </c>
      <c r="B216" s="58" t="str">
        <f t="shared" si="54"/>
        <v>PRC_RESID</v>
      </c>
      <c r="C216" s="58" t="s">
        <v>140</v>
      </c>
      <c r="D216" s="58" t="s">
        <v>194</v>
      </c>
      <c r="E216" s="58">
        <f t="shared" si="55"/>
        <v>0</v>
      </c>
      <c r="F216" s="58">
        <f t="shared" si="59" ref="F216:AL216">G92/1.5</f>
        <v>0</v>
      </c>
      <c r="G216" s="58">
        <f t="shared" si="59"/>
        <v>1500</v>
      </c>
      <c r="H216" s="58">
        <f t="shared" si="59"/>
        <v>0</v>
      </c>
      <c r="I216" s="58">
        <f t="shared" si="59"/>
        <v>0</v>
      </c>
      <c r="J216" s="58">
        <f t="shared" si="59"/>
        <v>0</v>
      </c>
      <c r="K216" s="58">
        <f t="shared" si="59"/>
        <v>1100</v>
      </c>
      <c r="L216" s="58">
        <f t="shared" si="59"/>
        <v>43000</v>
      </c>
      <c r="M216" s="58">
        <f t="shared" si="59"/>
        <v>0</v>
      </c>
      <c r="N216" s="58">
        <f t="shared" si="59"/>
        <v>0</v>
      </c>
      <c r="O216" s="58">
        <f t="shared" si="59"/>
        <v>0</v>
      </c>
      <c r="P216" s="58">
        <f t="shared" si="59"/>
        <v>0</v>
      </c>
      <c r="Q216" s="58">
        <f t="shared" si="59"/>
        <v>0</v>
      </c>
      <c r="R216" s="58">
        <f t="shared" si="59"/>
        <v>0</v>
      </c>
      <c r="S216" s="58">
        <f t="shared" si="59"/>
        <v>780</v>
      </c>
      <c r="T216" s="58">
        <f t="shared" si="59"/>
        <v>4200</v>
      </c>
      <c r="U216" s="58">
        <f t="shared" si="59"/>
        <v>0</v>
      </c>
      <c r="V216" s="58">
        <f t="shared" si="59"/>
        <v>0</v>
      </c>
      <c r="W216" s="58">
        <f t="shared" si="59"/>
        <v>0</v>
      </c>
      <c r="X216" s="58">
        <f t="shared" si="59"/>
        <v>0</v>
      </c>
      <c r="Y216" s="58">
        <f t="shared" si="59"/>
        <v>4300</v>
      </c>
      <c r="Z216" s="58">
        <f t="shared" si="59"/>
        <v>3970</v>
      </c>
      <c r="AA216" s="58">
        <f t="shared" si="59"/>
        <v>1300</v>
      </c>
      <c r="AB216" s="58">
        <f t="shared" si="59"/>
        <v>0</v>
      </c>
      <c r="AC216" s="58">
        <f t="shared" si="59"/>
        <v>8050</v>
      </c>
      <c r="AD216" s="58">
        <f t="shared" si="59"/>
        <v>3800</v>
      </c>
      <c r="AE216" s="58">
        <f t="shared" si="59"/>
        <v>0</v>
      </c>
      <c r="AF216" s="58">
        <f t="shared" si="59"/>
        <v>0</v>
      </c>
      <c r="AG216" s="58">
        <f t="shared" si="59"/>
        <v>0</v>
      </c>
      <c r="AH216" s="58">
        <f t="shared" si="59"/>
        <v>0</v>
      </c>
      <c r="AI216" s="58">
        <f t="shared" si="59"/>
        <v>0</v>
      </c>
      <c r="AJ216" s="58">
        <f t="shared" si="59"/>
        <v>0</v>
      </c>
      <c r="AK216" s="58">
        <f t="shared" si="59"/>
        <v>0</v>
      </c>
      <c r="AL216" s="58">
        <f t="shared" si="59"/>
        <v>0</v>
      </c>
      <c r="AM216" s="58" t="str">
        <f t="shared" si="52"/>
        <v>m_aluminum</v>
      </c>
    </row>
    <row r="217" spans="1:39" s="58" customFormat="1" ht="12.5">
      <c r="A217" s="58">
        <f t="shared" si="53"/>
        <v>2020</v>
      </c>
      <c r="B217" s="58" t="str">
        <f t="shared" si="54"/>
        <v>PRC_RESID</v>
      </c>
      <c r="C217" s="58" t="s">
        <v>140</v>
      </c>
      <c r="D217" s="58" t="s">
        <v>196</v>
      </c>
      <c r="E217" s="58">
        <f t="shared" si="55"/>
        <v>0</v>
      </c>
      <c r="F217" s="58">
        <f t="shared" si="60" ref="F217:AL217">G93/1.5</f>
        <v>3980</v>
      </c>
      <c r="G217" s="58">
        <f t="shared" si="60"/>
        <v>800</v>
      </c>
      <c r="H217" s="58">
        <f t="shared" si="60"/>
        <v>0</v>
      </c>
      <c r="I217" s="58">
        <f t="shared" si="60"/>
        <v>0</v>
      </c>
      <c r="J217" s="58">
        <f t="shared" si="60"/>
        <v>0</v>
      </c>
      <c r="K217" s="58">
        <f t="shared" si="60"/>
        <v>0</v>
      </c>
      <c r="L217" s="58">
        <f t="shared" si="60"/>
        <v>1800</v>
      </c>
      <c r="M217" s="58">
        <f t="shared" si="60"/>
        <v>0</v>
      </c>
      <c r="N217" s="58">
        <f t="shared" si="60"/>
        <v>0</v>
      </c>
      <c r="O217" s="58">
        <f t="shared" si="60"/>
        <v>0</v>
      </c>
      <c r="P217" s="58">
        <f t="shared" si="60"/>
        <v>0</v>
      </c>
      <c r="Q217" s="58">
        <f t="shared" si="60"/>
        <v>0</v>
      </c>
      <c r="R217" s="58">
        <f t="shared" si="60"/>
        <v>0</v>
      </c>
      <c r="S217" s="58">
        <f t="shared" si="60"/>
        <v>0</v>
      </c>
      <c r="T217" s="58">
        <f t="shared" si="60"/>
        <v>30</v>
      </c>
      <c r="U217" s="58">
        <f t="shared" si="60"/>
        <v>0</v>
      </c>
      <c r="V217" s="58">
        <f t="shared" si="60"/>
        <v>0</v>
      </c>
      <c r="W217" s="58">
        <f t="shared" si="60"/>
        <v>0</v>
      </c>
      <c r="X217" s="58">
        <f t="shared" si="60"/>
        <v>7900</v>
      </c>
      <c r="Y217" s="58">
        <f t="shared" si="60"/>
        <v>0</v>
      </c>
      <c r="Z217" s="58">
        <f t="shared" si="60"/>
        <v>2250</v>
      </c>
      <c r="AA217" s="58">
        <f t="shared" si="60"/>
        <v>0</v>
      </c>
      <c r="AB217" s="58">
        <f t="shared" si="60"/>
        <v>410</v>
      </c>
      <c r="AC217" s="58">
        <f t="shared" si="60"/>
        <v>4700</v>
      </c>
      <c r="AD217" s="58">
        <f t="shared" si="60"/>
        <v>930</v>
      </c>
      <c r="AE217" s="58">
        <f t="shared" si="60"/>
        <v>0</v>
      </c>
      <c r="AF217" s="58">
        <f t="shared" si="60"/>
        <v>0</v>
      </c>
      <c r="AG217" s="58">
        <f t="shared" si="60"/>
        <v>0</v>
      </c>
      <c r="AH217" s="58">
        <f t="shared" si="60"/>
        <v>0</v>
      </c>
      <c r="AI217" s="58">
        <f t="shared" si="60"/>
        <v>0</v>
      </c>
      <c r="AJ217" s="58">
        <f t="shared" si="60"/>
        <v>0</v>
      </c>
      <c r="AK217" s="58">
        <f t="shared" si="60"/>
        <v>0</v>
      </c>
      <c r="AL217" s="58">
        <f t="shared" si="60"/>
        <v>0</v>
      </c>
      <c r="AM217" s="58" t="str">
        <f t="shared" si="52"/>
        <v>m_copper</v>
      </c>
    </row>
    <row r="218" spans="1:39" s="58" customFormat="1" ht="12.5">
      <c r="A218" s="58">
        <f t="shared" si="53"/>
        <v>2020</v>
      </c>
      <c r="B218" s="58" t="str">
        <f t="shared" si="54"/>
        <v>PRC_RESID</v>
      </c>
      <c r="C218" s="58" t="s">
        <v>140</v>
      </c>
      <c r="D218" s="58" t="s">
        <v>198</v>
      </c>
      <c r="E218" s="58">
        <f t="shared" si="55"/>
        <v>0</v>
      </c>
      <c r="F218" s="58">
        <f t="shared" si="61" ref="F218:AL218">G94/1.5</f>
        <v>189</v>
      </c>
      <c r="G218" s="58">
        <f t="shared" si="61"/>
        <v>0</v>
      </c>
      <c r="H218" s="58">
        <f t="shared" si="61"/>
        <v>0.5</v>
      </c>
      <c r="I218" s="58">
        <f t="shared" si="61"/>
        <v>0</v>
      </c>
      <c r="J218" s="58">
        <f t="shared" si="61"/>
        <v>0</v>
      </c>
      <c r="K218" s="58">
        <f t="shared" si="61"/>
        <v>68</v>
      </c>
      <c r="L218" s="58">
        <f t="shared" si="61"/>
        <v>1270</v>
      </c>
      <c r="M218" s="58">
        <f t="shared" si="61"/>
        <v>0</v>
      </c>
      <c r="N218" s="58">
        <f t="shared" si="61"/>
        <v>0</v>
      </c>
      <c r="O218" s="58">
        <f t="shared" si="61"/>
        <v>0</v>
      </c>
      <c r="P218" s="58">
        <f t="shared" si="61"/>
        <v>0.20000000000000004</v>
      </c>
      <c r="Q218" s="58">
        <f t="shared" si="61"/>
        <v>0</v>
      </c>
      <c r="R218" s="58">
        <f t="shared" si="61"/>
        <v>0</v>
      </c>
      <c r="S218" s="58">
        <f t="shared" si="61"/>
        <v>0</v>
      </c>
      <c r="T218" s="58">
        <f t="shared" si="61"/>
        <v>28</v>
      </c>
      <c r="U218" s="58">
        <f t="shared" si="61"/>
        <v>0</v>
      </c>
      <c r="V218" s="58">
        <f t="shared" si="61"/>
        <v>0</v>
      </c>
      <c r="W218" s="58">
        <f t="shared" si="61"/>
        <v>0</v>
      </c>
      <c r="X218" s="58">
        <f t="shared" si="61"/>
        <v>0</v>
      </c>
      <c r="Y218" s="58">
        <f t="shared" si="61"/>
        <v>0</v>
      </c>
      <c r="Z218" s="58">
        <f t="shared" si="61"/>
        <v>20.899999999999999</v>
      </c>
      <c r="AA218" s="58">
        <f t="shared" si="61"/>
        <v>7</v>
      </c>
      <c r="AB218" s="58">
        <f t="shared" si="61"/>
        <v>0</v>
      </c>
      <c r="AC218" s="58">
        <f t="shared" si="61"/>
        <v>22.899999999999995</v>
      </c>
      <c r="AD218" s="58">
        <f t="shared" si="61"/>
        <v>20</v>
      </c>
      <c r="AE218" s="58">
        <f t="shared" si="61"/>
        <v>0</v>
      </c>
      <c r="AF218" s="58">
        <f t="shared" si="61"/>
        <v>0</v>
      </c>
      <c r="AG218" s="58">
        <f t="shared" si="61"/>
        <v>0</v>
      </c>
      <c r="AH218" s="58">
        <f t="shared" si="61"/>
        <v>0</v>
      </c>
      <c r="AI218" s="58">
        <f t="shared" si="61"/>
        <v>0</v>
      </c>
      <c r="AJ218" s="58">
        <f t="shared" si="61"/>
        <v>3</v>
      </c>
      <c r="AK218" s="58">
        <f t="shared" si="61"/>
        <v>0</v>
      </c>
      <c r="AL218" s="58">
        <f t="shared" si="61"/>
        <v>1.2</v>
      </c>
      <c r="AM218" s="58" t="str">
        <f t="shared" si="52"/>
        <v>m_graphite</v>
      </c>
    </row>
    <row r="226" s="59" customFormat="1" ht="12.5"/>
    <row r="227" s="59" customFormat="1" ht="12.5"/>
    <row r="228" s="59" customFormat="1" ht="12.5"/>
    <row r="229" s="59" customFormat="1" ht="12.5"/>
    <row r="230" s="59" customFormat="1" ht="12.5"/>
    <row r="231" s="59" customFormat="1" ht="12.5"/>
    <row r="232" s="59" customFormat="1" ht="12.5"/>
    <row r="233" s="59" customFormat="1" ht="12.5"/>
    <row r="234" s="59" customFormat="1" ht="12.5"/>
    <row r="241" spans="4:4" ht="12.5">
      <c r="D241" t="s">
        <v>276</v>
      </c>
    </row>
    <row r="243" spans="4:16" ht="14.5">
      <c r="D243" s="110" t="s">
        <v>1</v>
      </c>
      <c r="E243" s="110" t="s">
        <v>68</v>
      </c>
      <c r="F243" s="110" t="s">
        <v>90</v>
      </c>
      <c r="G243" s="110" t="s">
        <v>94</v>
      </c>
      <c r="H243" s="110" t="s">
        <v>86</v>
      </c>
      <c r="I243" s="110" t="s">
        <v>77</v>
      </c>
      <c r="J243" s="110" t="s">
        <v>73</v>
      </c>
      <c r="K243" s="110" t="s">
        <v>97</v>
      </c>
      <c r="P243" t="s">
        <v>277</v>
      </c>
    </row>
    <row r="244" spans="4:23" ht="14.5">
      <c r="D244" s="110" t="s">
        <v>3</v>
      </c>
      <c r="E244" s="110">
        <v>0</v>
      </c>
      <c r="F244" s="110">
        <v>0</v>
      </c>
      <c r="G244" s="110">
        <v>0</v>
      </c>
      <c r="H244" s="110">
        <v>0</v>
      </c>
      <c r="I244" s="110">
        <v>0</v>
      </c>
      <c r="J244" s="110">
        <v>0</v>
      </c>
      <c r="K244" s="110">
        <v>0</v>
      </c>
      <c r="Q244">
        <f>E244/3</f>
        <v>0</v>
      </c>
      <c r="R244">
        <f t="shared" si="62" ref="R244:W244">F244/3</f>
        <v>0</v>
      </c>
      <c r="S244">
        <f t="shared" si="62"/>
        <v>0</v>
      </c>
      <c r="T244">
        <f t="shared" si="62"/>
        <v>0</v>
      </c>
      <c r="U244">
        <f t="shared" si="62"/>
        <v>0</v>
      </c>
      <c r="V244">
        <f t="shared" si="62"/>
        <v>0</v>
      </c>
      <c r="W244">
        <f t="shared" si="62"/>
        <v>0</v>
      </c>
    </row>
    <row r="245" spans="4:23" ht="14.5">
      <c r="D245" s="110" t="s">
        <v>5</v>
      </c>
      <c r="E245" s="110">
        <v>0</v>
      </c>
      <c r="F245" s="110">
        <v>0</v>
      </c>
      <c r="G245" s="110">
        <v>0</v>
      </c>
      <c r="H245" s="110">
        <v>0</v>
      </c>
      <c r="I245" s="110">
        <v>0</v>
      </c>
      <c r="J245" s="110">
        <v>0</v>
      </c>
      <c r="K245" s="110">
        <v>0</v>
      </c>
      <c r="Q245">
        <f t="shared" si="63" ref="Q245:Q277">E245/3</f>
        <v>0</v>
      </c>
      <c r="R245">
        <f t="shared" si="64" ref="R245:W245">F245/3</f>
        <v>0</v>
      </c>
      <c r="S245">
        <f t="shared" si="64"/>
        <v>0</v>
      </c>
      <c r="T245">
        <f t="shared" si="64"/>
        <v>0</v>
      </c>
      <c r="U245">
        <f t="shared" si="64"/>
        <v>0</v>
      </c>
      <c r="V245">
        <f t="shared" si="64"/>
        <v>0</v>
      </c>
      <c r="W245">
        <f t="shared" si="64"/>
        <v>0</v>
      </c>
    </row>
    <row r="246" spans="4:23" ht="14.5">
      <c r="D246" s="110" t="s">
        <v>6</v>
      </c>
      <c r="E246" s="110">
        <v>0</v>
      </c>
      <c r="F246" s="110">
        <v>0</v>
      </c>
      <c r="G246" s="110">
        <v>0</v>
      </c>
      <c r="H246" s="110">
        <v>0</v>
      </c>
      <c r="I246" s="110">
        <v>0</v>
      </c>
      <c r="J246" s="110">
        <v>0</v>
      </c>
      <c r="K246" s="110">
        <v>0</v>
      </c>
      <c r="Q246">
        <f t="shared" si="63"/>
        <v>0</v>
      </c>
      <c r="R246">
        <f t="shared" si="65" ref="R246:W246">F246/3</f>
        <v>0</v>
      </c>
      <c r="S246">
        <f t="shared" si="65"/>
        <v>0</v>
      </c>
      <c r="T246">
        <f t="shared" si="65"/>
        <v>0</v>
      </c>
      <c r="U246">
        <f t="shared" si="65"/>
        <v>0</v>
      </c>
      <c r="V246">
        <f t="shared" si="65"/>
        <v>0</v>
      </c>
      <c r="W246">
        <f t="shared" si="65"/>
        <v>0</v>
      </c>
    </row>
    <row r="247" spans="4:23" ht="14.5">
      <c r="D247" s="110" t="s">
        <v>7</v>
      </c>
      <c r="E247" s="110">
        <v>0</v>
      </c>
      <c r="F247" s="110">
        <v>0</v>
      </c>
      <c r="G247" s="110">
        <v>0</v>
      </c>
      <c r="H247" s="110">
        <v>0</v>
      </c>
      <c r="I247" s="110">
        <v>0</v>
      </c>
      <c r="J247" s="110">
        <v>0</v>
      </c>
      <c r="K247" s="110">
        <v>0</v>
      </c>
      <c r="Q247">
        <f t="shared" si="63"/>
        <v>0</v>
      </c>
      <c r="R247">
        <f t="shared" si="66" ref="R247:W247">F247/3</f>
        <v>0</v>
      </c>
      <c r="S247">
        <f t="shared" si="66"/>
        <v>0</v>
      </c>
      <c r="T247">
        <f t="shared" si="66"/>
        <v>0</v>
      </c>
      <c r="U247">
        <f t="shared" si="66"/>
        <v>0</v>
      </c>
      <c r="V247">
        <f t="shared" si="66"/>
        <v>0</v>
      </c>
      <c r="W247">
        <f t="shared" si="66"/>
        <v>0</v>
      </c>
    </row>
    <row r="248" spans="4:23" ht="14.5">
      <c r="D248" s="110" t="s">
        <v>8</v>
      </c>
      <c r="E248" s="110">
        <v>0</v>
      </c>
      <c r="F248" s="110">
        <v>0</v>
      </c>
      <c r="G248" s="110">
        <v>0</v>
      </c>
      <c r="H248" s="110">
        <v>0</v>
      </c>
      <c r="I248" s="110">
        <v>0</v>
      </c>
      <c r="J248" s="110">
        <v>0</v>
      </c>
      <c r="K248" s="110">
        <v>0</v>
      </c>
      <c r="Q248">
        <f t="shared" si="63"/>
        <v>0</v>
      </c>
      <c r="R248">
        <f t="shared" si="67" ref="R248:W248">F248/3</f>
        <v>0</v>
      </c>
      <c r="S248">
        <f t="shared" si="67"/>
        <v>0</v>
      </c>
      <c r="T248">
        <f t="shared" si="67"/>
        <v>0</v>
      </c>
      <c r="U248">
        <f t="shared" si="67"/>
        <v>0</v>
      </c>
      <c r="V248">
        <f t="shared" si="67"/>
        <v>0</v>
      </c>
      <c r="W248">
        <f t="shared" si="67"/>
        <v>0</v>
      </c>
    </row>
    <row r="249" spans="4:23" ht="14.5">
      <c r="D249" s="110" t="s">
        <v>9</v>
      </c>
      <c r="E249" s="110">
        <v>0</v>
      </c>
      <c r="F249" s="110">
        <v>0</v>
      </c>
      <c r="G249" s="110">
        <v>0</v>
      </c>
      <c r="H249" s="110">
        <v>0</v>
      </c>
      <c r="I249" s="110">
        <v>0</v>
      </c>
      <c r="J249" s="110">
        <v>0</v>
      </c>
      <c r="K249" s="110">
        <v>0</v>
      </c>
      <c r="Q249">
        <f t="shared" si="63"/>
        <v>0</v>
      </c>
      <c r="R249">
        <f t="shared" si="68" ref="R249:W249">F249/3</f>
        <v>0</v>
      </c>
      <c r="S249">
        <f t="shared" si="68"/>
        <v>0</v>
      </c>
      <c r="T249">
        <f t="shared" si="68"/>
        <v>0</v>
      </c>
      <c r="U249">
        <f t="shared" si="68"/>
        <v>0</v>
      </c>
      <c r="V249">
        <f t="shared" si="68"/>
        <v>0</v>
      </c>
      <c r="W249">
        <f t="shared" si="68"/>
        <v>0</v>
      </c>
    </row>
    <row r="250" spans="4:23" ht="14.5">
      <c r="D250" s="110" t="s">
        <v>10</v>
      </c>
      <c r="E250" s="110">
        <v>0</v>
      </c>
      <c r="F250" s="110">
        <v>0</v>
      </c>
      <c r="G250" s="110">
        <v>0</v>
      </c>
      <c r="H250" s="110">
        <v>0</v>
      </c>
      <c r="I250" s="110">
        <v>0</v>
      </c>
      <c r="J250" s="110">
        <v>0</v>
      </c>
      <c r="K250" s="110">
        <v>0</v>
      </c>
      <c r="Q250">
        <f t="shared" si="63"/>
        <v>0</v>
      </c>
      <c r="R250">
        <f t="shared" si="69" ref="R250:W250">F250/3</f>
        <v>0</v>
      </c>
      <c r="S250">
        <f t="shared" si="69"/>
        <v>0</v>
      </c>
      <c r="T250">
        <f t="shared" si="69"/>
        <v>0</v>
      </c>
      <c r="U250">
        <f t="shared" si="69"/>
        <v>0</v>
      </c>
      <c r="V250">
        <f t="shared" si="69"/>
        <v>0</v>
      </c>
      <c r="W250">
        <f t="shared" si="69"/>
        <v>0</v>
      </c>
    </row>
    <row r="251" spans="4:23" ht="14.5">
      <c r="D251" s="110" t="s">
        <v>11</v>
      </c>
      <c r="E251" s="110">
        <v>970</v>
      </c>
      <c r="F251" s="110">
        <v>483</v>
      </c>
      <c r="G251" s="110">
        <v>268</v>
      </c>
      <c r="H251" s="110">
        <v>188</v>
      </c>
      <c r="I251" s="110">
        <v>80</v>
      </c>
      <c r="J251" s="110">
        <v>188</v>
      </c>
      <c r="K251" s="110">
        <v>0</v>
      </c>
      <c r="Q251">
        <f t="shared" si="63"/>
        <v>323.33333333333331</v>
      </c>
      <c r="R251">
        <f t="shared" si="70" ref="R251:W251">F251/3</f>
        <v>161</v>
      </c>
      <c r="S251">
        <f t="shared" si="70"/>
        <v>89.333333333333329</v>
      </c>
      <c r="T251">
        <f t="shared" si="70"/>
        <v>62.666666666666664</v>
      </c>
      <c r="U251">
        <f t="shared" si="70"/>
        <v>26.666666666666668</v>
      </c>
      <c r="V251">
        <f t="shared" si="70"/>
        <v>62.666666666666664</v>
      </c>
      <c r="W251">
        <f t="shared" si="70"/>
        <v>0</v>
      </c>
    </row>
    <row r="252" spans="4:23" ht="14.5">
      <c r="D252" s="110" t="s">
        <v>12</v>
      </c>
      <c r="E252" s="110">
        <v>0</v>
      </c>
      <c r="F252" s="110">
        <v>0</v>
      </c>
      <c r="G252" s="110">
        <v>0</v>
      </c>
      <c r="H252" s="110">
        <v>0</v>
      </c>
      <c r="I252" s="110">
        <v>0</v>
      </c>
      <c r="J252" s="110">
        <v>0</v>
      </c>
      <c r="K252" s="110">
        <v>0</v>
      </c>
      <c r="Q252">
        <f t="shared" si="63"/>
        <v>0</v>
      </c>
      <c r="R252">
        <f t="shared" si="71" ref="R252:W252">F252/3</f>
        <v>0</v>
      </c>
      <c r="S252">
        <f t="shared" si="71"/>
        <v>0</v>
      </c>
      <c r="T252">
        <f t="shared" si="71"/>
        <v>0</v>
      </c>
      <c r="U252">
        <f t="shared" si="71"/>
        <v>0</v>
      </c>
      <c r="V252">
        <f t="shared" si="71"/>
        <v>0</v>
      </c>
      <c r="W252">
        <f t="shared" si="71"/>
        <v>0</v>
      </c>
    </row>
    <row r="253" spans="4:23" ht="14.5">
      <c r="D253" s="110" t="s">
        <v>13</v>
      </c>
      <c r="E253" s="110">
        <v>0</v>
      </c>
      <c r="F253" s="110">
        <v>0</v>
      </c>
      <c r="G253" s="110">
        <v>0</v>
      </c>
      <c r="H253" s="110">
        <v>0</v>
      </c>
      <c r="I253" s="110">
        <v>0</v>
      </c>
      <c r="J253" s="110">
        <v>0</v>
      </c>
      <c r="K253" s="110">
        <v>0</v>
      </c>
      <c r="Q253">
        <f t="shared" si="63"/>
        <v>0</v>
      </c>
      <c r="R253">
        <f t="shared" si="72" ref="R253:W253">F253/3</f>
        <v>0</v>
      </c>
      <c r="S253">
        <f t="shared" si="72"/>
        <v>0</v>
      </c>
      <c r="T253">
        <f t="shared" si="72"/>
        <v>0</v>
      </c>
      <c r="U253">
        <f t="shared" si="72"/>
        <v>0</v>
      </c>
      <c r="V253">
        <f t="shared" si="72"/>
        <v>0</v>
      </c>
      <c r="W253">
        <f t="shared" si="72"/>
        <v>0</v>
      </c>
    </row>
    <row r="254" spans="4:23" ht="14.5">
      <c r="D254" s="110" t="s">
        <v>14</v>
      </c>
      <c r="E254" s="110">
        <v>1</v>
      </c>
      <c r="F254" s="110">
        <v>2</v>
      </c>
      <c r="G254" s="110">
        <v>2</v>
      </c>
      <c r="H254" s="110">
        <v>1</v>
      </c>
      <c r="I254" s="110">
        <v>1</v>
      </c>
      <c r="J254" s="110">
        <v>0</v>
      </c>
      <c r="K254" s="110">
        <v>0</v>
      </c>
      <c r="Q254">
        <f t="shared" si="63"/>
        <v>0.33333333333333331</v>
      </c>
      <c r="R254">
        <f t="shared" si="73" ref="R254:W254">F254/3</f>
        <v>0.66666666666666663</v>
      </c>
      <c r="S254">
        <f t="shared" si="73"/>
        <v>0.66666666666666663</v>
      </c>
      <c r="T254">
        <f t="shared" si="73"/>
        <v>0.33333333333333331</v>
      </c>
      <c r="U254">
        <f t="shared" si="73"/>
        <v>0.33333333333333331</v>
      </c>
      <c r="V254">
        <f t="shared" si="73"/>
        <v>0</v>
      </c>
      <c r="W254">
        <f t="shared" si="73"/>
        <v>0</v>
      </c>
    </row>
    <row r="255" spans="4:23" ht="14.5">
      <c r="D255" s="110" t="s">
        <v>15</v>
      </c>
      <c r="E255" s="110">
        <v>3</v>
      </c>
      <c r="F255" s="110">
        <v>8</v>
      </c>
      <c r="G255" s="110">
        <v>6</v>
      </c>
      <c r="H255" s="110">
        <v>5</v>
      </c>
      <c r="I255" s="110">
        <v>3</v>
      </c>
      <c r="J255" s="110">
        <v>1</v>
      </c>
      <c r="K255" s="110">
        <v>0</v>
      </c>
      <c r="Q255">
        <f t="shared" si="63"/>
        <v>1</v>
      </c>
      <c r="R255">
        <f t="shared" si="74" ref="R255:W255">F255/3</f>
        <v>2.6666666666666665</v>
      </c>
      <c r="S255">
        <f t="shared" si="74"/>
        <v>2</v>
      </c>
      <c r="T255">
        <f t="shared" si="74"/>
        <v>1.6666666666666667</v>
      </c>
      <c r="U255">
        <f t="shared" si="74"/>
        <v>1</v>
      </c>
      <c r="V255">
        <f t="shared" si="74"/>
        <v>0.33333333333333331</v>
      </c>
      <c r="W255">
        <f t="shared" si="74"/>
        <v>0</v>
      </c>
    </row>
    <row r="256" spans="4:23" ht="14.5">
      <c r="D256" s="110" t="s">
        <v>16</v>
      </c>
      <c r="E256" s="110">
        <v>0</v>
      </c>
      <c r="F256" s="110">
        <v>0</v>
      </c>
      <c r="G256" s="110">
        <v>0</v>
      </c>
      <c r="H256" s="110">
        <v>0</v>
      </c>
      <c r="I256" s="110">
        <v>0</v>
      </c>
      <c r="J256" s="110">
        <v>0</v>
      </c>
      <c r="K256" s="110">
        <v>0</v>
      </c>
      <c r="Q256">
        <f t="shared" si="63"/>
        <v>0</v>
      </c>
      <c r="R256">
        <f t="shared" si="75" ref="R256:W256">F256/3</f>
        <v>0</v>
      </c>
      <c r="S256">
        <f t="shared" si="75"/>
        <v>0</v>
      </c>
      <c r="T256">
        <f t="shared" si="75"/>
        <v>0</v>
      </c>
      <c r="U256">
        <f t="shared" si="75"/>
        <v>0</v>
      </c>
      <c r="V256">
        <f t="shared" si="75"/>
        <v>0</v>
      </c>
      <c r="W256">
        <f t="shared" si="75"/>
        <v>0</v>
      </c>
    </row>
    <row r="257" spans="4:23" ht="14.5">
      <c r="D257" s="110" t="s">
        <v>17</v>
      </c>
      <c r="E257" s="110">
        <v>3</v>
      </c>
      <c r="F257" s="110">
        <v>8</v>
      </c>
      <c r="G257" s="110">
        <v>6</v>
      </c>
      <c r="H257" s="110">
        <v>5</v>
      </c>
      <c r="I257" s="110">
        <v>3</v>
      </c>
      <c r="J257" s="110">
        <v>1</v>
      </c>
      <c r="K257" s="110">
        <v>0</v>
      </c>
      <c r="Q257">
        <f t="shared" si="63"/>
        <v>1</v>
      </c>
      <c r="R257">
        <f t="shared" si="76" ref="R257:W257">F257/3</f>
        <v>2.6666666666666665</v>
      </c>
      <c r="S257">
        <f t="shared" si="76"/>
        <v>2</v>
      </c>
      <c r="T257">
        <f t="shared" si="76"/>
        <v>1.6666666666666667</v>
      </c>
      <c r="U257">
        <f t="shared" si="76"/>
        <v>1</v>
      </c>
      <c r="V257">
        <f t="shared" si="76"/>
        <v>0.33333333333333331</v>
      </c>
      <c r="W257">
        <f t="shared" si="76"/>
        <v>0</v>
      </c>
    </row>
    <row r="258" spans="4:23" ht="14.5">
      <c r="D258" s="110" t="s">
        <v>18</v>
      </c>
      <c r="E258" s="110">
        <v>0</v>
      </c>
      <c r="F258" s="110">
        <v>0</v>
      </c>
      <c r="G258" s="110">
        <v>0</v>
      </c>
      <c r="H258" s="110">
        <v>0</v>
      </c>
      <c r="I258" s="110">
        <v>0</v>
      </c>
      <c r="J258" s="110">
        <v>0</v>
      </c>
      <c r="K258" s="110">
        <v>0</v>
      </c>
      <c r="Q258">
        <f t="shared" si="63"/>
        <v>0</v>
      </c>
      <c r="R258">
        <f t="shared" si="77" ref="R258:W258">F258/3</f>
        <v>0</v>
      </c>
      <c r="S258">
        <f t="shared" si="77"/>
        <v>0</v>
      </c>
      <c r="T258">
        <f t="shared" si="77"/>
        <v>0</v>
      </c>
      <c r="U258">
        <f t="shared" si="77"/>
        <v>0</v>
      </c>
      <c r="V258">
        <f t="shared" si="77"/>
        <v>0</v>
      </c>
      <c r="W258">
        <f t="shared" si="77"/>
        <v>0</v>
      </c>
    </row>
    <row r="259" spans="4:23" ht="14.5">
      <c r="D259" s="110" t="s">
        <v>19</v>
      </c>
      <c r="E259" s="110">
        <v>0</v>
      </c>
      <c r="F259" s="110">
        <v>0</v>
      </c>
      <c r="G259" s="110">
        <v>0</v>
      </c>
      <c r="H259" s="110">
        <v>0</v>
      </c>
      <c r="I259" s="110">
        <v>0</v>
      </c>
      <c r="J259" s="110">
        <v>0</v>
      </c>
      <c r="K259" s="110">
        <v>0</v>
      </c>
      <c r="Q259">
        <f t="shared" si="63"/>
        <v>0</v>
      </c>
      <c r="R259">
        <f t="shared" si="78" ref="R259:W259">F259/3</f>
        <v>0</v>
      </c>
      <c r="S259">
        <f t="shared" si="78"/>
        <v>0</v>
      </c>
      <c r="T259">
        <f t="shared" si="78"/>
        <v>0</v>
      </c>
      <c r="U259">
        <f t="shared" si="78"/>
        <v>0</v>
      </c>
      <c r="V259">
        <f t="shared" si="78"/>
        <v>0</v>
      </c>
      <c r="W259">
        <f t="shared" si="78"/>
        <v>0</v>
      </c>
    </row>
    <row r="260" spans="4:23" ht="14.5">
      <c r="D260" s="110" t="s">
        <v>20</v>
      </c>
      <c r="E260" s="110">
        <v>0</v>
      </c>
      <c r="F260" s="110">
        <v>0</v>
      </c>
      <c r="G260" s="110">
        <v>0</v>
      </c>
      <c r="H260" s="110">
        <v>0</v>
      </c>
      <c r="I260" s="110">
        <v>0</v>
      </c>
      <c r="J260" s="110">
        <v>0</v>
      </c>
      <c r="K260" s="110">
        <v>0</v>
      </c>
      <c r="Q260">
        <f t="shared" si="63"/>
        <v>0</v>
      </c>
      <c r="R260">
        <f t="shared" si="79" ref="R260:W260">F260/3</f>
        <v>0</v>
      </c>
      <c r="S260">
        <f t="shared" si="79"/>
        <v>0</v>
      </c>
      <c r="T260">
        <f t="shared" si="79"/>
        <v>0</v>
      </c>
      <c r="U260">
        <f t="shared" si="79"/>
        <v>0</v>
      </c>
      <c r="V260">
        <f t="shared" si="79"/>
        <v>0</v>
      </c>
      <c r="W260">
        <f t="shared" si="79"/>
        <v>0</v>
      </c>
    </row>
    <row r="261" spans="4:23" ht="14.5">
      <c r="D261" s="110" t="s">
        <v>21</v>
      </c>
      <c r="E261" s="110">
        <v>0</v>
      </c>
      <c r="F261" s="110">
        <v>0</v>
      </c>
      <c r="G261" s="110">
        <v>0</v>
      </c>
      <c r="H261" s="110">
        <v>0</v>
      </c>
      <c r="I261" s="110">
        <v>0</v>
      </c>
      <c r="J261" s="110">
        <v>0</v>
      </c>
      <c r="K261" s="110">
        <v>0</v>
      </c>
      <c r="Q261">
        <f t="shared" si="63"/>
        <v>0</v>
      </c>
      <c r="R261">
        <f t="shared" si="80" ref="R261:W261">F261/3</f>
        <v>0</v>
      </c>
      <c r="S261">
        <f t="shared" si="80"/>
        <v>0</v>
      </c>
      <c r="T261">
        <f t="shared" si="80"/>
        <v>0</v>
      </c>
      <c r="U261">
        <f t="shared" si="80"/>
        <v>0</v>
      </c>
      <c r="V261">
        <f t="shared" si="80"/>
        <v>0</v>
      </c>
      <c r="W261">
        <f t="shared" si="80"/>
        <v>0</v>
      </c>
    </row>
    <row r="262" spans="4:23" ht="14.5">
      <c r="D262" s="110" t="s">
        <v>22</v>
      </c>
      <c r="E262" s="110">
        <v>3</v>
      </c>
      <c r="F262" s="110">
        <v>12</v>
      </c>
      <c r="G262" s="110">
        <v>12</v>
      </c>
      <c r="H262" s="110">
        <v>9</v>
      </c>
      <c r="I262" s="110">
        <v>23</v>
      </c>
      <c r="J262" s="110">
        <v>1</v>
      </c>
      <c r="K262" s="110">
        <v>0</v>
      </c>
      <c r="Q262">
        <f t="shared" si="63"/>
        <v>1</v>
      </c>
      <c r="R262">
        <f t="shared" si="81" ref="R262:W262">F262/3</f>
        <v>4</v>
      </c>
      <c r="S262">
        <f t="shared" si="81"/>
        <v>4</v>
      </c>
      <c r="T262">
        <f t="shared" si="81"/>
        <v>3</v>
      </c>
      <c r="U262">
        <f t="shared" si="81"/>
        <v>7.666666666666667</v>
      </c>
      <c r="V262">
        <f t="shared" si="81"/>
        <v>0.33333333333333331</v>
      </c>
      <c r="W262">
        <f t="shared" si="81"/>
        <v>0</v>
      </c>
    </row>
    <row r="263" spans="4:23" ht="14.5">
      <c r="D263" s="110" t="s">
        <v>23</v>
      </c>
      <c r="E263" s="110">
        <v>0</v>
      </c>
      <c r="F263" s="110">
        <v>0</v>
      </c>
      <c r="G263" s="110">
        <v>0</v>
      </c>
      <c r="H263" s="110">
        <v>0</v>
      </c>
      <c r="I263" s="110">
        <v>0</v>
      </c>
      <c r="J263" s="110">
        <v>0</v>
      </c>
      <c r="K263" s="110">
        <v>0</v>
      </c>
      <c r="Q263">
        <f t="shared" si="63"/>
        <v>0</v>
      </c>
      <c r="R263">
        <f t="shared" si="82" ref="R263:W263">F263/3</f>
        <v>0</v>
      </c>
      <c r="S263">
        <f t="shared" si="82"/>
        <v>0</v>
      </c>
      <c r="T263">
        <f t="shared" si="82"/>
        <v>0</v>
      </c>
      <c r="U263">
        <f t="shared" si="82"/>
        <v>0</v>
      </c>
      <c r="V263">
        <f t="shared" si="82"/>
        <v>0</v>
      </c>
      <c r="W263">
        <f t="shared" si="82"/>
        <v>0</v>
      </c>
    </row>
    <row r="264" spans="4:23" ht="14.5">
      <c r="D264" s="110" t="s">
        <v>24</v>
      </c>
      <c r="E264" s="110">
        <v>0</v>
      </c>
      <c r="F264" s="110">
        <v>0</v>
      </c>
      <c r="G264" s="110">
        <v>0</v>
      </c>
      <c r="H264" s="110">
        <v>0</v>
      </c>
      <c r="I264" s="110">
        <v>0</v>
      </c>
      <c r="J264" s="110">
        <v>0</v>
      </c>
      <c r="K264" s="110">
        <v>0</v>
      </c>
      <c r="Q264">
        <f t="shared" si="63"/>
        <v>0</v>
      </c>
      <c r="R264">
        <f t="shared" si="83" ref="R264:W264">F264/3</f>
        <v>0</v>
      </c>
      <c r="S264">
        <f t="shared" si="83"/>
        <v>0</v>
      </c>
      <c r="T264">
        <f t="shared" si="83"/>
        <v>0</v>
      </c>
      <c r="U264">
        <f t="shared" si="83"/>
        <v>0</v>
      </c>
      <c r="V264">
        <f t="shared" si="83"/>
        <v>0</v>
      </c>
      <c r="W264">
        <f t="shared" si="83"/>
        <v>0</v>
      </c>
    </row>
    <row r="265" spans="4:23" ht="14.5">
      <c r="D265" s="110" t="s">
        <v>25</v>
      </c>
      <c r="E265" s="110">
        <v>19</v>
      </c>
      <c r="F265" s="110">
        <v>26</v>
      </c>
      <c r="G265" s="110">
        <v>23</v>
      </c>
      <c r="H265" s="110">
        <v>15</v>
      </c>
      <c r="I265" s="110">
        <v>38</v>
      </c>
      <c r="J265" s="110">
        <v>6</v>
      </c>
      <c r="K265" s="110">
        <v>0</v>
      </c>
      <c r="Q265">
        <f t="shared" si="63"/>
        <v>6.333333333333333</v>
      </c>
      <c r="R265">
        <f t="shared" si="84" ref="R265:W265">F265/3</f>
        <v>8.6666666666666661</v>
      </c>
      <c r="S265">
        <f t="shared" si="84"/>
        <v>7.666666666666667</v>
      </c>
      <c r="T265">
        <f t="shared" si="84"/>
        <v>5</v>
      </c>
      <c r="U265">
        <f t="shared" si="84"/>
        <v>12.666666666666666</v>
      </c>
      <c r="V265">
        <f t="shared" si="84"/>
        <v>2</v>
      </c>
      <c r="W265">
        <f t="shared" si="84"/>
        <v>0</v>
      </c>
    </row>
    <row r="266" spans="4:23" ht="14.5">
      <c r="D266" s="110" t="s">
        <v>26</v>
      </c>
      <c r="E266" s="110">
        <v>0</v>
      </c>
      <c r="F266" s="110">
        <v>0</v>
      </c>
      <c r="G266" s="110">
        <v>0</v>
      </c>
      <c r="H266" s="110">
        <v>0</v>
      </c>
      <c r="I266" s="110">
        <v>0</v>
      </c>
      <c r="J266" s="110">
        <v>0</v>
      </c>
      <c r="K266" s="110">
        <v>0</v>
      </c>
      <c r="Q266">
        <f t="shared" si="63"/>
        <v>0</v>
      </c>
      <c r="R266">
        <f t="shared" si="85" ref="R266:W266">F266/3</f>
        <v>0</v>
      </c>
      <c r="S266">
        <f t="shared" si="85"/>
        <v>0</v>
      </c>
      <c r="T266">
        <f t="shared" si="85"/>
        <v>0</v>
      </c>
      <c r="U266">
        <f t="shared" si="85"/>
        <v>0</v>
      </c>
      <c r="V266">
        <f t="shared" si="85"/>
        <v>0</v>
      </c>
      <c r="W266">
        <f t="shared" si="85"/>
        <v>0</v>
      </c>
    </row>
    <row r="267" spans="4:23" ht="14.5">
      <c r="D267" s="110" t="s">
        <v>27</v>
      </c>
      <c r="E267" s="110">
        <v>7</v>
      </c>
      <c r="F267" s="110">
        <v>19</v>
      </c>
      <c r="G267" s="110">
        <v>14</v>
      </c>
      <c r="H267" s="110">
        <v>10</v>
      </c>
      <c r="I267" s="110">
        <v>6</v>
      </c>
      <c r="J267" s="110">
        <v>2</v>
      </c>
      <c r="K267" s="110">
        <v>0</v>
      </c>
      <c r="Q267">
        <f t="shared" si="63"/>
        <v>2.3333333333333335</v>
      </c>
      <c r="R267">
        <f t="shared" si="86" ref="R267:W267">F267/3</f>
        <v>6.333333333333333</v>
      </c>
      <c r="S267">
        <f t="shared" si="86"/>
        <v>4.666666666666667</v>
      </c>
      <c r="T267">
        <f t="shared" si="86"/>
        <v>3.3333333333333335</v>
      </c>
      <c r="U267">
        <f t="shared" si="86"/>
        <v>2</v>
      </c>
      <c r="V267">
        <f t="shared" si="86"/>
        <v>0.66666666666666663</v>
      </c>
      <c r="W267">
        <f t="shared" si="86"/>
        <v>0</v>
      </c>
    </row>
    <row r="268" spans="4:23" ht="14.5">
      <c r="D268" s="110" t="s">
        <v>28</v>
      </c>
      <c r="E268" s="110">
        <v>17</v>
      </c>
      <c r="F268" s="110">
        <v>17</v>
      </c>
      <c r="G268" s="110">
        <v>12</v>
      </c>
      <c r="H268" s="110">
        <v>8</v>
      </c>
      <c r="I268" s="110">
        <v>12</v>
      </c>
      <c r="J268" s="110">
        <v>1</v>
      </c>
      <c r="K268" s="110">
        <v>0</v>
      </c>
      <c r="Q268">
        <f t="shared" si="63"/>
        <v>5.666666666666667</v>
      </c>
      <c r="R268">
        <f t="shared" si="87" ref="R268:W268">F268/3</f>
        <v>5.666666666666667</v>
      </c>
      <c r="S268">
        <f t="shared" si="87"/>
        <v>4</v>
      </c>
      <c r="T268">
        <f t="shared" si="87"/>
        <v>2.6666666666666665</v>
      </c>
      <c r="U268">
        <f t="shared" si="87"/>
        <v>4</v>
      </c>
      <c r="V268">
        <f t="shared" si="87"/>
        <v>0.33333333333333331</v>
      </c>
      <c r="W268">
        <f t="shared" si="87"/>
        <v>0</v>
      </c>
    </row>
    <row r="269" spans="4:23" ht="14.5">
      <c r="D269" s="110" t="s">
        <v>29</v>
      </c>
      <c r="E269" s="110">
        <v>0</v>
      </c>
      <c r="F269" s="110">
        <v>0</v>
      </c>
      <c r="G269" s="110">
        <v>0</v>
      </c>
      <c r="H269" s="110">
        <v>0</v>
      </c>
      <c r="I269" s="110">
        <v>0</v>
      </c>
      <c r="J269" s="110">
        <v>0</v>
      </c>
      <c r="K269" s="110">
        <v>0</v>
      </c>
      <c r="Q269">
        <f t="shared" si="63"/>
        <v>0</v>
      </c>
      <c r="R269">
        <f t="shared" si="88" ref="R269:W269">F269/3</f>
        <v>0</v>
      </c>
      <c r="S269">
        <f t="shared" si="88"/>
        <v>0</v>
      </c>
      <c r="T269">
        <f t="shared" si="88"/>
        <v>0</v>
      </c>
      <c r="U269">
        <f t="shared" si="88"/>
        <v>0</v>
      </c>
      <c r="V269">
        <f t="shared" si="88"/>
        <v>0</v>
      </c>
      <c r="W269">
        <f t="shared" si="88"/>
        <v>0</v>
      </c>
    </row>
    <row r="270" spans="4:23" ht="14.5">
      <c r="D270" s="110" t="s">
        <v>30</v>
      </c>
      <c r="E270" s="110">
        <v>0</v>
      </c>
      <c r="F270" s="110">
        <v>0</v>
      </c>
      <c r="G270" s="110">
        <v>0</v>
      </c>
      <c r="H270" s="110">
        <v>0</v>
      </c>
      <c r="I270" s="110">
        <v>0</v>
      </c>
      <c r="J270" s="110">
        <v>0</v>
      </c>
      <c r="K270" s="110">
        <v>0</v>
      </c>
      <c r="Q270">
        <f t="shared" si="63"/>
        <v>0</v>
      </c>
      <c r="R270">
        <f t="shared" si="89" ref="R270:W270">F270/3</f>
        <v>0</v>
      </c>
      <c r="S270">
        <f t="shared" si="89"/>
        <v>0</v>
      </c>
      <c r="T270">
        <f t="shared" si="89"/>
        <v>0</v>
      </c>
      <c r="U270">
        <f t="shared" si="89"/>
        <v>0</v>
      </c>
      <c r="V270">
        <f t="shared" si="89"/>
        <v>0</v>
      </c>
      <c r="W270">
        <f t="shared" si="89"/>
        <v>0</v>
      </c>
    </row>
    <row r="271" spans="4:23" ht="14.5">
      <c r="D271" s="110" t="s">
        <v>31</v>
      </c>
      <c r="E271" s="110">
        <v>0</v>
      </c>
      <c r="F271" s="110">
        <v>0</v>
      </c>
      <c r="G271" s="110">
        <v>0</v>
      </c>
      <c r="H271" s="110">
        <v>0</v>
      </c>
      <c r="I271" s="110">
        <v>0</v>
      </c>
      <c r="J271" s="110">
        <v>0</v>
      </c>
      <c r="K271" s="110">
        <v>0</v>
      </c>
      <c r="Q271">
        <f t="shared" si="63"/>
        <v>0</v>
      </c>
      <c r="R271">
        <f t="shared" si="90" ref="R271:W271">F271/3</f>
        <v>0</v>
      </c>
      <c r="S271">
        <f t="shared" si="90"/>
        <v>0</v>
      </c>
      <c r="T271">
        <f t="shared" si="90"/>
        <v>0</v>
      </c>
      <c r="U271">
        <f t="shared" si="90"/>
        <v>0</v>
      </c>
      <c r="V271">
        <f t="shared" si="90"/>
        <v>0</v>
      </c>
      <c r="W271">
        <f t="shared" si="90"/>
        <v>0</v>
      </c>
    </row>
    <row r="272" spans="4:23" ht="14.5">
      <c r="D272" s="110" t="s">
        <v>32</v>
      </c>
      <c r="E272" s="110">
        <v>0</v>
      </c>
      <c r="F272" s="110">
        <v>0</v>
      </c>
      <c r="G272" s="110">
        <v>0</v>
      </c>
      <c r="H272" s="110">
        <v>0</v>
      </c>
      <c r="I272" s="110">
        <v>0</v>
      </c>
      <c r="J272" s="110">
        <v>0</v>
      </c>
      <c r="K272" s="110">
        <v>0</v>
      </c>
      <c r="Q272">
        <f t="shared" si="63"/>
        <v>0</v>
      </c>
      <c r="R272">
        <f t="shared" si="91" ref="R272:W272">F272/3</f>
        <v>0</v>
      </c>
      <c r="S272">
        <f t="shared" si="91"/>
        <v>0</v>
      </c>
      <c r="T272">
        <f t="shared" si="91"/>
        <v>0</v>
      </c>
      <c r="U272">
        <f t="shared" si="91"/>
        <v>0</v>
      </c>
      <c r="V272">
        <f t="shared" si="91"/>
        <v>0</v>
      </c>
      <c r="W272">
        <f t="shared" si="91"/>
        <v>0</v>
      </c>
    </row>
    <row r="273" spans="4:23" ht="14.5">
      <c r="D273" s="110" t="s">
        <v>33</v>
      </c>
      <c r="E273" s="110">
        <v>2</v>
      </c>
      <c r="F273" s="110">
        <v>4</v>
      </c>
      <c r="G273" s="110">
        <v>3</v>
      </c>
      <c r="H273" s="110">
        <v>2</v>
      </c>
      <c r="I273" s="110">
        <v>1</v>
      </c>
      <c r="J273" s="110">
        <v>0</v>
      </c>
      <c r="K273" s="110">
        <v>0</v>
      </c>
      <c r="Q273">
        <f t="shared" si="63"/>
        <v>0.66666666666666663</v>
      </c>
      <c r="R273">
        <f t="shared" si="92" ref="R273:W273">F273/3</f>
        <v>1.3333333333333333</v>
      </c>
      <c r="S273">
        <f t="shared" si="92"/>
        <v>1</v>
      </c>
      <c r="T273">
        <f t="shared" si="92"/>
        <v>0.66666666666666663</v>
      </c>
      <c r="U273">
        <f t="shared" si="92"/>
        <v>0.33333333333333331</v>
      </c>
      <c r="V273">
        <f t="shared" si="92"/>
        <v>0</v>
      </c>
      <c r="W273">
        <f t="shared" si="92"/>
        <v>0</v>
      </c>
    </row>
    <row r="274" spans="4:23" ht="14.5">
      <c r="D274" s="110" t="s">
        <v>34</v>
      </c>
      <c r="E274" s="110">
        <v>0</v>
      </c>
      <c r="F274" s="110">
        <v>0</v>
      </c>
      <c r="G274" s="110">
        <v>0</v>
      </c>
      <c r="H274" s="110">
        <v>0</v>
      </c>
      <c r="I274" s="110">
        <v>0</v>
      </c>
      <c r="J274" s="110">
        <v>0</v>
      </c>
      <c r="K274" s="110">
        <v>0</v>
      </c>
      <c r="Q274">
        <f t="shared" si="63"/>
        <v>0</v>
      </c>
      <c r="R274">
        <f t="shared" si="93" ref="R274:W274">F274/3</f>
        <v>0</v>
      </c>
      <c r="S274">
        <f t="shared" si="93"/>
        <v>0</v>
      </c>
      <c r="T274">
        <f t="shared" si="93"/>
        <v>0</v>
      </c>
      <c r="U274">
        <f t="shared" si="93"/>
        <v>0</v>
      </c>
      <c r="V274">
        <f t="shared" si="93"/>
        <v>0</v>
      </c>
      <c r="W274">
        <f t="shared" si="93"/>
        <v>0</v>
      </c>
    </row>
    <row r="275" spans="4:23" ht="14.5">
      <c r="D275" s="110" t="s">
        <v>35</v>
      </c>
      <c r="E275" s="110">
        <v>0</v>
      </c>
      <c r="F275" s="110">
        <v>0</v>
      </c>
      <c r="G275" s="110">
        <v>0</v>
      </c>
      <c r="H275" s="110">
        <v>0</v>
      </c>
      <c r="I275" s="110">
        <v>0</v>
      </c>
      <c r="J275" s="110">
        <v>0</v>
      </c>
      <c r="K275" s="110">
        <v>0</v>
      </c>
      <c r="Q275">
        <f t="shared" si="63"/>
        <v>0</v>
      </c>
      <c r="R275">
        <f t="shared" si="94" ref="R275:W275">F275/3</f>
        <v>0</v>
      </c>
      <c r="S275">
        <f t="shared" si="94"/>
        <v>0</v>
      </c>
      <c r="T275">
        <f t="shared" si="94"/>
        <v>0</v>
      </c>
      <c r="U275">
        <f t="shared" si="94"/>
        <v>0</v>
      </c>
      <c r="V275">
        <f t="shared" si="94"/>
        <v>0</v>
      </c>
      <c r="W275">
        <f t="shared" si="94"/>
        <v>0</v>
      </c>
    </row>
    <row r="276" spans="4:23" ht="14.5">
      <c r="D276" s="110" t="s">
        <v>36</v>
      </c>
      <c r="E276" s="110">
        <v>0</v>
      </c>
      <c r="F276" s="110">
        <v>0</v>
      </c>
      <c r="G276" s="110">
        <v>0</v>
      </c>
      <c r="H276" s="110">
        <v>0</v>
      </c>
      <c r="I276" s="110">
        <v>0</v>
      </c>
      <c r="J276" s="110">
        <v>0</v>
      </c>
      <c r="K276" s="110">
        <v>0</v>
      </c>
      <c r="Q276">
        <f t="shared" si="63"/>
        <v>0</v>
      </c>
      <c r="R276">
        <f t="shared" si="95" ref="R276:W276">F276/3</f>
        <v>0</v>
      </c>
      <c r="S276">
        <f t="shared" si="95"/>
        <v>0</v>
      </c>
      <c r="T276">
        <f t="shared" si="95"/>
        <v>0</v>
      </c>
      <c r="U276">
        <f t="shared" si="95"/>
        <v>0</v>
      </c>
      <c r="V276">
        <f t="shared" si="95"/>
        <v>0</v>
      </c>
      <c r="W276">
        <f t="shared" si="95"/>
        <v>0</v>
      </c>
    </row>
    <row r="277" spans="4:23" ht="14.5">
      <c r="D277" s="110" t="s">
        <v>37</v>
      </c>
      <c r="E277" s="110">
        <v>0</v>
      </c>
      <c r="F277" s="110">
        <v>0</v>
      </c>
      <c r="G277" s="110">
        <v>0</v>
      </c>
      <c r="H277" s="110">
        <v>0</v>
      </c>
      <c r="I277" s="110">
        <v>0</v>
      </c>
      <c r="J277" s="110">
        <v>0</v>
      </c>
      <c r="K277" s="110">
        <v>0</v>
      </c>
      <c r="Q277">
        <f t="shared" si="63"/>
        <v>0</v>
      </c>
      <c r="R277">
        <f t="shared" si="96" ref="R277:W277">F277/3</f>
        <v>0</v>
      </c>
      <c r="S277">
        <f t="shared" si="96"/>
        <v>0</v>
      </c>
      <c r="T277">
        <f t="shared" si="96"/>
        <v>0</v>
      </c>
      <c r="U277">
        <f t="shared" si="96"/>
        <v>0</v>
      </c>
      <c r="V277">
        <f t="shared" si="96"/>
        <v>0</v>
      </c>
      <c r="W277">
        <f t="shared" si="96"/>
        <v>0</v>
      </c>
    </row>
    <row r="278" spans="4:11" ht="14.5">
      <c r="D278" s="110"/>
      <c r="E278" s="110"/>
      <c r="F278" s="110"/>
      <c r="G278" s="110"/>
      <c r="H278" s="110"/>
      <c r="I278" s="110"/>
      <c r="J278" s="110"/>
      <c r="K278" s="110"/>
    </row>
    <row r="284" spans="1:3" ht="12.5">
      <c r="A284" s="58"/>
      <c r="B284" s="58" t="s">
        <v>130</v>
      </c>
      <c r="C284" s="58"/>
    </row>
    <row r="285" spans="1:38" ht="14.5">
      <c r="A285" s="58" t="s">
        <v>41</v>
      </c>
      <c r="B285" s="58" t="s">
        <v>132</v>
      </c>
      <c r="C285" s="58" t="s">
        <v>136</v>
      </c>
      <c r="D285" s="110" t="s">
        <v>65</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spans="1:38" ht="14.5">
      <c r="A286" s="58">
        <v>2020</v>
      </c>
      <c r="B286" s="58" t="s">
        <v>275</v>
      </c>
      <c r="C286" s="58" t="s">
        <v>140</v>
      </c>
      <c r="D286" s="110" t="s">
        <v>278</v>
      </c>
      <c r="E286">
        <v>0</v>
      </c>
      <c r="F286">
        <v>0</v>
      </c>
      <c r="G286">
        <v>0</v>
      </c>
      <c r="H286">
        <v>0</v>
      </c>
      <c r="I286">
        <v>0</v>
      </c>
      <c r="J286">
        <v>0</v>
      </c>
      <c r="K286">
        <v>0</v>
      </c>
      <c r="L286">
        <v>323.33333333333297</v>
      </c>
      <c r="M286">
        <v>0</v>
      </c>
      <c r="N286">
        <v>0</v>
      </c>
      <c r="O286">
        <v>0.33333333333333298</v>
      </c>
      <c r="P286">
        <v>1</v>
      </c>
      <c r="Q286">
        <v>0</v>
      </c>
      <c r="R286">
        <v>1</v>
      </c>
      <c r="S286">
        <v>0</v>
      </c>
      <c r="T286">
        <v>0</v>
      </c>
      <c r="U286">
        <v>0</v>
      </c>
      <c r="V286">
        <v>0</v>
      </c>
      <c r="W286">
        <v>1</v>
      </c>
      <c r="X286">
        <v>0</v>
      </c>
      <c r="Y286">
        <v>0</v>
      </c>
      <c r="Z286">
        <v>6.3333333333333304</v>
      </c>
      <c r="AA286">
        <v>0</v>
      </c>
      <c r="AB286">
        <v>2.3333333333333299</v>
      </c>
      <c r="AC286">
        <v>5.6666666666666696</v>
      </c>
      <c r="AD286">
        <v>0</v>
      </c>
      <c r="AE286">
        <v>0</v>
      </c>
      <c r="AF286">
        <v>0</v>
      </c>
      <c r="AG286">
        <v>0</v>
      </c>
      <c r="AH286">
        <v>0.66666666666666696</v>
      </c>
      <c r="AI286">
        <v>0</v>
      </c>
      <c r="AJ286">
        <v>0</v>
      </c>
      <c r="AK286">
        <v>0</v>
      </c>
      <c r="AL286">
        <v>0</v>
      </c>
    </row>
    <row r="287" spans="1:38" ht="14.5">
      <c r="A287" s="58">
        <v>2020</v>
      </c>
      <c r="B287" s="58" t="s">
        <v>275</v>
      </c>
      <c r="C287" s="58" t="s">
        <v>140</v>
      </c>
      <c r="D287" s="110" t="s">
        <v>279</v>
      </c>
      <c r="E287">
        <v>0</v>
      </c>
      <c r="F287">
        <v>0</v>
      </c>
      <c r="G287">
        <v>0</v>
      </c>
      <c r="H287">
        <v>0</v>
      </c>
      <c r="I287">
        <v>0</v>
      </c>
      <c r="J287">
        <v>0</v>
      </c>
      <c r="K287">
        <v>0</v>
      </c>
      <c r="L287">
        <v>161</v>
      </c>
      <c r="M287">
        <v>0</v>
      </c>
      <c r="N287">
        <v>0</v>
      </c>
      <c r="O287">
        <v>0.66666666666666696</v>
      </c>
      <c r="P287">
        <v>2.6666666666666701</v>
      </c>
      <c r="Q287">
        <v>0</v>
      </c>
      <c r="R287">
        <v>2.6666666666666701</v>
      </c>
      <c r="S287">
        <v>0</v>
      </c>
      <c r="T287">
        <v>0</v>
      </c>
      <c r="U287">
        <v>0</v>
      </c>
      <c r="V287">
        <v>0</v>
      </c>
      <c r="W287">
        <v>4</v>
      </c>
      <c r="X287">
        <v>0</v>
      </c>
      <c r="Y287">
        <v>0</v>
      </c>
      <c r="Z287">
        <v>8.6666666666666696</v>
      </c>
      <c r="AA287">
        <v>0</v>
      </c>
      <c r="AB287">
        <v>6.3333333333333304</v>
      </c>
      <c r="AC287">
        <v>5.6666666666666696</v>
      </c>
      <c r="AD287">
        <v>0</v>
      </c>
      <c r="AE287">
        <v>0</v>
      </c>
      <c r="AF287">
        <v>0</v>
      </c>
      <c r="AG287">
        <v>0</v>
      </c>
      <c r="AH287">
        <v>1.3333333333333299</v>
      </c>
      <c r="AI287">
        <v>0</v>
      </c>
      <c r="AJ287">
        <v>0</v>
      </c>
      <c r="AK287">
        <v>0</v>
      </c>
      <c r="AL287">
        <v>0</v>
      </c>
    </row>
    <row r="288" spans="1:38" ht="14.5">
      <c r="A288" s="58">
        <v>2020</v>
      </c>
      <c r="B288" s="58" t="s">
        <v>275</v>
      </c>
      <c r="C288" s="58" t="s">
        <v>140</v>
      </c>
      <c r="D288" s="110" t="s">
        <v>280</v>
      </c>
      <c r="E288">
        <v>0</v>
      </c>
      <c r="F288">
        <v>0</v>
      </c>
      <c r="G288">
        <v>0</v>
      </c>
      <c r="H288">
        <v>0</v>
      </c>
      <c r="I288">
        <v>0</v>
      </c>
      <c r="J288">
        <v>0</v>
      </c>
      <c r="K288">
        <v>0</v>
      </c>
      <c r="L288">
        <v>89.3333333333333</v>
      </c>
      <c r="M288">
        <v>0</v>
      </c>
      <c r="N288">
        <v>0</v>
      </c>
      <c r="O288">
        <v>0.66666666666666696</v>
      </c>
      <c r="P288">
        <v>2</v>
      </c>
      <c r="Q288">
        <v>0</v>
      </c>
      <c r="R288">
        <v>2</v>
      </c>
      <c r="S288">
        <v>0</v>
      </c>
      <c r="T288">
        <v>0</v>
      </c>
      <c r="U288">
        <v>0</v>
      </c>
      <c r="V288">
        <v>0</v>
      </c>
      <c r="W288">
        <v>4</v>
      </c>
      <c r="X288">
        <v>0</v>
      </c>
      <c r="Y288">
        <v>0</v>
      </c>
      <c r="Z288">
        <v>7.6666666666666696</v>
      </c>
      <c r="AA288">
        <v>0</v>
      </c>
      <c r="AB288">
        <v>4.6666666666666696</v>
      </c>
      <c r="AC288">
        <v>4</v>
      </c>
      <c r="AD288">
        <v>0</v>
      </c>
      <c r="AE288">
        <v>0</v>
      </c>
      <c r="AF288">
        <v>0</v>
      </c>
      <c r="AG288">
        <v>0</v>
      </c>
      <c r="AH288">
        <v>1</v>
      </c>
      <c r="AI288">
        <v>0</v>
      </c>
      <c r="AJ288">
        <v>0</v>
      </c>
      <c r="AK288">
        <v>0</v>
      </c>
      <c r="AL288">
        <v>0</v>
      </c>
    </row>
    <row r="289" spans="1:38" ht="14.5">
      <c r="A289" s="58">
        <v>2020</v>
      </c>
      <c r="B289" s="58" t="s">
        <v>275</v>
      </c>
      <c r="C289" s="58" t="s">
        <v>140</v>
      </c>
      <c r="D289" s="110" t="s">
        <v>281</v>
      </c>
      <c r="E289">
        <v>0</v>
      </c>
      <c r="F289">
        <v>0</v>
      </c>
      <c r="G289">
        <v>0</v>
      </c>
      <c r="H289">
        <v>0</v>
      </c>
      <c r="I289">
        <v>0</v>
      </c>
      <c r="J289">
        <v>0</v>
      </c>
      <c r="K289">
        <v>0</v>
      </c>
      <c r="L289">
        <v>62.6666666666667</v>
      </c>
      <c r="M289">
        <v>0</v>
      </c>
      <c r="N289">
        <v>0</v>
      </c>
      <c r="O289">
        <v>0.33333333333333298</v>
      </c>
      <c r="P289">
        <v>1.6666666666666701</v>
      </c>
      <c r="Q289">
        <v>0</v>
      </c>
      <c r="R289">
        <v>1.6666666666666701</v>
      </c>
      <c r="S289">
        <v>0</v>
      </c>
      <c r="T289">
        <v>0</v>
      </c>
      <c r="U289">
        <v>0</v>
      </c>
      <c r="V289">
        <v>0</v>
      </c>
      <c r="W289">
        <v>3</v>
      </c>
      <c r="X289">
        <v>0</v>
      </c>
      <c r="Y289">
        <v>0</v>
      </c>
      <c r="Z289">
        <v>5</v>
      </c>
      <c r="AA289">
        <v>0</v>
      </c>
      <c r="AB289">
        <v>3.3333333333333299</v>
      </c>
      <c r="AC289">
        <v>2.6666666666666701</v>
      </c>
      <c r="AD289">
        <v>0</v>
      </c>
      <c r="AE289">
        <v>0</v>
      </c>
      <c r="AF289">
        <v>0</v>
      </c>
      <c r="AG289">
        <v>0</v>
      </c>
      <c r="AH289">
        <v>0.66666666666666696</v>
      </c>
      <c r="AI289">
        <v>0</v>
      </c>
      <c r="AJ289">
        <v>0</v>
      </c>
      <c r="AK289">
        <v>0</v>
      </c>
      <c r="AL289">
        <v>0</v>
      </c>
    </row>
    <row r="290" spans="1:38" ht="14.5">
      <c r="A290" s="58">
        <v>2020</v>
      </c>
      <c r="B290" s="58" t="s">
        <v>275</v>
      </c>
      <c r="C290" s="58" t="s">
        <v>140</v>
      </c>
      <c r="D290" s="110" t="s">
        <v>282</v>
      </c>
      <c r="E290">
        <v>0</v>
      </c>
      <c r="F290">
        <v>0</v>
      </c>
      <c r="G290">
        <v>0</v>
      </c>
      <c r="H290">
        <v>0</v>
      </c>
      <c r="I290">
        <v>0</v>
      </c>
      <c r="J290">
        <v>0</v>
      </c>
      <c r="K290">
        <v>0</v>
      </c>
      <c r="L290">
        <v>26.6666666666667</v>
      </c>
      <c r="M290">
        <v>0</v>
      </c>
      <c r="N290">
        <v>0</v>
      </c>
      <c r="O290">
        <v>0.33333333333333298</v>
      </c>
      <c r="P290">
        <v>1</v>
      </c>
      <c r="Q290">
        <v>0</v>
      </c>
      <c r="R290">
        <v>1</v>
      </c>
      <c r="S290">
        <v>0</v>
      </c>
      <c r="T290">
        <v>0</v>
      </c>
      <c r="U290">
        <v>0</v>
      </c>
      <c r="V290">
        <v>0</v>
      </c>
      <c r="W290">
        <v>7.6666666666666696</v>
      </c>
      <c r="X290">
        <v>0</v>
      </c>
      <c r="Y290">
        <v>0</v>
      </c>
      <c r="Z290">
        <v>12.6666666666667</v>
      </c>
      <c r="AA290">
        <v>0</v>
      </c>
      <c r="AB290">
        <v>2</v>
      </c>
      <c r="AC290">
        <v>4</v>
      </c>
      <c r="AD290">
        <v>0</v>
      </c>
      <c r="AE290">
        <v>0</v>
      </c>
      <c r="AF290">
        <v>0</v>
      </c>
      <c r="AG290">
        <v>0</v>
      </c>
      <c r="AH290">
        <v>0.33333333333333298</v>
      </c>
      <c r="AI290">
        <v>0</v>
      </c>
      <c r="AJ290">
        <v>0</v>
      </c>
      <c r="AK290">
        <v>0</v>
      </c>
      <c r="AL290">
        <v>0</v>
      </c>
    </row>
    <row r="291" spans="1:38" ht="14.5">
      <c r="A291" s="58">
        <v>2020</v>
      </c>
      <c r="B291" s="58" t="s">
        <v>275</v>
      </c>
      <c r="C291" s="58" t="s">
        <v>140</v>
      </c>
      <c r="D291" s="110" t="s">
        <v>283</v>
      </c>
      <c r="E291">
        <v>0</v>
      </c>
      <c r="F291">
        <v>0</v>
      </c>
      <c r="G291">
        <v>0</v>
      </c>
      <c r="H291">
        <v>0</v>
      </c>
      <c r="I291">
        <v>0</v>
      </c>
      <c r="J291">
        <v>0</v>
      </c>
      <c r="K291">
        <v>0</v>
      </c>
      <c r="L291">
        <v>62.6666666666667</v>
      </c>
      <c r="M291">
        <v>0</v>
      </c>
      <c r="N291">
        <v>0</v>
      </c>
      <c r="O291">
        <v>0</v>
      </c>
      <c r="P291">
        <v>0.33333333333333298</v>
      </c>
      <c r="Q291">
        <v>0</v>
      </c>
      <c r="R291">
        <v>0.33333333333333298</v>
      </c>
      <c r="S291">
        <v>0</v>
      </c>
      <c r="T291">
        <v>0</v>
      </c>
      <c r="U291">
        <v>0</v>
      </c>
      <c r="V291">
        <v>0</v>
      </c>
      <c r="W291">
        <v>0.33333333333333298</v>
      </c>
      <c r="X291">
        <v>0</v>
      </c>
      <c r="Y291">
        <v>0</v>
      </c>
      <c r="Z291">
        <v>2</v>
      </c>
      <c r="AA291">
        <v>0</v>
      </c>
      <c r="AB291">
        <v>0.66666666666666696</v>
      </c>
      <c r="AC291">
        <v>0.33333333333333298</v>
      </c>
      <c r="AD291">
        <v>0</v>
      </c>
      <c r="AE291">
        <v>0</v>
      </c>
      <c r="AF291">
        <v>0</v>
      </c>
      <c r="AG291">
        <v>0</v>
      </c>
      <c r="AH291">
        <v>0</v>
      </c>
      <c r="AI291">
        <v>0</v>
      </c>
      <c r="AJ291">
        <v>0</v>
      </c>
      <c r="AK291">
        <v>0</v>
      </c>
      <c r="AL291">
        <v>0</v>
      </c>
    </row>
    <row r="292" spans="1:38" ht="14.5">
      <c r="A292" s="58">
        <v>2020</v>
      </c>
      <c r="B292" s="58" t="s">
        <v>275</v>
      </c>
      <c r="C292" s="58" t="s">
        <v>140</v>
      </c>
      <c r="D292" s="110"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sortBy="value" ref="AZ33:AZ38"/>
  </sortState>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300-000000000000}">
  <dimension ref="A1:AU55"/>
  <sheetViews>
    <sheetView zoomScale="113" zoomScaleNormal="113" workbookViewId="0" topLeftCell="A1">
      <selection pane="topLeft" activeCell="R17" sqref="R17"/>
    </sheetView>
  </sheetViews>
  <sheetFormatPr defaultColWidth="9.00428571428571" defaultRowHeight="12.5"/>
  <cols>
    <col min="3" max="3" width="11.5714285714286" customWidth="1"/>
    <col min="8" max="11" width="9" style="51"/>
    <col min="12" max="16" width="5.28571428571429" style="51" customWidth="1"/>
    <col min="17" max="28" width="5.28571428571429" customWidth="1"/>
  </cols>
  <sheetData>
    <row r="1" spans="1:47" ht="12.5">
      <c r="A1" t="s">
        <v>42</v>
      </c>
      <c r="B1" t="s">
        <v>132</v>
      </c>
      <c r="C1" t="s">
        <v>65</v>
      </c>
      <c r="D1" t="s">
        <v>108</v>
      </c>
      <c r="E1" t="s">
        <v>291</v>
      </c>
      <c r="F1" t="s">
        <v>290</v>
      </c>
      <c r="G1" t="s">
        <v>41</v>
      </c>
      <c r="H1" s="51" t="s">
        <v>289</v>
      </c>
      <c r="I1" s="51" t="s">
        <v>288</v>
      </c>
      <c r="J1" s="51" t="s">
        <v>287</v>
      </c>
      <c r="K1" s="51" t="s">
        <v>286</v>
      </c>
      <c r="L1" s="51" t="s">
        <v>3</v>
      </c>
      <c r="M1" s="51" t="s">
        <v>5</v>
      </c>
      <c r="N1" s="51" t="s">
        <v>6</v>
      </c>
      <c r="O1" s="51" t="s">
        <v>7</v>
      </c>
      <c r="P1" s="51"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285</v>
      </c>
    </row>
    <row r="2" spans="1:47" ht="12.5">
      <c r="A2" t="s">
        <v>112</v>
      </c>
      <c r="B2" t="s">
        <v>113</v>
      </c>
      <c r="C2" t="s">
        <v>166</v>
      </c>
      <c r="D2" t="s">
        <v>359</v>
      </c>
      <c r="E2" t="s">
        <v>185</v>
      </c>
      <c r="F2" t="s">
        <v>360</v>
      </c>
      <c r="G2" t="s">
        <v>361</v>
      </c>
      <c r="H2" s="51" t="s">
        <v>359</v>
      </c>
      <c r="I2" s="51" t="s">
        <v>359</v>
      </c>
      <c r="J2" s="51" t="s">
        <v>359</v>
      </c>
      <c r="K2" s="51" t="s">
        <v>359</v>
      </c>
      <c r="L2" s="51">
        <v>7</v>
      </c>
      <c r="M2" s="51">
        <v>7</v>
      </c>
      <c r="N2" s="51">
        <v>7</v>
      </c>
      <c r="O2" s="51">
        <v>7</v>
      </c>
      <c r="P2" s="51">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359</v>
      </c>
    </row>
    <row r="3" spans="1:47" ht="12.5">
      <c r="A3" t="s">
        <v>112</v>
      </c>
      <c r="B3" t="s">
        <v>113</v>
      </c>
      <c r="C3" t="s">
        <v>362</v>
      </c>
      <c r="D3" t="s">
        <v>359</v>
      </c>
      <c r="E3" t="s">
        <v>185</v>
      </c>
      <c r="F3" t="s">
        <v>360</v>
      </c>
      <c r="G3" t="s">
        <v>361</v>
      </c>
      <c r="H3" s="51" t="s">
        <v>359</v>
      </c>
      <c r="I3" s="51" t="s">
        <v>359</v>
      </c>
      <c r="J3" s="51" t="s">
        <v>359</v>
      </c>
      <c r="K3" s="51" t="s">
        <v>359</v>
      </c>
      <c r="L3" s="51">
        <v>15</v>
      </c>
      <c r="M3" s="51">
        <v>15</v>
      </c>
      <c r="N3" s="51">
        <v>15</v>
      </c>
      <c r="O3" s="51">
        <v>15</v>
      </c>
      <c r="P3" s="51">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359</v>
      </c>
    </row>
    <row r="4" spans="1:47" ht="12.5">
      <c r="A4" t="s">
        <v>112</v>
      </c>
      <c r="B4" t="s">
        <v>113</v>
      </c>
      <c r="C4" t="s">
        <v>363</v>
      </c>
      <c r="D4" t="s">
        <v>359</v>
      </c>
      <c r="E4" t="s">
        <v>185</v>
      </c>
      <c r="F4" t="s">
        <v>360</v>
      </c>
      <c r="G4" t="s">
        <v>361</v>
      </c>
      <c r="H4" s="51" t="s">
        <v>359</v>
      </c>
      <c r="I4" s="51" t="s">
        <v>359</v>
      </c>
      <c r="J4" s="51" t="s">
        <v>359</v>
      </c>
      <c r="K4" s="51" t="s">
        <v>359</v>
      </c>
      <c r="L4" s="51">
        <v>15</v>
      </c>
      <c r="M4" s="51">
        <v>15</v>
      </c>
      <c r="N4" s="51">
        <v>15</v>
      </c>
      <c r="O4" s="51">
        <v>15</v>
      </c>
      <c r="P4" s="51">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359</v>
      </c>
    </row>
    <row r="5" spans="1:47" ht="12.5">
      <c r="A5" t="s">
        <v>112</v>
      </c>
      <c r="B5" t="s">
        <v>113</v>
      </c>
      <c r="C5" t="s">
        <v>167</v>
      </c>
      <c r="D5" t="s">
        <v>359</v>
      </c>
      <c r="E5" t="s">
        <v>185</v>
      </c>
      <c r="F5" t="s">
        <v>360</v>
      </c>
      <c r="G5" t="s">
        <v>361</v>
      </c>
      <c r="H5" s="51" t="s">
        <v>359</v>
      </c>
      <c r="I5" s="51" t="s">
        <v>359</v>
      </c>
      <c r="J5" s="51" t="s">
        <v>359</v>
      </c>
      <c r="K5" s="51" t="s">
        <v>359</v>
      </c>
      <c r="L5" s="51">
        <v>15</v>
      </c>
      <c r="M5" s="51">
        <v>15</v>
      </c>
      <c r="N5" s="51">
        <v>15</v>
      </c>
      <c r="O5" s="51">
        <v>15</v>
      </c>
      <c r="P5" s="51">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359</v>
      </c>
    </row>
    <row r="6" spans="1:47" ht="12.5">
      <c r="A6" t="s">
        <v>112</v>
      </c>
      <c r="B6" t="s">
        <v>113</v>
      </c>
      <c r="C6" t="s">
        <v>364</v>
      </c>
      <c r="D6" t="s">
        <v>359</v>
      </c>
      <c r="E6" t="s">
        <v>185</v>
      </c>
      <c r="F6" t="s">
        <v>360</v>
      </c>
      <c r="G6" t="s">
        <v>361</v>
      </c>
      <c r="H6" s="51" t="s">
        <v>359</v>
      </c>
      <c r="I6" s="51" t="s">
        <v>359</v>
      </c>
      <c r="J6" s="51" t="s">
        <v>359</v>
      </c>
      <c r="K6" s="51" t="s">
        <v>359</v>
      </c>
      <c r="L6" s="51">
        <v>35</v>
      </c>
      <c r="M6" s="51">
        <v>35</v>
      </c>
      <c r="N6" s="51">
        <v>35</v>
      </c>
      <c r="O6" s="51">
        <v>35</v>
      </c>
      <c r="P6" s="51">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359</v>
      </c>
    </row>
    <row r="7" spans="1:47" ht="12.5">
      <c r="A7" t="s">
        <v>112</v>
      </c>
      <c r="B7" t="s">
        <v>113</v>
      </c>
      <c r="C7" t="s">
        <v>168</v>
      </c>
      <c r="D7" t="s">
        <v>359</v>
      </c>
      <c r="E7" t="s">
        <v>185</v>
      </c>
      <c r="F7" t="s">
        <v>360</v>
      </c>
      <c r="G7" t="s">
        <v>361</v>
      </c>
      <c r="H7" s="51" t="s">
        <v>359</v>
      </c>
      <c r="I7" s="51" t="s">
        <v>359</v>
      </c>
      <c r="J7" s="51" t="s">
        <v>359</v>
      </c>
      <c r="K7" s="51" t="s">
        <v>359</v>
      </c>
      <c r="L7" s="51">
        <v>35</v>
      </c>
      <c r="M7" s="51">
        <v>35</v>
      </c>
      <c r="N7" s="51">
        <v>35</v>
      </c>
      <c r="O7" s="51">
        <v>35</v>
      </c>
      <c r="P7" s="51">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359</v>
      </c>
    </row>
    <row r="8" spans="1:47" ht="12.5">
      <c r="A8" t="s">
        <v>112</v>
      </c>
      <c r="B8" t="s">
        <v>113</v>
      </c>
      <c r="C8" t="s">
        <v>365</v>
      </c>
      <c r="D8" t="s">
        <v>359</v>
      </c>
      <c r="E8" t="s">
        <v>185</v>
      </c>
      <c r="F8" t="s">
        <v>360</v>
      </c>
      <c r="G8" t="s">
        <v>361</v>
      </c>
      <c r="H8" s="51" t="s">
        <v>359</v>
      </c>
      <c r="I8" s="51" t="s">
        <v>359</v>
      </c>
      <c r="J8" s="51" t="s">
        <v>359</v>
      </c>
      <c r="K8" s="51" t="s">
        <v>359</v>
      </c>
      <c r="L8" s="51">
        <v>35</v>
      </c>
      <c r="M8" s="51">
        <v>35</v>
      </c>
      <c r="N8" s="51">
        <v>35</v>
      </c>
      <c r="O8" s="51">
        <v>35</v>
      </c>
      <c r="P8" s="51">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359</v>
      </c>
    </row>
    <row r="9" spans="1:47" ht="12.5">
      <c r="A9" t="s">
        <v>112</v>
      </c>
      <c r="B9" t="s">
        <v>113</v>
      </c>
      <c r="C9" t="s">
        <v>366</v>
      </c>
      <c r="D9" t="s">
        <v>359</v>
      </c>
      <c r="E9" t="s">
        <v>185</v>
      </c>
      <c r="F9" t="s">
        <v>360</v>
      </c>
      <c r="G9" t="s">
        <v>361</v>
      </c>
      <c r="H9" s="51" t="s">
        <v>359</v>
      </c>
      <c r="I9" s="51" t="s">
        <v>359</v>
      </c>
      <c r="J9" s="51" t="s">
        <v>359</v>
      </c>
      <c r="K9" s="51" t="s">
        <v>359</v>
      </c>
      <c r="L9" s="51">
        <v>35</v>
      </c>
      <c r="M9" s="51">
        <v>35</v>
      </c>
      <c r="N9" s="51">
        <v>35</v>
      </c>
      <c r="O9" s="51">
        <v>35</v>
      </c>
      <c r="P9" s="51">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359</v>
      </c>
    </row>
    <row r="10" spans="1:47" ht="12.5">
      <c r="A10" t="s">
        <v>112</v>
      </c>
      <c r="B10" t="s">
        <v>113</v>
      </c>
      <c r="C10" t="s">
        <v>367</v>
      </c>
      <c r="D10" t="s">
        <v>359</v>
      </c>
      <c r="E10" t="s">
        <v>185</v>
      </c>
      <c r="F10" t="s">
        <v>360</v>
      </c>
      <c r="G10" t="s">
        <v>361</v>
      </c>
      <c r="H10" s="51" t="s">
        <v>359</v>
      </c>
      <c r="I10" s="51" t="s">
        <v>359</v>
      </c>
      <c r="J10" s="51" t="s">
        <v>359</v>
      </c>
      <c r="K10" s="51" t="s">
        <v>359</v>
      </c>
      <c r="L10" s="51">
        <v>35</v>
      </c>
      <c r="M10" s="51">
        <v>35</v>
      </c>
      <c r="N10" s="51">
        <v>35</v>
      </c>
      <c r="O10" s="51">
        <v>35</v>
      </c>
      <c r="P10" s="51">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359</v>
      </c>
    </row>
    <row r="11" spans="1:47" ht="12.5">
      <c r="A11" t="s">
        <v>112</v>
      </c>
      <c r="B11" t="s">
        <v>113</v>
      </c>
      <c r="C11" t="s">
        <v>368</v>
      </c>
      <c r="D11" t="s">
        <v>359</v>
      </c>
      <c r="E11" t="s">
        <v>185</v>
      </c>
      <c r="F11" t="s">
        <v>360</v>
      </c>
      <c r="G11" t="s">
        <v>361</v>
      </c>
      <c r="H11" s="51" t="s">
        <v>359</v>
      </c>
      <c r="I11" s="51" t="s">
        <v>359</v>
      </c>
      <c r="J11" s="51" t="s">
        <v>359</v>
      </c>
      <c r="K11" s="51" t="s">
        <v>359</v>
      </c>
      <c r="L11" s="51">
        <v>35</v>
      </c>
      <c r="M11" s="51">
        <v>35</v>
      </c>
      <c r="N11" s="51">
        <v>35</v>
      </c>
      <c r="O11" s="51">
        <v>35</v>
      </c>
      <c r="P11" s="51">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359</v>
      </c>
    </row>
    <row r="12" spans="1:47" ht="12.5">
      <c r="A12" t="s">
        <v>112</v>
      </c>
      <c r="B12" t="s">
        <v>113</v>
      </c>
      <c r="C12" t="s">
        <v>369</v>
      </c>
      <c r="D12" t="s">
        <v>359</v>
      </c>
      <c r="E12" t="s">
        <v>185</v>
      </c>
      <c r="F12" t="s">
        <v>360</v>
      </c>
      <c r="G12" t="s">
        <v>361</v>
      </c>
      <c r="H12" s="51" t="s">
        <v>359</v>
      </c>
      <c r="I12" s="51" t="s">
        <v>359</v>
      </c>
      <c r="J12" s="51" t="s">
        <v>359</v>
      </c>
      <c r="K12" s="51" t="s">
        <v>359</v>
      </c>
      <c r="L12" s="51">
        <v>35</v>
      </c>
      <c r="M12" s="51">
        <v>35</v>
      </c>
      <c r="N12" s="51">
        <v>35</v>
      </c>
      <c r="O12" s="51">
        <v>35</v>
      </c>
      <c r="P12" s="51">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359</v>
      </c>
    </row>
    <row r="13" spans="1:47" ht="12.5">
      <c r="A13" t="s">
        <v>112</v>
      </c>
      <c r="B13" t="s">
        <v>113</v>
      </c>
      <c r="C13" t="s">
        <v>370</v>
      </c>
      <c r="D13" t="s">
        <v>359</v>
      </c>
      <c r="E13" t="s">
        <v>185</v>
      </c>
      <c r="F13" t="s">
        <v>360</v>
      </c>
      <c r="G13" t="s">
        <v>361</v>
      </c>
      <c r="H13" s="51" t="s">
        <v>359</v>
      </c>
      <c r="I13" s="51" t="s">
        <v>359</v>
      </c>
      <c r="J13" s="51" t="s">
        <v>359</v>
      </c>
      <c r="K13" s="51" t="s">
        <v>359</v>
      </c>
      <c r="L13" s="51">
        <v>12</v>
      </c>
      <c r="M13" s="51">
        <v>12</v>
      </c>
      <c r="N13" s="51">
        <v>12</v>
      </c>
      <c r="O13" s="51">
        <v>12</v>
      </c>
      <c r="P13" s="51">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359</v>
      </c>
    </row>
    <row r="14" spans="1:47" ht="12.5">
      <c r="A14" t="s">
        <v>112</v>
      </c>
      <c r="B14" t="s">
        <v>113</v>
      </c>
      <c r="C14" t="s">
        <v>371</v>
      </c>
      <c r="D14" t="s">
        <v>359</v>
      </c>
      <c r="E14" t="s">
        <v>185</v>
      </c>
      <c r="F14" t="s">
        <v>360</v>
      </c>
      <c r="G14" t="s">
        <v>361</v>
      </c>
      <c r="H14" s="51" t="s">
        <v>359</v>
      </c>
      <c r="I14" s="51" t="s">
        <v>359</v>
      </c>
      <c r="J14" s="51" t="s">
        <v>359</v>
      </c>
      <c r="K14" s="51" t="s">
        <v>359</v>
      </c>
      <c r="L14" s="51">
        <v>12</v>
      </c>
      <c r="M14" s="51">
        <v>12</v>
      </c>
      <c r="N14" s="51">
        <v>12</v>
      </c>
      <c r="O14" s="51">
        <v>12</v>
      </c>
      <c r="P14" s="51">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359</v>
      </c>
    </row>
    <row r="15" spans="1:47" ht="12.5">
      <c r="A15" t="s">
        <v>112</v>
      </c>
      <c r="B15" t="s">
        <v>113</v>
      </c>
      <c r="C15" t="s">
        <v>372</v>
      </c>
      <c r="D15" t="s">
        <v>359</v>
      </c>
      <c r="E15" t="s">
        <v>185</v>
      </c>
      <c r="F15" t="s">
        <v>360</v>
      </c>
      <c r="G15" t="s">
        <v>361</v>
      </c>
      <c r="H15" s="51" t="s">
        <v>359</v>
      </c>
      <c r="I15" s="51" t="s">
        <v>359</v>
      </c>
      <c r="J15" s="51" t="s">
        <v>359</v>
      </c>
      <c r="K15" s="51" t="s">
        <v>359</v>
      </c>
      <c r="L15" s="51">
        <v>12</v>
      </c>
      <c r="M15" s="51">
        <v>12</v>
      </c>
      <c r="N15" s="51">
        <v>12</v>
      </c>
      <c r="O15" s="51">
        <v>12</v>
      </c>
      <c r="P15" s="51">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359</v>
      </c>
    </row>
    <row r="16" spans="1:47" ht="12.5">
      <c r="A16" t="s">
        <v>112</v>
      </c>
      <c r="B16" t="s">
        <v>113</v>
      </c>
      <c r="C16" t="s">
        <v>373</v>
      </c>
      <c r="D16" t="s">
        <v>359</v>
      </c>
      <c r="E16" t="s">
        <v>185</v>
      </c>
      <c r="F16" t="s">
        <v>360</v>
      </c>
      <c r="G16" t="s">
        <v>361</v>
      </c>
      <c r="H16" s="51" t="s">
        <v>359</v>
      </c>
      <c r="I16" s="51" t="s">
        <v>359</v>
      </c>
      <c r="J16" s="51" t="s">
        <v>359</v>
      </c>
      <c r="K16" s="51" t="s">
        <v>359</v>
      </c>
      <c r="L16" s="51">
        <v>12</v>
      </c>
      <c r="M16" s="51">
        <v>12</v>
      </c>
      <c r="N16" s="51">
        <v>12</v>
      </c>
      <c r="O16" s="51">
        <v>12</v>
      </c>
      <c r="P16" s="51">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359</v>
      </c>
    </row>
    <row r="17" spans="1:47" ht="12.5">
      <c r="A17" t="s">
        <v>112</v>
      </c>
      <c r="B17" t="s">
        <v>113</v>
      </c>
      <c r="C17" t="s">
        <v>169</v>
      </c>
      <c r="D17" t="s">
        <v>359</v>
      </c>
      <c r="E17" t="s">
        <v>185</v>
      </c>
      <c r="F17" t="s">
        <v>360</v>
      </c>
      <c r="G17" t="s">
        <v>361</v>
      </c>
      <c r="H17" s="51" t="s">
        <v>359</v>
      </c>
      <c r="I17" s="51" t="s">
        <v>359</v>
      </c>
      <c r="J17" s="51" t="s">
        <v>359</v>
      </c>
      <c r="K17" s="51" t="s">
        <v>359</v>
      </c>
      <c r="L17" s="51">
        <v>12</v>
      </c>
      <c r="M17" s="51">
        <v>12</v>
      </c>
      <c r="N17" s="51">
        <v>12</v>
      </c>
      <c r="O17" s="51">
        <v>12</v>
      </c>
      <c r="P17" s="51">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359</v>
      </c>
    </row>
    <row r="18" spans="1:47" ht="12.5">
      <c r="A18" t="s">
        <v>112</v>
      </c>
      <c r="B18" t="s">
        <v>113</v>
      </c>
      <c r="C18" t="s">
        <v>374</v>
      </c>
      <c r="D18" t="s">
        <v>359</v>
      </c>
      <c r="E18" t="s">
        <v>185</v>
      </c>
      <c r="F18" t="s">
        <v>360</v>
      </c>
      <c r="G18" t="s">
        <v>361</v>
      </c>
      <c r="H18" s="51" t="s">
        <v>359</v>
      </c>
      <c r="I18" s="51" t="s">
        <v>359</v>
      </c>
      <c r="J18" s="51" t="s">
        <v>359</v>
      </c>
      <c r="K18" s="51" t="s">
        <v>359</v>
      </c>
      <c r="L18" s="51">
        <v>12</v>
      </c>
      <c r="M18" s="51">
        <v>12</v>
      </c>
      <c r="N18" s="51">
        <v>12</v>
      </c>
      <c r="O18" s="51">
        <v>12</v>
      </c>
      <c r="P18" s="51">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359</v>
      </c>
    </row>
    <row r="19" spans="1:47" ht="12.5">
      <c r="A19" t="s">
        <v>112</v>
      </c>
      <c r="B19" t="s">
        <v>113</v>
      </c>
      <c r="C19" t="s">
        <v>375</v>
      </c>
      <c r="D19" t="s">
        <v>359</v>
      </c>
      <c r="E19" t="s">
        <v>185</v>
      </c>
      <c r="F19" t="s">
        <v>360</v>
      </c>
      <c r="G19" t="s">
        <v>361</v>
      </c>
      <c r="H19" s="51" t="s">
        <v>359</v>
      </c>
      <c r="I19" s="51" t="s">
        <v>359</v>
      </c>
      <c r="J19" s="51" t="s">
        <v>359</v>
      </c>
      <c r="K19" s="51" t="s">
        <v>359</v>
      </c>
      <c r="L19" s="51">
        <v>12</v>
      </c>
      <c r="M19" s="51">
        <v>12</v>
      </c>
      <c r="N19" s="51">
        <v>12</v>
      </c>
      <c r="O19" s="51">
        <v>12</v>
      </c>
      <c r="P19" s="51">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359</v>
      </c>
    </row>
    <row r="20" spans="1:47" ht="12.5">
      <c r="A20" t="s">
        <v>112</v>
      </c>
      <c r="B20" t="s">
        <v>113</v>
      </c>
      <c r="C20" t="s">
        <v>376</v>
      </c>
      <c r="D20" t="s">
        <v>359</v>
      </c>
      <c r="E20" t="s">
        <v>185</v>
      </c>
      <c r="F20" t="s">
        <v>360</v>
      </c>
      <c r="G20" t="s">
        <v>361</v>
      </c>
      <c r="H20" s="51" t="s">
        <v>359</v>
      </c>
      <c r="I20" s="51" t="s">
        <v>359</v>
      </c>
      <c r="J20" s="51" t="s">
        <v>359</v>
      </c>
      <c r="K20" s="51" t="s">
        <v>359</v>
      </c>
      <c r="L20" s="51">
        <v>100</v>
      </c>
      <c r="M20" s="51">
        <v>100</v>
      </c>
      <c r="N20" s="51">
        <v>100</v>
      </c>
      <c r="O20" s="51">
        <v>100</v>
      </c>
      <c r="P20" s="51">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359</v>
      </c>
    </row>
    <row r="21" spans="1:47" ht="12.5">
      <c r="A21" t="s">
        <v>112</v>
      </c>
      <c r="B21" t="s">
        <v>113</v>
      </c>
      <c r="C21" t="s">
        <v>170</v>
      </c>
      <c r="D21" t="s">
        <v>359</v>
      </c>
      <c r="E21" t="s">
        <v>185</v>
      </c>
      <c r="F21" t="s">
        <v>360</v>
      </c>
      <c r="G21" t="s">
        <v>361</v>
      </c>
      <c r="H21" s="51" t="s">
        <v>359</v>
      </c>
      <c r="I21" s="51" t="s">
        <v>359</v>
      </c>
      <c r="J21" s="51" t="s">
        <v>359</v>
      </c>
      <c r="K21" s="51" t="s">
        <v>359</v>
      </c>
      <c r="L21" s="51">
        <v>100</v>
      </c>
      <c r="M21" s="51">
        <v>100</v>
      </c>
      <c r="N21" s="51">
        <v>100</v>
      </c>
      <c r="O21" s="51">
        <v>100</v>
      </c>
      <c r="P21" s="51">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359</v>
      </c>
    </row>
    <row r="22" spans="1:47" ht="12.5">
      <c r="A22" t="s">
        <v>112</v>
      </c>
      <c r="B22" t="s">
        <v>113</v>
      </c>
      <c r="C22" t="s">
        <v>377</v>
      </c>
      <c r="D22" t="s">
        <v>359</v>
      </c>
      <c r="E22" t="s">
        <v>185</v>
      </c>
      <c r="F22" t="s">
        <v>360</v>
      </c>
      <c r="G22" t="s">
        <v>361</v>
      </c>
      <c r="H22" s="51" t="s">
        <v>359</v>
      </c>
      <c r="I22" s="51" t="s">
        <v>359</v>
      </c>
      <c r="J22" s="51" t="s">
        <v>359</v>
      </c>
      <c r="K22" s="51" t="s">
        <v>359</v>
      </c>
      <c r="L22" s="51">
        <v>100</v>
      </c>
      <c r="M22" s="51">
        <v>100</v>
      </c>
      <c r="N22" s="51">
        <v>100</v>
      </c>
      <c r="O22" s="51">
        <v>100</v>
      </c>
      <c r="P22" s="51">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359</v>
      </c>
    </row>
    <row r="23" spans="1:47" ht="12.5">
      <c r="A23" t="s">
        <v>112</v>
      </c>
      <c r="B23" t="s">
        <v>113</v>
      </c>
      <c r="C23" t="s">
        <v>378</v>
      </c>
      <c r="D23" t="s">
        <v>359</v>
      </c>
      <c r="E23" t="s">
        <v>185</v>
      </c>
      <c r="F23" t="s">
        <v>360</v>
      </c>
      <c r="G23" t="s">
        <v>361</v>
      </c>
      <c r="H23" s="51" t="s">
        <v>359</v>
      </c>
      <c r="I23" s="51" t="s">
        <v>359</v>
      </c>
      <c r="J23" s="51" t="s">
        <v>359</v>
      </c>
      <c r="K23" s="51" t="s">
        <v>359</v>
      </c>
      <c r="L23" s="51">
        <v>40</v>
      </c>
      <c r="M23" s="51">
        <v>40</v>
      </c>
      <c r="N23" s="51">
        <v>40</v>
      </c>
      <c r="O23" s="51">
        <v>40</v>
      </c>
      <c r="P23" s="51">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359</v>
      </c>
    </row>
    <row r="24" spans="1:47" ht="12.5">
      <c r="A24" t="s">
        <v>112</v>
      </c>
      <c r="B24" t="s">
        <v>113</v>
      </c>
      <c r="C24" t="s">
        <v>171</v>
      </c>
      <c r="D24" t="s">
        <v>359</v>
      </c>
      <c r="E24" t="s">
        <v>185</v>
      </c>
      <c r="F24" t="s">
        <v>360</v>
      </c>
      <c r="G24" t="s">
        <v>361</v>
      </c>
      <c r="H24" s="51" t="s">
        <v>359</v>
      </c>
      <c r="I24" s="51" t="s">
        <v>359</v>
      </c>
      <c r="J24" s="51" t="s">
        <v>359</v>
      </c>
      <c r="K24" s="51" t="s">
        <v>359</v>
      </c>
      <c r="L24" s="51">
        <v>40</v>
      </c>
      <c r="M24" s="51">
        <v>40</v>
      </c>
      <c r="N24" s="51">
        <v>40</v>
      </c>
      <c r="O24" s="51">
        <v>40</v>
      </c>
      <c r="P24" s="51">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359</v>
      </c>
    </row>
    <row r="25" spans="1:47" ht="12.5">
      <c r="A25" t="s">
        <v>112</v>
      </c>
      <c r="B25" t="s">
        <v>113</v>
      </c>
      <c r="C25" t="s">
        <v>379</v>
      </c>
      <c r="D25" t="s">
        <v>359</v>
      </c>
      <c r="E25" t="s">
        <v>185</v>
      </c>
      <c r="F25" t="s">
        <v>360</v>
      </c>
      <c r="G25" t="s">
        <v>361</v>
      </c>
      <c r="H25" s="51" t="s">
        <v>359</v>
      </c>
      <c r="I25" s="51" t="s">
        <v>359</v>
      </c>
      <c r="J25" s="51" t="s">
        <v>359</v>
      </c>
      <c r="K25" s="51" t="s">
        <v>359</v>
      </c>
      <c r="L25" s="51">
        <v>40</v>
      </c>
      <c r="M25" s="51">
        <v>40</v>
      </c>
      <c r="N25" s="51">
        <v>40</v>
      </c>
      <c r="O25" s="51">
        <v>40</v>
      </c>
      <c r="P25" s="51">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359</v>
      </c>
    </row>
    <row r="26" spans="1:47" ht="12.5">
      <c r="A26" t="s">
        <v>112</v>
      </c>
      <c r="B26" t="s">
        <v>113</v>
      </c>
      <c r="C26" t="s">
        <v>380</v>
      </c>
      <c r="D26" t="s">
        <v>359</v>
      </c>
      <c r="E26" t="s">
        <v>185</v>
      </c>
      <c r="F26" t="s">
        <v>360</v>
      </c>
      <c r="G26" t="s">
        <v>361</v>
      </c>
      <c r="H26" s="51" t="s">
        <v>359</v>
      </c>
      <c r="I26" s="51" t="s">
        <v>359</v>
      </c>
      <c r="J26" s="51" t="s">
        <v>359</v>
      </c>
      <c r="K26" s="51" t="s">
        <v>359</v>
      </c>
      <c r="L26" s="51">
        <v>40</v>
      </c>
      <c r="M26" s="51">
        <v>40</v>
      </c>
      <c r="N26" s="51">
        <v>40</v>
      </c>
      <c r="O26" s="51">
        <v>40</v>
      </c>
      <c r="P26" s="51">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359</v>
      </c>
    </row>
    <row r="27" spans="1:47" ht="12.5">
      <c r="A27" t="s">
        <v>112</v>
      </c>
      <c r="B27" t="s">
        <v>113</v>
      </c>
      <c r="C27" t="s">
        <v>381</v>
      </c>
      <c r="D27" t="s">
        <v>359</v>
      </c>
      <c r="E27" t="s">
        <v>185</v>
      </c>
      <c r="F27" t="s">
        <v>360</v>
      </c>
      <c r="G27" t="s">
        <v>361</v>
      </c>
      <c r="H27" s="51" t="s">
        <v>359</v>
      </c>
      <c r="I27" s="51" t="s">
        <v>359</v>
      </c>
      <c r="J27" s="51" t="s">
        <v>359</v>
      </c>
      <c r="K27" s="51" t="s">
        <v>359</v>
      </c>
      <c r="L27" s="51">
        <v>40</v>
      </c>
      <c r="M27" s="51">
        <v>40</v>
      </c>
      <c r="N27" s="51">
        <v>40</v>
      </c>
      <c r="O27" s="51">
        <v>40</v>
      </c>
      <c r="P27" s="51">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359</v>
      </c>
    </row>
    <row r="28" spans="1:47" ht="12.5">
      <c r="A28" t="s">
        <v>112</v>
      </c>
      <c r="B28" t="s">
        <v>113</v>
      </c>
      <c r="C28" t="s">
        <v>382</v>
      </c>
      <c r="D28" t="s">
        <v>359</v>
      </c>
      <c r="E28" t="s">
        <v>185</v>
      </c>
      <c r="F28" t="s">
        <v>360</v>
      </c>
      <c r="G28" t="s">
        <v>361</v>
      </c>
      <c r="H28" s="51" t="s">
        <v>359</v>
      </c>
      <c r="I28" s="51" t="s">
        <v>359</v>
      </c>
      <c r="J28" s="51" t="s">
        <v>359</v>
      </c>
      <c r="K28" s="51" t="s">
        <v>359</v>
      </c>
      <c r="L28" s="51">
        <v>40</v>
      </c>
      <c r="M28" s="51">
        <v>40</v>
      </c>
      <c r="N28" s="51">
        <v>40</v>
      </c>
      <c r="O28" s="51">
        <v>40</v>
      </c>
      <c r="P28" s="51">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359</v>
      </c>
    </row>
    <row r="29" spans="1:47" ht="12.5">
      <c r="A29" t="s">
        <v>112</v>
      </c>
      <c r="B29" t="s">
        <v>123</v>
      </c>
      <c r="C29" t="s">
        <v>166</v>
      </c>
      <c r="D29" t="s">
        <v>359</v>
      </c>
      <c r="E29" t="s">
        <v>359</v>
      </c>
      <c r="F29" t="s">
        <v>360</v>
      </c>
      <c r="G29" t="s">
        <v>361</v>
      </c>
      <c r="H29" s="51" t="s">
        <v>359</v>
      </c>
      <c r="I29" s="51" t="s">
        <v>359</v>
      </c>
      <c r="J29" s="51" t="s">
        <v>359</v>
      </c>
      <c r="K29" s="51" t="s">
        <v>359</v>
      </c>
      <c r="L29" s="51">
        <v>0.98999999999999999</v>
      </c>
      <c r="M29" s="51">
        <v>0.98999999999999999</v>
      </c>
      <c r="N29" s="51">
        <v>0.98999999999999999</v>
      </c>
      <c r="O29" s="51">
        <v>0.98999999999999999</v>
      </c>
      <c r="P29" s="51">
        <v>0.98999999999999999</v>
      </c>
      <c r="Q29">
        <v>0.98999999999999999</v>
      </c>
      <c r="R29">
        <v>0.98999999999999999</v>
      </c>
      <c r="S29">
        <v>0.98999999999999999</v>
      </c>
      <c r="T29">
        <v>0.98999999999999999</v>
      </c>
      <c r="U29">
        <v>0.98999999999999999</v>
      </c>
      <c r="V29">
        <v>0.98999999999999999</v>
      </c>
      <c r="W29">
        <v>0.98999999999999999</v>
      </c>
      <c r="X29">
        <v>0.98999999999999999</v>
      </c>
      <c r="Y29">
        <v>0.98999999999999999</v>
      </c>
      <c r="Z29">
        <v>0.98999999999999999</v>
      </c>
      <c r="AA29">
        <v>0.98999999999999999</v>
      </c>
      <c r="AB29">
        <v>0.98999999999999999</v>
      </c>
      <c r="AC29">
        <v>0.98999999999999999</v>
      </c>
      <c r="AD29">
        <v>0.98999999999999999</v>
      </c>
      <c r="AE29">
        <v>0.98999999999999999</v>
      </c>
      <c r="AF29">
        <v>0.98999999999999999</v>
      </c>
      <c r="AG29">
        <v>0.98999999999999999</v>
      </c>
      <c r="AH29">
        <v>0.98999999999999999</v>
      </c>
      <c r="AI29">
        <v>0.98999999999999999</v>
      </c>
      <c r="AJ29">
        <v>0.98999999999999999</v>
      </c>
      <c r="AK29">
        <v>0.98999999999999999</v>
      </c>
      <c r="AL29">
        <v>0.98999999999999999</v>
      </c>
      <c r="AM29">
        <v>0.98999999999999999</v>
      </c>
      <c r="AN29">
        <v>0.98999999999999999</v>
      </c>
      <c r="AO29">
        <v>0.98999999999999999</v>
      </c>
      <c r="AP29">
        <v>0.98999999999999999</v>
      </c>
      <c r="AQ29">
        <v>0.98999999999999999</v>
      </c>
      <c r="AR29">
        <v>0.98999999999999999</v>
      </c>
      <c r="AS29">
        <v>0.98999999999999999</v>
      </c>
      <c r="AT29">
        <v>0.98999999999999999</v>
      </c>
      <c r="AU29" t="s">
        <v>359</v>
      </c>
    </row>
    <row r="30" spans="1:47" ht="12.5">
      <c r="A30" t="s">
        <v>112</v>
      </c>
      <c r="B30" t="s">
        <v>123</v>
      </c>
      <c r="C30" t="s">
        <v>362</v>
      </c>
      <c r="D30" t="s">
        <v>359</v>
      </c>
      <c r="E30" t="s">
        <v>359</v>
      </c>
      <c r="F30" t="s">
        <v>360</v>
      </c>
      <c r="G30" t="s">
        <v>361</v>
      </c>
      <c r="H30" s="51" t="s">
        <v>359</v>
      </c>
      <c r="I30" s="51" t="s">
        <v>359</v>
      </c>
      <c r="J30" s="51" t="s">
        <v>359</v>
      </c>
      <c r="K30" s="51" t="s">
        <v>359</v>
      </c>
      <c r="L30" s="51">
        <v>0.58696999999999999</v>
      </c>
      <c r="M30" s="51">
        <v>0.58696999999999999</v>
      </c>
      <c r="N30" s="51">
        <v>0.58696999999999999</v>
      </c>
      <c r="O30" s="51">
        <v>0.58696999999999999</v>
      </c>
      <c r="P30" s="51">
        <v>0.58696999999999999</v>
      </c>
      <c r="Q30">
        <v>0.58696999999999999</v>
      </c>
      <c r="R30">
        <v>0.58696999999999999</v>
      </c>
      <c r="S30">
        <v>0.58696999999999999</v>
      </c>
      <c r="T30">
        <v>0.58696999999999999</v>
      </c>
      <c r="U30">
        <v>0.58696999999999999</v>
      </c>
      <c r="V30">
        <v>0.58696999999999999</v>
      </c>
      <c r="W30">
        <v>0.58696999999999999</v>
      </c>
      <c r="X30">
        <v>0.58696999999999999</v>
      </c>
      <c r="Y30">
        <v>0.58696999999999999</v>
      </c>
      <c r="Z30">
        <v>0.58696999999999999</v>
      </c>
      <c r="AA30">
        <v>0.58696999999999999</v>
      </c>
      <c r="AB30">
        <v>0.58696999999999999</v>
      </c>
      <c r="AC30">
        <v>0.58696999999999999</v>
      </c>
      <c r="AD30">
        <v>0.58696999999999999</v>
      </c>
      <c r="AE30">
        <v>0.58696999999999999</v>
      </c>
      <c r="AF30">
        <v>0.58696999999999999</v>
      </c>
      <c r="AG30">
        <v>0.58696999999999999</v>
      </c>
      <c r="AH30">
        <v>0.58696999999999999</v>
      </c>
      <c r="AI30">
        <v>0.58696999999999999</v>
      </c>
      <c r="AJ30">
        <v>0.58696999999999999</v>
      </c>
      <c r="AK30">
        <v>0.58696999999999999</v>
      </c>
      <c r="AL30">
        <v>0.58696999999999999</v>
      </c>
      <c r="AM30">
        <v>0.58696999999999999</v>
      </c>
      <c r="AN30">
        <v>0.58696999999999999</v>
      </c>
      <c r="AO30">
        <v>0.58696999999999999</v>
      </c>
      <c r="AP30">
        <v>0.58696999999999999</v>
      </c>
      <c r="AQ30">
        <v>0.58696999999999999</v>
      </c>
      <c r="AR30">
        <v>0.58696999999999999</v>
      </c>
      <c r="AS30">
        <v>0.58696999999999999</v>
      </c>
      <c r="AT30">
        <v>0.58696999999999999</v>
      </c>
      <c r="AU30" t="s">
        <v>359</v>
      </c>
    </row>
    <row r="31" spans="1:47" ht="12.5">
      <c r="A31" t="s">
        <v>112</v>
      </c>
      <c r="B31" t="s">
        <v>123</v>
      </c>
      <c r="C31" t="s">
        <v>363</v>
      </c>
      <c r="D31" t="s">
        <v>359</v>
      </c>
      <c r="E31" t="s">
        <v>359</v>
      </c>
      <c r="F31" t="s">
        <v>360</v>
      </c>
      <c r="G31" t="s">
        <v>361</v>
      </c>
      <c r="H31" s="51" t="s">
        <v>359</v>
      </c>
      <c r="I31" s="51" t="s">
        <v>359</v>
      </c>
      <c r="J31" s="51" t="s">
        <v>359</v>
      </c>
      <c r="K31" s="51" t="s">
        <v>359</v>
      </c>
      <c r="L31" s="51">
        <v>0.58696999999999999</v>
      </c>
      <c r="M31" s="51">
        <v>0.58696999999999999</v>
      </c>
      <c r="N31" s="51">
        <v>0.58696999999999999</v>
      </c>
      <c r="O31" s="51">
        <v>0.58696999999999999</v>
      </c>
      <c r="P31" s="51">
        <v>0.58696999999999999</v>
      </c>
      <c r="Q31">
        <v>0.58696999999999999</v>
      </c>
      <c r="R31">
        <v>0.58696999999999999</v>
      </c>
      <c r="S31">
        <v>0.58696999999999999</v>
      </c>
      <c r="T31">
        <v>0.58696999999999999</v>
      </c>
      <c r="U31">
        <v>0.58696999999999999</v>
      </c>
      <c r="V31">
        <v>0.58696999999999999</v>
      </c>
      <c r="W31">
        <v>0.58696999999999999</v>
      </c>
      <c r="X31">
        <v>0.58696999999999999</v>
      </c>
      <c r="Y31">
        <v>0.58696999999999999</v>
      </c>
      <c r="Z31">
        <v>0.58696999999999999</v>
      </c>
      <c r="AA31">
        <v>0.58696999999999999</v>
      </c>
      <c r="AB31">
        <v>0.58696999999999999</v>
      </c>
      <c r="AC31">
        <v>0.58696999999999999</v>
      </c>
      <c r="AD31">
        <v>0.58696999999999999</v>
      </c>
      <c r="AE31">
        <v>0.58696999999999999</v>
      </c>
      <c r="AF31">
        <v>0.58696999999999999</v>
      </c>
      <c r="AG31">
        <v>0.58696999999999999</v>
      </c>
      <c r="AH31">
        <v>0.58696999999999999</v>
      </c>
      <c r="AI31">
        <v>0.58696999999999999</v>
      </c>
      <c r="AJ31">
        <v>0.58696999999999999</v>
      </c>
      <c r="AK31">
        <v>0.58696999999999999</v>
      </c>
      <c r="AL31">
        <v>0.58696999999999999</v>
      </c>
      <c r="AM31">
        <v>0.58696999999999999</v>
      </c>
      <c r="AN31">
        <v>0.58696999999999999</v>
      </c>
      <c r="AO31">
        <v>0.58696999999999999</v>
      </c>
      <c r="AP31">
        <v>0.58696999999999999</v>
      </c>
      <c r="AQ31">
        <v>0.58696999999999999</v>
      </c>
      <c r="AR31">
        <v>0.58696999999999999</v>
      </c>
      <c r="AS31">
        <v>0.58696999999999999</v>
      </c>
      <c r="AT31">
        <v>0.58696999999999999</v>
      </c>
      <c r="AU31" t="s">
        <v>359</v>
      </c>
    </row>
    <row r="32" spans="1:47" ht="12.5">
      <c r="A32" t="s">
        <v>112</v>
      </c>
      <c r="B32" t="s">
        <v>123</v>
      </c>
      <c r="C32" t="s">
        <v>167</v>
      </c>
      <c r="D32" t="s">
        <v>359</v>
      </c>
      <c r="E32" t="s">
        <v>359</v>
      </c>
      <c r="F32" t="s">
        <v>360</v>
      </c>
      <c r="G32" t="s">
        <v>361</v>
      </c>
      <c r="H32" s="51" t="s">
        <v>359</v>
      </c>
      <c r="I32" s="51" t="s">
        <v>359</v>
      </c>
      <c r="J32" s="51" t="s">
        <v>359</v>
      </c>
      <c r="K32" s="51" t="s">
        <v>359</v>
      </c>
      <c r="L32" s="51">
        <v>0.58696999999999999</v>
      </c>
      <c r="M32" s="51">
        <v>0.58696999999999999</v>
      </c>
      <c r="N32" s="51">
        <v>0.58696999999999999</v>
      </c>
      <c r="O32" s="51">
        <v>0.58696999999999999</v>
      </c>
      <c r="P32" s="51">
        <v>0.58696999999999999</v>
      </c>
      <c r="Q32">
        <v>0.58696999999999999</v>
      </c>
      <c r="R32">
        <v>0.58696999999999999</v>
      </c>
      <c r="S32">
        <v>0.58696999999999999</v>
      </c>
      <c r="T32">
        <v>0.58696999999999999</v>
      </c>
      <c r="U32">
        <v>0.58696999999999999</v>
      </c>
      <c r="V32">
        <v>0.58696999999999999</v>
      </c>
      <c r="W32">
        <v>0.58696999999999999</v>
      </c>
      <c r="X32">
        <v>0.58696999999999999</v>
      </c>
      <c r="Y32">
        <v>0.58696999999999999</v>
      </c>
      <c r="Z32">
        <v>0.58696999999999999</v>
      </c>
      <c r="AA32">
        <v>0.58696999999999999</v>
      </c>
      <c r="AB32">
        <v>0.58696999999999999</v>
      </c>
      <c r="AC32">
        <v>0.58696999999999999</v>
      </c>
      <c r="AD32">
        <v>0.58696999999999999</v>
      </c>
      <c r="AE32">
        <v>0.58696999999999999</v>
      </c>
      <c r="AF32">
        <v>0.58696999999999999</v>
      </c>
      <c r="AG32">
        <v>0.58696999999999999</v>
      </c>
      <c r="AH32">
        <v>0.58696999999999999</v>
      </c>
      <c r="AI32">
        <v>0.58696999999999999</v>
      </c>
      <c r="AJ32">
        <v>0.58696999999999999</v>
      </c>
      <c r="AK32">
        <v>0.58696999999999999</v>
      </c>
      <c r="AL32">
        <v>0.58696999999999999</v>
      </c>
      <c r="AM32">
        <v>0.58696999999999999</v>
      </c>
      <c r="AN32">
        <v>0.58696999999999999</v>
      </c>
      <c r="AO32">
        <v>0.58696999999999999</v>
      </c>
      <c r="AP32">
        <v>0.58696999999999999</v>
      </c>
      <c r="AQ32">
        <v>0.58696999999999999</v>
      </c>
      <c r="AR32">
        <v>0.58696999999999999</v>
      </c>
      <c r="AS32">
        <v>0.58696999999999999</v>
      </c>
      <c r="AT32">
        <v>0.58696999999999999</v>
      </c>
      <c r="AU32" t="s">
        <v>359</v>
      </c>
    </row>
    <row r="33" spans="1:47" ht="12.5">
      <c r="A33" t="s">
        <v>112</v>
      </c>
      <c r="B33" t="s">
        <v>123</v>
      </c>
      <c r="C33" t="s">
        <v>364</v>
      </c>
      <c r="D33" t="s">
        <v>359</v>
      </c>
      <c r="E33" t="s">
        <v>359</v>
      </c>
      <c r="F33" t="s">
        <v>360</v>
      </c>
      <c r="G33" t="s">
        <v>361</v>
      </c>
      <c r="H33" s="51" t="s">
        <v>359</v>
      </c>
      <c r="I33" s="51" t="s">
        <v>359</v>
      </c>
      <c r="J33" s="51" t="s">
        <v>359</v>
      </c>
      <c r="K33" s="51" t="s">
        <v>359</v>
      </c>
      <c r="L33" s="51">
        <v>0.072069999999999995</v>
      </c>
      <c r="M33" s="51">
        <v>0.072069999999999995</v>
      </c>
      <c r="N33" s="51">
        <v>0.072069999999999995</v>
      </c>
      <c r="O33" s="51">
        <v>0.072069999999999995</v>
      </c>
      <c r="P33" s="51">
        <v>0.072069999999999995</v>
      </c>
      <c r="Q33">
        <v>0.072069999999999995</v>
      </c>
      <c r="R33">
        <v>0.072069999999999995</v>
      </c>
      <c r="S33">
        <v>0.072069999999999995</v>
      </c>
      <c r="T33">
        <v>0.072069999999999995</v>
      </c>
      <c r="U33">
        <v>0.072069999999999995</v>
      </c>
      <c r="V33">
        <v>0.072069999999999995</v>
      </c>
      <c r="W33">
        <v>0.072069999999999995</v>
      </c>
      <c r="X33">
        <v>0.072069999999999995</v>
      </c>
      <c r="Y33">
        <v>0.072069999999999995</v>
      </c>
      <c r="Z33">
        <v>0.072069999999999995</v>
      </c>
      <c r="AA33">
        <v>0.072069999999999995</v>
      </c>
      <c r="AB33">
        <v>0.072069999999999995</v>
      </c>
      <c r="AC33">
        <v>0.072069999999999995</v>
      </c>
      <c r="AD33">
        <v>0.072069999999999995</v>
      </c>
      <c r="AE33">
        <v>0.072069999999999995</v>
      </c>
      <c r="AF33">
        <v>0.072069999999999995</v>
      </c>
      <c r="AG33">
        <v>0.072069999999999995</v>
      </c>
      <c r="AH33">
        <v>0.072069999999999995</v>
      </c>
      <c r="AI33">
        <v>0.072069999999999995</v>
      </c>
      <c r="AJ33">
        <v>0.072069999999999995</v>
      </c>
      <c r="AK33">
        <v>0.072069999999999995</v>
      </c>
      <c r="AL33">
        <v>0.072069999999999995</v>
      </c>
      <c r="AM33">
        <v>0.072069999999999995</v>
      </c>
      <c r="AN33">
        <v>0.072069999999999995</v>
      </c>
      <c r="AO33">
        <v>0.072069999999999995</v>
      </c>
      <c r="AP33">
        <v>0.072069999999999995</v>
      </c>
      <c r="AQ33">
        <v>0.072069999999999995</v>
      </c>
      <c r="AR33">
        <v>0.072069999999999995</v>
      </c>
      <c r="AS33">
        <v>0.072069999999999995</v>
      </c>
      <c r="AT33">
        <v>0.072069999999999995</v>
      </c>
      <c r="AU33" t="s">
        <v>359</v>
      </c>
    </row>
    <row r="34" spans="1:47" ht="12.5">
      <c r="A34" t="s">
        <v>112</v>
      </c>
      <c r="B34" t="s">
        <v>123</v>
      </c>
      <c r="C34" t="s">
        <v>168</v>
      </c>
      <c r="D34" t="s">
        <v>359</v>
      </c>
      <c r="E34" t="s">
        <v>359</v>
      </c>
      <c r="F34" t="s">
        <v>360</v>
      </c>
      <c r="G34" t="s">
        <v>361</v>
      </c>
      <c r="H34" s="51" t="s">
        <v>359</v>
      </c>
      <c r="I34" s="51" t="s">
        <v>359</v>
      </c>
      <c r="J34" s="51" t="s">
        <v>359</v>
      </c>
      <c r="K34" s="51" t="s">
        <v>359</v>
      </c>
      <c r="L34" s="51">
        <v>0.072069999999999995</v>
      </c>
      <c r="M34" s="51">
        <v>0.072069999999999995</v>
      </c>
      <c r="N34" s="51">
        <v>0.072069999999999995</v>
      </c>
      <c r="O34" s="51">
        <v>0.072069999999999995</v>
      </c>
      <c r="P34" s="51">
        <v>0.072069999999999995</v>
      </c>
      <c r="Q34">
        <v>0.072069999999999995</v>
      </c>
      <c r="R34">
        <v>0.072069999999999995</v>
      </c>
      <c r="S34">
        <v>0.072069999999999995</v>
      </c>
      <c r="T34">
        <v>0.072069999999999995</v>
      </c>
      <c r="U34">
        <v>0.072069999999999995</v>
      </c>
      <c r="V34">
        <v>0.072069999999999995</v>
      </c>
      <c r="W34">
        <v>0.072069999999999995</v>
      </c>
      <c r="X34">
        <v>0.072069999999999995</v>
      </c>
      <c r="Y34">
        <v>0.072069999999999995</v>
      </c>
      <c r="Z34">
        <v>0.072069999999999995</v>
      </c>
      <c r="AA34">
        <v>0.072069999999999995</v>
      </c>
      <c r="AB34">
        <v>0.072069999999999995</v>
      </c>
      <c r="AC34">
        <v>0.072069999999999995</v>
      </c>
      <c r="AD34">
        <v>0.072069999999999995</v>
      </c>
      <c r="AE34">
        <v>0.072069999999999995</v>
      </c>
      <c r="AF34">
        <v>0.072069999999999995</v>
      </c>
      <c r="AG34">
        <v>0.072069999999999995</v>
      </c>
      <c r="AH34">
        <v>0.072069999999999995</v>
      </c>
      <c r="AI34">
        <v>0.072069999999999995</v>
      </c>
      <c r="AJ34">
        <v>0.072069999999999995</v>
      </c>
      <c r="AK34">
        <v>0.072069999999999995</v>
      </c>
      <c r="AL34">
        <v>0.072069999999999995</v>
      </c>
      <c r="AM34">
        <v>0.072069999999999995</v>
      </c>
      <c r="AN34">
        <v>0.072069999999999995</v>
      </c>
      <c r="AO34">
        <v>0.072069999999999995</v>
      </c>
      <c r="AP34">
        <v>0.072069999999999995</v>
      </c>
      <c r="AQ34">
        <v>0.072069999999999995</v>
      </c>
      <c r="AR34">
        <v>0.072069999999999995</v>
      </c>
      <c r="AS34">
        <v>0.072069999999999995</v>
      </c>
      <c r="AT34">
        <v>0.072069999999999995</v>
      </c>
      <c r="AU34" t="s">
        <v>359</v>
      </c>
    </row>
    <row r="35" spans="1:47" ht="12.5">
      <c r="A35" t="s">
        <v>112</v>
      </c>
      <c r="B35" t="s">
        <v>123</v>
      </c>
      <c r="C35" t="s">
        <v>365</v>
      </c>
      <c r="D35" t="s">
        <v>359</v>
      </c>
      <c r="E35" t="s">
        <v>359</v>
      </c>
      <c r="F35" t="s">
        <v>360</v>
      </c>
      <c r="G35" t="s">
        <v>361</v>
      </c>
      <c r="H35" s="51" t="s">
        <v>359</v>
      </c>
      <c r="I35" s="51" t="s">
        <v>359</v>
      </c>
      <c r="J35" s="51" t="s">
        <v>359</v>
      </c>
      <c r="K35" s="51" t="s">
        <v>359</v>
      </c>
      <c r="L35" s="51">
        <v>0.313</v>
      </c>
      <c r="M35" s="51">
        <v>0.313</v>
      </c>
      <c r="N35" s="51">
        <v>0.313</v>
      </c>
      <c r="O35" s="51">
        <v>0.313</v>
      </c>
      <c r="P35" s="51">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359</v>
      </c>
    </row>
    <row r="36" spans="1:47" ht="12.5">
      <c r="A36" t="s">
        <v>112</v>
      </c>
      <c r="B36" t="s">
        <v>123</v>
      </c>
      <c r="C36" t="s">
        <v>366</v>
      </c>
      <c r="D36" t="s">
        <v>359</v>
      </c>
      <c r="E36" t="s">
        <v>359</v>
      </c>
      <c r="F36" t="s">
        <v>360</v>
      </c>
      <c r="G36" t="s">
        <v>361</v>
      </c>
      <c r="H36" s="51" t="s">
        <v>359</v>
      </c>
      <c r="I36" s="51" t="s">
        <v>359</v>
      </c>
      <c r="J36" s="51" t="s">
        <v>359</v>
      </c>
      <c r="K36" s="51" t="s">
        <v>359</v>
      </c>
      <c r="L36" s="51">
        <v>0.080000000000000002</v>
      </c>
      <c r="M36" s="51">
        <v>0.080000000000000002</v>
      </c>
      <c r="N36" s="51">
        <v>0.080000000000000002</v>
      </c>
      <c r="O36" s="51">
        <v>0.080000000000000002</v>
      </c>
      <c r="P36" s="51">
        <v>0.080000000000000002</v>
      </c>
      <c r="Q36">
        <v>0.080000000000000002</v>
      </c>
      <c r="R36">
        <v>0.080000000000000002</v>
      </c>
      <c r="S36">
        <v>0.080000000000000002</v>
      </c>
      <c r="T36">
        <v>0.080000000000000002</v>
      </c>
      <c r="U36">
        <v>0.080000000000000002</v>
      </c>
      <c r="V36">
        <v>0.080000000000000002</v>
      </c>
      <c r="W36">
        <v>0.080000000000000002</v>
      </c>
      <c r="X36">
        <v>0.080000000000000002</v>
      </c>
      <c r="Y36">
        <v>0.080000000000000002</v>
      </c>
      <c r="Z36">
        <v>0.080000000000000002</v>
      </c>
      <c r="AA36">
        <v>0.080000000000000002</v>
      </c>
      <c r="AB36">
        <v>0.080000000000000002</v>
      </c>
      <c r="AC36">
        <v>0.080000000000000002</v>
      </c>
      <c r="AD36">
        <v>0.080000000000000002</v>
      </c>
      <c r="AE36">
        <v>0.080000000000000002</v>
      </c>
      <c r="AF36">
        <v>0.080000000000000002</v>
      </c>
      <c r="AG36">
        <v>0.080000000000000002</v>
      </c>
      <c r="AH36">
        <v>0.080000000000000002</v>
      </c>
      <c r="AI36">
        <v>0.080000000000000002</v>
      </c>
      <c r="AJ36">
        <v>0.080000000000000002</v>
      </c>
      <c r="AK36">
        <v>0.080000000000000002</v>
      </c>
      <c r="AL36">
        <v>0.080000000000000002</v>
      </c>
      <c r="AM36">
        <v>0.080000000000000002</v>
      </c>
      <c r="AN36">
        <v>0.080000000000000002</v>
      </c>
      <c r="AO36">
        <v>0.080000000000000002</v>
      </c>
      <c r="AP36">
        <v>0.080000000000000002</v>
      </c>
      <c r="AQ36">
        <v>0.080000000000000002</v>
      </c>
      <c r="AR36">
        <v>0.080000000000000002</v>
      </c>
      <c r="AS36">
        <v>0.080000000000000002</v>
      </c>
      <c r="AT36">
        <v>0.080000000000000002</v>
      </c>
      <c r="AU36" t="s">
        <v>359</v>
      </c>
    </row>
    <row r="37" spans="1:47" ht="12.5">
      <c r="A37" t="s">
        <v>112</v>
      </c>
      <c r="B37" t="s">
        <v>123</v>
      </c>
      <c r="C37" t="s">
        <v>367</v>
      </c>
      <c r="D37" t="s">
        <v>359</v>
      </c>
      <c r="E37" t="s">
        <v>359</v>
      </c>
      <c r="F37" t="s">
        <v>360</v>
      </c>
      <c r="G37" t="s">
        <v>361</v>
      </c>
      <c r="H37" s="51" t="s">
        <v>359</v>
      </c>
      <c r="I37" s="51" t="s">
        <v>359</v>
      </c>
      <c r="J37" s="51" t="s">
        <v>359</v>
      </c>
      <c r="K37" s="51" t="s">
        <v>359</v>
      </c>
      <c r="L37" s="51">
        <v>0.080000000000000002</v>
      </c>
      <c r="M37" s="51">
        <v>0.080000000000000002</v>
      </c>
      <c r="N37" s="51">
        <v>0.080000000000000002</v>
      </c>
      <c r="O37" s="51">
        <v>0.080000000000000002</v>
      </c>
      <c r="P37" s="51">
        <v>0.080000000000000002</v>
      </c>
      <c r="Q37">
        <v>0.080000000000000002</v>
      </c>
      <c r="R37">
        <v>0.080000000000000002</v>
      </c>
      <c r="S37">
        <v>0.080000000000000002</v>
      </c>
      <c r="T37">
        <v>0.080000000000000002</v>
      </c>
      <c r="U37">
        <v>0.080000000000000002</v>
      </c>
      <c r="V37">
        <v>0.080000000000000002</v>
      </c>
      <c r="W37">
        <v>0.080000000000000002</v>
      </c>
      <c r="X37">
        <v>0.080000000000000002</v>
      </c>
      <c r="Y37">
        <v>0.080000000000000002</v>
      </c>
      <c r="Z37">
        <v>0.080000000000000002</v>
      </c>
      <c r="AA37">
        <v>0.080000000000000002</v>
      </c>
      <c r="AB37">
        <v>0.080000000000000002</v>
      </c>
      <c r="AC37">
        <v>0.080000000000000002</v>
      </c>
      <c r="AD37">
        <v>0.080000000000000002</v>
      </c>
      <c r="AE37">
        <v>0.080000000000000002</v>
      </c>
      <c r="AF37">
        <v>0.080000000000000002</v>
      </c>
      <c r="AG37">
        <v>0.080000000000000002</v>
      </c>
      <c r="AH37">
        <v>0.080000000000000002</v>
      </c>
      <c r="AI37">
        <v>0.080000000000000002</v>
      </c>
      <c r="AJ37">
        <v>0.080000000000000002</v>
      </c>
      <c r="AK37">
        <v>0.080000000000000002</v>
      </c>
      <c r="AL37">
        <v>0.080000000000000002</v>
      </c>
      <c r="AM37">
        <v>0.080000000000000002</v>
      </c>
      <c r="AN37">
        <v>0.080000000000000002</v>
      </c>
      <c r="AO37">
        <v>0.080000000000000002</v>
      </c>
      <c r="AP37">
        <v>0.080000000000000002</v>
      </c>
      <c r="AQ37">
        <v>0.080000000000000002</v>
      </c>
      <c r="AR37">
        <v>0.080000000000000002</v>
      </c>
      <c r="AS37">
        <v>0.080000000000000002</v>
      </c>
      <c r="AT37">
        <v>0.080000000000000002</v>
      </c>
      <c r="AU37" t="s">
        <v>359</v>
      </c>
    </row>
    <row r="38" spans="1:47" ht="12.5">
      <c r="A38" t="s">
        <v>112</v>
      </c>
      <c r="B38" t="s">
        <v>123</v>
      </c>
      <c r="C38" t="s">
        <v>368</v>
      </c>
      <c r="D38" t="s">
        <v>359</v>
      </c>
      <c r="E38" t="s">
        <v>359</v>
      </c>
      <c r="F38" t="s">
        <v>360</v>
      </c>
      <c r="G38" t="s">
        <v>361</v>
      </c>
      <c r="H38" s="51" t="s">
        <v>359</v>
      </c>
      <c r="I38" s="51" t="s">
        <v>359</v>
      </c>
      <c r="J38" s="51" t="s">
        <v>359</v>
      </c>
      <c r="K38" s="51" t="s">
        <v>359</v>
      </c>
      <c r="L38" s="51">
        <v>0.075999999999999998</v>
      </c>
      <c r="M38" s="51">
        <v>0.075999999999999998</v>
      </c>
      <c r="N38" s="51">
        <v>0.075999999999999998</v>
      </c>
      <c r="O38" s="51">
        <v>0.075999999999999998</v>
      </c>
      <c r="P38" s="51">
        <v>0.075999999999999998</v>
      </c>
      <c r="Q38">
        <v>0.075999999999999998</v>
      </c>
      <c r="R38">
        <v>0.075999999999999998</v>
      </c>
      <c r="S38">
        <v>0.075999999999999998</v>
      </c>
      <c r="T38">
        <v>0.075999999999999998</v>
      </c>
      <c r="U38">
        <v>0.075999999999999998</v>
      </c>
      <c r="V38">
        <v>0.075999999999999998</v>
      </c>
      <c r="W38">
        <v>0.075999999999999998</v>
      </c>
      <c r="X38">
        <v>0.075999999999999998</v>
      </c>
      <c r="Y38">
        <v>0.075999999999999998</v>
      </c>
      <c r="Z38">
        <v>0.075999999999999998</v>
      </c>
      <c r="AA38">
        <v>0.075999999999999998</v>
      </c>
      <c r="AB38">
        <v>0.075999999999999998</v>
      </c>
      <c r="AC38">
        <v>0.075999999999999998</v>
      </c>
      <c r="AD38">
        <v>0.075999999999999998</v>
      </c>
      <c r="AE38">
        <v>0.075999999999999998</v>
      </c>
      <c r="AF38">
        <v>0.075999999999999998</v>
      </c>
      <c r="AG38">
        <v>0.075999999999999998</v>
      </c>
      <c r="AH38">
        <v>0.075999999999999998</v>
      </c>
      <c r="AI38">
        <v>0.075999999999999998</v>
      </c>
      <c r="AJ38">
        <v>0.075999999999999998</v>
      </c>
      <c r="AK38">
        <v>0.075999999999999998</v>
      </c>
      <c r="AL38">
        <v>0.075999999999999998</v>
      </c>
      <c r="AM38">
        <v>0.075999999999999998</v>
      </c>
      <c r="AN38">
        <v>0.075999999999999998</v>
      </c>
      <c r="AO38">
        <v>0.075999999999999998</v>
      </c>
      <c r="AP38">
        <v>0.075999999999999998</v>
      </c>
      <c r="AQ38">
        <v>0.075999999999999998</v>
      </c>
      <c r="AR38">
        <v>0.075999999999999998</v>
      </c>
      <c r="AS38">
        <v>0.075999999999999998</v>
      </c>
      <c r="AT38">
        <v>0.075999999999999998</v>
      </c>
      <c r="AU38" t="s">
        <v>359</v>
      </c>
    </row>
    <row r="39" spans="1:47" ht="12.5">
      <c r="A39" t="s">
        <v>112</v>
      </c>
      <c r="B39" t="s">
        <v>123</v>
      </c>
      <c r="C39" t="s">
        <v>369</v>
      </c>
      <c r="D39" t="s">
        <v>359</v>
      </c>
      <c r="E39" t="s">
        <v>359</v>
      </c>
      <c r="F39" t="s">
        <v>360</v>
      </c>
      <c r="G39" t="s">
        <v>361</v>
      </c>
      <c r="H39" s="51" t="s">
        <v>359</v>
      </c>
      <c r="I39" s="51" t="s">
        <v>359</v>
      </c>
      <c r="J39" s="51" t="s">
        <v>359</v>
      </c>
      <c r="K39" s="51" t="s">
        <v>359</v>
      </c>
      <c r="L39" s="51">
        <v>0.061199999999999997</v>
      </c>
      <c r="M39" s="51">
        <v>0.061199999999999997</v>
      </c>
      <c r="N39" s="51">
        <v>0.061199999999999997</v>
      </c>
      <c r="O39" s="51">
        <v>0.061199999999999997</v>
      </c>
      <c r="P39" s="51">
        <v>0.061199999999999997</v>
      </c>
      <c r="Q39">
        <v>0.061199999999999997</v>
      </c>
      <c r="R39">
        <v>0.061199999999999997</v>
      </c>
      <c r="S39">
        <v>0.061199999999999997</v>
      </c>
      <c r="T39">
        <v>0.061199999999999997</v>
      </c>
      <c r="U39">
        <v>0.061199999999999997</v>
      </c>
      <c r="V39">
        <v>0.061199999999999997</v>
      </c>
      <c r="W39">
        <v>0.061199999999999997</v>
      </c>
      <c r="X39">
        <v>0.061199999999999997</v>
      </c>
      <c r="Y39">
        <v>0.061199999999999997</v>
      </c>
      <c r="Z39">
        <v>0.061199999999999997</v>
      </c>
      <c r="AA39">
        <v>0.061199999999999997</v>
      </c>
      <c r="AB39">
        <v>0.061199999999999997</v>
      </c>
      <c r="AC39">
        <v>0.061199999999999997</v>
      </c>
      <c r="AD39">
        <v>0.061199999999999997</v>
      </c>
      <c r="AE39">
        <v>0.061199999999999997</v>
      </c>
      <c r="AF39">
        <v>0.061199999999999997</v>
      </c>
      <c r="AG39">
        <v>0.061199999999999997</v>
      </c>
      <c r="AH39">
        <v>0.061199999999999997</v>
      </c>
      <c r="AI39">
        <v>0.061199999999999997</v>
      </c>
      <c r="AJ39">
        <v>0.061199999999999997</v>
      </c>
      <c r="AK39">
        <v>0.061199999999999997</v>
      </c>
      <c r="AL39">
        <v>0.061199999999999997</v>
      </c>
      <c r="AM39">
        <v>0.061199999999999997</v>
      </c>
      <c r="AN39">
        <v>0.061199999999999997</v>
      </c>
      <c r="AO39">
        <v>0.061199999999999997</v>
      </c>
      <c r="AP39">
        <v>0.061199999999999997</v>
      </c>
      <c r="AQ39">
        <v>0.061199999999999997</v>
      </c>
      <c r="AR39">
        <v>0.061199999999999997</v>
      </c>
      <c r="AS39">
        <v>0.061199999999999997</v>
      </c>
      <c r="AT39">
        <v>0.061199999999999997</v>
      </c>
      <c r="AU39" t="s">
        <v>359</v>
      </c>
    </row>
    <row r="40" spans="1:47" ht="12.5">
      <c r="A40" t="s">
        <v>112</v>
      </c>
      <c r="B40" t="s">
        <v>123</v>
      </c>
      <c r="C40" t="s">
        <v>370</v>
      </c>
      <c r="D40" t="s">
        <v>359</v>
      </c>
      <c r="E40" t="s">
        <v>359</v>
      </c>
      <c r="F40" t="s">
        <v>360</v>
      </c>
      <c r="G40" t="s">
        <v>361</v>
      </c>
      <c r="H40" s="51" t="s">
        <v>359</v>
      </c>
      <c r="I40" s="51" t="s">
        <v>359</v>
      </c>
      <c r="J40" s="51" t="s">
        <v>359</v>
      </c>
      <c r="K40" s="51" t="s">
        <v>359</v>
      </c>
      <c r="L40" s="51">
        <v>0.52772280688712803</v>
      </c>
      <c r="M40" s="51">
        <v>0.52772280688712803</v>
      </c>
      <c r="N40" s="51">
        <v>0.52772280688712803</v>
      </c>
      <c r="O40" s="51">
        <v>0.52772280688712803</v>
      </c>
      <c r="P40" s="51">
        <v>0.52772280688712803</v>
      </c>
      <c r="Q40">
        <v>0.52772280688712803</v>
      </c>
      <c r="R40">
        <v>0.52772280688712803</v>
      </c>
      <c r="S40">
        <v>0.52772280688712803</v>
      </c>
      <c r="T40">
        <v>0.52772280688712803</v>
      </c>
      <c r="U40">
        <v>0.52772280688712803</v>
      </c>
      <c r="V40">
        <v>0.52772280688712803</v>
      </c>
      <c r="W40">
        <v>0.52772280688712803</v>
      </c>
      <c r="X40">
        <v>0.52772280688712803</v>
      </c>
      <c r="Y40">
        <v>0.52772280688712803</v>
      </c>
      <c r="Z40">
        <v>0.52772280688712803</v>
      </c>
      <c r="AA40">
        <v>0.52772280688712803</v>
      </c>
      <c r="AB40">
        <v>0.52772280688712803</v>
      </c>
      <c r="AC40">
        <v>0.52772280688712803</v>
      </c>
      <c r="AD40">
        <v>0.52772280688712803</v>
      </c>
      <c r="AE40">
        <v>0.52772280688712803</v>
      </c>
      <c r="AF40">
        <v>0.52772280688712803</v>
      </c>
      <c r="AG40">
        <v>0.31663368413227699</v>
      </c>
      <c r="AH40">
        <v>0.52772280688712803</v>
      </c>
      <c r="AI40">
        <v>0.52772280688712803</v>
      </c>
      <c r="AJ40">
        <v>0.52772280688712803</v>
      </c>
      <c r="AK40">
        <v>0.52772280688712803</v>
      </c>
      <c r="AL40">
        <v>0.52772280688712803</v>
      </c>
      <c r="AM40">
        <v>0.52772280688712803</v>
      </c>
      <c r="AN40">
        <v>0.52772280688712803</v>
      </c>
      <c r="AO40">
        <v>0.52772280688712803</v>
      </c>
      <c r="AP40">
        <v>0.52772280688712803</v>
      </c>
      <c r="AQ40">
        <v>0.52772280688712803</v>
      </c>
      <c r="AR40">
        <v>0.52772280688712803</v>
      </c>
      <c r="AS40">
        <v>0.52772280688712803</v>
      </c>
      <c r="AT40">
        <v>0.52772280688712803</v>
      </c>
      <c r="AU40" t="s">
        <v>359</v>
      </c>
    </row>
    <row r="41" spans="1:47" ht="12.5">
      <c r="A41" t="s">
        <v>112</v>
      </c>
      <c r="B41" t="s">
        <v>123</v>
      </c>
      <c r="C41" t="s">
        <v>371</v>
      </c>
      <c r="D41" t="s">
        <v>359</v>
      </c>
      <c r="E41" t="s">
        <v>359</v>
      </c>
      <c r="F41" t="s">
        <v>360</v>
      </c>
      <c r="G41" t="s">
        <v>361</v>
      </c>
      <c r="H41" s="51" t="s">
        <v>359</v>
      </c>
      <c r="I41" s="51" t="s">
        <v>359</v>
      </c>
      <c r="J41" s="51" t="s">
        <v>359</v>
      </c>
      <c r="K41" s="51" t="s">
        <v>359</v>
      </c>
      <c r="L41" s="51">
        <v>0.52772280688712803</v>
      </c>
      <c r="M41" s="51">
        <v>0.52772280688712803</v>
      </c>
      <c r="N41" s="51">
        <v>0.52772280688712803</v>
      </c>
      <c r="O41" s="51">
        <v>0.52772280688712803</v>
      </c>
      <c r="P41" s="51">
        <v>0.52772280688712803</v>
      </c>
      <c r="Q41">
        <v>0.52772280688712803</v>
      </c>
      <c r="R41">
        <v>0.52772280688712803</v>
      </c>
      <c r="S41">
        <v>0.52772280688712803</v>
      </c>
      <c r="T41">
        <v>0.52772280688712803</v>
      </c>
      <c r="U41">
        <v>0.52772280688712803</v>
      </c>
      <c r="V41">
        <v>0.52772280688712803</v>
      </c>
      <c r="W41">
        <v>0.52772280688712803</v>
      </c>
      <c r="X41">
        <v>0.52772280688712803</v>
      </c>
      <c r="Y41">
        <v>0.52772280688712803</v>
      </c>
      <c r="Z41">
        <v>0.52772280688712803</v>
      </c>
      <c r="AA41">
        <v>0.52772280688712803</v>
      </c>
      <c r="AB41">
        <v>0.52772280688712803</v>
      </c>
      <c r="AC41">
        <v>0.52772280688712803</v>
      </c>
      <c r="AD41">
        <v>0.52772280688712803</v>
      </c>
      <c r="AE41">
        <v>0.52772280688712803</v>
      </c>
      <c r="AF41">
        <v>0.52772280688712803</v>
      </c>
      <c r="AG41">
        <v>0.31663368413227699</v>
      </c>
      <c r="AH41">
        <v>0.52772280688712803</v>
      </c>
      <c r="AI41">
        <v>0.52772280688712803</v>
      </c>
      <c r="AJ41">
        <v>0.52772280688712803</v>
      </c>
      <c r="AK41">
        <v>0.52772280688712803</v>
      </c>
      <c r="AL41">
        <v>0.52772280688712803</v>
      </c>
      <c r="AM41">
        <v>0.52772280688712803</v>
      </c>
      <c r="AN41">
        <v>0.52772280688712803</v>
      </c>
      <c r="AO41">
        <v>0.52772280688712803</v>
      </c>
      <c r="AP41">
        <v>0.52772280688712803</v>
      </c>
      <c r="AQ41">
        <v>0.52772280688712803</v>
      </c>
      <c r="AR41">
        <v>0.52772280688712803</v>
      </c>
      <c r="AS41">
        <v>0.52772280688712803</v>
      </c>
      <c r="AT41">
        <v>0.52772280688712803</v>
      </c>
      <c r="AU41" t="s">
        <v>359</v>
      </c>
    </row>
    <row r="42" spans="1:47" ht="12.5">
      <c r="A42" t="s">
        <v>112</v>
      </c>
      <c r="B42" t="s">
        <v>123</v>
      </c>
      <c r="C42" t="s">
        <v>372</v>
      </c>
      <c r="D42" t="s">
        <v>359</v>
      </c>
      <c r="E42" t="s">
        <v>359</v>
      </c>
      <c r="F42" t="s">
        <v>360</v>
      </c>
      <c r="G42" t="s">
        <v>361</v>
      </c>
      <c r="H42" s="51" t="s">
        <v>359</v>
      </c>
      <c r="I42" s="51" t="s">
        <v>359</v>
      </c>
      <c r="J42" s="51" t="s">
        <v>359</v>
      </c>
      <c r="K42" s="51" t="s">
        <v>359</v>
      </c>
      <c r="L42" s="51">
        <v>0.93210573602311098</v>
      </c>
      <c r="M42" s="51">
        <v>0.93210573602311098</v>
      </c>
      <c r="N42" s="51">
        <v>0.93210573602311098</v>
      </c>
      <c r="O42" s="51">
        <v>0.93210573602311098</v>
      </c>
      <c r="P42" s="51">
        <v>0.93210573602311098</v>
      </c>
      <c r="Q42">
        <v>0.93210573602311098</v>
      </c>
      <c r="R42">
        <v>0.93210573602311098</v>
      </c>
      <c r="S42">
        <v>0.93210573602311098</v>
      </c>
      <c r="T42">
        <v>0.93210573602311098</v>
      </c>
      <c r="U42">
        <v>0.93210573602311098</v>
      </c>
      <c r="V42">
        <v>0.93210573602311098</v>
      </c>
      <c r="W42">
        <v>0.93210573602311098</v>
      </c>
      <c r="X42">
        <v>0.93210573602311098</v>
      </c>
      <c r="Y42">
        <v>0.93210573602311098</v>
      </c>
      <c r="Z42">
        <v>0.93210573602311098</v>
      </c>
      <c r="AA42">
        <v>0.93210573602311098</v>
      </c>
      <c r="AB42">
        <v>0.93210573602311098</v>
      </c>
      <c r="AC42">
        <v>0.93210573602311098</v>
      </c>
      <c r="AD42">
        <v>0.93210573602311098</v>
      </c>
      <c r="AE42">
        <v>0.93210573602311098</v>
      </c>
      <c r="AF42">
        <v>0.93210573602311098</v>
      </c>
      <c r="AG42">
        <v>0.55926344161386699</v>
      </c>
      <c r="AH42">
        <v>0.93210573602311098</v>
      </c>
      <c r="AI42">
        <v>0.93210573602311098</v>
      </c>
      <c r="AJ42">
        <v>0.93210573602311098</v>
      </c>
      <c r="AK42">
        <v>0.93210573602311098</v>
      </c>
      <c r="AL42">
        <v>0.93210573602311098</v>
      </c>
      <c r="AM42">
        <v>0.93210573602311098</v>
      </c>
      <c r="AN42">
        <v>0.93210573602311098</v>
      </c>
      <c r="AO42">
        <v>0.93210573602311098</v>
      </c>
      <c r="AP42">
        <v>0.93210573602311098</v>
      </c>
      <c r="AQ42">
        <v>0.93210573602311098</v>
      </c>
      <c r="AR42">
        <v>0.93210573602311098</v>
      </c>
      <c r="AS42">
        <v>0.93210573602311098</v>
      </c>
      <c r="AT42">
        <v>0.93210573602311098</v>
      </c>
      <c r="AU42" t="s">
        <v>359</v>
      </c>
    </row>
    <row r="43" spans="1:47" ht="12.5">
      <c r="A43" t="s">
        <v>112</v>
      </c>
      <c r="B43" t="s">
        <v>123</v>
      </c>
      <c r="C43" t="s">
        <v>373</v>
      </c>
      <c r="D43" t="s">
        <v>359</v>
      </c>
      <c r="E43" t="s">
        <v>359</v>
      </c>
      <c r="F43" t="s">
        <v>360</v>
      </c>
      <c r="G43" t="s">
        <v>361</v>
      </c>
      <c r="H43" s="51" t="s">
        <v>359</v>
      </c>
      <c r="I43" s="51" t="s">
        <v>359</v>
      </c>
      <c r="J43" s="51" t="s">
        <v>359</v>
      </c>
      <c r="K43" s="51" t="s">
        <v>359</v>
      </c>
      <c r="L43" s="51">
        <v>0.46605286801155599</v>
      </c>
      <c r="M43" s="51">
        <v>0.46605286801155599</v>
      </c>
      <c r="N43" s="51">
        <v>0.46605286801155599</v>
      </c>
      <c r="O43" s="51">
        <v>0.46605286801155599</v>
      </c>
      <c r="P43" s="51">
        <v>0.46605286801155599</v>
      </c>
      <c r="Q43">
        <v>0.46605286801155599</v>
      </c>
      <c r="R43">
        <v>0.46605286801155599</v>
      </c>
      <c r="S43">
        <v>0.46605286801155599</v>
      </c>
      <c r="T43">
        <v>0.46605286801155599</v>
      </c>
      <c r="U43">
        <v>0.46605286801155599</v>
      </c>
      <c r="V43">
        <v>0.46605286801155599</v>
      </c>
      <c r="W43">
        <v>0.46605286801155599</v>
      </c>
      <c r="X43">
        <v>0.46605286801155599</v>
      </c>
      <c r="Y43">
        <v>0.46605286801155599</v>
      </c>
      <c r="Z43">
        <v>0.46605286801155599</v>
      </c>
      <c r="AA43">
        <v>0.46605286801155599</v>
      </c>
      <c r="AB43">
        <v>0.46605286801155599</v>
      </c>
      <c r="AC43">
        <v>0.46605286801155599</v>
      </c>
      <c r="AD43">
        <v>0.46605286801155599</v>
      </c>
      <c r="AE43">
        <v>0.46605286801155599</v>
      </c>
      <c r="AF43">
        <v>0.46605286801155599</v>
      </c>
      <c r="AG43">
        <v>0.27963172080693299</v>
      </c>
      <c r="AH43">
        <v>0.46605286801155599</v>
      </c>
      <c r="AI43">
        <v>0.46605286801155599</v>
      </c>
      <c r="AJ43">
        <v>0.46605286801155599</v>
      </c>
      <c r="AK43">
        <v>0.46605286801155599</v>
      </c>
      <c r="AL43">
        <v>0.46605286801155599</v>
      </c>
      <c r="AM43">
        <v>0.46605286801155599</v>
      </c>
      <c r="AN43">
        <v>0.46605286801155599</v>
      </c>
      <c r="AO43">
        <v>0.46605286801155599</v>
      </c>
      <c r="AP43">
        <v>0.46605286801155599</v>
      </c>
      <c r="AQ43">
        <v>0.46605286801155599</v>
      </c>
      <c r="AR43">
        <v>0.46605286801155599</v>
      </c>
      <c r="AS43">
        <v>0.46605286801155599</v>
      </c>
      <c r="AT43">
        <v>0.46605286801155599</v>
      </c>
      <c r="AU43" t="s">
        <v>359</v>
      </c>
    </row>
    <row r="44" spans="1:47" ht="12.5">
      <c r="A44" t="s">
        <v>112</v>
      </c>
      <c r="B44" t="s">
        <v>123</v>
      </c>
      <c r="C44" t="s">
        <v>169</v>
      </c>
      <c r="D44" t="s">
        <v>359</v>
      </c>
      <c r="E44" t="s">
        <v>359</v>
      </c>
      <c r="F44" t="s">
        <v>360</v>
      </c>
      <c r="G44" t="s">
        <v>361</v>
      </c>
      <c r="H44" s="51" t="s">
        <v>359</v>
      </c>
      <c r="I44" s="51" t="s">
        <v>359</v>
      </c>
      <c r="J44" s="51" t="s">
        <v>359</v>
      </c>
      <c r="K44" s="51" t="s">
        <v>359</v>
      </c>
      <c r="L44" s="51">
        <v>0.46605286801155599</v>
      </c>
      <c r="M44" s="51">
        <v>0.46605286801155599</v>
      </c>
      <c r="N44" s="51">
        <v>0.46605286801155599</v>
      </c>
      <c r="O44" s="51">
        <v>0.46605286801155599</v>
      </c>
      <c r="P44" s="51">
        <v>0.46605286801155599</v>
      </c>
      <c r="Q44">
        <v>0.46605286801155599</v>
      </c>
      <c r="R44">
        <v>0.46605286801155599</v>
      </c>
      <c r="S44">
        <v>0.46605286801155599</v>
      </c>
      <c r="T44">
        <v>0.46605286801155599</v>
      </c>
      <c r="U44">
        <v>0.46605286801155599</v>
      </c>
      <c r="V44">
        <v>0.46605286801155599</v>
      </c>
      <c r="W44">
        <v>0.46605286801155599</v>
      </c>
      <c r="X44">
        <v>0.46605286801155599</v>
      </c>
      <c r="Y44">
        <v>0.46605286801155599</v>
      </c>
      <c r="Z44">
        <v>0.46605286801155599</v>
      </c>
      <c r="AA44">
        <v>0.46605286801155599</v>
      </c>
      <c r="AB44">
        <v>0.46605286801155599</v>
      </c>
      <c r="AC44">
        <v>0.46605286801155599</v>
      </c>
      <c r="AD44">
        <v>0.46605286801155599</v>
      </c>
      <c r="AE44">
        <v>0.46605286801155599</v>
      </c>
      <c r="AF44">
        <v>0.46605286801155599</v>
      </c>
      <c r="AG44">
        <v>0.27963172080693299</v>
      </c>
      <c r="AH44">
        <v>0.46605286801155599</v>
      </c>
      <c r="AI44">
        <v>0.46605286801155599</v>
      </c>
      <c r="AJ44">
        <v>0.46605286801155599</v>
      </c>
      <c r="AK44">
        <v>0.46605286801155599</v>
      </c>
      <c r="AL44">
        <v>0.46605286801155599</v>
      </c>
      <c r="AM44">
        <v>0.46605286801155599</v>
      </c>
      <c r="AN44">
        <v>0.46605286801155599</v>
      </c>
      <c r="AO44">
        <v>0.46605286801155599</v>
      </c>
      <c r="AP44">
        <v>0.46605286801155599</v>
      </c>
      <c r="AQ44">
        <v>0.46605286801155599</v>
      </c>
      <c r="AR44">
        <v>0.46605286801155599</v>
      </c>
      <c r="AS44">
        <v>0.46605286801155599</v>
      </c>
      <c r="AT44">
        <v>0.46605286801155599</v>
      </c>
      <c r="AU44" t="s">
        <v>359</v>
      </c>
    </row>
    <row r="45" spans="1:47" ht="12.5">
      <c r="A45" t="s">
        <v>112</v>
      </c>
      <c r="B45" t="s">
        <v>123</v>
      </c>
      <c r="C45" t="s">
        <v>374</v>
      </c>
      <c r="D45" t="s">
        <v>359</v>
      </c>
      <c r="E45" t="s">
        <v>359</v>
      </c>
      <c r="F45" t="s">
        <v>360</v>
      </c>
      <c r="G45" t="s">
        <v>361</v>
      </c>
      <c r="H45" s="51" t="s">
        <v>359</v>
      </c>
      <c r="I45" s="51" t="s">
        <v>359</v>
      </c>
      <c r="J45" s="51" t="s">
        <v>359</v>
      </c>
      <c r="K45" s="51" t="s">
        <v>359</v>
      </c>
      <c r="L45" s="51">
        <v>0.47553149117899501</v>
      </c>
      <c r="M45" s="51">
        <v>0.47553149117899501</v>
      </c>
      <c r="N45" s="51">
        <v>0.47553149117899501</v>
      </c>
      <c r="O45" s="51">
        <v>0.47553149117899501</v>
      </c>
      <c r="P45" s="51">
        <v>0.47553149117899501</v>
      </c>
      <c r="Q45">
        <v>0.47553149117899501</v>
      </c>
      <c r="R45">
        <v>0.47553149117899501</v>
      </c>
      <c r="S45">
        <v>0.47553149117899501</v>
      </c>
      <c r="T45">
        <v>0.47553149117899501</v>
      </c>
      <c r="U45">
        <v>0.47553149117899501</v>
      </c>
      <c r="V45">
        <v>0.47553149117899501</v>
      </c>
      <c r="W45">
        <v>0.47553149117899501</v>
      </c>
      <c r="X45">
        <v>0.47553149117899501</v>
      </c>
      <c r="Y45">
        <v>0.47553149117899501</v>
      </c>
      <c r="Z45">
        <v>0.47553149117899501</v>
      </c>
      <c r="AA45">
        <v>0.47553149117899501</v>
      </c>
      <c r="AB45">
        <v>0.47553149117899501</v>
      </c>
      <c r="AC45">
        <v>0.47553149117899501</v>
      </c>
      <c r="AD45">
        <v>0.47553149117899501</v>
      </c>
      <c r="AE45">
        <v>0.47553149117899501</v>
      </c>
      <c r="AF45">
        <v>0.47553149117899501</v>
      </c>
      <c r="AG45">
        <v>0.28531889470739702</v>
      </c>
      <c r="AH45">
        <v>0.47553149117899501</v>
      </c>
      <c r="AI45">
        <v>0.47553149117899501</v>
      </c>
      <c r="AJ45">
        <v>0.47553149117899501</v>
      </c>
      <c r="AK45">
        <v>0.47553149117899501</v>
      </c>
      <c r="AL45">
        <v>0.47553149117899501</v>
      </c>
      <c r="AM45">
        <v>0.47553149117899501</v>
      </c>
      <c r="AN45">
        <v>0.47553149117899501</v>
      </c>
      <c r="AO45">
        <v>0.47553149117899501</v>
      </c>
      <c r="AP45">
        <v>0.47553149117899501</v>
      </c>
      <c r="AQ45">
        <v>0.47553149117899501</v>
      </c>
      <c r="AR45">
        <v>0.47553149117899501</v>
      </c>
      <c r="AS45">
        <v>0.47553149117899501</v>
      </c>
      <c r="AT45">
        <v>0.47553149117899501</v>
      </c>
      <c r="AU45" t="s">
        <v>359</v>
      </c>
    </row>
    <row r="46" spans="1:47" ht="12.5">
      <c r="A46" t="s">
        <v>112</v>
      </c>
      <c r="B46" t="s">
        <v>123</v>
      </c>
      <c r="C46" t="s">
        <v>375</v>
      </c>
      <c r="D46" t="s">
        <v>359</v>
      </c>
      <c r="E46" t="s">
        <v>359</v>
      </c>
      <c r="F46" t="s">
        <v>360</v>
      </c>
      <c r="G46" t="s">
        <v>361</v>
      </c>
      <c r="H46" s="51" t="s">
        <v>359</v>
      </c>
      <c r="I46" s="51" t="s">
        <v>359</v>
      </c>
      <c r="J46" s="51" t="s">
        <v>359</v>
      </c>
      <c r="K46" s="51" t="s">
        <v>359</v>
      </c>
      <c r="L46" s="51">
        <v>0.429345439465179</v>
      </c>
      <c r="M46" s="51">
        <v>0.429345439465179</v>
      </c>
      <c r="N46" s="51">
        <v>0.429345439465179</v>
      </c>
      <c r="O46" s="51">
        <v>0.429345439465179</v>
      </c>
      <c r="P46" s="51">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0.25760726367910702</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359</v>
      </c>
    </row>
    <row r="47" spans="1:47" ht="12.5">
      <c r="A47" t="s">
        <v>112</v>
      </c>
      <c r="B47" t="s">
        <v>123</v>
      </c>
      <c r="C47" t="s">
        <v>376</v>
      </c>
      <c r="D47" t="s">
        <v>359</v>
      </c>
      <c r="E47" t="s">
        <v>359</v>
      </c>
      <c r="F47" t="s">
        <v>360</v>
      </c>
      <c r="G47" t="s">
        <v>361</v>
      </c>
      <c r="H47" s="51" t="s">
        <v>359</v>
      </c>
      <c r="I47" s="51" t="s">
        <v>359</v>
      </c>
      <c r="J47" s="51" t="s">
        <v>359</v>
      </c>
      <c r="K47" s="51" t="s">
        <v>359</v>
      </c>
      <c r="L47" s="51">
        <v>0.139365903767697</v>
      </c>
      <c r="M47" s="51">
        <v>0.139365903767697</v>
      </c>
      <c r="N47" s="51">
        <v>0.139365903767697</v>
      </c>
      <c r="O47" s="51">
        <v>0.139365903767697</v>
      </c>
      <c r="P47" s="51">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359</v>
      </c>
    </row>
    <row r="48" spans="1:47" ht="12.5">
      <c r="A48" t="s">
        <v>112</v>
      </c>
      <c r="B48" t="s">
        <v>123</v>
      </c>
      <c r="C48" t="s">
        <v>170</v>
      </c>
      <c r="D48" t="s">
        <v>359</v>
      </c>
      <c r="E48" t="s">
        <v>359</v>
      </c>
      <c r="F48" t="s">
        <v>360</v>
      </c>
      <c r="G48" t="s">
        <v>361</v>
      </c>
      <c r="H48" s="51" t="s">
        <v>359</v>
      </c>
      <c r="I48" s="51" t="s">
        <v>359</v>
      </c>
      <c r="J48" s="51" t="s">
        <v>359</v>
      </c>
      <c r="K48" s="51" t="s">
        <v>359</v>
      </c>
      <c r="L48" s="51">
        <v>0.139365903767697</v>
      </c>
      <c r="M48" s="51">
        <v>0.139365903767697</v>
      </c>
      <c r="N48" s="51">
        <v>0.139365903767697</v>
      </c>
      <c r="O48" s="51">
        <v>0.139365903767697</v>
      </c>
      <c r="P48" s="51">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359</v>
      </c>
    </row>
    <row r="49" spans="1:47" ht="12.5">
      <c r="A49" t="s">
        <v>112</v>
      </c>
      <c r="B49" t="s">
        <v>123</v>
      </c>
      <c r="C49" t="s">
        <v>377</v>
      </c>
      <c r="D49" t="s">
        <v>359</v>
      </c>
      <c r="E49" t="s">
        <v>359</v>
      </c>
      <c r="F49" t="s">
        <v>360</v>
      </c>
      <c r="G49" t="s">
        <v>361</v>
      </c>
      <c r="H49" s="51" t="s">
        <v>359</v>
      </c>
      <c r="I49" s="51" t="s">
        <v>359</v>
      </c>
      <c r="J49" s="51" t="s">
        <v>359</v>
      </c>
      <c r="K49" s="51" t="s">
        <v>359</v>
      </c>
      <c r="L49" s="51">
        <v>0.139365903767697</v>
      </c>
      <c r="M49" s="51">
        <v>0.139365903767697</v>
      </c>
      <c r="N49" s="51">
        <v>0.139365903767697</v>
      </c>
      <c r="O49" s="51">
        <v>0.139365903767697</v>
      </c>
      <c r="P49" s="51">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359</v>
      </c>
    </row>
    <row r="50" spans="1:47" ht="12.5">
      <c r="A50" t="s">
        <v>112</v>
      </c>
      <c r="B50" t="s">
        <v>123</v>
      </c>
      <c r="C50" t="s">
        <v>378</v>
      </c>
      <c r="D50" t="s">
        <v>359</v>
      </c>
      <c r="E50" t="s">
        <v>359</v>
      </c>
      <c r="F50" t="s">
        <v>360</v>
      </c>
      <c r="G50" t="s">
        <v>361</v>
      </c>
      <c r="H50" s="51" t="s">
        <v>359</v>
      </c>
      <c r="I50" s="51" t="s">
        <v>359</v>
      </c>
      <c r="J50" s="51" t="s">
        <v>359</v>
      </c>
      <c r="K50" s="51" t="s">
        <v>359</v>
      </c>
      <c r="L50" s="51">
        <v>0.379626024625345</v>
      </c>
      <c r="M50" s="51">
        <v>0.379626024625345</v>
      </c>
      <c r="N50" s="51">
        <v>0.379626024625345</v>
      </c>
      <c r="O50" s="51">
        <v>0.379626024625345</v>
      </c>
      <c r="P50" s="51">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359</v>
      </c>
    </row>
    <row r="51" spans="1:47" ht="12.5">
      <c r="A51" t="s">
        <v>112</v>
      </c>
      <c r="B51" t="s">
        <v>123</v>
      </c>
      <c r="C51" t="s">
        <v>171</v>
      </c>
      <c r="D51" t="s">
        <v>359</v>
      </c>
      <c r="E51" t="s">
        <v>359</v>
      </c>
      <c r="F51" t="s">
        <v>360</v>
      </c>
      <c r="G51" t="s">
        <v>361</v>
      </c>
      <c r="H51" s="51" t="s">
        <v>359</v>
      </c>
      <c r="I51" s="51" t="s">
        <v>359</v>
      </c>
      <c r="J51" s="51" t="s">
        <v>359</v>
      </c>
      <c r="K51" s="51" t="s">
        <v>359</v>
      </c>
      <c r="L51" s="51">
        <v>0.379626024625345</v>
      </c>
      <c r="M51" s="51">
        <v>0.379626024625345</v>
      </c>
      <c r="N51" s="51">
        <v>0.379626024625345</v>
      </c>
      <c r="O51" s="51">
        <v>0.379626024625345</v>
      </c>
      <c r="P51" s="51">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359</v>
      </c>
    </row>
    <row r="52" spans="1:47" ht="12.5">
      <c r="A52" t="s">
        <v>112</v>
      </c>
      <c r="B52" t="s">
        <v>123</v>
      </c>
      <c r="C52" t="s">
        <v>379</v>
      </c>
      <c r="D52" t="s">
        <v>359</v>
      </c>
      <c r="E52" t="s">
        <v>359</v>
      </c>
      <c r="F52" t="s">
        <v>360</v>
      </c>
      <c r="G52" t="s">
        <v>361</v>
      </c>
      <c r="H52" s="51" t="s">
        <v>359</v>
      </c>
      <c r="I52" s="51" t="s">
        <v>359</v>
      </c>
      <c r="J52" s="51" t="s">
        <v>359</v>
      </c>
      <c r="K52" s="51" t="s">
        <v>359</v>
      </c>
      <c r="L52" s="51">
        <v>0.74542647386440897</v>
      </c>
      <c r="M52" s="51">
        <v>0.74542647386440897</v>
      </c>
      <c r="N52" s="51">
        <v>0.74542647386440897</v>
      </c>
      <c r="O52" s="51">
        <v>0.74542647386440897</v>
      </c>
      <c r="P52" s="51">
        <v>0.74542647386440897</v>
      </c>
      <c r="Q52">
        <v>0.74542647386440897</v>
      </c>
      <c r="R52">
        <v>0.74542647386440897</v>
      </c>
      <c r="S52">
        <v>0.74542647386440897</v>
      </c>
      <c r="T52">
        <v>0.74542647386440897</v>
      </c>
      <c r="U52">
        <v>0.74542647386440897</v>
      </c>
      <c r="V52">
        <v>0.74542647386440897</v>
      </c>
      <c r="W52">
        <v>0.74542647386440897</v>
      </c>
      <c r="X52">
        <v>0.74542647386440897</v>
      </c>
      <c r="Y52">
        <v>0.74542647386440897</v>
      </c>
      <c r="Z52">
        <v>0.74542647386440897</v>
      </c>
      <c r="AA52">
        <v>0.74542647386440897</v>
      </c>
      <c r="AB52">
        <v>0.74542647386440897</v>
      </c>
      <c r="AC52">
        <v>0.74542647386440897</v>
      </c>
      <c r="AD52">
        <v>0.74542647386440897</v>
      </c>
      <c r="AE52">
        <v>0.74542647386440897</v>
      </c>
      <c r="AF52">
        <v>0.74542647386440897</v>
      </c>
      <c r="AG52">
        <v>0.74542647386440897</v>
      </c>
      <c r="AH52">
        <v>0.74542647386440897</v>
      </c>
      <c r="AI52">
        <v>0.74542647386440897</v>
      </c>
      <c r="AJ52">
        <v>0.74542647386440897</v>
      </c>
      <c r="AK52">
        <v>0.74542647386440897</v>
      </c>
      <c r="AL52">
        <v>0.74542647386440897</v>
      </c>
      <c r="AM52">
        <v>0.74542647386440897</v>
      </c>
      <c r="AN52">
        <v>0.74542647386440897</v>
      </c>
      <c r="AO52">
        <v>0.74542647386440897</v>
      </c>
      <c r="AP52">
        <v>0.74542647386440897</v>
      </c>
      <c r="AQ52">
        <v>0.74542647386440897</v>
      </c>
      <c r="AR52">
        <v>0.74542647386440897</v>
      </c>
      <c r="AS52">
        <v>0.74542647386440897</v>
      </c>
      <c r="AT52">
        <v>0.74542647386440897</v>
      </c>
      <c r="AU52" t="s">
        <v>359</v>
      </c>
    </row>
    <row r="53" spans="1:47" ht="12.5">
      <c r="A53" t="s">
        <v>112</v>
      </c>
      <c r="B53" t="s">
        <v>123</v>
      </c>
      <c r="C53" t="s">
        <v>380</v>
      </c>
      <c r="D53" t="s">
        <v>359</v>
      </c>
      <c r="E53" t="s">
        <v>359</v>
      </c>
      <c r="F53" t="s">
        <v>360</v>
      </c>
      <c r="G53" t="s">
        <v>361</v>
      </c>
      <c r="H53" s="51" t="s">
        <v>359</v>
      </c>
      <c r="I53" s="51" t="s">
        <v>359</v>
      </c>
      <c r="J53" s="51" t="s">
        <v>359</v>
      </c>
      <c r="K53" s="51" t="s">
        <v>359</v>
      </c>
      <c r="L53" s="51">
        <v>0.37271323693220398</v>
      </c>
      <c r="M53" s="51">
        <v>0.37271323693220398</v>
      </c>
      <c r="N53" s="51">
        <v>0.37271323693220398</v>
      </c>
      <c r="O53" s="51">
        <v>0.37271323693220398</v>
      </c>
      <c r="P53" s="51">
        <v>0.37271323693220398</v>
      </c>
      <c r="Q53">
        <v>0.37271323693220398</v>
      </c>
      <c r="R53">
        <v>0.37271323693220398</v>
      </c>
      <c r="S53">
        <v>0.37271323693220398</v>
      </c>
      <c r="T53">
        <v>0.37271323693220398</v>
      </c>
      <c r="U53">
        <v>0.37271323693220398</v>
      </c>
      <c r="V53">
        <v>0.37271323693220398</v>
      </c>
      <c r="W53">
        <v>0.37271323693220398</v>
      </c>
      <c r="X53">
        <v>0.37271323693220398</v>
      </c>
      <c r="Y53">
        <v>0.37271323693220398</v>
      </c>
      <c r="Z53">
        <v>0.37271323693220398</v>
      </c>
      <c r="AA53">
        <v>0.37271323693220398</v>
      </c>
      <c r="AB53">
        <v>0.37271323693220398</v>
      </c>
      <c r="AC53">
        <v>0.37271323693220398</v>
      </c>
      <c r="AD53">
        <v>0.37271323693220398</v>
      </c>
      <c r="AE53">
        <v>0.37271323693220398</v>
      </c>
      <c r="AF53">
        <v>0.37271323693220398</v>
      </c>
      <c r="AG53">
        <v>0.37271323693220398</v>
      </c>
      <c r="AH53">
        <v>0.37271323693220398</v>
      </c>
      <c r="AI53">
        <v>0.37271323693220398</v>
      </c>
      <c r="AJ53">
        <v>0.37271323693220398</v>
      </c>
      <c r="AK53">
        <v>0.37271323693220398</v>
      </c>
      <c r="AL53">
        <v>0.37271323693220398</v>
      </c>
      <c r="AM53">
        <v>0.37271323693220398</v>
      </c>
      <c r="AN53">
        <v>0.37271323693220398</v>
      </c>
      <c r="AO53">
        <v>0.37271323693220398</v>
      </c>
      <c r="AP53">
        <v>0.37271323693220398</v>
      </c>
      <c r="AQ53">
        <v>0.37271323693220398</v>
      </c>
      <c r="AR53">
        <v>0.37271323693220398</v>
      </c>
      <c r="AS53">
        <v>0.37271323693220398</v>
      </c>
      <c r="AT53">
        <v>0.37271323693220398</v>
      </c>
      <c r="AU53" t="s">
        <v>359</v>
      </c>
    </row>
    <row r="54" spans="1:47" ht="12.5">
      <c r="A54" t="s">
        <v>112</v>
      </c>
      <c r="B54" t="s">
        <v>123</v>
      </c>
      <c r="C54" t="s">
        <v>381</v>
      </c>
      <c r="D54" t="s">
        <v>359</v>
      </c>
      <c r="E54" t="s">
        <v>359</v>
      </c>
      <c r="F54" t="s">
        <v>360</v>
      </c>
      <c r="G54" t="s">
        <v>361</v>
      </c>
      <c r="H54" s="51" t="s">
        <v>359</v>
      </c>
      <c r="I54" s="51" t="s">
        <v>359</v>
      </c>
      <c r="J54" s="51" t="s">
        <v>359</v>
      </c>
      <c r="K54" s="51" t="s">
        <v>359</v>
      </c>
      <c r="L54" s="51">
        <v>0.44075733528719402</v>
      </c>
      <c r="M54" s="51">
        <v>0.44075733528719402</v>
      </c>
      <c r="N54" s="51">
        <v>0.44075733528719402</v>
      </c>
      <c r="O54" s="51">
        <v>0.44075733528719402</v>
      </c>
      <c r="P54" s="51">
        <v>0.44075733528719402</v>
      </c>
      <c r="Q54">
        <v>0.44075733528719402</v>
      </c>
      <c r="R54">
        <v>0.44075733528719402</v>
      </c>
      <c r="S54">
        <v>0.44075733528719402</v>
      </c>
      <c r="T54">
        <v>0.44075733528719402</v>
      </c>
      <c r="U54">
        <v>0.44075733528719402</v>
      </c>
      <c r="V54">
        <v>0.44075733528719402</v>
      </c>
      <c r="W54">
        <v>0.44075733528719402</v>
      </c>
      <c r="X54">
        <v>0.44075733528719402</v>
      </c>
      <c r="Y54">
        <v>0.44075733528719402</v>
      </c>
      <c r="Z54">
        <v>0.44075733528719402</v>
      </c>
      <c r="AA54">
        <v>0.44075733528719402</v>
      </c>
      <c r="AB54">
        <v>0.44075733528719402</v>
      </c>
      <c r="AC54">
        <v>0.44075733528719402</v>
      </c>
      <c r="AD54">
        <v>0.44075733528719402</v>
      </c>
      <c r="AE54">
        <v>0.44075733528719402</v>
      </c>
      <c r="AF54">
        <v>0.44075733528719402</v>
      </c>
      <c r="AG54">
        <v>0.44075733528719402</v>
      </c>
      <c r="AH54">
        <v>0.44075733528719402</v>
      </c>
      <c r="AI54">
        <v>0.44075733528719402</v>
      </c>
      <c r="AJ54">
        <v>0.44075733528719402</v>
      </c>
      <c r="AK54">
        <v>0.44075733528719402</v>
      </c>
      <c r="AL54">
        <v>0.44075733528719402</v>
      </c>
      <c r="AM54">
        <v>0.44075733528719402</v>
      </c>
      <c r="AN54">
        <v>0.44075733528719402</v>
      </c>
      <c r="AO54">
        <v>0.44075733528719402</v>
      </c>
      <c r="AP54">
        <v>0.44075733528719402</v>
      </c>
      <c r="AQ54">
        <v>0.44075733528719402</v>
      </c>
      <c r="AR54">
        <v>0.44075733528719402</v>
      </c>
      <c r="AS54">
        <v>0.44075733528719402</v>
      </c>
      <c r="AT54">
        <v>0.44075733528719402</v>
      </c>
      <c r="AU54" t="s">
        <v>359</v>
      </c>
    </row>
    <row r="55" spans="1:47" ht="12.5">
      <c r="A55" t="s">
        <v>112</v>
      </c>
      <c r="B55" t="s">
        <v>123</v>
      </c>
      <c r="C55" t="s">
        <v>382</v>
      </c>
      <c r="D55" t="s">
        <v>359</v>
      </c>
      <c r="E55" t="s">
        <v>359</v>
      </c>
      <c r="F55" t="s">
        <v>360</v>
      </c>
      <c r="G55" t="s">
        <v>361</v>
      </c>
      <c r="H55" s="51" t="s">
        <v>359</v>
      </c>
      <c r="I55" s="51" t="s">
        <v>359</v>
      </c>
      <c r="J55" s="51" t="s">
        <v>359</v>
      </c>
      <c r="K55" s="51" t="s">
        <v>359</v>
      </c>
      <c r="L55" s="51">
        <v>0.32948443032272601</v>
      </c>
      <c r="M55" s="51">
        <v>0.32948443032272601</v>
      </c>
      <c r="N55" s="51">
        <v>0.32948443032272601</v>
      </c>
      <c r="O55" s="51">
        <v>0.32948443032272601</v>
      </c>
      <c r="P55" s="51">
        <v>0.32948443032272601</v>
      </c>
      <c r="Q55">
        <v>0.32948443032272601</v>
      </c>
      <c r="R55">
        <v>0.32948443032272601</v>
      </c>
      <c r="S55">
        <v>0.32948443032272601</v>
      </c>
      <c r="T55">
        <v>0.32948443032272601</v>
      </c>
      <c r="U55">
        <v>0.32948443032272601</v>
      </c>
      <c r="V55">
        <v>0.32948443032272601</v>
      </c>
      <c r="W55">
        <v>0.32948443032272601</v>
      </c>
      <c r="X55">
        <v>0.32948443032272601</v>
      </c>
      <c r="Y55">
        <v>0.32948443032272601</v>
      </c>
      <c r="Z55">
        <v>0.32948443032272601</v>
      </c>
      <c r="AA55">
        <v>0.32948443032272601</v>
      </c>
      <c r="AB55">
        <v>0.32948443032272601</v>
      </c>
      <c r="AC55">
        <v>0.32948443032272601</v>
      </c>
      <c r="AD55">
        <v>0.32948443032272601</v>
      </c>
      <c r="AE55">
        <v>0.32948443032272601</v>
      </c>
      <c r="AF55">
        <v>0.32948443032272601</v>
      </c>
      <c r="AG55">
        <v>0.32948443032272601</v>
      </c>
      <c r="AH55">
        <v>0.32948443032272601</v>
      </c>
      <c r="AI55">
        <v>0.32948443032272601</v>
      </c>
      <c r="AJ55">
        <v>0.32948443032272601</v>
      </c>
      <c r="AK55">
        <v>0.32948443032272601</v>
      </c>
      <c r="AL55">
        <v>0.32948443032272601</v>
      </c>
      <c r="AM55">
        <v>0.32948443032272601</v>
      </c>
      <c r="AN55">
        <v>0.32948443032272601</v>
      </c>
      <c r="AO55">
        <v>0.32948443032272601</v>
      </c>
      <c r="AP55">
        <v>0.32948443032272601</v>
      </c>
      <c r="AQ55">
        <v>0.32948443032272601</v>
      </c>
      <c r="AR55">
        <v>0.32948443032272601</v>
      </c>
      <c r="AS55">
        <v>0.32948443032272601</v>
      </c>
      <c r="AT55">
        <v>0.32948443032272601</v>
      </c>
      <c r="AU55" t="s">
        <v>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400-000000000000}">
  <dimension ref="D4:BC125"/>
  <sheetViews>
    <sheetView zoomScale="51" zoomScaleNormal="51" workbookViewId="0" topLeftCell="J1">
      <selection pane="topLeft" activeCell="R134" sqref="R134"/>
    </sheetView>
  </sheetViews>
  <sheetFormatPr defaultColWidth="8.72428571428571" defaultRowHeight="12.5"/>
  <cols>
    <col min="1" max="9" width="8.71428571428571" style="4"/>
    <col min="10" max="10" width="11.4285714285714" style="4" customWidth="1"/>
    <col min="11" max="11" width="26" style="4" customWidth="1"/>
    <col min="12" max="12" width="11.1428571428571" style="4" customWidth="1"/>
    <col min="13" max="13" width="9.14285714285714" style="4"/>
    <col min="14" max="16" width="8.71428571428571" style="4"/>
    <col min="17" max="17" width="40.4285714285714" style="4" customWidth="1"/>
    <col min="18" max="18" width="44.7142857142857" style="4" customWidth="1"/>
    <col min="19" max="22" width="12.8571428571429" style="4"/>
    <col min="23" max="23" width="26" style="4" customWidth="1"/>
    <col min="24" max="26" width="12.8571428571429" style="4"/>
    <col min="27" max="28" width="8.71428571428571" style="4"/>
    <col min="29" max="29" width="26" style="4" customWidth="1"/>
    <col min="30" max="30" width="27.4285714285714" style="4" customWidth="1"/>
    <col min="31" max="34" width="8.71428571428571" style="4"/>
    <col min="35" max="35" width="21.5714285714286" style="4" customWidth="1"/>
    <col min="36" max="40" width="8.71428571428571" style="4"/>
    <col min="41" max="41" width="21.8571428571429" style="4" customWidth="1"/>
    <col min="42" max="46" width="8.71428571428571" style="4"/>
    <col min="47" max="47" width="20.5714285714286" style="4" customWidth="1"/>
    <col min="48" max="48" width="33.5714285714286" style="4" customWidth="1"/>
    <col min="49" max="52" width="8.71428571428571" style="4"/>
    <col min="53" max="53" width="20.5714285714286" style="4" customWidth="1"/>
    <col min="54" max="16384" width="8.71428571428571" style="4"/>
  </cols>
  <sheetData>
    <row r="4" spans="4:55" s="29" customFormat="1" ht="14.5">
      <c r="D4" s="31"/>
      <c r="E4" s="31"/>
      <c r="F4" s="31"/>
      <c r="G4" s="31"/>
      <c r="H4" s="32"/>
      <c r="I4" s="32"/>
      <c r="J4" s="31"/>
      <c r="K4" s="31"/>
      <c r="L4" s="24" t="s">
        <v>292</v>
      </c>
      <c r="M4" s="31"/>
      <c r="N4" s="32"/>
      <c r="O4" s="32"/>
      <c r="P4" s="32"/>
      <c r="Q4" s="32"/>
      <c r="R4" s="24" t="s">
        <v>292</v>
      </c>
      <c r="S4" s="32"/>
      <c r="T4" s="32"/>
      <c r="U4" s="32"/>
      <c r="V4" s="32"/>
      <c r="W4" s="32"/>
      <c r="X4" s="24" t="s">
        <v>292</v>
      </c>
      <c r="Y4" s="32"/>
      <c r="Z4" s="32"/>
      <c r="AA4" s="32"/>
      <c r="AB4" s="32"/>
      <c r="AC4" s="32"/>
      <c r="AD4" s="24" t="s">
        <v>292</v>
      </c>
      <c r="AE4" s="32"/>
      <c r="AF4" s="32"/>
      <c r="AG4" s="32"/>
      <c r="AH4" s="32"/>
      <c r="AI4" s="32"/>
      <c r="AJ4" s="24" t="s">
        <v>292</v>
      </c>
      <c r="AK4" s="32"/>
      <c r="AL4" s="32"/>
      <c r="AM4" s="32"/>
      <c r="AN4" s="32"/>
      <c r="AO4" s="32"/>
      <c r="AP4" s="24" t="s">
        <v>292</v>
      </c>
      <c r="AQ4" s="32"/>
      <c r="AT4" s="32"/>
      <c r="AU4" s="32"/>
      <c r="AV4" s="24" t="s">
        <v>292</v>
      </c>
      <c r="AW4" s="32"/>
      <c r="AZ4" s="4"/>
      <c r="BA4" s="4"/>
      <c r="BB4" s="4"/>
      <c r="BC4" s="4"/>
    </row>
    <row r="5" spans="4:55" s="29" customFormat="1" ht="14.5">
      <c r="D5" s="31"/>
      <c r="E5" s="31"/>
      <c r="F5" s="33"/>
      <c r="G5" s="31"/>
      <c r="H5" s="32"/>
      <c r="I5" s="32"/>
      <c r="J5" s="24" t="s">
        <v>136</v>
      </c>
      <c r="K5" s="24" t="s">
        <v>65</v>
      </c>
      <c r="L5" s="24" t="s">
        <v>111</v>
      </c>
      <c r="M5" s="24" t="s">
        <v>25</v>
      </c>
      <c r="N5" s="32" t="s">
        <v>41</v>
      </c>
      <c r="O5" s="32"/>
      <c r="P5" s="24" t="s">
        <v>136</v>
      </c>
      <c r="Q5" s="24" t="s">
        <v>65</v>
      </c>
      <c r="R5" s="24" t="s">
        <v>111</v>
      </c>
      <c r="S5" s="24" t="s">
        <v>25</v>
      </c>
      <c r="T5" s="32" t="s">
        <v>41</v>
      </c>
      <c r="U5" s="32"/>
      <c r="V5" s="24" t="s">
        <v>136</v>
      </c>
      <c r="W5" s="24" t="s">
        <v>65</v>
      </c>
      <c r="X5" s="24" t="s">
        <v>111</v>
      </c>
      <c r="Y5" s="24" t="s">
        <v>25</v>
      </c>
      <c r="Z5" s="32" t="s">
        <v>41</v>
      </c>
      <c r="AA5" s="32"/>
      <c r="AB5" s="24" t="s">
        <v>136</v>
      </c>
      <c r="AC5" s="24" t="s">
        <v>65</v>
      </c>
      <c r="AD5" s="24" t="s">
        <v>111</v>
      </c>
      <c r="AE5" s="24" t="s">
        <v>25</v>
      </c>
      <c r="AF5" s="32" t="s">
        <v>41</v>
      </c>
      <c r="AG5" s="32"/>
      <c r="AH5" s="24" t="s">
        <v>136</v>
      </c>
      <c r="AI5" s="24" t="s">
        <v>65</v>
      </c>
      <c r="AJ5" s="24" t="s">
        <v>111</v>
      </c>
      <c r="AK5" s="24" t="s">
        <v>25</v>
      </c>
      <c r="AL5" s="32" t="s">
        <v>41</v>
      </c>
      <c r="AM5" s="32"/>
      <c r="AN5" s="24" t="s">
        <v>136</v>
      </c>
      <c r="AO5" s="24" t="s">
        <v>65</v>
      </c>
      <c r="AP5" s="24" t="s">
        <v>111</v>
      </c>
      <c r="AQ5" s="24" t="s">
        <v>25</v>
      </c>
      <c r="AR5" s="32" t="s">
        <v>41</v>
      </c>
      <c r="AT5" s="24" t="s">
        <v>136</v>
      </c>
      <c r="AU5" s="24" t="s">
        <v>65</v>
      </c>
      <c r="AV5" s="24" t="s">
        <v>111</v>
      </c>
      <c r="AW5" s="24" t="s">
        <v>25</v>
      </c>
      <c r="AX5" s="32" t="s">
        <v>41</v>
      </c>
      <c r="AZ5" s="4"/>
      <c r="BA5" s="4"/>
      <c r="BB5" s="4"/>
      <c r="BC5" s="4"/>
    </row>
    <row r="6" spans="4:55" s="29" customFormat="1" ht="16">
      <c r="D6" s="31"/>
      <c r="E6" s="34"/>
      <c r="F6" s="33"/>
      <c r="G6" s="35"/>
      <c r="H6" s="32"/>
      <c r="I6" s="32"/>
      <c r="J6" s="31" t="s">
        <v>140</v>
      </c>
      <c r="K6" s="34" t="s">
        <v>81</v>
      </c>
      <c r="L6" s="26" t="s">
        <v>293</v>
      </c>
      <c r="M6" s="36">
        <f t="shared" si="0" ref="M6:M9">M16/1000</f>
        <v>0.076800000000000063</v>
      </c>
      <c r="N6" s="32">
        <v>2020</v>
      </c>
      <c r="O6" s="32"/>
      <c r="P6" s="31" t="s">
        <v>140</v>
      </c>
      <c r="Q6" s="34" t="s">
        <v>86</v>
      </c>
      <c r="R6" s="26" t="s">
        <v>293</v>
      </c>
      <c r="S6" s="36">
        <f t="shared" si="1" ref="S6:S9">S16/1000</f>
        <v>0.071299999999999961</v>
      </c>
      <c r="T6" s="32">
        <v>2020</v>
      </c>
      <c r="U6" s="32"/>
      <c r="V6" s="31" t="s">
        <v>140</v>
      </c>
      <c r="W6" s="34" t="s">
        <v>90</v>
      </c>
      <c r="X6" s="26" t="s">
        <v>293</v>
      </c>
      <c r="Y6" s="36">
        <f t="shared" si="2" ref="Y6:Y9">Y16/1000</f>
        <v>0.071200000000000041</v>
      </c>
      <c r="Z6" s="32">
        <v>2020</v>
      </c>
      <c r="AA6" s="32"/>
      <c r="AB6" s="31" t="s">
        <v>140</v>
      </c>
      <c r="AC6" s="34" t="s">
        <v>94</v>
      </c>
      <c r="AD6" s="26" t="s">
        <v>293</v>
      </c>
      <c r="AE6" s="36">
        <f t="shared" si="3" ref="AE6:AE9">AE16/1000</f>
        <v>0.072499999999999995</v>
      </c>
      <c r="AF6" s="32">
        <v>2020</v>
      </c>
      <c r="AG6" s="32"/>
      <c r="AH6" s="31" t="s">
        <v>140</v>
      </c>
      <c r="AI6" s="34" t="s">
        <v>77</v>
      </c>
      <c r="AJ6" s="26" t="s">
        <v>293</v>
      </c>
      <c r="AK6" s="36">
        <f t="shared" si="4" ref="AK6:AK9">AK16/1000</f>
        <v>0.076999999999999999</v>
      </c>
      <c r="AL6" s="32">
        <v>2020</v>
      </c>
      <c r="AM6" s="32"/>
      <c r="AN6" s="31" t="s">
        <v>140</v>
      </c>
      <c r="AO6" s="34" t="s">
        <v>73</v>
      </c>
      <c r="AP6" s="26" t="s">
        <v>293</v>
      </c>
      <c r="AQ6" s="36">
        <f t="shared" si="5" ref="AQ6:AQ9">AQ16/1000</f>
        <v>0.042399999999999979</v>
      </c>
      <c r="AR6" s="32">
        <v>2020</v>
      </c>
      <c r="AT6" s="31" t="s">
        <v>140</v>
      </c>
      <c r="AU6" s="34" t="s">
        <v>68</v>
      </c>
      <c r="AV6" s="26" t="s">
        <v>293</v>
      </c>
      <c r="AW6" s="36">
        <f t="shared" si="6" ref="AW6:AW9">AW16/1000</f>
        <v>0.047200000000000047</v>
      </c>
      <c r="AX6" s="32">
        <v>2020</v>
      </c>
      <c r="AZ6" s="4"/>
      <c r="BA6" s="4"/>
      <c r="BB6" s="4"/>
      <c r="BC6" s="4"/>
    </row>
    <row r="7" spans="4:55" s="29" customFormat="1" ht="16">
      <c r="D7" s="31"/>
      <c r="E7" s="34"/>
      <c r="F7" s="33"/>
      <c r="G7" s="35"/>
      <c r="H7" s="32"/>
      <c r="I7" s="32"/>
      <c r="J7" s="31" t="s">
        <v>140</v>
      </c>
      <c r="K7" s="34" t="s">
        <v>81</v>
      </c>
      <c r="L7" s="26" t="s">
        <v>294</v>
      </c>
      <c r="M7" s="36">
        <f t="shared" si="0"/>
        <v>0.2026</v>
      </c>
      <c r="N7" s="32">
        <v>2020</v>
      </c>
      <c r="O7" s="32"/>
      <c r="P7" s="31" t="s">
        <v>140</v>
      </c>
      <c r="Q7" s="34" t="s">
        <v>86</v>
      </c>
      <c r="R7" s="26" t="s">
        <v>294</v>
      </c>
      <c r="S7" s="36">
        <f t="shared" si="1"/>
        <v>0.1913</v>
      </c>
      <c r="T7" s="32">
        <v>2020</v>
      </c>
      <c r="U7" s="32"/>
      <c r="V7" s="31" t="s">
        <v>140</v>
      </c>
      <c r="W7" s="34" t="s">
        <v>90</v>
      </c>
      <c r="X7" s="26" t="s">
        <v>294</v>
      </c>
      <c r="Y7" s="36">
        <f t="shared" si="2"/>
        <v>0.1915</v>
      </c>
      <c r="Z7" s="32">
        <v>2020</v>
      </c>
      <c r="AA7" s="32"/>
      <c r="AB7" s="31" t="s">
        <v>140</v>
      </c>
      <c r="AC7" s="34" t="s">
        <v>94</v>
      </c>
      <c r="AD7" s="26" t="s">
        <v>294</v>
      </c>
      <c r="AE7" s="36">
        <f t="shared" si="3"/>
        <v>0.18590000000000001</v>
      </c>
      <c r="AF7" s="32">
        <v>2020</v>
      </c>
      <c r="AG7" s="32"/>
      <c r="AH7" s="31" t="s">
        <v>140</v>
      </c>
      <c r="AI7" s="34" t="s">
        <v>77</v>
      </c>
      <c r="AJ7" s="26" t="s">
        <v>294</v>
      </c>
      <c r="AK7" s="36">
        <f t="shared" si="4"/>
        <v>0.19819999999999999</v>
      </c>
      <c r="AL7" s="32">
        <v>2020</v>
      </c>
      <c r="AM7" s="32"/>
      <c r="AN7" s="31" t="s">
        <v>140</v>
      </c>
      <c r="AO7" s="34" t="s">
        <v>73</v>
      </c>
      <c r="AP7" s="26" t="s">
        <v>294</v>
      </c>
      <c r="AQ7" s="36">
        <f t="shared" si="5"/>
        <v>0.076799999999999993</v>
      </c>
      <c r="AR7" s="32">
        <v>2020</v>
      </c>
      <c r="AT7" s="31" t="s">
        <v>140</v>
      </c>
      <c r="AU7" s="34" t="s">
        <v>68</v>
      </c>
      <c r="AV7" s="26" t="s">
        <v>294</v>
      </c>
      <c r="AW7" s="36">
        <f t="shared" si="6"/>
        <v>0.1555</v>
      </c>
      <c r="AX7" s="32">
        <v>2020</v>
      </c>
      <c r="AZ7" s="4"/>
      <c r="BA7" s="4"/>
      <c r="BB7" s="4"/>
      <c r="BC7" s="4"/>
    </row>
    <row r="8" spans="4:55" s="29" customFormat="1" ht="14.5" customHeight="1">
      <c r="D8" s="31"/>
      <c r="E8" s="34"/>
      <c r="F8" s="33"/>
      <c r="G8" s="35"/>
      <c r="H8" s="32"/>
      <c r="I8" s="32"/>
      <c r="J8" s="31" t="s">
        <v>140</v>
      </c>
      <c r="K8" s="34" t="s">
        <v>81</v>
      </c>
      <c r="L8" s="26" t="s">
        <v>295</v>
      </c>
      <c r="M8" s="36">
        <f t="shared" si="0"/>
        <v>0.58379999999999999</v>
      </c>
      <c r="N8" s="32">
        <v>2020</v>
      </c>
      <c r="O8" s="32"/>
      <c r="P8" s="31" t="s">
        <v>140</v>
      </c>
      <c r="Q8" s="34" t="s">
        <v>86</v>
      </c>
      <c r="R8" s="26" t="s">
        <v>295</v>
      </c>
      <c r="S8" s="36">
        <f t="shared" si="1"/>
        <v>0.55610000000000004</v>
      </c>
      <c r="T8" s="32">
        <v>2020</v>
      </c>
      <c r="U8" s="32"/>
      <c r="V8" s="31" t="s">
        <v>140</v>
      </c>
      <c r="W8" s="34" t="s">
        <v>90</v>
      </c>
      <c r="X8" s="26" t="s">
        <v>295</v>
      </c>
      <c r="Y8" s="36">
        <f t="shared" si="2"/>
        <v>0.55789999999999995</v>
      </c>
      <c r="Z8" s="32">
        <v>2020</v>
      </c>
      <c r="AA8" s="32"/>
      <c r="AB8" s="31" t="s">
        <v>140</v>
      </c>
      <c r="AC8" s="34" t="s">
        <v>94</v>
      </c>
      <c r="AD8" s="26" t="s">
        <v>295</v>
      </c>
      <c r="AE8" s="36">
        <f t="shared" si="3"/>
        <v>0.55049999999999999</v>
      </c>
      <c r="AF8" s="32">
        <v>2020</v>
      </c>
      <c r="AG8" s="32"/>
      <c r="AH8" s="31" t="s">
        <v>140</v>
      </c>
      <c r="AI8" s="34" t="s">
        <v>77</v>
      </c>
      <c r="AJ8" s="26" t="s">
        <v>295</v>
      </c>
      <c r="AK8" s="36">
        <f t="shared" si="4"/>
        <v>0.59420000000000006</v>
      </c>
      <c r="AL8" s="32">
        <v>2020</v>
      </c>
      <c r="AM8" s="32"/>
      <c r="AN8" s="31" t="s">
        <v>140</v>
      </c>
      <c r="AO8" s="34" t="s">
        <v>73</v>
      </c>
      <c r="AP8" s="26" t="s">
        <v>295</v>
      </c>
      <c r="AQ8" s="36">
        <f t="shared" si="5"/>
        <v>0.40989999999999999</v>
      </c>
      <c r="AR8" s="32">
        <v>2020</v>
      </c>
      <c r="AT8" s="31" t="s">
        <v>140</v>
      </c>
      <c r="AU8" s="34" t="s">
        <v>68</v>
      </c>
      <c r="AV8" s="26" t="s">
        <v>295</v>
      </c>
      <c r="AW8" s="36">
        <f t="shared" si="6"/>
        <v>0.47699999999999998</v>
      </c>
      <c r="AX8" s="32">
        <v>2020</v>
      </c>
      <c r="AZ8" s="4"/>
      <c r="BA8" s="4"/>
      <c r="BB8" s="4"/>
      <c r="BC8" s="4"/>
    </row>
    <row r="9" spans="4:55" s="29" customFormat="1" ht="16">
      <c r="D9" s="31"/>
      <c r="E9" s="34"/>
      <c r="F9" s="33"/>
      <c r="G9" s="35"/>
      <c r="H9" s="32"/>
      <c r="I9" s="32"/>
      <c r="J9" s="31" t="s">
        <v>140</v>
      </c>
      <c r="K9" s="34" t="s">
        <v>81</v>
      </c>
      <c r="L9" s="26" t="s">
        <v>296</v>
      </c>
      <c r="M9" s="36">
        <f t="shared" si="0"/>
        <v>0.1275</v>
      </c>
      <c r="N9" s="32">
        <v>2020</v>
      </c>
      <c r="O9" s="32"/>
      <c r="P9" s="31" t="s">
        <v>140</v>
      </c>
      <c r="Q9" s="34" t="s">
        <v>86</v>
      </c>
      <c r="R9" s="26" t="s">
        <v>296</v>
      </c>
      <c r="S9" s="36">
        <f t="shared" si="1"/>
        <v>0.13369999999999999</v>
      </c>
      <c r="T9" s="32">
        <v>2020</v>
      </c>
      <c r="U9" s="32"/>
      <c r="V9" s="31" t="s">
        <v>140</v>
      </c>
      <c r="W9" s="34" t="s">
        <v>90</v>
      </c>
      <c r="X9" s="26" t="s">
        <v>296</v>
      </c>
      <c r="Y9" s="36">
        <f t="shared" si="2"/>
        <v>0.14030000000000001</v>
      </c>
      <c r="Z9" s="32">
        <v>2020</v>
      </c>
      <c r="AA9" s="32"/>
      <c r="AB9" s="31" t="s">
        <v>140</v>
      </c>
      <c r="AC9" s="34" t="s">
        <v>94</v>
      </c>
      <c r="AD9" s="26" t="s">
        <v>296</v>
      </c>
      <c r="AE9" s="36">
        <f t="shared" si="3"/>
        <v>0.14990000000000001</v>
      </c>
      <c r="AF9" s="32">
        <v>2020</v>
      </c>
      <c r="AG9" s="32"/>
      <c r="AH9" s="31" t="s">
        <v>140</v>
      </c>
      <c r="AI9" s="34" t="s">
        <v>77</v>
      </c>
      <c r="AJ9" s="26" t="s">
        <v>296</v>
      </c>
      <c r="AK9" s="36">
        <f t="shared" si="4"/>
        <v>0.1608</v>
      </c>
      <c r="AL9" s="32">
        <v>2020</v>
      </c>
      <c r="AM9" s="32"/>
      <c r="AN9" s="31" t="s">
        <v>140</v>
      </c>
      <c r="AO9" s="34" t="s">
        <v>73</v>
      </c>
      <c r="AP9" s="26" t="s">
        <v>296</v>
      </c>
      <c r="AQ9" s="36">
        <f t="shared" si="5"/>
        <v>0.057000000000000002</v>
      </c>
      <c r="AR9" s="32">
        <v>2020</v>
      </c>
      <c r="AT9" s="31" t="s">
        <v>140</v>
      </c>
      <c r="AU9" s="34" t="s">
        <v>68</v>
      </c>
      <c r="AV9" s="26" t="s">
        <v>296</v>
      </c>
      <c r="AW9" s="36">
        <f t="shared" si="6"/>
        <v>0.095200000000000007</v>
      </c>
      <c r="AX9" s="32">
        <v>2020</v>
      </c>
      <c r="AZ9" s="4"/>
      <c r="BA9" s="4"/>
      <c r="BB9" s="4"/>
      <c r="BC9" s="4"/>
    </row>
    <row r="10" spans="4:9" s="29" customFormat="1" ht="16">
      <c r="D10" s="32"/>
      <c r="E10" s="34"/>
      <c r="G10" s="35"/>
      <c r="H10" s="32"/>
      <c r="I10" s="32"/>
    </row>
    <row r="13" s="30" customFormat="1" ht="12.5"/>
    <row r="14" spans="4:49" s="3" customFormat="1" ht="14.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pans="4:49" s="3" customFormat="1" ht="14.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pans="10:49" s="30" customFormat="1" ht="16">
      <c r="J16" s="37"/>
      <c r="K16" s="39"/>
      <c r="L16" s="21"/>
      <c r="M16" s="35">
        <f t="shared" si="7" ref="M16:M19">T65</f>
        <v>76.800000000000068</v>
      </c>
      <c r="N16" s="38"/>
      <c r="O16" s="38"/>
      <c r="P16" s="37"/>
      <c r="Q16" s="39"/>
      <c r="R16" s="21"/>
      <c r="S16" s="40">
        <f t="shared" si="8" ref="S16:S19">U65</f>
        <v>71.299999999999955</v>
      </c>
      <c r="T16" s="38"/>
      <c r="U16" s="38"/>
      <c r="V16" s="37"/>
      <c r="W16" s="39"/>
      <c r="X16" s="21"/>
      <c r="Y16" s="40">
        <f t="shared" si="9" ref="Y16:Y19">V65</f>
        <v>71.200000000000045</v>
      </c>
      <c r="Z16" s="38"/>
      <c r="AA16" s="38"/>
      <c r="AB16" s="37"/>
      <c r="AC16" s="39"/>
      <c r="AD16" s="21"/>
      <c r="AE16" s="40">
        <f t="shared" si="10" ref="AE16:AE19">W65</f>
        <v>72.5</v>
      </c>
      <c r="AF16" s="38"/>
      <c r="AG16" s="38"/>
      <c r="AH16" s="37"/>
      <c r="AI16" s="39"/>
      <c r="AJ16" s="21"/>
      <c r="AK16" s="40">
        <f t="shared" si="11" ref="AK16:AK19">X65</f>
        <v>77</v>
      </c>
      <c r="AL16" s="38"/>
      <c r="AM16" s="38"/>
      <c r="AN16" s="37"/>
      <c r="AO16" s="39"/>
      <c r="AP16" s="21"/>
      <c r="AQ16" s="40">
        <f t="shared" si="12" ref="AQ16:AQ19">Y65</f>
        <v>42.399999999999977</v>
      </c>
      <c r="AR16" s="3"/>
      <c r="AS16" s="3"/>
      <c r="AT16" s="37"/>
      <c r="AU16" s="39"/>
      <c r="AV16" s="21"/>
      <c r="AW16" s="40">
        <f t="shared" si="13" ref="AW16:AW19">Z65</f>
        <v>47.200000000000045</v>
      </c>
    </row>
    <row r="17" spans="10:49" s="30" customFormat="1" ht="16">
      <c r="J17" s="37"/>
      <c r="K17" s="39"/>
      <c r="L17" s="21"/>
      <c r="M17" s="35">
        <f t="shared" si="7"/>
        <v>202.59999999999999</v>
      </c>
      <c r="N17" s="38"/>
      <c r="O17" s="38"/>
      <c r="P17" s="37"/>
      <c r="Q17" s="39"/>
      <c r="R17" s="21"/>
      <c r="S17" s="40">
        <f t="shared" si="8"/>
        <v>191.30000000000001</v>
      </c>
      <c r="T17" s="38"/>
      <c r="U17" s="38"/>
      <c r="V17" s="37"/>
      <c r="W17" s="39"/>
      <c r="X17" s="21"/>
      <c r="Y17" s="40">
        <f t="shared" si="9"/>
        <v>191.5</v>
      </c>
      <c r="Z17" s="38"/>
      <c r="AA17" s="38"/>
      <c r="AB17" s="37"/>
      <c r="AC17" s="39"/>
      <c r="AD17" s="21"/>
      <c r="AE17" s="40">
        <f t="shared" si="10"/>
        <v>185.90000000000001</v>
      </c>
      <c r="AF17" s="38"/>
      <c r="AG17" s="38"/>
      <c r="AH17" s="37"/>
      <c r="AI17" s="39"/>
      <c r="AJ17" s="21"/>
      <c r="AK17" s="40">
        <f t="shared" si="11"/>
        <v>198.19999999999999</v>
      </c>
      <c r="AL17" s="38"/>
      <c r="AM17" s="38"/>
      <c r="AN17" s="37"/>
      <c r="AO17" s="39"/>
      <c r="AP17" s="21"/>
      <c r="AQ17" s="40">
        <f t="shared" si="12"/>
        <v>76.799999999999997</v>
      </c>
      <c r="AR17" s="3"/>
      <c r="AS17" s="3"/>
      <c r="AT17" s="37"/>
      <c r="AU17" s="39"/>
      <c r="AV17" s="21"/>
      <c r="AW17" s="40">
        <f t="shared" si="13"/>
        <v>155.5</v>
      </c>
    </row>
    <row r="18" spans="10:49" s="30" customFormat="1" ht="16">
      <c r="J18" s="37"/>
      <c r="K18" s="39"/>
      <c r="L18" s="21"/>
      <c r="M18" s="35">
        <f t="shared" si="7"/>
        <v>583.79999999999995</v>
      </c>
      <c r="N18" s="38"/>
      <c r="O18" s="38"/>
      <c r="P18" s="37"/>
      <c r="Q18" s="39"/>
      <c r="R18" s="21"/>
      <c r="S18" s="40">
        <f t="shared" si="8"/>
        <v>556.10000000000002</v>
      </c>
      <c r="T18" s="38"/>
      <c r="U18" s="38"/>
      <c r="V18" s="37"/>
      <c r="W18" s="39"/>
      <c r="X18" s="21"/>
      <c r="Y18" s="40">
        <f t="shared" si="9"/>
        <v>557.89999999999998</v>
      </c>
      <c r="Z18" s="38"/>
      <c r="AA18" s="38"/>
      <c r="AB18" s="37"/>
      <c r="AC18" s="39"/>
      <c r="AD18" s="21"/>
      <c r="AE18" s="40">
        <f t="shared" si="10"/>
        <v>550.5</v>
      </c>
      <c r="AF18" s="38"/>
      <c r="AG18" s="38"/>
      <c r="AH18" s="37"/>
      <c r="AI18" s="39"/>
      <c r="AJ18" s="21"/>
      <c r="AK18" s="40">
        <f t="shared" si="11"/>
        <v>594.20000000000005</v>
      </c>
      <c r="AL18" s="38"/>
      <c r="AM18" s="38"/>
      <c r="AN18" s="37"/>
      <c r="AO18" s="39"/>
      <c r="AP18" s="21"/>
      <c r="AQ18" s="40">
        <f t="shared" si="12"/>
        <v>409.89999999999998</v>
      </c>
      <c r="AR18" s="3"/>
      <c r="AS18" s="3"/>
      <c r="AT18" s="37"/>
      <c r="AU18" s="39"/>
      <c r="AV18" s="21"/>
      <c r="AW18" s="40">
        <f t="shared" si="13"/>
        <v>477</v>
      </c>
    </row>
    <row r="19" spans="10:49" s="30" customFormat="1" ht="16">
      <c r="J19" s="37"/>
      <c r="K19" s="39"/>
      <c r="L19" s="21"/>
      <c r="M19" s="35">
        <f t="shared" si="7"/>
        <v>127.5</v>
      </c>
      <c r="N19" s="38"/>
      <c r="O19" s="38"/>
      <c r="P19" s="37"/>
      <c r="Q19" s="39"/>
      <c r="R19" s="21"/>
      <c r="S19" s="40">
        <f t="shared" si="8"/>
        <v>133.69999999999999</v>
      </c>
      <c r="T19" s="38"/>
      <c r="U19" s="38"/>
      <c r="V19" s="37"/>
      <c r="W19" s="39"/>
      <c r="X19" s="21"/>
      <c r="Y19" s="40">
        <f t="shared" si="9"/>
        <v>140.30000000000001</v>
      </c>
      <c r="Z19" s="38"/>
      <c r="AA19" s="38"/>
      <c r="AB19" s="37"/>
      <c r="AC19" s="39"/>
      <c r="AD19" s="21"/>
      <c r="AE19" s="40">
        <f t="shared" si="10"/>
        <v>149.90000000000001</v>
      </c>
      <c r="AF19" s="38"/>
      <c r="AG19" s="38"/>
      <c r="AH19" s="37"/>
      <c r="AI19" s="39"/>
      <c r="AJ19" s="21"/>
      <c r="AK19" s="40">
        <f t="shared" si="11"/>
        <v>160.80000000000001</v>
      </c>
      <c r="AL19" s="38"/>
      <c r="AM19" s="38"/>
      <c r="AN19" s="37"/>
      <c r="AO19" s="39"/>
      <c r="AP19" s="21"/>
      <c r="AQ19" s="40">
        <f t="shared" si="12"/>
        <v>57</v>
      </c>
      <c r="AR19" s="3"/>
      <c r="AS19" s="3"/>
      <c r="AT19" s="37"/>
      <c r="AU19" s="39"/>
      <c r="AV19" s="21"/>
      <c r="AW19" s="40">
        <f t="shared" si="13"/>
        <v>95.200000000000003</v>
      </c>
    </row>
    <row r="20" s="30" customFormat="1" ht="12.5"/>
    <row r="21" s="30" customFormat="1" ht="12.5"/>
    <row r="24" spans="4:55" s="29" customFormat="1" ht="14.5">
      <c r="D24" s="31"/>
      <c r="E24" s="31"/>
      <c r="F24" s="31"/>
      <c r="G24" s="31"/>
      <c r="H24" s="32"/>
      <c r="I24" s="32"/>
      <c r="J24" s="31"/>
      <c r="K24" s="31"/>
      <c r="L24" s="24" t="s">
        <v>292</v>
      </c>
      <c r="M24" s="31"/>
      <c r="N24" s="32"/>
      <c r="O24" s="32"/>
      <c r="P24" s="32"/>
      <c r="Q24" s="32"/>
      <c r="R24" s="24" t="s">
        <v>292</v>
      </c>
      <c r="S24" s="32"/>
      <c r="T24" s="32"/>
      <c r="U24" s="32"/>
      <c r="V24" s="32"/>
      <c r="W24" s="32"/>
      <c r="X24" s="24" t="s">
        <v>292</v>
      </c>
      <c r="Y24" s="32"/>
      <c r="Z24" s="32"/>
      <c r="AA24" s="32"/>
      <c r="AB24" s="32"/>
      <c r="AC24" s="32"/>
      <c r="AD24" s="24" t="s">
        <v>292</v>
      </c>
      <c r="AE24" s="32"/>
      <c r="AF24" s="32"/>
      <c r="AG24" s="32"/>
      <c r="AH24" s="32"/>
      <c r="AI24" s="32"/>
      <c r="AJ24" s="24" t="s">
        <v>292</v>
      </c>
      <c r="AK24" s="32"/>
      <c r="AL24" s="32"/>
      <c r="AM24" s="32"/>
      <c r="AN24" s="32"/>
      <c r="AO24" s="32"/>
      <c r="AP24" s="24" t="s">
        <v>292</v>
      </c>
      <c r="AQ24" s="32"/>
      <c r="AT24" s="32"/>
      <c r="AU24" s="32"/>
      <c r="AV24" s="24" t="s">
        <v>292</v>
      </c>
      <c r="AW24" s="32"/>
      <c r="AZ24" s="4"/>
      <c r="BA24" s="4"/>
      <c r="BB24" s="4"/>
      <c r="BC24" s="4"/>
    </row>
    <row r="25" spans="4:55" s="29" customFormat="1" ht="14.5">
      <c r="D25" s="31"/>
      <c r="E25" s="31"/>
      <c r="F25" s="33"/>
      <c r="G25" s="31"/>
      <c r="H25" s="32"/>
      <c r="I25" s="32"/>
      <c r="J25" s="24" t="s">
        <v>136</v>
      </c>
      <c r="K25" s="24" t="s">
        <v>65</v>
      </c>
      <c r="L25" s="24" t="s">
        <v>111</v>
      </c>
      <c r="M25" s="24" t="s">
        <v>11</v>
      </c>
      <c r="N25" s="32" t="s">
        <v>41</v>
      </c>
      <c r="O25" s="32"/>
      <c r="P25" s="24" t="s">
        <v>136</v>
      </c>
      <c r="Q25" s="24" t="s">
        <v>65</v>
      </c>
      <c r="R25" s="24" t="s">
        <v>111</v>
      </c>
      <c r="S25" s="24" t="s">
        <v>11</v>
      </c>
      <c r="T25" s="32" t="s">
        <v>41</v>
      </c>
      <c r="U25" s="32"/>
      <c r="V25" s="24" t="s">
        <v>136</v>
      </c>
      <c r="W25" s="24" t="s">
        <v>65</v>
      </c>
      <c r="X25" s="24" t="s">
        <v>111</v>
      </c>
      <c r="Y25" s="24" t="s">
        <v>11</v>
      </c>
      <c r="Z25" s="32" t="s">
        <v>41</v>
      </c>
      <c r="AA25" s="32"/>
      <c r="AB25" s="24" t="s">
        <v>136</v>
      </c>
      <c r="AC25" s="24" t="s">
        <v>65</v>
      </c>
      <c r="AD25" s="24" t="s">
        <v>111</v>
      </c>
      <c r="AE25" s="24" t="s">
        <v>11</v>
      </c>
      <c r="AF25" s="32" t="s">
        <v>41</v>
      </c>
      <c r="AG25" s="32"/>
      <c r="AH25" s="24" t="s">
        <v>136</v>
      </c>
      <c r="AI25" s="24" t="s">
        <v>65</v>
      </c>
      <c r="AJ25" s="24" t="s">
        <v>111</v>
      </c>
      <c r="AK25" s="24" t="s">
        <v>11</v>
      </c>
      <c r="AL25" s="32" t="s">
        <v>41</v>
      </c>
      <c r="AM25" s="32"/>
      <c r="AN25" s="24" t="s">
        <v>136</v>
      </c>
      <c r="AO25" s="24" t="s">
        <v>65</v>
      </c>
      <c r="AP25" s="24" t="s">
        <v>111</v>
      </c>
      <c r="AQ25" s="24" t="s">
        <v>11</v>
      </c>
      <c r="AR25" s="32" t="s">
        <v>41</v>
      </c>
      <c r="AT25" s="24" t="s">
        <v>136</v>
      </c>
      <c r="AU25" s="24" t="s">
        <v>65</v>
      </c>
      <c r="AV25" s="24" t="s">
        <v>111</v>
      </c>
      <c r="AW25" s="24" t="s">
        <v>11</v>
      </c>
      <c r="AX25" s="32" t="s">
        <v>41</v>
      </c>
      <c r="AZ25" s="4"/>
      <c r="BA25" s="4"/>
      <c r="BB25" s="4"/>
      <c r="BC25" s="4"/>
    </row>
    <row r="26" spans="10:50" ht="16">
      <c r="J26" s="31" t="s">
        <v>140</v>
      </c>
      <c r="K26" s="34" t="str">
        <f t="shared" si="14" ref="K26:K29">K6</f>
        <v>Tra_EV_Batt-NMC111_virgin</v>
      </c>
      <c r="L26" s="26" t="s">
        <v>293</v>
      </c>
      <c r="M26" s="35">
        <f t="shared" si="15" ref="M26:M29">T73/1000</f>
        <v>0.077399999999999983</v>
      </c>
      <c r="N26" s="32">
        <v>2020</v>
      </c>
      <c r="O26" s="32"/>
      <c r="P26" s="31" t="s">
        <v>140</v>
      </c>
      <c r="Q26" s="34" t="str">
        <f t="shared" si="16" ref="Q26:Q29">Q6</f>
        <v>Tra_EV_Batt-NMC532_virgin</v>
      </c>
      <c r="R26" s="26" t="s">
        <v>293</v>
      </c>
      <c r="S26" s="41">
        <f t="shared" si="17" ref="S26:S29">S32/1000</f>
        <v>0.071999999999999995</v>
      </c>
      <c r="T26" s="32">
        <v>2020</v>
      </c>
      <c r="U26" s="32"/>
      <c r="V26" s="31" t="s">
        <v>140</v>
      </c>
      <c r="W26" s="34" t="str">
        <f t="shared" si="18" ref="W26:W29">W6</f>
        <v>Tra_EV_Batt-NMC622_virgin</v>
      </c>
      <c r="X26" s="26" t="s">
        <v>293</v>
      </c>
      <c r="Y26" s="41">
        <f t="shared" si="19" ref="Y26:Y29">Y32/1000</f>
        <v>0.071899999999999978</v>
      </c>
      <c r="Z26" s="32">
        <v>2020</v>
      </c>
      <c r="AA26" s="32"/>
      <c r="AB26" s="31" t="s">
        <v>140</v>
      </c>
      <c r="AC26" s="34" t="str">
        <f t="shared" si="20" ref="AC26:AC29">AC6</f>
        <v>Tra_EV_Batt-NMC811_virgin</v>
      </c>
      <c r="AD26" s="26" t="s">
        <v>293</v>
      </c>
      <c r="AE26" s="41">
        <f t="shared" si="21" ref="AE26:AE29">AE32/1000</f>
        <v>0.073100000000000026</v>
      </c>
      <c r="AF26" s="32">
        <v>2020</v>
      </c>
      <c r="AG26" s="32"/>
      <c r="AH26" s="31" t="s">
        <v>140</v>
      </c>
      <c r="AI26" s="34" t="str">
        <f t="shared" si="22" ref="AI26:AI29">AI6</f>
        <v>Tra_EV_Batt-NCA_virgin</v>
      </c>
      <c r="AJ26" s="26" t="s">
        <v>293</v>
      </c>
      <c r="AK26" s="41">
        <f t="shared" si="23" ref="AK26:AK29">AK32/1000</f>
        <v>0.077699999999999936</v>
      </c>
      <c r="AL26" s="32">
        <v>2020</v>
      </c>
      <c r="AM26" s="32"/>
      <c r="AN26" s="31" t="s">
        <v>140</v>
      </c>
      <c r="AO26" s="34" t="str">
        <f t="shared" si="24" ref="AO26:AO29">AO6</f>
        <v>Tra_EV_Batt-LMO_virgin</v>
      </c>
      <c r="AP26" s="26" t="s">
        <v>293</v>
      </c>
      <c r="AQ26" s="41">
        <f t="shared" si="25" ref="AQ26:AQ29">AQ32/1000</f>
        <v>0.04310000000000002</v>
      </c>
      <c r="AR26" s="32">
        <v>2020</v>
      </c>
      <c r="AS26" s="29"/>
      <c r="AT26" s="31" t="s">
        <v>140</v>
      </c>
      <c r="AU26" s="34" t="str">
        <f t="shared" si="26" ref="AU26:AU29">AU6</f>
        <v>Tra_EV_Batt-LFP_virgin</v>
      </c>
      <c r="AV26" s="26" t="s">
        <v>293</v>
      </c>
      <c r="AW26" s="41">
        <f t="shared" si="27" ref="AW26:AW29">AW32/1000</f>
        <v>0.047799999999999954</v>
      </c>
      <c r="AX26" s="32">
        <v>2020</v>
      </c>
    </row>
    <row r="27" spans="10:50" ht="16">
      <c r="J27" s="31" t="s">
        <v>140</v>
      </c>
      <c r="K27" s="34" t="str">
        <f t="shared" si="14"/>
        <v>Tra_EV_Batt-NMC111_virgin</v>
      </c>
      <c r="L27" s="26" t="s">
        <v>294</v>
      </c>
      <c r="M27" s="35">
        <f t="shared" si="15"/>
        <v>0.2366</v>
      </c>
      <c r="N27" s="32">
        <v>2020</v>
      </c>
      <c r="O27" s="32"/>
      <c r="P27" s="31" t="s">
        <v>140</v>
      </c>
      <c r="Q27" s="34" t="str">
        <f t="shared" si="16"/>
        <v>Tra_EV_Batt-NMC532_virgin</v>
      </c>
      <c r="R27" s="26" t="s">
        <v>294</v>
      </c>
      <c r="S27" s="41">
        <f t="shared" si="17"/>
        <v>0.22519999999999998</v>
      </c>
      <c r="T27" s="32">
        <v>2020</v>
      </c>
      <c r="U27" s="32"/>
      <c r="V27" s="31" t="s">
        <v>140</v>
      </c>
      <c r="W27" s="34" t="str">
        <f t="shared" si="18"/>
        <v>Tra_EV_Batt-NMC622_virgin</v>
      </c>
      <c r="X27" s="26" t="s">
        <v>294</v>
      </c>
      <c r="Y27" s="41">
        <f t="shared" si="19"/>
        <v>0.22550000000000001</v>
      </c>
      <c r="Z27" s="32">
        <v>2020</v>
      </c>
      <c r="AA27" s="32"/>
      <c r="AB27" s="31" t="s">
        <v>140</v>
      </c>
      <c r="AC27" s="34" t="str">
        <f t="shared" si="20"/>
        <v>Tra_EV_Batt-NMC811_virgin</v>
      </c>
      <c r="AD27" s="26" t="s">
        <v>294</v>
      </c>
      <c r="AE27" s="41">
        <f t="shared" si="21"/>
        <v>0.21980000000000002</v>
      </c>
      <c r="AF27" s="32">
        <v>2020</v>
      </c>
      <c r="AG27" s="32"/>
      <c r="AH27" s="31" t="s">
        <v>140</v>
      </c>
      <c r="AI27" s="34" t="str">
        <f t="shared" si="22"/>
        <v>Tra_EV_Batt-NCA_virgin</v>
      </c>
      <c r="AJ27" s="26" t="s">
        <v>294</v>
      </c>
      <c r="AK27" s="41">
        <f t="shared" si="23"/>
        <v>0.23219999999999999</v>
      </c>
      <c r="AL27" s="32">
        <v>2020</v>
      </c>
      <c r="AM27" s="32"/>
      <c r="AN27" s="31" t="s">
        <v>140</v>
      </c>
      <c r="AO27" s="34" t="str">
        <f t="shared" si="24"/>
        <v>Tra_EV_Batt-LMO_virgin</v>
      </c>
      <c r="AP27" s="26" t="s">
        <v>294</v>
      </c>
      <c r="AQ27" s="41">
        <f t="shared" si="25"/>
        <v>0.1108</v>
      </c>
      <c r="AR27" s="32">
        <v>2020</v>
      </c>
      <c r="AS27" s="29"/>
      <c r="AT27" s="31" t="s">
        <v>140</v>
      </c>
      <c r="AU27" s="34" t="str">
        <f t="shared" si="26"/>
        <v>Tra_EV_Batt-LFP_virgin</v>
      </c>
      <c r="AV27" s="26" t="s">
        <v>294</v>
      </c>
      <c r="AW27" s="41">
        <f t="shared" si="27"/>
        <v>0.1895</v>
      </c>
      <c r="AX27" s="32">
        <v>2020</v>
      </c>
    </row>
    <row r="28" spans="10:50" ht="16">
      <c r="J28" s="31" t="s">
        <v>140</v>
      </c>
      <c r="K28" s="34" t="str">
        <f t="shared" si="14"/>
        <v>Tra_EV_Batt-NMC111_virgin</v>
      </c>
      <c r="L28" s="26" t="s">
        <v>295</v>
      </c>
      <c r="M28" s="35">
        <f t="shared" si="15"/>
        <v>0.55979999999999996</v>
      </c>
      <c r="N28" s="32">
        <v>2020</v>
      </c>
      <c r="O28" s="32"/>
      <c r="P28" s="31" t="s">
        <v>140</v>
      </c>
      <c r="Q28" s="34" t="str">
        <f t="shared" si="16"/>
        <v>Tra_EV_Batt-NMC532_virgin</v>
      </c>
      <c r="R28" s="26" t="s">
        <v>295</v>
      </c>
      <c r="S28" s="41">
        <f t="shared" si="17"/>
        <v>0.53210000000000002</v>
      </c>
      <c r="T28" s="32">
        <v>2020</v>
      </c>
      <c r="U28" s="32"/>
      <c r="V28" s="31" t="s">
        <v>140</v>
      </c>
      <c r="W28" s="34" t="str">
        <f t="shared" si="18"/>
        <v>Tra_EV_Batt-NMC622_virgin</v>
      </c>
      <c r="X28" s="26" t="s">
        <v>295</v>
      </c>
      <c r="Y28" s="41">
        <f t="shared" si="19"/>
        <v>0.53389999999999993</v>
      </c>
      <c r="Z28" s="32">
        <v>2020</v>
      </c>
      <c r="AA28" s="32"/>
      <c r="AB28" s="31" t="s">
        <v>140</v>
      </c>
      <c r="AC28" s="34" t="str">
        <f t="shared" si="20"/>
        <v>Tra_EV_Batt-NMC811_virgin</v>
      </c>
      <c r="AD28" s="26" t="s">
        <v>295</v>
      </c>
      <c r="AE28" s="41">
        <f t="shared" si="21"/>
        <v>0.52639999999999998</v>
      </c>
      <c r="AF28" s="32">
        <v>2020</v>
      </c>
      <c r="AG28" s="32"/>
      <c r="AH28" s="31" t="s">
        <v>140</v>
      </c>
      <c r="AI28" s="34" t="str">
        <f t="shared" si="22"/>
        <v>Tra_EV_Batt-NCA_virgin</v>
      </c>
      <c r="AJ28" s="26" t="s">
        <v>295</v>
      </c>
      <c r="AK28" s="41">
        <f t="shared" si="23"/>
        <v>0.57020000000000004</v>
      </c>
      <c r="AL28" s="32">
        <v>2020</v>
      </c>
      <c r="AM28" s="32"/>
      <c r="AN28" s="31" t="s">
        <v>140</v>
      </c>
      <c r="AO28" s="34" t="str">
        <f t="shared" si="24"/>
        <v>Tra_EV_Batt-LMO_virgin</v>
      </c>
      <c r="AP28" s="26" t="s">
        <v>295</v>
      </c>
      <c r="AQ28" s="41">
        <f t="shared" si="25"/>
        <v>0.38580000000000003</v>
      </c>
      <c r="AR28" s="32">
        <v>2020</v>
      </c>
      <c r="AS28" s="29"/>
      <c r="AT28" s="31" t="s">
        <v>140</v>
      </c>
      <c r="AU28" s="34" t="str">
        <f t="shared" si="26"/>
        <v>Tra_EV_Batt-LFP_virgin</v>
      </c>
      <c r="AV28" s="26" t="s">
        <v>295</v>
      </c>
      <c r="AW28" s="41">
        <f t="shared" si="27"/>
        <v>0.45300000000000001</v>
      </c>
      <c r="AX28" s="32">
        <v>2020</v>
      </c>
    </row>
    <row r="29" spans="10:50" ht="16">
      <c r="J29" s="31" t="s">
        <v>140</v>
      </c>
      <c r="K29" s="34" t="str">
        <f t="shared" si="14"/>
        <v>Tra_EV_Batt-NMC111_virgin</v>
      </c>
      <c r="L29" s="26" t="s">
        <v>296</v>
      </c>
      <c r="M29" s="35">
        <f t="shared" si="15"/>
        <v>0.12770000000000001</v>
      </c>
      <c r="N29" s="32">
        <v>2020</v>
      </c>
      <c r="O29" s="32"/>
      <c r="P29" s="31" t="s">
        <v>140</v>
      </c>
      <c r="Q29" s="34" t="str">
        <f t="shared" si="16"/>
        <v>Tra_EV_Batt-NMC532_virgin</v>
      </c>
      <c r="R29" s="26" t="s">
        <v>296</v>
      </c>
      <c r="S29" s="41">
        <f t="shared" si="17"/>
        <v>0.13400000000000001</v>
      </c>
      <c r="T29" s="32">
        <v>2020</v>
      </c>
      <c r="U29" s="32"/>
      <c r="V29" s="31" t="s">
        <v>140</v>
      </c>
      <c r="W29" s="34" t="str">
        <f t="shared" si="18"/>
        <v>Tra_EV_Batt-NMC622_virgin</v>
      </c>
      <c r="X29" s="26" t="s">
        <v>296</v>
      </c>
      <c r="Y29" s="41">
        <f t="shared" si="19"/>
        <v>0.1406</v>
      </c>
      <c r="Z29" s="32">
        <v>2020</v>
      </c>
      <c r="AA29" s="32"/>
      <c r="AB29" s="31" t="s">
        <v>140</v>
      </c>
      <c r="AC29" s="34" t="str">
        <f t="shared" si="20"/>
        <v>Tra_EV_Batt-NMC811_virgin</v>
      </c>
      <c r="AD29" s="26" t="s">
        <v>296</v>
      </c>
      <c r="AE29" s="41">
        <f t="shared" si="21"/>
        <v>0.1502</v>
      </c>
      <c r="AF29" s="32">
        <v>2020</v>
      </c>
      <c r="AG29" s="32"/>
      <c r="AH29" s="31" t="s">
        <v>140</v>
      </c>
      <c r="AI29" s="34" t="str">
        <f t="shared" si="22"/>
        <v>Tra_EV_Batt-NCA_virgin</v>
      </c>
      <c r="AJ29" s="26" t="s">
        <v>296</v>
      </c>
      <c r="AK29" s="41">
        <f t="shared" si="23"/>
        <v>0.16109999999999999</v>
      </c>
      <c r="AL29" s="32">
        <v>2020</v>
      </c>
      <c r="AM29" s="32"/>
      <c r="AN29" s="31" t="s">
        <v>140</v>
      </c>
      <c r="AO29" s="34" t="str">
        <f t="shared" si="24"/>
        <v>Tra_EV_Batt-LMO_virgin</v>
      </c>
      <c r="AP29" s="26" t="s">
        <v>296</v>
      </c>
      <c r="AQ29" s="41">
        <f t="shared" si="25"/>
        <v>0.057200000000000001</v>
      </c>
      <c r="AR29" s="32">
        <v>2020</v>
      </c>
      <c r="AS29" s="29"/>
      <c r="AT29" s="31" t="s">
        <v>140</v>
      </c>
      <c r="AU29" s="34" t="str">
        <f t="shared" si="26"/>
        <v>Tra_EV_Batt-LFP_virgin</v>
      </c>
      <c r="AV29" s="26" t="s">
        <v>296</v>
      </c>
      <c r="AW29" s="41">
        <f t="shared" si="27"/>
        <v>0.095500000000000002</v>
      </c>
      <c r="AX29" s="32">
        <v>2020</v>
      </c>
    </row>
    <row r="32" spans="19:49" ht="14.5">
      <c r="S32" s="40">
        <f t="shared" si="28" ref="S32:S35">U73</f>
        <v>72</v>
      </c>
      <c r="Y32" s="40">
        <f t="shared" si="29" ref="Y32:Y35">V73</f>
        <v>71.899999999999977</v>
      </c>
      <c r="AE32" s="40">
        <f t="shared" si="30" ref="AE32:AE35">W73</f>
        <v>73.100000000000023</v>
      </c>
      <c r="AK32" s="40">
        <f t="shared" si="31" ref="AK32:AK35">X73</f>
        <v>77.699999999999932</v>
      </c>
      <c r="AQ32" s="40">
        <f t="shared" si="32" ref="AQ32:AQ35">Y73</f>
        <v>43.100000000000023</v>
      </c>
      <c r="AW32" s="40">
        <f t="shared" si="33" ref="AW32:AW35">Z73</f>
        <v>47.799999999999955</v>
      </c>
    </row>
    <row r="33" spans="19:49" ht="14.5">
      <c r="S33" s="40">
        <f t="shared" si="28"/>
        <v>225.19999999999999</v>
      </c>
      <c r="Y33" s="40">
        <f t="shared" si="29"/>
        <v>225.5</v>
      </c>
      <c r="AE33" s="40">
        <f t="shared" si="30"/>
        <v>219.80000000000001</v>
      </c>
      <c r="AK33" s="40">
        <f t="shared" si="31"/>
        <v>232.19999999999999</v>
      </c>
      <c r="AQ33" s="40">
        <f t="shared" si="32"/>
        <v>110.8</v>
      </c>
      <c r="AW33" s="40">
        <f t="shared" si="33"/>
        <v>189.5</v>
      </c>
    </row>
    <row r="34" spans="19:49" ht="14.5">
      <c r="S34" s="40">
        <f t="shared" si="28"/>
        <v>532.10000000000002</v>
      </c>
      <c r="Y34" s="40">
        <f t="shared" si="29"/>
        <v>533.89999999999998</v>
      </c>
      <c r="AE34" s="40">
        <f t="shared" si="30"/>
        <v>526.39999999999998</v>
      </c>
      <c r="AK34" s="40">
        <f t="shared" si="31"/>
        <v>570.20000000000005</v>
      </c>
      <c r="AQ34" s="40">
        <f t="shared" si="32"/>
        <v>385.80000000000001</v>
      </c>
      <c r="AW34" s="40">
        <f t="shared" si="33"/>
        <v>453</v>
      </c>
    </row>
    <row r="35" spans="19:49" ht="14.5">
      <c r="S35" s="40">
        <f t="shared" si="28"/>
        <v>134</v>
      </c>
      <c r="Y35" s="40">
        <f t="shared" si="29"/>
        <v>140.59999999999999</v>
      </c>
      <c r="AE35" s="40">
        <f t="shared" si="30"/>
        <v>150.19999999999999</v>
      </c>
      <c r="AK35" s="40">
        <f t="shared" si="31"/>
        <v>161.09999999999999</v>
      </c>
      <c r="AQ35" s="40">
        <f t="shared" si="32"/>
        <v>57.200000000000003</v>
      </c>
      <c r="AW35" s="40">
        <f t="shared" si="33"/>
        <v>95.5</v>
      </c>
    </row>
    <row r="42" spans="17:26" ht="14.5">
      <c r="Q42" s="3" t="s">
        <v>297</v>
      </c>
      <c r="R42" s="3"/>
      <c r="S42" s="3"/>
      <c r="T42" s="3"/>
      <c r="U42" s="3"/>
      <c r="V42" s="3"/>
      <c r="W42" s="3"/>
      <c r="X42" s="3"/>
      <c r="Y42" s="3"/>
      <c r="Z42" s="3"/>
    </row>
    <row r="43" spans="17:26" ht="15.5">
      <c r="Q43" s="42" t="s">
        <v>298</v>
      </c>
      <c r="R43" s="42" t="s">
        <v>299</v>
      </c>
      <c r="S43" s="43" t="s">
        <v>300</v>
      </c>
      <c r="T43" s="43"/>
      <c r="U43" s="43"/>
      <c r="V43" s="43"/>
      <c r="W43" s="43"/>
      <c r="X43" s="43"/>
      <c r="Y43" s="43"/>
      <c r="Z43" s="43"/>
    </row>
    <row r="44" spans="17:26" ht="15.5">
      <c r="Q44" s="42"/>
      <c r="R44" s="42"/>
      <c r="S44" s="43" t="s">
        <v>301</v>
      </c>
      <c r="T44" s="43" t="s">
        <v>302</v>
      </c>
      <c r="U44" s="43" t="s">
        <v>303</v>
      </c>
      <c r="V44" s="43" t="s">
        <v>304</v>
      </c>
      <c r="W44" s="43" t="s">
        <v>305</v>
      </c>
      <c r="X44" s="43" t="s">
        <v>306</v>
      </c>
      <c r="Y44" s="43" t="s">
        <v>307</v>
      </c>
      <c r="Z44" s="43" t="s">
        <v>308</v>
      </c>
    </row>
    <row r="45" spans="17:26" ht="15.5">
      <c r="Q45" s="42" t="s">
        <v>309</v>
      </c>
      <c r="R45" s="44" t="s">
        <v>310</v>
      </c>
      <c r="S45" s="45">
        <v>1211.30</v>
      </c>
      <c r="T45" s="45">
        <v>990.70</v>
      </c>
      <c r="U45" s="45">
        <v>952.40</v>
      </c>
      <c r="V45" s="45">
        <v>961</v>
      </c>
      <c r="W45" s="45">
        <v>958.70</v>
      </c>
      <c r="X45" s="45">
        <v>1030.20</v>
      </c>
      <c r="Y45" s="45">
        <v>586.10</v>
      </c>
      <c r="Z45" s="45">
        <v>775</v>
      </c>
    </row>
    <row r="46" spans="17:26" ht="15.5">
      <c r="Q46" s="42"/>
      <c r="R46" s="44" t="s">
        <v>311</v>
      </c>
      <c r="S46" s="45">
        <v>1103.70</v>
      </c>
      <c r="T46" s="45">
        <v>913.90</v>
      </c>
      <c r="U46" s="45">
        <v>881.10</v>
      </c>
      <c r="V46" s="45">
        <v>889.80</v>
      </c>
      <c r="W46" s="45">
        <v>886.20</v>
      </c>
      <c r="X46" s="45">
        <v>953.20</v>
      </c>
      <c r="Y46" s="45">
        <v>543.70</v>
      </c>
      <c r="Z46" s="45">
        <v>727.80</v>
      </c>
    </row>
    <row r="47" spans="17:26" ht="15.5">
      <c r="Q47" s="42"/>
      <c r="R47" s="44" t="s">
        <v>312</v>
      </c>
      <c r="S47" s="45">
        <v>267.30</v>
      </c>
      <c r="T47" s="45">
        <v>202.60</v>
      </c>
      <c r="U47" s="45">
        <v>191.30</v>
      </c>
      <c r="V47" s="45">
        <v>191.50</v>
      </c>
      <c r="W47" s="45">
        <v>185.90</v>
      </c>
      <c r="X47" s="45">
        <v>198.20</v>
      </c>
      <c r="Y47" s="45">
        <v>76.80</v>
      </c>
      <c r="Z47" s="45">
        <v>155.50</v>
      </c>
    </row>
    <row r="48" spans="17:26" ht="15.5">
      <c r="Q48" s="42"/>
      <c r="R48" s="44" t="s">
        <v>313</v>
      </c>
      <c r="S48" s="45">
        <v>692.50</v>
      </c>
      <c r="T48" s="45">
        <v>583.80</v>
      </c>
      <c r="U48" s="45">
        <v>556.10</v>
      </c>
      <c r="V48" s="45">
        <v>557.90</v>
      </c>
      <c r="W48" s="45">
        <v>550.50</v>
      </c>
      <c r="X48" s="45">
        <v>594.20</v>
      </c>
      <c r="Y48" s="45">
        <v>409.90</v>
      </c>
      <c r="Z48" s="45">
        <v>477</v>
      </c>
    </row>
    <row r="49" spans="17:26" ht="15.5">
      <c r="Q49" s="42"/>
      <c r="R49" s="44" t="s">
        <v>314</v>
      </c>
      <c r="S49" s="45">
        <v>144</v>
      </c>
      <c r="T49" s="45">
        <v>127.50</v>
      </c>
      <c r="U49" s="45">
        <v>133.70</v>
      </c>
      <c r="V49" s="45">
        <v>140.30</v>
      </c>
      <c r="W49" s="45">
        <v>149.90</v>
      </c>
      <c r="X49" s="45">
        <v>160.80</v>
      </c>
      <c r="Y49" s="45">
        <v>57</v>
      </c>
      <c r="Z49" s="45">
        <v>95.20</v>
      </c>
    </row>
    <row r="50" spans="17:26" ht="15.5">
      <c r="Q50" s="42" t="s">
        <v>315</v>
      </c>
      <c r="R50" s="44" t="s">
        <v>310</v>
      </c>
      <c r="S50" s="45">
        <v>1217.10</v>
      </c>
      <c r="T50" s="45">
        <v>996.40</v>
      </c>
      <c r="U50" s="45">
        <v>958.20</v>
      </c>
      <c r="V50" s="45">
        <v>966.80</v>
      </c>
      <c r="W50" s="45">
        <v>964.40</v>
      </c>
      <c r="X50" s="45">
        <v>1036</v>
      </c>
      <c r="Y50" s="45">
        <v>591.90</v>
      </c>
      <c r="Z50" s="45">
        <v>780.80</v>
      </c>
    </row>
    <row r="51" spans="17:26" ht="15.5">
      <c r="Q51" s="42"/>
      <c r="R51" s="44" t="s">
        <v>311</v>
      </c>
      <c r="S51" s="45">
        <v>1109.80</v>
      </c>
      <c r="T51" s="45">
        <v>920</v>
      </c>
      <c r="U51" s="45">
        <v>887.20</v>
      </c>
      <c r="V51" s="45">
        <v>895.90</v>
      </c>
      <c r="W51" s="45">
        <v>892.30</v>
      </c>
      <c r="X51" s="45">
        <v>959.30</v>
      </c>
      <c r="Y51" s="45">
        <v>549.80</v>
      </c>
      <c r="Z51" s="45">
        <v>733.90</v>
      </c>
    </row>
    <row r="52" spans="17:26" ht="15.5">
      <c r="Q52" s="42"/>
      <c r="R52" s="44" t="s">
        <v>312</v>
      </c>
      <c r="S52" s="45">
        <v>280.20</v>
      </c>
      <c r="T52" s="45">
        <v>215.60</v>
      </c>
      <c r="U52" s="45">
        <v>204.20</v>
      </c>
      <c r="V52" s="45">
        <v>204.50</v>
      </c>
      <c r="W52" s="45">
        <v>198.80</v>
      </c>
      <c r="X52" s="45">
        <v>211.10</v>
      </c>
      <c r="Y52" s="45">
        <v>89.80</v>
      </c>
      <c r="Z52" s="45">
        <v>168.50</v>
      </c>
    </row>
    <row r="53" spans="17:26" ht="15.5">
      <c r="Q53" s="42"/>
      <c r="R53" s="44" t="s">
        <v>313</v>
      </c>
      <c r="S53" s="45">
        <v>684.60</v>
      </c>
      <c r="T53" s="45">
        <v>575.90</v>
      </c>
      <c r="U53" s="45">
        <v>548.20</v>
      </c>
      <c r="V53" s="45">
        <v>550</v>
      </c>
      <c r="W53" s="45">
        <v>542.60</v>
      </c>
      <c r="X53" s="45">
        <v>586.30</v>
      </c>
      <c r="Y53" s="45">
        <v>402</v>
      </c>
      <c r="Z53" s="45">
        <v>469.10</v>
      </c>
    </row>
    <row r="54" spans="17:26" ht="15.5">
      <c r="Q54" s="42"/>
      <c r="R54" s="44" t="s">
        <v>314</v>
      </c>
      <c r="S54" s="45">
        <v>145</v>
      </c>
      <c r="T54" s="45">
        <v>128.50</v>
      </c>
      <c r="U54" s="45">
        <v>134.70</v>
      </c>
      <c r="V54" s="45">
        <v>141.30</v>
      </c>
      <c r="W54" s="45">
        <v>150.90</v>
      </c>
      <c r="X54" s="45">
        <v>161.90</v>
      </c>
      <c r="Y54" s="45">
        <v>58</v>
      </c>
      <c r="Z54" s="45">
        <v>96.30</v>
      </c>
    </row>
    <row r="55" spans="17:26" ht="15.5">
      <c r="Q55" s="42" t="s">
        <v>11</v>
      </c>
      <c r="R55" s="44" t="s">
        <v>310</v>
      </c>
      <c r="S55" s="45">
        <v>1222.20</v>
      </c>
      <c r="T55" s="45">
        <v>1001.50</v>
      </c>
      <c r="U55" s="45">
        <v>963.30</v>
      </c>
      <c r="V55" s="45">
        <v>971.90</v>
      </c>
      <c r="W55" s="45">
        <v>969.50</v>
      </c>
      <c r="X55" s="45">
        <v>1041.10</v>
      </c>
      <c r="Y55" s="45">
        <v>597</v>
      </c>
      <c r="Z55" s="45">
        <v>785.80</v>
      </c>
    </row>
    <row r="56" spans="17:26" ht="15.5">
      <c r="Q56" s="42"/>
      <c r="R56" s="44" t="s">
        <v>311</v>
      </c>
      <c r="S56" s="45">
        <v>1113.90</v>
      </c>
      <c r="T56" s="45">
        <v>924.10</v>
      </c>
      <c r="U56" s="45">
        <v>891.30</v>
      </c>
      <c r="V56" s="45">
        <v>900</v>
      </c>
      <c r="W56" s="45">
        <v>896.40</v>
      </c>
      <c r="X56" s="45">
        <v>963.40</v>
      </c>
      <c r="Y56" s="45">
        <v>553.90</v>
      </c>
      <c r="Z56" s="45">
        <v>738</v>
      </c>
    </row>
    <row r="57" spans="17:26" ht="15.5">
      <c r="Q57" s="42"/>
      <c r="R57" s="44" t="s">
        <v>312</v>
      </c>
      <c r="S57" s="45">
        <v>301.20</v>
      </c>
      <c r="T57" s="45">
        <v>236.60</v>
      </c>
      <c r="U57" s="45">
        <v>225.20</v>
      </c>
      <c r="V57" s="45">
        <v>225.50</v>
      </c>
      <c r="W57" s="45">
        <v>219.80</v>
      </c>
      <c r="X57" s="45">
        <v>232.20</v>
      </c>
      <c r="Y57" s="45">
        <v>110.80</v>
      </c>
      <c r="Z57" s="45">
        <v>189.50</v>
      </c>
    </row>
    <row r="58" spans="17:26" ht="15.5">
      <c r="Q58" s="42"/>
      <c r="R58" s="44" t="s">
        <v>313</v>
      </c>
      <c r="S58" s="45">
        <v>668.40</v>
      </c>
      <c r="T58" s="45">
        <v>559.80</v>
      </c>
      <c r="U58" s="45">
        <v>532.10</v>
      </c>
      <c r="V58" s="45">
        <v>533.90</v>
      </c>
      <c r="W58" s="45">
        <v>526.40</v>
      </c>
      <c r="X58" s="45">
        <v>570.20</v>
      </c>
      <c r="Y58" s="45">
        <v>385.80</v>
      </c>
      <c r="Z58" s="45">
        <v>453</v>
      </c>
    </row>
    <row r="59" spans="17:26" ht="15.5">
      <c r="Q59" s="42"/>
      <c r="R59" s="44" t="s">
        <v>314</v>
      </c>
      <c r="S59" s="45">
        <v>144.20</v>
      </c>
      <c r="T59" s="45">
        <v>127.70</v>
      </c>
      <c r="U59" s="45">
        <v>134</v>
      </c>
      <c r="V59" s="45">
        <v>140.60</v>
      </c>
      <c r="W59" s="45">
        <v>150.20</v>
      </c>
      <c r="X59" s="45">
        <v>161.10</v>
      </c>
      <c r="Y59" s="45">
        <v>57.20</v>
      </c>
      <c r="Z59" s="45">
        <v>95.50</v>
      </c>
    </row>
    <row r="60" spans="17:26" ht="15.5">
      <c r="Q60" s="43"/>
      <c r="R60" s="43"/>
      <c r="S60" s="45"/>
      <c r="T60" s="45"/>
      <c r="U60" s="45"/>
      <c r="V60" s="45"/>
      <c r="W60" s="45"/>
      <c r="X60" s="45"/>
      <c r="Y60" s="45"/>
      <c r="Z60" s="45"/>
    </row>
    <row r="61" spans="17:26" ht="15.5">
      <c r="Q61" s="43" t="s">
        <v>316</v>
      </c>
      <c r="R61" s="43"/>
      <c r="S61" s="43"/>
      <c r="T61" s="43"/>
      <c r="U61" s="43"/>
      <c r="V61" s="43"/>
      <c r="W61" s="43"/>
      <c r="X61" s="43"/>
      <c r="Y61" s="43"/>
      <c r="Z61" s="43"/>
    </row>
    <row r="62" spans="17:26" ht="14.5">
      <c r="Q62" s="3"/>
      <c r="R62" s="3"/>
      <c r="S62" s="3"/>
      <c r="T62" s="3"/>
      <c r="U62" s="3"/>
      <c r="V62" s="3"/>
      <c r="W62" s="3"/>
      <c r="X62" s="3"/>
      <c r="Y62" s="3"/>
      <c r="Z62" s="3"/>
    </row>
    <row r="63" spans="17:26" ht="14.5">
      <c r="Q63" s="3"/>
      <c r="R63" s="3"/>
      <c r="S63" s="3"/>
      <c r="T63" s="3"/>
      <c r="U63" s="3"/>
      <c r="V63" s="3"/>
      <c r="W63" s="3"/>
      <c r="X63" s="3"/>
      <c r="Y63" s="3"/>
      <c r="Z63" s="3"/>
    </row>
    <row r="64" spans="17:26" ht="15.5">
      <c r="Q64" s="3"/>
      <c r="R64" s="3"/>
      <c r="S64" s="43" t="s">
        <v>301</v>
      </c>
      <c r="T64" s="43" t="s">
        <v>302</v>
      </c>
      <c r="U64" s="43" t="s">
        <v>303</v>
      </c>
      <c r="V64" s="43" t="s">
        <v>304</v>
      </c>
      <c r="W64" s="43" t="s">
        <v>305</v>
      </c>
      <c r="X64" s="43" t="s">
        <v>306</v>
      </c>
      <c r="Y64" s="43" t="s">
        <v>307</v>
      </c>
      <c r="Z64" s="43" t="s">
        <v>308</v>
      </c>
    </row>
    <row r="65" spans="17:26" ht="14.5">
      <c r="Q65" s="46" t="s">
        <v>309</v>
      </c>
      <c r="R65" s="46" t="s">
        <v>121</v>
      </c>
      <c r="S65" s="47">
        <f t="shared" si="34" ref="S65:Z65">S45-S46</f>
        <v>107.59999999999991</v>
      </c>
      <c r="T65" s="48">
        <f t="shared" si="34"/>
        <v>76.800000000000068</v>
      </c>
      <c r="U65" s="48">
        <f t="shared" si="34"/>
        <v>71.299999999999955</v>
      </c>
      <c r="V65" s="48">
        <f t="shared" si="34"/>
        <v>71.200000000000045</v>
      </c>
      <c r="W65" s="48">
        <f t="shared" si="34"/>
        <v>72.5</v>
      </c>
      <c r="X65" s="48">
        <f t="shared" si="34"/>
        <v>77</v>
      </c>
      <c r="Y65" s="48">
        <f t="shared" si="34"/>
        <v>42.399999999999977</v>
      </c>
      <c r="Z65" s="48">
        <f t="shared" si="34"/>
        <v>47.200000000000045</v>
      </c>
    </row>
    <row r="66" spans="17:26" ht="15.5">
      <c r="Q66" s="46"/>
      <c r="R66" s="49" t="s">
        <v>312</v>
      </c>
      <c r="S66" s="47">
        <f t="shared" si="35" ref="S66:Z66">S47</f>
        <v>267.30000000000001</v>
      </c>
      <c r="T66" s="48">
        <f t="shared" si="35"/>
        <v>202.59999999999999</v>
      </c>
      <c r="U66" s="48">
        <f t="shared" si="35"/>
        <v>191.30000000000001</v>
      </c>
      <c r="V66" s="48">
        <f t="shared" si="35"/>
        <v>191.5</v>
      </c>
      <c r="W66" s="48">
        <f t="shared" si="35"/>
        <v>185.90000000000001</v>
      </c>
      <c r="X66" s="48">
        <f t="shared" si="35"/>
        <v>198.19999999999999</v>
      </c>
      <c r="Y66" s="48">
        <f t="shared" si="35"/>
        <v>76.799999999999997</v>
      </c>
      <c r="Z66" s="48">
        <f t="shared" si="35"/>
        <v>155.5</v>
      </c>
    </row>
    <row r="67" spans="17:26" ht="15.5">
      <c r="Q67" s="46"/>
      <c r="R67" s="49" t="s">
        <v>313</v>
      </c>
      <c r="S67" s="47">
        <f t="shared" si="36" ref="S67:Z67">S48</f>
        <v>692.5</v>
      </c>
      <c r="T67" s="48">
        <f t="shared" si="36"/>
        <v>583.79999999999995</v>
      </c>
      <c r="U67" s="48">
        <f t="shared" si="36"/>
        <v>556.10000000000002</v>
      </c>
      <c r="V67" s="48">
        <f t="shared" si="36"/>
        <v>557.89999999999998</v>
      </c>
      <c r="W67" s="48">
        <f t="shared" si="36"/>
        <v>550.5</v>
      </c>
      <c r="X67" s="48">
        <f t="shared" si="36"/>
        <v>594.20000000000005</v>
      </c>
      <c r="Y67" s="48">
        <f t="shared" si="36"/>
        <v>409.89999999999998</v>
      </c>
      <c r="Z67" s="48">
        <f t="shared" si="36"/>
        <v>477</v>
      </c>
    </row>
    <row r="68" spans="17:26" ht="15.5">
      <c r="Q68" s="46"/>
      <c r="R68" s="49" t="s">
        <v>314</v>
      </c>
      <c r="S68" s="47">
        <f t="shared" si="37" ref="S68:Z68">S49</f>
        <v>144</v>
      </c>
      <c r="T68" s="48">
        <f t="shared" si="37"/>
        <v>127.5</v>
      </c>
      <c r="U68" s="48">
        <f t="shared" si="37"/>
        <v>133.69999999999999</v>
      </c>
      <c r="V68" s="48">
        <f t="shared" si="37"/>
        <v>140.30000000000001</v>
      </c>
      <c r="W68" s="48">
        <f t="shared" si="37"/>
        <v>149.90000000000001</v>
      </c>
      <c r="X68" s="48">
        <f t="shared" si="37"/>
        <v>160.80000000000001</v>
      </c>
      <c r="Y68" s="48">
        <f t="shared" si="37"/>
        <v>57</v>
      </c>
      <c r="Z68" s="48">
        <f t="shared" si="37"/>
        <v>95.200000000000003</v>
      </c>
    </row>
    <row r="69" spans="17:26" ht="14.5">
      <c r="Q69" s="46" t="s">
        <v>315</v>
      </c>
      <c r="R69" s="46" t="s">
        <v>121</v>
      </c>
      <c r="S69" s="47">
        <f t="shared" si="38" ref="S69:Z69">S50-S51</f>
        <v>107.29999999999995</v>
      </c>
      <c r="T69" s="48">
        <f t="shared" si="38"/>
        <v>76.399999999999977</v>
      </c>
      <c r="U69" s="48">
        <f t="shared" si="38"/>
        <v>71</v>
      </c>
      <c r="V69" s="48">
        <f t="shared" si="38"/>
        <v>70.899999999999977</v>
      </c>
      <c r="W69" s="48">
        <f t="shared" si="38"/>
        <v>72.100000000000023</v>
      </c>
      <c r="X69" s="48">
        <f t="shared" si="38"/>
        <v>76.700000000000045</v>
      </c>
      <c r="Y69" s="48">
        <f t="shared" si="38"/>
        <v>42.100000000000023</v>
      </c>
      <c r="Z69" s="48">
        <f t="shared" si="38"/>
        <v>46.899999999999977</v>
      </c>
    </row>
    <row r="70" spans="17:26" ht="15.5">
      <c r="Q70" s="46"/>
      <c r="R70" s="49" t="s">
        <v>312</v>
      </c>
      <c r="S70" s="47">
        <f t="shared" si="39" ref="S70:Z70">S52</f>
        <v>280.19999999999999</v>
      </c>
      <c r="T70" s="48">
        <f t="shared" si="39"/>
        <v>215.59999999999999</v>
      </c>
      <c r="U70" s="48">
        <f t="shared" si="39"/>
        <v>204.19999999999999</v>
      </c>
      <c r="V70" s="48">
        <f t="shared" si="39"/>
        <v>204.5</v>
      </c>
      <c r="W70" s="48">
        <f t="shared" si="39"/>
        <v>198.80000000000001</v>
      </c>
      <c r="X70" s="48">
        <f t="shared" si="39"/>
        <v>211.09999999999999</v>
      </c>
      <c r="Y70" s="48">
        <f t="shared" si="39"/>
        <v>89.799999999999997</v>
      </c>
      <c r="Z70" s="48">
        <f t="shared" si="39"/>
        <v>168.5</v>
      </c>
    </row>
    <row r="71" spans="17:26" ht="15.5">
      <c r="Q71" s="46"/>
      <c r="R71" s="49" t="s">
        <v>313</v>
      </c>
      <c r="S71" s="47">
        <f t="shared" si="40" ref="S71:Z71">S53</f>
        <v>684.60000000000002</v>
      </c>
      <c r="T71" s="48">
        <f t="shared" si="40"/>
        <v>575.89999999999998</v>
      </c>
      <c r="U71" s="48">
        <f t="shared" si="40"/>
        <v>548.20000000000005</v>
      </c>
      <c r="V71" s="48">
        <f t="shared" si="40"/>
        <v>550</v>
      </c>
      <c r="W71" s="48">
        <f t="shared" si="40"/>
        <v>542.60000000000002</v>
      </c>
      <c r="X71" s="48">
        <f t="shared" si="40"/>
        <v>586.29999999999995</v>
      </c>
      <c r="Y71" s="48">
        <f t="shared" si="40"/>
        <v>402</v>
      </c>
      <c r="Z71" s="48">
        <f t="shared" si="40"/>
        <v>469.10000000000002</v>
      </c>
    </row>
    <row r="72" spans="17:26" ht="15.5">
      <c r="Q72" s="46"/>
      <c r="R72" s="49" t="s">
        <v>314</v>
      </c>
      <c r="S72" s="47">
        <f t="shared" si="41" ref="S72:Z72">S54</f>
        <v>145</v>
      </c>
      <c r="T72" s="48">
        <f t="shared" si="41"/>
        <v>128.5</v>
      </c>
      <c r="U72" s="48">
        <f t="shared" si="41"/>
        <v>134.69999999999999</v>
      </c>
      <c r="V72" s="48">
        <f t="shared" si="41"/>
        <v>141.30000000000001</v>
      </c>
      <c r="W72" s="48">
        <f t="shared" si="41"/>
        <v>150.90000000000001</v>
      </c>
      <c r="X72" s="48">
        <f t="shared" si="41"/>
        <v>161.90000000000001</v>
      </c>
      <c r="Y72" s="48">
        <f t="shared" si="41"/>
        <v>58</v>
      </c>
      <c r="Z72" s="48">
        <f t="shared" si="41"/>
        <v>96.299999999999997</v>
      </c>
    </row>
    <row r="73" spans="17:26" ht="14.5">
      <c r="Q73" s="46" t="s">
        <v>11</v>
      </c>
      <c r="R73" s="46" t="s">
        <v>121</v>
      </c>
      <c r="S73" s="47">
        <f t="shared" si="42" ref="S73:Z73">S55-S56</f>
        <v>108.29999999999995</v>
      </c>
      <c r="T73" s="48">
        <f t="shared" si="42"/>
        <v>77.399999999999977</v>
      </c>
      <c r="U73" s="48">
        <f t="shared" si="42"/>
        <v>72</v>
      </c>
      <c r="V73" s="48">
        <f t="shared" si="42"/>
        <v>71.899999999999977</v>
      </c>
      <c r="W73" s="48">
        <f t="shared" si="42"/>
        <v>73.100000000000023</v>
      </c>
      <c r="X73" s="48">
        <f t="shared" si="42"/>
        <v>77.699999999999932</v>
      </c>
      <c r="Y73" s="48">
        <f t="shared" si="42"/>
        <v>43.100000000000023</v>
      </c>
      <c r="Z73" s="48">
        <f t="shared" si="42"/>
        <v>47.799999999999955</v>
      </c>
    </row>
    <row r="74" spans="17:26" ht="15.5">
      <c r="Q74" s="46"/>
      <c r="R74" s="49" t="s">
        <v>312</v>
      </c>
      <c r="S74" s="47">
        <f t="shared" si="43" ref="S74:Z74">S57</f>
        <v>301.19999999999999</v>
      </c>
      <c r="T74" s="48">
        <f t="shared" si="43"/>
        <v>236.59999999999999</v>
      </c>
      <c r="U74" s="48">
        <f t="shared" si="43"/>
        <v>225.19999999999999</v>
      </c>
      <c r="V74" s="48">
        <f t="shared" si="43"/>
        <v>225.5</v>
      </c>
      <c r="W74" s="48">
        <f t="shared" si="43"/>
        <v>219.80000000000001</v>
      </c>
      <c r="X74" s="48">
        <f t="shared" si="43"/>
        <v>232.19999999999999</v>
      </c>
      <c r="Y74" s="48">
        <f t="shared" si="43"/>
        <v>110.8</v>
      </c>
      <c r="Z74" s="48">
        <f t="shared" si="43"/>
        <v>189.5</v>
      </c>
    </row>
    <row r="75" spans="17:26" ht="15.5">
      <c r="Q75" s="46"/>
      <c r="R75" s="49" t="s">
        <v>313</v>
      </c>
      <c r="S75" s="47">
        <f t="shared" si="44" ref="S75:Z75">S58</f>
        <v>668.39999999999998</v>
      </c>
      <c r="T75" s="48">
        <f t="shared" si="44"/>
        <v>559.79999999999995</v>
      </c>
      <c r="U75" s="48">
        <f t="shared" si="44"/>
        <v>532.10000000000002</v>
      </c>
      <c r="V75" s="48">
        <f t="shared" si="44"/>
        <v>533.89999999999998</v>
      </c>
      <c r="W75" s="48">
        <f t="shared" si="44"/>
        <v>526.39999999999998</v>
      </c>
      <c r="X75" s="48">
        <f t="shared" si="44"/>
        <v>570.20000000000005</v>
      </c>
      <c r="Y75" s="48">
        <f t="shared" si="44"/>
        <v>385.80000000000001</v>
      </c>
      <c r="Z75" s="48">
        <f t="shared" si="44"/>
        <v>453</v>
      </c>
    </row>
    <row r="76" spans="17:26" ht="15.5">
      <c r="Q76" s="46"/>
      <c r="R76" s="49" t="s">
        <v>314</v>
      </c>
      <c r="S76" s="47">
        <f t="shared" si="45" ref="S76:Z76">S59</f>
        <v>144.19999999999999</v>
      </c>
      <c r="T76" s="48">
        <f t="shared" si="45"/>
        <v>127.7</v>
      </c>
      <c r="U76" s="48">
        <f t="shared" si="45"/>
        <v>134</v>
      </c>
      <c r="V76" s="48">
        <f t="shared" si="45"/>
        <v>140.59999999999999</v>
      </c>
      <c r="W76" s="48">
        <f t="shared" si="45"/>
        <v>150.19999999999999</v>
      </c>
      <c r="X76" s="48">
        <f t="shared" si="45"/>
        <v>161.09999999999999</v>
      </c>
      <c r="Y76" s="48">
        <f t="shared" si="45"/>
        <v>57.200000000000003</v>
      </c>
      <c r="Z76" s="48">
        <f t="shared" si="45"/>
        <v>95.5</v>
      </c>
    </row>
    <row r="77" spans="17:26" ht="14.5">
      <c r="Q77" s="3"/>
      <c r="R77" s="3"/>
      <c r="S77" s="3"/>
      <c r="T77" s="3"/>
      <c r="U77" s="3"/>
      <c r="V77" s="3"/>
      <c r="W77" s="3"/>
      <c r="X77" s="3"/>
      <c r="Y77" s="3"/>
      <c r="Z77" s="3"/>
    </row>
    <row r="78" spans="17:26" ht="14.5">
      <c r="Q78" s="3"/>
      <c r="R78" s="3"/>
      <c r="S78" s="3"/>
      <c r="T78" s="3"/>
      <c r="U78" s="3"/>
      <c r="V78" s="3"/>
      <c r="W78" s="3"/>
      <c r="X78" s="3"/>
      <c r="Y78" s="3"/>
      <c r="Z78" s="3"/>
    </row>
    <row r="79" spans="17:26" ht="14.5">
      <c r="Q79" s="46" t="s">
        <v>317</v>
      </c>
      <c r="R79" s="46" t="s">
        <v>121</v>
      </c>
      <c r="S79" s="50">
        <f t="shared" si="46" ref="S79:Z79">AVERAGE(S65,S69,S73)</f>
        <v>107.73333333333328</v>
      </c>
      <c r="T79" s="3">
        <f t="shared" si="46"/>
        <v>76.866666666666674</v>
      </c>
      <c r="U79" s="3">
        <f t="shared" si="46"/>
        <v>71.433333333333323</v>
      </c>
      <c r="V79" s="3">
        <f t="shared" si="46"/>
        <v>71.333333333333329</v>
      </c>
      <c r="W79" s="3">
        <f t="shared" si="46"/>
        <v>72.566666666666677</v>
      </c>
      <c r="X79" s="3">
        <f t="shared" si="46"/>
        <v>77.133333333333326</v>
      </c>
      <c r="Y79" s="3">
        <f t="shared" si="46"/>
        <v>42.533333333333339</v>
      </c>
      <c r="Z79" s="3">
        <f t="shared" si="46"/>
        <v>47.29999999999999</v>
      </c>
    </row>
    <row r="80" spans="17:26" ht="15.5">
      <c r="Q80" s="46"/>
      <c r="R80" s="49" t="s">
        <v>312</v>
      </c>
      <c r="S80" s="50">
        <f t="shared" si="47" ref="S80:Z80">AVERAGE(S66,S70,S74)</f>
        <v>282.89999999999998</v>
      </c>
      <c r="T80" s="3">
        <f t="shared" si="47"/>
        <v>218.26666666666665</v>
      </c>
      <c r="U80" s="3">
        <f t="shared" si="47"/>
        <v>206.90000000000001</v>
      </c>
      <c r="V80" s="3">
        <f t="shared" si="47"/>
        <v>207.16666666666666</v>
      </c>
      <c r="W80" s="3">
        <f t="shared" si="47"/>
        <v>201.50000000000003</v>
      </c>
      <c r="X80" s="3">
        <f t="shared" si="47"/>
        <v>213.83333333333331</v>
      </c>
      <c r="Y80" s="3">
        <f t="shared" si="47"/>
        <v>92.466666666666669</v>
      </c>
      <c r="Z80" s="3">
        <f t="shared" si="47"/>
        <v>171.16666666666666</v>
      </c>
    </row>
    <row r="81" spans="17:26" ht="15.5">
      <c r="Q81" s="46"/>
      <c r="R81" s="49" t="s">
        <v>313</v>
      </c>
      <c r="S81" s="50">
        <f t="shared" si="48" ref="S81:Z81">AVERAGE(S67,S71,S75)</f>
        <v>681.83333333333326</v>
      </c>
      <c r="T81" s="3">
        <f t="shared" si="48"/>
        <v>573.16666666666663</v>
      </c>
      <c r="U81" s="3">
        <f t="shared" si="48"/>
        <v>545.4666666666667</v>
      </c>
      <c r="V81" s="3">
        <f t="shared" si="48"/>
        <v>547.26666666666665</v>
      </c>
      <c r="W81" s="3">
        <f t="shared" si="48"/>
        <v>539.83333333333326</v>
      </c>
      <c r="X81" s="3">
        <f t="shared" si="48"/>
        <v>583.56666666666672</v>
      </c>
      <c r="Y81" s="3">
        <f t="shared" si="48"/>
        <v>399.23333333333335</v>
      </c>
      <c r="Z81" s="3">
        <f t="shared" si="48"/>
        <v>466.36666666666667</v>
      </c>
    </row>
    <row r="82" spans="17:26" ht="15.5">
      <c r="Q82" s="46"/>
      <c r="R82" s="49" t="s">
        <v>314</v>
      </c>
      <c r="S82" s="50">
        <f t="shared" si="49" ref="S82:Z82">AVERAGE(S68,S72,S76)</f>
        <v>144.40000000000001</v>
      </c>
      <c r="T82" s="3">
        <f t="shared" si="49"/>
        <v>127.90000000000001</v>
      </c>
      <c r="U82" s="3">
        <f t="shared" si="49"/>
        <v>134.13333333333333</v>
      </c>
      <c r="V82" s="3">
        <f t="shared" si="49"/>
        <v>140.73333333333335</v>
      </c>
      <c r="W82" s="3">
        <f t="shared" si="49"/>
        <v>150.33333333333334</v>
      </c>
      <c r="X82" s="3">
        <f t="shared" si="49"/>
        <v>161.26666666666668</v>
      </c>
      <c r="Y82" s="3">
        <f t="shared" si="49"/>
        <v>57.399999999999999</v>
      </c>
      <c r="Z82" s="3">
        <f t="shared" si="49"/>
        <v>95.666666666666671</v>
      </c>
    </row>
    <row r="94" spans="13:49" ht="12.5">
      <c r="M94" s="4" t="s">
        <v>292</v>
      </c>
      <c r="S94" s="4" t="s">
        <v>292</v>
      </c>
      <c r="Y94" s="4" t="s">
        <v>292</v>
      </c>
      <c r="AE94" s="4" t="s">
        <v>292</v>
      </c>
      <c r="AK94" s="4" t="s">
        <v>292</v>
      </c>
      <c r="AQ94" s="4" t="s">
        <v>292</v>
      </c>
      <c r="AW94" s="4" t="s">
        <v>292</v>
      </c>
    </row>
    <row r="95" spans="11:51" ht="12.5">
      <c r="K95" s="4" t="s">
        <v>136</v>
      </c>
      <c r="L95" s="4" t="s">
        <v>65</v>
      </c>
      <c r="M95" s="4" t="s">
        <v>111</v>
      </c>
      <c r="N95" s="4" t="s">
        <v>25</v>
      </c>
      <c r="O95" s="4" t="s">
        <v>41</v>
      </c>
      <c r="Q95" s="4" t="s">
        <v>136</v>
      </c>
      <c r="R95" s="4" t="s">
        <v>65</v>
      </c>
      <c r="S95" s="4" t="s">
        <v>111</v>
      </c>
      <c r="T95" s="4" t="s">
        <v>25</v>
      </c>
      <c r="U95" s="4" t="s">
        <v>41</v>
      </c>
      <c r="W95" s="4" t="s">
        <v>136</v>
      </c>
      <c r="X95" s="4" t="s">
        <v>65</v>
      </c>
      <c r="Y95" s="4" t="s">
        <v>111</v>
      </c>
      <c r="Z95" s="4" t="s">
        <v>25</v>
      </c>
      <c r="AA95" s="4" t="s">
        <v>41</v>
      </c>
      <c r="AC95" s="4" t="s">
        <v>136</v>
      </c>
      <c r="AD95" s="4" t="s">
        <v>65</v>
      </c>
      <c r="AE95" s="4" t="s">
        <v>111</v>
      </c>
      <c r="AF95" s="4" t="s">
        <v>25</v>
      </c>
      <c r="AG95" s="4" t="s">
        <v>41</v>
      </c>
      <c r="AI95" s="4" t="s">
        <v>136</v>
      </c>
      <c r="AJ95" s="4" t="s">
        <v>65</v>
      </c>
      <c r="AK95" s="4" t="s">
        <v>111</v>
      </c>
      <c r="AL95" s="4" t="s">
        <v>25</v>
      </c>
      <c r="AM95" s="4" t="s">
        <v>41</v>
      </c>
      <c r="AO95" s="4" t="s">
        <v>136</v>
      </c>
      <c r="AP95" s="4" t="s">
        <v>65</v>
      </c>
      <c r="AQ95" s="4" t="s">
        <v>111</v>
      </c>
      <c r="AR95" s="4" t="s">
        <v>25</v>
      </c>
      <c r="AS95" s="4" t="s">
        <v>41</v>
      </c>
      <c r="AU95" s="4" t="s">
        <v>136</v>
      </c>
      <c r="AV95" s="4" t="s">
        <v>65</v>
      </c>
      <c r="AW95" s="4" t="s">
        <v>111</v>
      </c>
      <c r="AX95" s="4" t="s">
        <v>25</v>
      </c>
      <c r="AY95" s="4" t="s">
        <v>41</v>
      </c>
    </row>
    <row r="96" spans="11:51" ht="12.5">
      <c r="K96" s="4" t="s">
        <v>140</v>
      </c>
      <c r="L96" s="4" t="s">
        <v>81</v>
      </c>
      <c r="M96" s="4" t="s">
        <v>293</v>
      </c>
      <c r="N96" s="4">
        <f>SUM(M6:M9)</f>
        <v>0.99070000000000014</v>
      </c>
      <c r="O96" s="4" t="s">
        <v>318</v>
      </c>
      <c r="Q96" s="4" t="s">
        <v>140</v>
      </c>
      <c r="R96" s="4" t="s">
        <v>86</v>
      </c>
      <c r="S96" s="4" t="s">
        <v>293</v>
      </c>
      <c r="T96" s="4">
        <f>SUM(S6:S9)</f>
        <v>0.95239999999999991</v>
      </c>
      <c r="U96" s="4" t="s">
        <v>318</v>
      </c>
      <c r="W96" s="4" t="s">
        <v>140</v>
      </c>
      <c r="X96" s="4" t="s">
        <v>90</v>
      </c>
      <c r="Y96" s="4" t="s">
        <v>293</v>
      </c>
      <c r="Z96" s="4">
        <f>SUM(Y6:Y9)</f>
        <v>0.96089999999999998</v>
      </c>
      <c r="AA96" s="4" t="s">
        <v>318</v>
      </c>
      <c r="AC96" s="4" t="s">
        <v>140</v>
      </c>
      <c r="AD96" s="4" t="s">
        <v>94</v>
      </c>
      <c r="AE96" s="4" t="s">
        <v>293</v>
      </c>
      <c r="AF96" s="4">
        <f>SUM(AE6:AE9)</f>
        <v>0.95879999999999999</v>
      </c>
      <c r="AG96" s="4" t="s">
        <v>318</v>
      </c>
      <c r="AI96" s="4" t="s">
        <v>140</v>
      </c>
      <c r="AJ96" s="4" t="s">
        <v>77</v>
      </c>
      <c r="AK96" s="4" t="s">
        <v>293</v>
      </c>
      <c r="AL96" s="4">
        <f>SUM(AK6:AK9)</f>
        <v>1.0302</v>
      </c>
      <c r="AM96" s="4" t="s">
        <v>318</v>
      </c>
      <c r="AO96" s="4" t="s">
        <v>140</v>
      </c>
      <c r="AP96" s="4" t="s">
        <v>73</v>
      </c>
      <c r="AQ96" s="4" t="s">
        <v>293</v>
      </c>
      <c r="AR96" s="4">
        <f>SUM(AQ6:AQ9)</f>
        <v>0.58609999999999995</v>
      </c>
      <c r="AS96" s="4" t="s">
        <v>318</v>
      </c>
      <c r="AU96" s="4" t="s">
        <v>140</v>
      </c>
      <c r="AV96" s="4" t="s">
        <v>68</v>
      </c>
      <c r="AW96" s="4" t="s">
        <v>293</v>
      </c>
      <c r="AX96" s="4">
        <f>SUM(AW6:AW9)</f>
        <v>0.77489999999999992</v>
      </c>
      <c r="AY96" s="4" t="s">
        <v>318</v>
      </c>
    </row>
    <row r="97" spans="11:51" ht="12.5">
      <c r="K97" s="4" t="s">
        <v>140</v>
      </c>
      <c r="L97" s="4" t="s">
        <v>81</v>
      </c>
      <c r="M97" s="4" t="s">
        <v>294</v>
      </c>
      <c r="N97" s="4">
        <v>0</v>
      </c>
      <c r="O97" s="4" t="s">
        <v>318</v>
      </c>
      <c r="Q97" s="4" t="s">
        <v>140</v>
      </c>
      <c r="R97" s="4" t="s">
        <v>86</v>
      </c>
      <c r="S97" s="4" t="s">
        <v>294</v>
      </c>
      <c r="T97" s="4">
        <v>0</v>
      </c>
      <c r="U97" s="4" t="s">
        <v>318</v>
      </c>
      <c r="W97" s="4" t="s">
        <v>140</v>
      </c>
      <c r="X97" s="4" t="s">
        <v>90</v>
      </c>
      <c r="Y97" s="4" t="s">
        <v>294</v>
      </c>
      <c r="Z97" s="4">
        <v>0</v>
      </c>
      <c r="AA97" s="4" t="s">
        <v>318</v>
      </c>
      <c r="AC97" s="4" t="s">
        <v>140</v>
      </c>
      <c r="AD97" s="4" t="s">
        <v>94</v>
      </c>
      <c r="AE97" s="4" t="s">
        <v>294</v>
      </c>
      <c r="AF97" s="4">
        <v>0</v>
      </c>
      <c r="AG97" s="4" t="s">
        <v>318</v>
      </c>
      <c r="AI97" s="4" t="s">
        <v>140</v>
      </c>
      <c r="AJ97" s="4" t="s">
        <v>77</v>
      </c>
      <c r="AK97" s="4" t="s">
        <v>294</v>
      </c>
      <c r="AL97" s="4">
        <v>0</v>
      </c>
      <c r="AM97" s="4" t="s">
        <v>318</v>
      </c>
      <c r="AO97" s="4" t="s">
        <v>140</v>
      </c>
      <c r="AP97" s="4" t="s">
        <v>73</v>
      </c>
      <c r="AQ97" s="4" t="s">
        <v>294</v>
      </c>
      <c r="AR97" s="4">
        <v>0</v>
      </c>
      <c r="AS97" s="4" t="s">
        <v>318</v>
      </c>
      <c r="AU97" s="4" t="s">
        <v>140</v>
      </c>
      <c r="AV97" s="4" t="s">
        <v>68</v>
      </c>
      <c r="AW97" s="4" t="s">
        <v>294</v>
      </c>
      <c r="AX97" s="4">
        <v>0</v>
      </c>
      <c r="AY97" s="4" t="s">
        <v>318</v>
      </c>
    </row>
    <row r="98" spans="11:51" ht="12.5">
      <c r="K98" s="4" t="s">
        <v>140</v>
      </c>
      <c r="L98" s="4" t="s">
        <v>81</v>
      </c>
      <c r="M98" s="4" t="s">
        <v>295</v>
      </c>
      <c r="N98" s="4">
        <v>0</v>
      </c>
      <c r="O98" s="4" t="s">
        <v>318</v>
      </c>
      <c r="Q98" s="4" t="s">
        <v>140</v>
      </c>
      <c r="R98" s="4" t="s">
        <v>86</v>
      </c>
      <c r="S98" s="4" t="s">
        <v>295</v>
      </c>
      <c r="T98" s="4">
        <v>0</v>
      </c>
      <c r="U98" s="4" t="s">
        <v>318</v>
      </c>
      <c r="W98" s="4" t="s">
        <v>140</v>
      </c>
      <c r="X98" s="4" t="s">
        <v>90</v>
      </c>
      <c r="Y98" s="4" t="s">
        <v>295</v>
      </c>
      <c r="Z98" s="4">
        <v>0</v>
      </c>
      <c r="AA98" s="4" t="s">
        <v>318</v>
      </c>
      <c r="AC98" s="4" t="s">
        <v>140</v>
      </c>
      <c r="AD98" s="4" t="s">
        <v>94</v>
      </c>
      <c r="AE98" s="4" t="s">
        <v>295</v>
      </c>
      <c r="AF98" s="4">
        <v>0</v>
      </c>
      <c r="AG98" s="4" t="s">
        <v>318</v>
      </c>
      <c r="AI98" s="4" t="s">
        <v>140</v>
      </c>
      <c r="AJ98" s="4" t="s">
        <v>77</v>
      </c>
      <c r="AK98" s="4" t="s">
        <v>295</v>
      </c>
      <c r="AL98" s="4">
        <v>0</v>
      </c>
      <c r="AM98" s="4" t="s">
        <v>318</v>
      </c>
      <c r="AO98" s="4" t="s">
        <v>140</v>
      </c>
      <c r="AP98" s="4" t="s">
        <v>73</v>
      </c>
      <c r="AQ98" s="4" t="s">
        <v>295</v>
      </c>
      <c r="AR98" s="4">
        <v>0</v>
      </c>
      <c r="AS98" s="4" t="s">
        <v>318</v>
      </c>
      <c r="AU98" s="4" t="s">
        <v>140</v>
      </c>
      <c r="AV98" s="4" t="s">
        <v>68</v>
      </c>
      <c r="AW98" s="4" t="s">
        <v>295</v>
      </c>
      <c r="AX98" s="4">
        <v>0</v>
      </c>
      <c r="AY98" s="4" t="s">
        <v>318</v>
      </c>
    </row>
    <row r="99" spans="11:51" ht="12.5">
      <c r="K99" s="4" t="s">
        <v>140</v>
      </c>
      <c r="L99" s="4" t="s">
        <v>81</v>
      </c>
      <c r="M99" s="4" t="s">
        <v>296</v>
      </c>
      <c r="N99" s="4">
        <v>0</v>
      </c>
      <c r="O99" s="4" t="s">
        <v>318</v>
      </c>
      <c r="Q99" s="4" t="s">
        <v>140</v>
      </c>
      <c r="R99" s="4" t="s">
        <v>86</v>
      </c>
      <c r="S99" s="4" t="s">
        <v>296</v>
      </c>
      <c r="T99" s="4">
        <v>0</v>
      </c>
      <c r="U99" s="4" t="s">
        <v>318</v>
      </c>
      <c r="W99" s="4" t="s">
        <v>140</v>
      </c>
      <c r="X99" s="4" t="s">
        <v>90</v>
      </c>
      <c r="Y99" s="4" t="s">
        <v>296</v>
      </c>
      <c r="Z99" s="4">
        <v>0</v>
      </c>
      <c r="AA99" s="4" t="s">
        <v>318</v>
      </c>
      <c r="AC99" s="4" t="s">
        <v>140</v>
      </c>
      <c r="AD99" s="4" t="s">
        <v>94</v>
      </c>
      <c r="AE99" s="4" t="s">
        <v>296</v>
      </c>
      <c r="AF99" s="4">
        <v>0</v>
      </c>
      <c r="AG99" s="4" t="s">
        <v>318</v>
      </c>
      <c r="AI99" s="4" t="s">
        <v>140</v>
      </c>
      <c r="AJ99" s="4" t="s">
        <v>77</v>
      </c>
      <c r="AK99" s="4" t="s">
        <v>296</v>
      </c>
      <c r="AL99" s="4">
        <v>0</v>
      </c>
      <c r="AM99" s="4" t="s">
        <v>318</v>
      </c>
      <c r="AO99" s="4" t="s">
        <v>140</v>
      </c>
      <c r="AP99" s="4" t="s">
        <v>73</v>
      </c>
      <c r="AQ99" s="4" t="s">
        <v>296</v>
      </c>
      <c r="AR99" s="4">
        <v>0</v>
      </c>
      <c r="AS99" s="4" t="s">
        <v>318</v>
      </c>
      <c r="AU99" s="4" t="s">
        <v>140</v>
      </c>
      <c r="AV99" s="4" t="s">
        <v>68</v>
      </c>
      <c r="AW99" s="4" t="s">
        <v>296</v>
      </c>
      <c r="AX99" s="4">
        <v>0</v>
      </c>
      <c r="AY99" s="4" t="s">
        <v>318</v>
      </c>
    </row>
    <row r="106" spans="14:50" ht="12.5">
      <c r="N106" s="4">
        <v>76.800000000000097</v>
      </c>
      <c r="T106" s="4">
        <v>71.30</v>
      </c>
      <c r="Z106" s="4">
        <v>71.20</v>
      </c>
      <c r="AF106" s="4">
        <v>71.20</v>
      </c>
      <c r="AL106" s="4">
        <v>71.20</v>
      </c>
      <c r="AR106" s="4">
        <v>71.20</v>
      </c>
      <c r="AX106" s="4">
        <v>71.20</v>
      </c>
    </row>
    <row r="107" spans="14:50" ht="12.5">
      <c r="N107" s="4">
        <v>202.60</v>
      </c>
      <c r="T107" s="4">
        <v>191.30</v>
      </c>
      <c r="Z107" s="4">
        <v>191.50</v>
      </c>
      <c r="AF107" s="4">
        <v>191.50</v>
      </c>
      <c r="AL107" s="4">
        <v>191.50</v>
      </c>
      <c r="AR107" s="4">
        <v>191.50</v>
      </c>
      <c r="AX107" s="4">
        <v>191.50</v>
      </c>
    </row>
    <row r="108" spans="14:50" ht="12.5">
      <c r="N108" s="4">
        <v>583.80</v>
      </c>
      <c r="T108" s="4">
        <v>556.10</v>
      </c>
      <c r="Z108" s="4">
        <v>557.90</v>
      </c>
      <c r="AF108" s="4">
        <v>557.90</v>
      </c>
      <c r="AL108" s="4">
        <v>557.90</v>
      </c>
      <c r="AR108" s="4">
        <v>557.90</v>
      </c>
      <c r="AX108" s="4">
        <v>557.90</v>
      </c>
    </row>
    <row r="109" spans="14:50" ht="12.5">
      <c r="N109" s="4">
        <v>127.50</v>
      </c>
      <c r="T109" s="4">
        <v>133.70</v>
      </c>
      <c r="Z109" s="4">
        <v>140.30</v>
      </c>
      <c r="AF109" s="4">
        <v>140.30</v>
      </c>
      <c r="AL109" s="4">
        <v>140.30</v>
      </c>
      <c r="AR109" s="4">
        <v>140.30</v>
      </c>
      <c r="AX109" s="4">
        <v>140.30</v>
      </c>
    </row>
    <row r="114" spans="13:49" ht="12.5">
      <c r="M114" s="4" t="s">
        <v>292</v>
      </c>
      <c r="S114" s="4" t="s">
        <v>292</v>
      </c>
      <c r="Y114" s="4" t="s">
        <v>292</v>
      </c>
      <c r="AE114" s="4" t="s">
        <v>292</v>
      </c>
      <c r="AK114" s="4" t="s">
        <v>292</v>
      </c>
      <c r="AQ114" s="4" t="s">
        <v>292</v>
      </c>
      <c r="AW114" s="4" t="s">
        <v>292</v>
      </c>
    </row>
    <row r="115" spans="11:51" ht="12.5">
      <c r="K115" s="4" t="s">
        <v>136</v>
      </c>
      <c r="L115" s="4" t="s">
        <v>65</v>
      </c>
      <c r="M115" s="4" t="s">
        <v>111</v>
      </c>
      <c r="N115" s="4" t="s">
        <v>11</v>
      </c>
      <c r="O115" s="4" t="s">
        <v>41</v>
      </c>
      <c r="Q115" s="4" t="s">
        <v>136</v>
      </c>
      <c r="R115" s="4" t="s">
        <v>65</v>
      </c>
      <c r="S115" s="4" t="s">
        <v>111</v>
      </c>
      <c r="T115" s="4" t="s">
        <v>11</v>
      </c>
      <c r="U115" s="4" t="s">
        <v>41</v>
      </c>
      <c r="W115" s="4" t="s">
        <v>136</v>
      </c>
      <c r="X115" s="4" t="s">
        <v>65</v>
      </c>
      <c r="Y115" s="4" t="s">
        <v>111</v>
      </c>
      <c r="Z115" s="4" t="s">
        <v>11</v>
      </c>
      <c r="AA115" s="4" t="s">
        <v>41</v>
      </c>
      <c r="AC115" s="4" t="s">
        <v>136</v>
      </c>
      <c r="AD115" s="4" t="s">
        <v>65</v>
      </c>
      <c r="AE115" s="4" t="s">
        <v>111</v>
      </c>
      <c r="AF115" s="4" t="s">
        <v>11</v>
      </c>
      <c r="AG115" s="4" t="s">
        <v>41</v>
      </c>
      <c r="AI115" s="4" t="s">
        <v>136</v>
      </c>
      <c r="AJ115" s="4" t="s">
        <v>65</v>
      </c>
      <c r="AK115" s="4" t="s">
        <v>111</v>
      </c>
      <c r="AL115" s="4" t="s">
        <v>11</v>
      </c>
      <c r="AM115" s="4" t="s">
        <v>41</v>
      </c>
      <c r="AO115" s="4" t="s">
        <v>136</v>
      </c>
      <c r="AP115" s="4" t="s">
        <v>65</v>
      </c>
      <c r="AQ115" s="4" t="s">
        <v>111</v>
      </c>
      <c r="AR115" s="4" t="s">
        <v>11</v>
      </c>
      <c r="AS115" s="4" t="s">
        <v>41</v>
      </c>
      <c r="AU115" s="4" t="s">
        <v>136</v>
      </c>
      <c r="AV115" s="4" t="s">
        <v>65</v>
      </c>
      <c r="AW115" s="4" t="s">
        <v>111</v>
      </c>
      <c r="AX115" s="4" t="s">
        <v>11</v>
      </c>
      <c r="AY115" s="4" t="s">
        <v>41</v>
      </c>
    </row>
    <row r="116" spans="11:51" ht="12.5">
      <c r="K116" s="4" t="s">
        <v>140</v>
      </c>
      <c r="L116" s="4" t="s">
        <v>81</v>
      </c>
      <c r="M116" s="4" t="s">
        <v>293</v>
      </c>
      <c r="N116" s="4">
        <f>SUM(M26:M29)</f>
        <v>1.0014999999999998</v>
      </c>
      <c r="O116" s="4" t="s">
        <v>318</v>
      </c>
      <c r="Q116" s="4" t="s">
        <v>140</v>
      </c>
      <c r="R116" s="4" t="s">
        <v>86</v>
      </c>
      <c r="S116" s="4" t="s">
        <v>293</v>
      </c>
      <c r="T116" s="4">
        <f>SUM(S26:S29)</f>
        <v>0.96329999999999993</v>
      </c>
      <c r="U116" s="4" t="s">
        <v>318</v>
      </c>
      <c r="W116" s="4" t="s">
        <v>140</v>
      </c>
      <c r="X116" s="4" t="s">
        <v>90</v>
      </c>
      <c r="Y116" s="4" t="s">
        <v>293</v>
      </c>
      <c r="Z116" s="4">
        <f>SUM(Y26:Y29)</f>
        <v>0.97189999999999999</v>
      </c>
      <c r="AA116" s="4" t="s">
        <v>318</v>
      </c>
      <c r="AC116" s="4" t="s">
        <v>140</v>
      </c>
      <c r="AD116" s="4" t="s">
        <v>94</v>
      </c>
      <c r="AE116" s="4" t="s">
        <v>293</v>
      </c>
      <c r="AF116" s="4">
        <f>SUM(AE26:AE29)</f>
        <v>0.96950000000000003</v>
      </c>
      <c r="AG116" s="4" t="s">
        <v>318</v>
      </c>
      <c r="AI116" s="4" t="s">
        <v>140</v>
      </c>
      <c r="AJ116" s="4" t="s">
        <v>77</v>
      </c>
      <c r="AK116" s="4" t="s">
        <v>293</v>
      </c>
      <c r="AL116" s="4">
        <f>SUM(AK26:AK29)</f>
        <v>1.0411999999999999</v>
      </c>
      <c r="AM116" s="4" t="s">
        <v>318</v>
      </c>
      <c r="AO116" s="4" t="s">
        <v>140</v>
      </c>
      <c r="AP116" s="4" t="s">
        <v>73</v>
      </c>
      <c r="AQ116" s="4" t="s">
        <v>293</v>
      </c>
      <c r="AR116" s="4">
        <f>SUM(AQ26:AQ29)</f>
        <v>0.5969000000000001</v>
      </c>
      <c r="AS116" s="4" t="s">
        <v>318</v>
      </c>
      <c r="AU116" s="4" t="s">
        <v>140</v>
      </c>
      <c r="AV116" s="4" t="s">
        <v>68</v>
      </c>
      <c r="AW116" s="4" t="s">
        <v>293</v>
      </c>
      <c r="AX116" s="4">
        <f>SUM(AW26:AW29)</f>
        <v>0.78579999999999994</v>
      </c>
      <c r="AY116" s="4" t="s">
        <v>318</v>
      </c>
    </row>
    <row r="117" spans="11:51" ht="12.5">
      <c r="K117" s="4" t="s">
        <v>140</v>
      </c>
      <c r="L117" s="4" t="s">
        <v>81</v>
      </c>
      <c r="M117" s="4" t="s">
        <v>294</v>
      </c>
      <c r="N117" s="4">
        <v>0</v>
      </c>
      <c r="O117" s="4" t="s">
        <v>318</v>
      </c>
      <c r="Q117" s="4" t="s">
        <v>140</v>
      </c>
      <c r="R117" s="4" t="s">
        <v>86</v>
      </c>
      <c r="S117" s="4" t="s">
        <v>294</v>
      </c>
      <c r="T117" s="4">
        <v>0</v>
      </c>
      <c r="U117" s="4" t="s">
        <v>318</v>
      </c>
      <c r="W117" s="4" t="s">
        <v>140</v>
      </c>
      <c r="X117" s="4" t="s">
        <v>90</v>
      </c>
      <c r="Y117" s="4" t="s">
        <v>294</v>
      </c>
      <c r="Z117" s="4">
        <v>0</v>
      </c>
      <c r="AA117" s="4" t="s">
        <v>318</v>
      </c>
      <c r="AC117" s="4" t="s">
        <v>140</v>
      </c>
      <c r="AD117" s="4" t="s">
        <v>94</v>
      </c>
      <c r="AE117" s="4" t="s">
        <v>294</v>
      </c>
      <c r="AF117" s="4">
        <v>0</v>
      </c>
      <c r="AG117" s="4" t="s">
        <v>318</v>
      </c>
      <c r="AI117" s="4" t="s">
        <v>140</v>
      </c>
      <c r="AJ117" s="4" t="s">
        <v>77</v>
      </c>
      <c r="AK117" s="4" t="s">
        <v>294</v>
      </c>
      <c r="AL117" s="4">
        <v>0</v>
      </c>
      <c r="AM117" s="4" t="s">
        <v>318</v>
      </c>
      <c r="AO117" s="4" t="s">
        <v>140</v>
      </c>
      <c r="AP117" s="4" t="s">
        <v>73</v>
      </c>
      <c r="AQ117" s="4" t="s">
        <v>294</v>
      </c>
      <c r="AR117" s="4">
        <v>0</v>
      </c>
      <c r="AS117" s="4" t="s">
        <v>318</v>
      </c>
      <c r="AU117" s="4" t="s">
        <v>140</v>
      </c>
      <c r="AV117" s="4" t="s">
        <v>68</v>
      </c>
      <c r="AW117" s="4" t="s">
        <v>294</v>
      </c>
      <c r="AX117" s="4">
        <v>0</v>
      </c>
      <c r="AY117" s="4" t="s">
        <v>318</v>
      </c>
    </row>
    <row r="118" spans="11:51" ht="12.5">
      <c r="K118" s="4" t="s">
        <v>140</v>
      </c>
      <c r="L118" s="4" t="s">
        <v>81</v>
      </c>
      <c r="M118" s="4" t="s">
        <v>295</v>
      </c>
      <c r="N118" s="4">
        <v>0</v>
      </c>
      <c r="O118" s="4" t="s">
        <v>318</v>
      </c>
      <c r="Q118" s="4" t="s">
        <v>140</v>
      </c>
      <c r="R118" s="4" t="s">
        <v>86</v>
      </c>
      <c r="S118" s="4" t="s">
        <v>295</v>
      </c>
      <c r="T118" s="4">
        <v>0</v>
      </c>
      <c r="U118" s="4" t="s">
        <v>318</v>
      </c>
      <c r="W118" s="4" t="s">
        <v>140</v>
      </c>
      <c r="X118" s="4" t="s">
        <v>90</v>
      </c>
      <c r="Y118" s="4" t="s">
        <v>295</v>
      </c>
      <c r="Z118" s="4">
        <v>0</v>
      </c>
      <c r="AA118" s="4" t="s">
        <v>318</v>
      </c>
      <c r="AC118" s="4" t="s">
        <v>140</v>
      </c>
      <c r="AD118" s="4" t="s">
        <v>94</v>
      </c>
      <c r="AE118" s="4" t="s">
        <v>295</v>
      </c>
      <c r="AF118" s="4">
        <v>0</v>
      </c>
      <c r="AG118" s="4" t="s">
        <v>318</v>
      </c>
      <c r="AI118" s="4" t="s">
        <v>140</v>
      </c>
      <c r="AJ118" s="4" t="s">
        <v>77</v>
      </c>
      <c r="AK118" s="4" t="s">
        <v>295</v>
      </c>
      <c r="AL118" s="4">
        <v>0</v>
      </c>
      <c r="AM118" s="4" t="s">
        <v>318</v>
      </c>
      <c r="AO118" s="4" t="s">
        <v>140</v>
      </c>
      <c r="AP118" s="4" t="s">
        <v>73</v>
      </c>
      <c r="AQ118" s="4" t="s">
        <v>295</v>
      </c>
      <c r="AR118" s="4">
        <v>0</v>
      </c>
      <c r="AS118" s="4" t="s">
        <v>318</v>
      </c>
      <c r="AU118" s="4" t="s">
        <v>140</v>
      </c>
      <c r="AV118" s="4" t="s">
        <v>68</v>
      </c>
      <c r="AW118" s="4" t="s">
        <v>295</v>
      </c>
      <c r="AX118" s="4">
        <v>0</v>
      </c>
      <c r="AY118" s="4" t="s">
        <v>318</v>
      </c>
    </row>
    <row r="119" spans="11:51" ht="12.5">
      <c r="K119" s="4" t="s">
        <v>140</v>
      </c>
      <c r="L119" s="4" t="s">
        <v>81</v>
      </c>
      <c r="M119" s="4" t="s">
        <v>296</v>
      </c>
      <c r="N119" s="4">
        <v>0</v>
      </c>
      <c r="O119" s="4" t="s">
        <v>318</v>
      </c>
      <c r="Q119" s="4" t="s">
        <v>140</v>
      </c>
      <c r="R119" s="4" t="s">
        <v>86</v>
      </c>
      <c r="S119" s="4" t="s">
        <v>296</v>
      </c>
      <c r="T119" s="4">
        <v>0</v>
      </c>
      <c r="U119" s="4" t="s">
        <v>318</v>
      </c>
      <c r="W119" s="4" t="s">
        <v>140</v>
      </c>
      <c r="X119" s="4" t="s">
        <v>90</v>
      </c>
      <c r="Y119" s="4" t="s">
        <v>296</v>
      </c>
      <c r="Z119" s="4">
        <v>0</v>
      </c>
      <c r="AA119" s="4" t="s">
        <v>318</v>
      </c>
      <c r="AC119" s="4" t="s">
        <v>140</v>
      </c>
      <c r="AD119" s="4" t="s">
        <v>94</v>
      </c>
      <c r="AE119" s="4" t="s">
        <v>296</v>
      </c>
      <c r="AF119" s="4">
        <v>0</v>
      </c>
      <c r="AG119" s="4" t="s">
        <v>318</v>
      </c>
      <c r="AI119" s="4" t="s">
        <v>140</v>
      </c>
      <c r="AJ119" s="4" t="s">
        <v>77</v>
      </c>
      <c r="AK119" s="4" t="s">
        <v>296</v>
      </c>
      <c r="AL119" s="4">
        <v>0</v>
      </c>
      <c r="AM119" s="4" t="s">
        <v>318</v>
      </c>
      <c r="AO119" s="4" t="s">
        <v>140</v>
      </c>
      <c r="AP119" s="4" t="s">
        <v>73</v>
      </c>
      <c r="AQ119" s="4" t="s">
        <v>296</v>
      </c>
      <c r="AR119" s="4">
        <v>0</v>
      </c>
      <c r="AS119" s="4" t="s">
        <v>318</v>
      </c>
      <c r="AU119" s="4" t="s">
        <v>140</v>
      </c>
      <c r="AV119" s="4" t="s">
        <v>68</v>
      </c>
      <c r="AW119" s="4" t="s">
        <v>296</v>
      </c>
      <c r="AX119" s="4">
        <v>0</v>
      </c>
      <c r="AY119" s="4" t="s">
        <v>318</v>
      </c>
    </row>
    <row r="122" spans="20:50" ht="12.5">
      <c r="T122" s="4">
        <v>72</v>
      </c>
      <c r="Z122" s="4">
        <v>71.90</v>
      </c>
      <c r="AF122" s="4">
        <v>73.10</v>
      </c>
      <c r="AL122" s="4">
        <v>77.699999999999903</v>
      </c>
      <c r="AR122" s="4">
        <v>43.10</v>
      </c>
      <c r="AX122" s="4">
        <v>47.80</v>
      </c>
    </row>
    <row r="123" spans="20:50" ht="12.5">
      <c r="T123" s="4">
        <v>225.20</v>
      </c>
      <c r="Z123" s="4">
        <v>225.50</v>
      </c>
      <c r="AF123" s="4">
        <v>219.80</v>
      </c>
      <c r="AL123" s="4">
        <v>232.20</v>
      </c>
      <c r="AR123" s="4">
        <v>110.80</v>
      </c>
      <c r="AX123" s="4">
        <v>189.50</v>
      </c>
    </row>
    <row r="124" spans="20:50" ht="12.5">
      <c r="T124" s="4">
        <v>532.10</v>
      </c>
      <c r="Z124" s="4">
        <v>533.90</v>
      </c>
      <c r="AF124" s="4">
        <v>526.40</v>
      </c>
      <c r="AL124" s="4">
        <v>570.20</v>
      </c>
      <c r="AR124" s="4">
        <v>385.80</v>
      </c>
      <c r="AX124" s="4">
        <v>453</v>
      </c>
    </row>
    <row r="125" spans="20:50" ht="12.5">
      <c r="T125" s="4">
        <v>134</v>
      </c>
      <c r="Z125" s="4">
        <v>140.60</v>
      </c>
      <c r="AF125" s="4">
        <v>150.20</v>
      </c>
      <c r="AL125" s="4">
        <v>161.10</v>
      </c>
      <c r="AR125" s="4">
        <v>57.20</v>
      </c>
      <c r="AX125" s="4">
        <v>95.50</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500-000000000000}">
  <dimension ref="A1:BO226"/>
  <sheetViews>
    <sheetView zoomScale="42" zoomScaleNormal="42" workbookViewId="0" topLeftCell="AI177">
      <selection pane="topLeft" activeCell="W223" sqref="W223"/>
    </sheetView>
  </sheetViews>
  <sheetFormatPr defaultColWidth="8.72428571428571" defaultRowHeight="14.5"/>
  <cols>
    <col min="1" max="1" width="8.71428571428571" style="3"/>
    <col min="2" max="2" width="43.8571428571429" style="3" customWidth="1"/>
    <col min="3" max="20" width="8.71428571428571" style="3"/>
    <col min="21" max="21" width="19.2857142857143" style="3" customWidth="1"/>
    <col min="22" max="22" width="25.5714285714286" style="3" customWidth="1"/>
    <col min="23" max="23" width="19.8571428571429" style="3" customWidth="1"/>
    <col min="24" max="29" width="15.2857142857143" style="3"/>
    <col min="30" max="30" width="8.71428571428571" style="3"/>
    <col min="31" max="31" width="14" style="3"/>
    <col min="32" max="38" width="15.2857142857143" style="3"/>
    <col min="39" max="40" width="14" style="3"/>
    <col min="41" max="47" width="15.2857142857143" style="3"/>
    <col min="48" max="53" width="14" style="3"/>
    <col min="54" max="67" width="8.71428571428571" style="3"/>
    <col min="68" max="16384" width="8.71428571428571" style="4"/>
  </cols>
  <sheetData>
    <row r="1" spans="1:67" ht="15.5">
      <c r="A1" s="5" t="s">
        <v>319</v>
      </c>
      <c r="B1" s="5"/>
      <c r="C1" s="5"/>
      <c r="D1" s="5"/>
      <c r="E1" s="5"/>
      <c r="F1" s="5"/>
      <c r="G1" s="5"/>
      <c r="H1" s="5"/>
      <c r="I1" s="5"/>
      <c r="J1" s="5"/>
      <c r="K1" s="6"/>
      <c r="L1" s="6" t="s">
        <v>320</v>
      </c>
      <c r="M1" s="6"/>
      <c r="N1" s="6"/>
      <c r="O1" s="6"/>
      <c r="P1" s="6"/>
      <c r="Q1" s="6"/>
      <c r="R1" s="6"/>
      <c r="S1" s="6"/>
      <c r="T1" s="6"/>
      <c r="U1" s="6"/>
      <c r="V1" s="6"/>
      <c r="W1" s="6" t="s">
        <v>321</v>
      </c>
      <c r="X1" s="6"/>
      <c r="Y1" s="6"/>
      <c r="Z1" s="6"/>
      <c r="AA1" s="6"/>
      <c r="AB1" s="7" t="s">
        <v>322</v>
      </c>
      <c r="AC1" s="7"/>
      <c r="AD1" s="6"/>
      <c r="AE1" s="6"/>
      <c r="AF1" s="6" t="s">
        <v>323</v>
      </c>
      <c r="AG1" s="6"/>
      <c r="AH1" s="6"/>
      <c r="AI1" s="6"/>
      <c r="AJ1" s="6"/>
      <c r="AK1" s="6"/>
      <c r="AL1" s="6"/>
      <c r="AM1" s="6"/>
      <c r="AN1" s="6"/>
      <c r="AO1" s="6" t="s">
        <v>324</v>
      </c>
      <c r="AP1" s="6"/>
      <c r="AQ1" s="6"/>
      <c r="AR1" s="6"/>
      <c r="AS1" s="6"/>
      <c r="AT1" s="6"/>
      <c r="AU1" s="6"/>
      <c r="AZ1" s="5" t="s">
        <v>319</v>
      </c>
      <c r="BA1" s="5"/>
      <c r="BB1" s="5"/>
      <c r="BC1" s="5"/>
      <c r="BD1" s="5"/>
      <c r="BE1" s="5"/>
      <c r="BF1" s="5"/>
      <c r="BG1" s="5"/>
      <c r="BH1" s="5"/>
      <c r="BI1" s="5"/>
      <c r="BJ1" s="6"/>
      <c r="BK1" s="6"/>
      <c r="BL1" s="6"/>
      <c r="BM1" s="6"/>
      <c r="BN1" s="6"/>
      <c r="BO1" s="6"/>
    </row>
    <row r="2" spans="1:67" ht="30">
      <c r="A2" s="5" t="s">
        <v>298</v>
      </c>
      <c r="B2" s="5" t="s">
        <v>325</v>
      </c>
      <c r="C2" s="5" t="s">
        <v>300</v>
      </c>
      <c r="D2" s="5"/>
      <c r="E2" s="5"/>
      <c r="F2" s="5"/>
      <c r="G2" s="5"/>
      <c r="H2" s="5"/>
      <c r="I2" s="5"/>
      <c r="J2" s="5"/>
      <c r="K2" s="6"/>
      <c r="L2" s="6"/>
      <c r="M2" s="6"/>
      <c r="N2" s="6"/>
      <c r="O2" s="6"/>
      <c r="P2" s="6"/>
      <c r="Q2" s="6"/>
      <c r="R2" s="6"/>
      <c r="S2" s="6"/>
      <c r="T2" s="6"/>
      <c r="U2" s="6"/>
      <c r="V2" s="8" t="s">
        <v>326</v>
      </c>
      <c r="W2" s="6"/>
      <c r="X2" s="6"/>
      <c r="Y2" s="6"/>
      <c r="Z2" s="6"/>
      <c r="AA2" s="6"/>
      <c r="AB2" s="6"/>
      <c r="AC2" s="6"/>
      <c r="AD2" s="6"/>
      <c r="AE2" s="6"/>
      <c r="AF2" s="6"/>
      <c r="AG2" s="6"/>
      <c r="AH2" s="6"/>
      <c r="AI2" s="6"/>
      <c r="AJ2" s="6"/>
      <c r="AK2" s="6"/>
      <c r="AL2" s="6"/>
      <c r="AM2" s="6"/>
      <c r="AN2" s="6"/>
      <c r="AO2" s="6"/>
      <c r="AP2" s="6"/>
      <c r="AQ2" s="6"/>
      <c r="AR2" s="6"/>
      <c r="AS2" s="6"/>
      <c r="AT2" s="6"/>
      <c r="AU2" s="6"/>
      <c r="AZ2" s="5" t="s">
        <v>298</v>
      </c>
      <c r="BA2" s="5" t="s">
        <v>325</v>
      </c>
      <c r="BB2" s="5" t="s">
        <v>300</v>
      </c>
      <c r="BC2" s="5"/>
      <c r="BD2" s="5"/>
      <c r="BE2" s="5"/>
      <c r="BF2" s="5"/>
      <c r="BG2" s="5"/>
      <c r="BH2" s="5"/>
      <c r="BI2" s="5"/>
      <c r="BJ2" s="6"/>
      <c r="BK2" s="6"/>
      <c r="BL2" s="6"/>
      <c r="BM2" s="6"/>
      <c r="BN2" s="6"/>
      <c r="BO2" s="6"/>
    </row>
    <row r="3" spans="1:67" ht="30">
      <c r="A3" s="5"/>
      <c r="B3" s="5"/>
      <c r="C3" s="9" t="s">
        <v>301</v>
      </c>
      <c r="D3" s="6" t="s">
        <v>302</v>
      </c>
      <c r="E3" s="6" t="s">
        <v>303</v>
      </c>
      <c r="F3" s="10" t="s">
        <v>304</v>
      </c>
      <c r="G3" s="6" t="s">
        <v>305</v>
      </c>
      <c r="H3" s="6" t="s">
        <v>306</v>
      </c>
      <c r="I3" s="6" t="s">
        <v>307</v>
      </c>
      <c r="J3" s="6" t="s">
        <v>308</v>
      </c>
      <c r="K3" s="6"/>
      <c r="L3" s="11" t="s">
        <v>301</v>
      </c>
      <c r="M3" s="6" t="s">
        <v>302</v>
      </c>
      <c r="N3" s="6" t="s">
        <v>303</v>
      </c>
      <c r="O3" s="6" t="s">
        <v>304</v>
      </c>
      <c r="P3" s="6" t="s">
        <v>305</v>
      </c>
      <c r="Q3" s="6" t="s">
        <v>306</v>
      </c>
      <c r="R3" s="6" t="s">
        <v>307</v>
      </c>
      <c r="S3" s="6" t="s">
        <v>308</v>
      </c>
      <c r="T3" s="6"/>
      <c r="U3" s="6"/>
      <c r="V3" s="8" t="s">
        <v>327</v>
      </c>
      <c r="W3" s="6" t="s">
        <v>302</v>
      </c>
      <c r="X3" s="6" t="s">
        <v>303</v>
      </c>
      <c r="Y3" s="10" t="s">
        <v>304</v>
      </c>
      <c r="Z3" s="6" t="s">
        <v>305</v>
      </c>
      <c r="AA3" s="6" t="s">
        <v>306</v>
      </c>
      <c r="AB3" s="12" t="s">
        <v>307</v>
      </c>
      <c r="AC3" s="12" t="s">
        <v>308</v>
      </c>
      <c r="AD3" s="6"/>
      <c r="AE3" s="6"/>
      <c r="AF3" s="6" t="s">
        <v>302</v>
      </c>
      <c r="AG3" s="6" t="s">
        <v>303</v>
      </c>
      <c r="AH3" s="10" t="s">
        <v>304</v>
      </c>
      <c r="AI3" s="6" t="s">
        <v>305</v>
      </c>
      <c r="AJ3" s="6" t="s">
        <v>306</v>
      </c>
      <c r="AK3" s="12" t="s">
        <v>307</v>
      </c>
      <c r="AL3" s="12" t="s">
        <v>308</v>
      </c>
      <c r="AM3" s="6"/>
      <c r="AN3" s="6"/>
      <c r="AO3" s="6" t="s">
        <v>302</v>
      </c>
      <c r="AP3" s="6" t="s">
        <v>303</v>
      </c>
      <c r="AQ3" s="10" t="s">
        <v>304</v>
      </c>
      <c r="AR3" s="6" t="s">
        <v>305</v>
      </c>
      <c r="AS3" s="6" t="s">
        <v>306</v>
      </c>
      <c r="AT3" s="12" t="s">
        <v>307</v>
      </c>
      <c r="AU3" s="12" t="s">
        <v>308</v>
      </c>
      <c r="AZ3" s="5"/>
      <c r="BA3" s="5"/>
      <c r="BB3" s="9" t="s">
        <v>301</v>
      </c>
      <c r="BC3" s="6" t="s">
        <v>302</v>
      </c>
      <c r="BD3" s="6" t="s">
        <v>303</v>
      </c>
      <c r="BE3" s="10" t="s">
        <v>304</v>
      </c>
      <c r="BF3" s="6" t="s">
        <v>305</v>
      </c>
      <c r="BG3" s="6" t="s">
        <v>306</v>
      </c>
      <c r="BH3" s="6" t="s">
        <v>307</v>
      </c>
      <c r="BI3" s="6" t="s">
        <v>308</v>
      </c>
      <c r="BJ3" s="6"/>
      <c r="BK3" s="11"/>
      <c r="BL3" s="6"/>
      <c r="BM3" s="6"/>
      <c r="BN3" s="6"/>
      <c r="BO3" s="6"/>
    </row>
    <row r="4" spans="1:67" ht="15.5">
      <c r="A4" s="5" t="s">
        <v>309</v>
      </c>
      <c r="B4" s="13" t="s">
        <v>310</v>
      </c>
      <c r="C4" s="14">
        <f t="shared" si="0" ref="C4:J4">BB4/1000</f>
        <v>0.83739999999999992</v>
      </c>
      <c r="D4" s="14">
        <f t="shared" si="0"/>
        <v>0.80810000000000004</v>
      </c>
      <c r="E4" s="14">
        <f t="shared" si="0"/>
        <v>0.77049999999999996</v>
      </c>
      <c r="F4" s="14">
        <f t="shared" si="0"/>
        <v>0.76000000000000001</v>
      </c>
      <c r="G4" s="14">
        <f t="shared" si="0"/>
        <v>0.75509999999999999</v>
      </c>
      <c r="H4" s="14">
        <f t="shared" si="0"/>
        <v>0.79600000000000004</v>
      </c>
      <c r="I4" s="14">
        <f t="shared" si="0"/>
        <v>0.76000000000000001</v>
      </c>
      <c r="J4" s="14">
        <f t="shared" si="0"/>
        <v>0.76000000000000001</v>
      </c>
      <c r="K4" s="6"/>
      <c r="L4" s="11"/>
      <c r="M4" s="15">
        <v>5.9370000000000003</v>
      </c>
      <c r="N4" s="15">
        <v>5.845</v>
      </c>
      <c r="O4" s="15">
        <v>5.575</v>
      </c>
      <c r="P4" s="15">
        <v>5.2759999999999998</v>
      </c>
      <c r="Q4" s="15">
        <v>5.3630000000000004</v>
      </c>
      <c r="R4" s="15">
        <v>6.645</v>
      </c>
      <c r="S4" s="15">
        <v>5.6539999999999999</v>
      </c>
      <c r="T4" s="15"/>
      <c r="U4" s="5" t="s">
        <v>309</v>
      </c>
      <c r="V4" s="13" t="s">
        <v>310</v>
      </c>
      <c r="W4" s="16">
        <f t="shared" si="1" ref="W4:AC4">D4/M4</f>
        <v>0.1361125147380832</v>
      </c>
      <c r="X4" s="16">
        <f t="shared" si="1"/>
        <v>0.13182207014542344</v>
      </c>
      <c r="Y4" s="16">
        <f t="shared" si="1"/>
        <v>0.13632286995515694</v>
      </c>
      <c r="Z4" s="16">
        <f t="shared" si="1"/>
        <v>0.14311978771796816</v>
      </c>
      <c r="AA4" s="16">
        <f t="shared" si="1"/>
        <v>0.14842438933432781</v>
      </c>
      <c r="AB4" s="17">
        <f t="shared" si="1"/>
        <v>0.1143717080511663</v>
      </c>
      <c r="AC4" s="17">
        <f t="shared" si="1"/>
        <v>0.13441811107180757</v>
      </c>
      <c r="AD4" s="6"/>
      <c r="AE4" s="6"/>
      <c r="AF4" s="16">
        <f t="shared" si="2" ref="AF4:AJ4">W4</f>
        <v>0.1361125147380832</v>
      </c>
      <c r="AG4" s="16">
        <f t="shared" si="2"/>
        <v>0.13182207014542344</v>
      </c>
      <c r="AH4" s="16">
        <f t="shared" si="2"/>
        <v>0.13632286995515694</v>
      </c>
      <c r="AI4" s="16">
        <f t="shared" si="2"/>
        <v>0.14311978771796816</v>
      </c>
      <c r="AJ4" s="16">
        <f t="shared" si="2"/>
        <v>0.14842438933432781</v>
      </c>
      <c r="AK4" s="18">
        <f t="shared" si="3" ref="AK4:AK18">AB4*1.15</f>
        <v>0.13152746425884124</v>
      </c>
      <c r="AL4" s="18">
        <f t="shared" si="4" ref="AL4:AL18">AC4*1.15</f>
        <v>0.1545808277325787</v>
      </c>
      <c r="AM4" s="6"/>
      <c r="AN4" s="6"/>
      <c r="AO4" s="16">
        <f t="shared" si="5" ref="AO4:AS4">W4</f>
        <v>0.1361125147380832</v>
      </c>
      <c r="AP4" s="16">
        <f t="shared" si="5"/>
        <v>0.13182207014542344</v>
      </c>
      <c r="AQ4" s="16">
        <f t="shared" si="5"/>
        <v>0.13632286995515694</v>
      </c>
      <c r="AR4" s="16">
        <f t="shared" si="5"/>
        <v>0.14311978771796816</v>
      </c>
      <c r="AS4" s="16">
        <f t="shared" si="5"/>
        <v>0.14842438933432781</v>
      </c>
      <c r="AT4" s="18">
        <f t="shared" si="6" ref="AT4:AT18">AB4*0.85</f>
        <v>0.097215951843491355</v>
      </c>
      <c r="AU4" s="18">
        <f t="shared" si="7" ref="AU4:AU18">AC4*0.85</f>
        <v>0.11425539441103642</v>
      </c>
      <c r="AZ4" s="5" t="s">
        <v>309</v>
      </c>
      <c r="BA4" s="13" t="s">
        <v>310</v>
      </c>
      <c r="BB4" s="14">
        <v>837.40</v>
      </c>
      <c r="BC4" s="16">
        <v>808.10</v>
      </c>
      <c r="BD4" s="16">
        <v>770.50</v>
      </c>
      <c r="BE4" s="16">
        <v>760</v>
      </c>
      <c r="BF4" s="16">
        <v>755.10</v>
      </c>
      <c r="BG4" s="16">
        <v>796</v>
      </c>
      <c r="BH4" s="16">
        <v>760</v>
      </c>
      <c r="BI4" s="16">
        <v>760</v>
      </c>
      <c r="BJ4" s="6"/>
      <c r="BK4" s="11"/>
      <c r="BL4" s="15"/>
      <c r="BM4" s="15"/>
      <c r="BN4" s="15"/>
      <c r="BO4" s="15"/>
    </row>
    <row r="5" spans="1:67" ht="15.5">
      <c r="A5" s="5"/>
      <c r="B5" s="13" t="s">
        <v>311</v>
      </c>
      <c r="C5" s="14">
        <f t="shared" si="8" ref="C5:J5">BB5/1000</f>
        <v>0.77010000000000001</v>
      </c>
      <c r="D5" s="14">
        <f t="shared" si="8"/>
        <v>0.74570000000000003</v>
      </c>
      <c r="E5" s="14">
        <f t="shared" si="8"/>
        <v>0.71150000000000002</v>
      </c>
      <c r="F5" s="14">
        <f t="shared" si="8"/>
        <v>0.70210000000000006</v>
      </c>
      <c r="G5" s="14">
        <f t="shared" si="8"/>
        <v>0.69479999999999997</v>
      </c>
      <c r="H5" s="14">
        <f t="shared" si="8"/>
        <v>0.73380000000000001</v>
      </c>
      <c r="I5" s="14">
        <f t="shared" si="8"/>
        <v>0.70210000000000006</v>
      </c>
      <c r="J5" s="14">
        <f t="shared" si="8"/>
        <v>0.70210000000000006</v>
      </c>
      <c r="K5" s="6"/>
      <c r="L5" s="6"/>
      <c r="M5" s="19">
        <v>5.9370000000000003</v>
      </c>
      <c r="N5" s="19">
        <v>5.845</v>
      </c>
      <c r="O5" s="19">
        <v>5.575</v>
      </c>
      <c r="P5" s="19">
        <v>5.2759999999999998</v>
      </c>
      <c r="Q5" s="19">
        <v>5.3630000000000004</v>
      </c>
      <c r="R5" s="19">
        <v>6.645</v>
      </c>
      <c r="S5" s="19">
        <v>5.6539999999999999</v>
      </c>
      <c r="T5" s="19"/>
      <c r="U5" s="5"/>
      <c r="V5" s="13" t="s">
        <v>311</v>
      </c>
      <c r="W5" s="16">
        <f t="shared" si="9" ref="W5:AC5">D5/M5</f>
        <v>0.12560215597102914</v>
      </c>
      <c r="X5" s="16">
        <f t="shared" si="9"/>
        <v>0.12172797262617623</v>
      </c>
      <c r="Y5" s="16">
        <f t="shared" si="9"/>
        <v>0.12593721973094171</v>
      </c>
      <c r="Z5" s="16">
        <f t="shared" si="9"/>
        <v>0.13169067475360122</v>
      </c>
      <c r="AA5" s="16">
        <f t="shared" si="9"/>
        <v>0.13682640313257505</v>
      </c>
      <c r="AB5" s="17">
        <f t="shared" si="9"/>
        <v>0.10565838976674193</v>
      </c>
      <c r="AC5" s="17">
        <f t="shared" si="9"/>
        <v>0.12417757339936329</v>
      </c>
      <c r="AD5" s="6"/>
      <c r="AE5" s="6"/>
      <c r="AF5" s="16">
        <f t="shared" si="10" ref="AF5:AJ5">W5</f>
        <v>0.12560215597102914</v>
      </c>
      <c r="AG5" s="16">
        <f t="shared" si="10"/>
        <v>0.12172797262617623</v>
      </c>
      <c r="AH5" s="16">
        <f t="shared" si="10"/>
        <v>0.12593721973094171</v>
      </c>
      <c r="AI5" s="16">
        <f t="shared" si="10"/>
        <v>0.13169067475360122</v>
      </c>
      <c r="AJ5" s="16">
        <f t="shared" si="10"/>
        <v>0.13682640313257505</v>
      </c>
      <c r="AK5" s="18">
        <f t="shared" si="3"/>
        <v>0.12150714823175321</v>
      </c>
      <c r="AL5" s="18">
        <f t="shared" si="4"/>
        <v>0.14280420940926777</v>
      </c>
      <c r="AM5" s="6"/>
      <c r="AN5" s="6"/>
      <c r="AO5" s="16">
        <f t="shared" si="11" ref="AO5:AS5">W5</f>
        <v>0.12560215597102914</v>
      </c>
      <c r="AP5" s="16">
        <f t="shared" si="11"/>
        <v>0.12172797262617623</v>
      </c>
      <c r="AQ5" s="16">
        <f t="shared" si="11"/>
        <v>0.12593721973094171</v>
      </c>
      <c r="AR5" s="16">
        <f t="shared" si="11"/>
        <v>0.13169067475360122</v>
      </c>
      <c r="AS5" s="16">
        <f t="shared" si="11"/>
        <v>0.13682640313257505</v>
      </c>
      <c r="AT5" s="18">
        <f t="shared" si="6"/>
        <v>0.089809631301730627</v>
      </c>
      <c r="AU5" s="18">
        <f t="shared" si="7"/>
        <v>0.1055509373894588</v>
      </c>
      <c r="AZ5" s="5"/>
      <c r="BA5" s="13" t="s">
        <v>311</v>
      </c>
      <c r="BB5" s="14">
        <v>770.10</v>
      </c>
      <c r="BC5" s="16">
        <v>745.70</v>
      </c>
      <c r="BD5" s="16">
        <v>711.50</v>
      </c>
      <c r="BE5" s="16">
        <v>702.10</v>
      </c>
      <c r="BF5" s="16">
        <v>694.80</v>
      </c>
      <c r="BG5" s="16">
        <v>733.80</v>
      </c>
      <c r="BH5" s="16">
        <v>702.10</v>
      </c>
      <c r="BI5" s="16">
        <v>702.10</v>
      </c>
      <c r="BJ5" s="6"/>
      <c r="BK5" s="6"/>
      <c r="BL5" s="19"/>
      <c r="BM5" s="19"/>
      <c r="BN5" s="19"/>
      <c r="BO5" s="19"/>
    </row>
    <row r="6" spans="1:67" ht="15.5">
      <c r="A6" s="5"/>
      <c r="B6" s="13" t="s">
        <v>312</v>
      </c>
      <c r="C6" s="14">
        <f t="shared" si="12" ref="C6:J6">BB6/1000</f>
        <v>0.1986</v>
      </c>
      <c r="D6" s="14">
        <f t="shared" si="12"/>
        <v>0.17169999999999999</v>
      </c>
      <c r="E6" s="14">
        <f t="shared" si="12"/>
        <v>0.16109999999999999</v>
      </c>
      <c r="F6" s="14">
        <f t="shared" si="12"/>
        <v>0.15790000000000001</v>
      </c>
      <c r="G6" s="14">
        <f t="shared" si="12"/>
        <v>0.15209999999999999</v>
      </c>
      <c r="H6" s="14">
        <f t="shared" si="12"/>
        <v>0.15880000000000002</v>
      </c>
      <c r="I6" s="14">
        <f t="shared" si="12"/>
        <v>0.15790000000000001</v>
      </c>
      <c r="J6" s="14">
        <f t="shared" si="12"/>
        <v>0.15790000000000001</v>
      </c>
      <c r="K6" s="6"/>
      <c r="L6" s="6"/>
      <c r="M6" s="19">
        <v>5.9370000000000003</v>
      </c>
      <c r="N6" s="19">
        <v>5.845</v>
      </c>
      <c r="O6" s="19">
        <v>5.575</v>
      </c>
      <c r="P6" s="19">
        <v>5.2759999999999998</v>
      </c>
      <c r="Q6" s="19">
        <v>5.3630000000000004</v>
      </c>
      <c r="R6" s="19">
        <v>6.645</v>
      </c>
      <c r="S6" s="19">
        <v>5.6539999999999999</v>
      </c>
      <c r="T6" s="19"/>
      <c r="U6" s="5"/>
      <c r="V6" s="13" t="s">
        <v>312</v>
      </c>
      <c r="W6" s="16">
        <f t="shared" si="13" ref="W6:AC6">D6/M6</f>
        <v>0.028920330133063835</v>
      </c>
      <c r="X6" s="16">
        <f t="shared" si="13"/>
        <v>0.027562018819503851</v>
      </c>
      <c r="Y6" s="16">
        <f t="shared" si="13"/>
        <v>0.028322869955156951</v>
      </c>
      <c r="Z6" s="16">
        <f t="shared" si="13"/>
        <v>0.02882865807429871</v>
      </c>
      <c r="AA6" s="16">
        <f t="shared" si="13"/>
        <v>0.029610292746597055</v>
      </c>
      <c r="AB6" s="17">
        <f t="shared" si="13"/>
        <v>0.02376222723852521</v>
      </c>
      <c r="AC6" s="17">
        <f t="shared" si="13"/>
        <v>0.027927131234524234</v>
      </c>
      <c r="AD6" s="6"/>
      <c r="AE6" s="6"/>
      <c r="AF6" s="16">
        <f t="shared" si="14" ref="AF6:AJ6">W6</f>
        <v>0.028920330133063835</v>
      </c>
      <c r="AG6" s="16">
        <f t="shared" si="14"/>
        <v>0.027562018819503851</v>
      </c>
      <c r="AH6" s="16">
        <f t="shared" si="14"/>
        <v>0.028322869955156951</v>
      </c>
      <c r="AI6" s="16">
        <f t="shared" si="14"/>
        <v>0.02882865807429871</v>
      </c>
      <c r="AJ6" s="16">
        <f t="shared" si="14"/>
        <v>0.029610292746597055</v>
      </c>
      <c r="AK6" s="18">
        <f t="shared" si="3"/>
        <v>0.027326561324303989</v>
      </c>
      <c r="AL6" s="18">
        <f t="shared" si="4"/>
        <v>0.032116200919702867</v>
      </c>
      <c r="AM6" s="6"/>
      <c r="AN6" s="6"/>
      <c r="AO6" s="16">
        <f t="shared" si="15" ref="AO6:AS6">W6</f>
        <v>0.028920330133063835</v>
      </c>
      <c r="AP6" s="16">
        <f t="shared" si="15"/>
        <v>0.027562018819503851</v>
      </c>
      <c r="AQ6" s="16">
        <f t="shared" si="15"/>
        <v>0.028322869955156951</v>
      </c>
      <c r="AR6" s="16">
        <f t="shared" si="15"/>
        <v>0.02882865807429871</v>
      </c>
      <c r="AS6" s="16">
        <f t="shared" si="15"/>
        <v>0.029610292746597055</v>
      </c>
      <c r="AT6" s="18">
        <f t="shared" si="6"/>
        <v>0.020197893152746428</v>
      </c>
      <c r="AU6" s="18">
        <f t="shared" si="7"/>
        <v>0.023738061549345598</v>
      </c>
      <c r="AZ6" s="5"/>
      <c r="BA6" s="13" t="s">
        <v>312</v>
      </c>
      <c r="BB6" s="14">
        <v>198.60</v>
      </c>
      <c r="BC6" s="16">
        <v>171.70</v>
      </c>
      <c r="BD6" s="16">
        <v>161.10</v>
      </c>
      <c r="BE6" s="16">
        <v>157.90</v>
      </c>
      <c r="BF6" s="16">
        <v>152.10</v>
      </c>
      <c r="BG6" s="16">
        <v>158.80</v>
      </c>
      <c r="BH6" s="16">
        <v>157.90</v>
      </c>
      <c r="BI6" s="16">
        <v>157.90</v>
      </c>
      <c r="BJ6" s="6"/>
      <c r="BK6" s="6"/>
      <c r="BL6" s="19"/>
      <c r="BM6" s="19"/>
      <c r="BN6" s="19"/>
      <c r="BO6" s="19"/>
    </row>
    <row r="7" spans="1:67" ht="15.5">
      <c r="A7" s="5"/>
      <c r="B7" s="13" t="s">
        <v>313</v>
      </c>
      <c r="C7" s="14">
        <f t="shared" si="16" ref="C7:J7">BB7/1000</f>
        <v>0.48699999999999999</v>
      </c>
      <c r="D7" s="14">
        <f t="shared" si="16"/>
        <v>0.49669999999999997</v>
      </c>
      <c r="E7" s="14">
        <f t="shared" si="16"/>
        <v>0.4758</v>
      </c>
      <c r="F7" s="14">
        <f t="shared" si="16"/>
        <v>0.47049999999999997</v>
      </c>
      <c r="G7" s="14">
        <f t="shared" si="16"/>
        <v>0.46650000000000003</v>
      </c>
      <c r="H7" s="14">
        <f t="shared" si="16"/>
        <v>0.496</v>
      </c>
      <c r="I7" s="14">
        <f t="shared" si="16"/>
        <v>0.47049999999999997</v>
      </c>
      <c r="J7" s="14">
        <f t="shared" si="16"/>
        <v>0.47049999999999997</v>
      </c>
      <c r="K7" s="6"/>
      <c r="L7" s="6"/>
      <c r="M7" s="19">
        <v>5.9370000000000003</v>
      </c>
      <c r="N7" s="19">
        <v>5.845</v>
      </c>
      <c r="O7" s="19">
        <v>5.575</v>
      </c>
      <c r="P7" s="19">
        <v>5.2759999999999998</v>
      </c>
      <c r="Q7" s="19">
        <v>5.3630000000000004</v>
      </c>
      <c r="R7" s="19">
        <v>6.645</v>
      </c>
      <c r="S7" s="19">
        <v>5.6539999999999999</v>
      </c>
      <c r="T7" s="19"/>
      <c r="U7" s="5"/>
      <c r="V7" s="13" t="s">
        <v>313</v>
      </c>
      <c r="W7" s="16">
        <f t="shared" si="17" ref="W7:AC7">D7/M7</f>
        <v>0.083661782044803762</v>
      </c>
      <c r="X7" s="16">
        <f t="shared" si="17"/>
        <v>0.081402908468776736</v>
      </c>
      <c r="Y7" s="16">
        <f t="shared" si="17"/>
        <v>0.084394618834080712</v>
      </c>
      <c r="Z7" s="16">
        <f t="shared" si="17"/>
        <v>0.088419257012888566</v>
      </c>
      <c r="AA7" s="16">
        <f t="shared" si="17"/>
        <v>0.092485549132947972</v>
      </c>
      <c r="AB7" s="17">
        <f t="shared" si="17"/>
        <v>0.070805116629044401</v>
      </c>
      <c r="AC7" s="17">
        <f t="shared" si="17"/>
        <v>0.083215422709586137</v>
      </c>
      <c r="AD7" s="6"/>
      <c r="AE7" s="6"/>
      <c r="AF7" s="16">
        <f t="shared" si="18" ref="AF7:AJ7">W7</f>
        <v>0.083661782044803762</v>
      </c>
      <c r="AG7" s="16">
        <f t="shared" si="18"/>
        <v>0.081402908468776736</v>
      </c>
      <c r="AH7" s="16">
        <f t="shared" si="18"/>
        <v>0.084394618834080712</v>
      </c>
      <c r="AI7" s="16">
        <f t="shared" si="18"/>
        <v>0.088419257012888566</v>
      </c>
      <c r="AJ7" s="16">
        <f t="shared" si="18"/>
        <v>0.092485549132947972</v>
      </c>
      <c r="AK7" s="18">
        <f t="shared" si="3"/>
        <v>0.081425884123401057</v>
      </c>
      <c r="AL7" s="18">
        <f t="shared" si="4"/>
        <v>0.095697736116024057</v>
      </c>
      <c r="AM7" s="6"/>
      <c r="AN7" s="6"/>
      <c r="AO7" s="16">
        <f t="shared" si="19" ref="AO7:AS7">W7</f>
        <v>0.083661782044803762</v>
      </c>
      <c r="AP7" s="16">
        <f t="shared" si="19"/>
        <v>0.081402908468776736</v>
      </c>
      <c r="AQ7" s="16">
        <f t="shared" si="19"/>
        <v>0.084394618834080712</v>
      </c>
      <c r="AR7" s="16">
        <f t="shared" si="19"/>
        <v>0.088419257012888566</v>
      </c>
      <c r="AS7" s="16">
        <f t="shared" si="19"/>
        <v>0.092485549132947972</v>
      </c>
      <c r="AT7" s="18">
        <f t="shared" si="6"/>
        <v>0.060184349134687738</v>
      </c>
      <c r="AU7" s="18">
        <f t="shared" si="7"/>
        <v>0.070733109303148217</v>
      </c>
      <c r="AZ7" s="5"/>
      <c r="BA7" s="13" t="s">
        <v>313</v>
      </c>
      <c r="BB7" s="14">
        <v>487</v>
      </c>
      <c r="BC7" s="16">
        <v>496.70</v>
      </c>
      <c r="BD7" s="16">
        <v>475.80</v>
      </c>
      <c r="BE7" s="16">
        <v>470.50</v>
      </c>
      <c r="BF7" s="16">
        <v>466.50</v>
      </c>
      <c r="BG7" s="16">
        <v>496</v>
      </c>
      <c r="BH7" s="16">
        <v>470.50</v>
      </c>
      <c r="BI7" s="16">
        <v>470.50</v>
      </c>
      <c r="BJ7" s="6"/>
      <c r="BK7" s="6"/>
      <c r="BL7" s="19"/>
      <c r="BM7" s="19"/>
      <c r="BN7" s="19"/>
      <c r="BO7" s="19"/>
    </row>
    <row r="8" spans="1:67" ht="15.5">
      <c r="A8" s="5"/>
      <c r="B8" s="13" t="s">
        <v>314</v>
      </c>
      <c r="C8" s="14">
        <f t="shared" si="20" ref="C8:J8">BB8/1000</f>
        <v>0.084500000000000006</v>
      </c>
      <c r="D8" s="14">
        <f t="shared" si="20"/>
        <v>0.077299999999999994</v>
      </c>
      <c r="E8" s="14">
        <f t="shared" si="20"/>
        <v>0.074499999999999997</v>
      </c>
      <c r="F8" s="14">
        <f t="shared" si="20"/>
        <v>0.073599999999999999</v>
      </c>
      <c r="G8" s="14">
        <f t="shared" si="20"/>
        <v>0.076100000000000001</v>
      </c>
      <c r="H8" s="14">
        <f t="shared" si="20"/>
        <v>0.078900000000000012</v>
      </c>
      <c r="I8" s="14">
        <f t="shared" si="20"/>
        <v>0.073599999999999999</v>
      </c>
      <c r="J8" s="14">
        <f t="shared" si="20"/>
        <v>0.073599999999999999</v>
      </c>
      <c r="K8" s="6"/>
      <c r="L8" s="6"/>
      <c r="M8" s="19">
        <v>5.9370000000000003</v>
      </c>
      <c r="N8" s="19">
        <v>5.845</v>
      </c>
      <c r="O8" s="19">
        <v>5.575</v>
      </c>
      <c r="P8" s="19">
        <v>5.2759999999999998</v>
      </c>
      <c r="Q8" s="19">
        <v>5.3630000000000004</v>
      </c>
      <c r="R8" s="19">
        <v>6.645</v>
      </c>
      <c r="S8" s="19">
        <v>5.6539999999999999</v>
      </c>
      <c r="T8" s="19"/>
      <c r="U8" s="5"/>
      <c r="V8" s="13" t="s">
        <v>314</v>
      </c>
      <c r="W8" s="16">
        <f t="shared" si="21" ref="W8:AC8">D8/M8</f>
        <v>0.013020043793161528</v>
      </c>
      <c r="X8" s="16">
        <f t="shared" si="21"/>
        <v>0.012745936698032506</v>
      </c>
      <c r="Y8" s="16">
        <f t="shared" si="21"/>
        <v>0.013201793721973094</v>
      </c>
      <c r="Z8" s="16">
        <f t="shared" si="21"/>
        <v>0.014423805913570887</v>
      </c>
      <c r="AA8" s="16">
        <f t="shared" si="21"/>
        <v>0.014711914972962896</v>
      </c>
      <c r="AB8" s="17">
        <f t="shared" si="21"/>
        <v>0.011075996990218209</v>
      </c>
      <c r="AC8" s="17">
        <f t="shared" si="21"/>
        <v>0.013017332861690838</v>
      </c>
      <c r="AD8" s="6"/>
      <c r="AE8" s="6"/>
      <c r="AF8" s="16">
        <f t="shared" si="22" ref="AF8:AJ8">W8</f>
        <v>0.013020043793161528</v>
      </c>
      <c r="AG8" s="16">
        <f t="shared" si="22"/>
        <v>0.012745936698032506</v>
      </c>
      <c r="AH8" s="16">
        <f t="shared" si="22"/>
        <v>0.013201793721973094</v>
      </c>
      <c r="AI8" s="16">
        <f t="shared" si="22"/>
        <v>0.014423805913570887</v>
      </c>
      <c r="AJ8" s="16">
        <f t="shared" si="22"/>
        <v>0.014711914972962896</v>
      </c>
      <c r="AK8" s="18">
        <f t="shared" si="3"/>
        <v>0.012737396538750939</v>
      </c>
      <c r="AL8" s="18">
        <f t="shared" si="4"/>
        <v>0.014969932790944463</v>
      </c>
      <c r="AM8" s="6"/>
      <c r="AN8" s="6"/>
      <c r="AO8" s="16">
        <f t="shared" si="23" ref="AO8:AS8">W8</f>
        <v>0.013020043793161528</v>
      </c>
      <c r="AP8" s="16">
        <f t="shared" si="23"/>
        <v>0.012745936698032506</v>
      </c>
      <c r="AQ8" s="16">
        <f t="shared" si="23"/>
        <v>0.013201793721973094</v>
      </c>
      <c r="AR8" s="16">
        <f t="shared" si="23"/>
        <v>0.014423805913570887</v>
      </c>
      <c r="AS8" s="16">
        <f t="shared" si="23"/>
        <v>0.014711914972962896</v>
      </c>
      <c r="AT8" s="18">
        <f t="shared" si="6"/>
        <v>0.0094145974416854766</v>
      </c>
      <c r="AU8" s="18">
        <f t="shared" si="7"/>
        <v>0.011064732932437212</v>
      </c>
      <c r="AZ8" s="5"/>
      <c r="BA8" s="13" t="s">
        <v>314</v>
      </c>
      <c r="BB8" s="14">
        <v>84.50</v>
      </c>
      <c r="BC8" s="16">
        <v>77.30</v>
      </c>
      <c r="BD8" s="16">
        <v>74.50</v>
      </c>
      <c r="BE8" s="16">
        <v>73.60</v>
      </c>
      <c r="BF8" s="16">
        <v>76.10</v>
      </c>
      <c r="BG8" s="16">
        <v>78.90</v>
      </c>
      <c r="BH8" s="16">
        <v>73.60</v>
      </c>
      <c r="BI8" s="16">
        <v>73.60</v>
      </c>
      <c r="BJ8" s="6"/>
      <c r="BK8" s="6"/>
      <c r="BL8" s="19"/>
      <c r="BM8" s="19"/>
      <c r="BN8" s="19"/>
      <c r="BO8" s="19"/>
    </row>
    <row r="9" spans="1:67" ht="15.5">
      <c r="A9" s="5" t="s">
        <v>315</v>
      </c>
      <c r="B9" s="13" t="s">
        <v>310</v>
      </c>
      <c r="C9" s="14">
        <f t="shared" si="24" ref="C9:J9">BB9/1000</f>
        <v>0.85499999999999998</v>
      </c>
      <c r="D9" s="14">
        <f t="shared" si="24"/>
        <v>0.82410000000000005</v>
      </c>
      <c r="E9" s="14">
        <f t="shared" si="24"/>
        <v>0.78570000000000007</v>
      </c>
      <c r="F9" s="14">
        <f t="shared" si="24"/>
        <v>0.77500000000000002</v>
      </c>
      <c r="G9" s="14">
        <f t="shared" si="24"/>
        <v>0.7702</v>
      </c>
      <c r="H9" s="14">
        <f t="shared" si="24"/>
        <v>0.81159999999999999</v>
      </c>
      <c r="I9" s="14">
        <f t="shared" si="24"/>
        <v>0.77500000000000002</v>
      </c>
      <c r="J9" s="14">
        <f t="shared" si="24"/>
        <v>0.77500000000000002</v>
      </c>
      <c r="K9" s="6"/>
      <c r="L9" s="6"/>
      <c r="M9" s="19">
        <v>5.9370000000000003</v>
      </c>
      <c r="N9" s="19">
        <v>5.845</v>
      </c>
      <c r="O9" s="19">
        <v>5.575</v>
      </c>
      <c r="P9" s="19">
        <v>5.2759999999999998</v>
      </c>
      <c r="Q9" s="19">
        <v>5.3630000000000004</v>
      </c>
      <c r="R9" s="19">
        <v>6.645</v>
      </c>
      <c r="S9" s="19">
        <v>5.6539999999999999</v>
      </c>
      <c r="T9" s="19"/>
      <c r="U9" s="5" t="s">
        <v>315</v>
      </c>
      <c r="V9" s="13" t="s">
        <v>310</v>
      </c>
      <c r="W9" s="16">
        <f t="shared" si="25" ref="W9:AC9">D9/M9</f>
        <v>0.13880747852450734</v>
      </c>
      <c r="X9" s="16">
        <f t="shared" si="25"/>
        <v>0.13442258340461935</v>
      </c>
      <c r="Y9" s="16">
        <f t="shared" si="25"/>
        <v>0.13901345291479822</v>
      </c>
      <c r="Z9" s="16">
        <f t="shared" si="25"/>
        <v>0.14598180439727065</v>
      </c>
      <c r="AA9" s="16">
        <f t="shared" si="25"/>
        <v>0.15133320902479955</v>
      </c>
      <c r="AB9" s="17">
        <f t="shared" si="25"/>
        <v>0.11662904439428143</v>
      </c>
      <c r="AC9" s="17">
        <f t="shared" si="25"/>
        <v>0.13707110010611956</v>
      </c>
      <c r="AD9" s="6"/>
      <c r="AE9" s="6"/>
      <c r="AF9" s="16">
        <f t="shared" si="26" ref="AF9:AJ9">W9</f>
        <v>0.13880747852450734</v>
      </c>
      <c r="AG9" s="16">
        <f t="shared" si="26"/>
        <v>0.13442258340461935</v>
      </c>
      <c r="AH9" s="16">
        <f t="shared" si="26"/>
        <v>0.13901345291479822</v>
      </c>
      <c r="AI9" s="16">
        <f t="shared" si="26"/>
        <v>0.14598180439727065</v>
      </c>
      <c r="AJ9" s="16">
        <f t="shared" si="26"/>
        <v>0.15133320902479955</v>
      </c>
      <c r="AK9" s="18">
        <f t="shared" si="3"/>
        <v>0.13412340105342363</v>
      </c>
      <c r="AL9" s="18">
        <f t="shared" si="4"/>
        <v>0.15763176512203747</v>
      </c>
      <c r="AM9" s="6"/>
      <c r="AN9" s="6"/>
      <c r="AO9" s="16">
        <f t="shared" si="27" ref="AO9:AS9">W9</f>
        <v>0.13880747852450734</v>
      </c>
      <c r="AP9" s="16">
        <f t="shared" si="27"/>
        <v>0.13442258340461935</v>
      </c>
      <c r="AQ9" s="16">
        <f t="shared" si="27"/>
        <v>0.13901345291479822</v>
      </c>
      <c r="AR9" s="16">
        <f t="shared" si="27"/>
        <v>0.14598180439727065</v>
      </c>
      <c r="AS9" s="16">
        <f t="shared" si="27"/>
        <v>0.15133320902479955</v>
      </c>
      <c r="AT9" s="18">
        <f t="shared" si="6"/>
        <v>0.099134687735139213</v>
      </c>
      <c r="AU9" s="18">
        <f t="shared" si="7"/>
        <v>0.11651043509020162</v>
      </c>
      <c r="AZ9" s="5" t="s">
        <v>315</v>
      </c>
      <c r="BA9" s="13" t="s">
        <v>310</v>
      </c>
      <c r="BB9" s="14">
        <v>855</v>
      </c>
      <c r="BC9" s="16">
        <v>824.10</v>
      </c>
      <c r="BD9" s="16">
        <v>785.70</v>
      </c>
      <c r="BE9" s="16">
        <v>775</v>
      </c>
      <c r="BF9" s="16">
        <v>770.20</v>
      </c>
      <c r="BG9" s="16">
        <v>811.60</v>
      </c>
      <c r="BH9" s="16">
        <v>775</v>
      </c>
      <c r="BI9" s="16">
        <v>775</v>
      </c>
      <c r="BJ9" s="6"/>
      <c r="BK9" s="6"/>
      <c r="BL9" s="19"/>
      <c r="BM9" s="19"/>
      <c r="BN9" s="19"/>
      <c r="BO9" s="19"/>
    </row>
    <row r="10" spans="1:67" ht="15.5">
      <c r="A10" s="5"/>
      <c r="B10" s="13" t="s">
        <v>311</v>
      </c>
      <c r="C10" s="14">
        <f t="shared" si="28" ref="C10:J10">BB10/1000</f>
        <v>0.78879999999999995</v>
      </c>
      <c r="D10" s="14">
        <f t="shared" si="28"/>
        <v>0.76260000000000006</v>
      </c>
      <c r="E10" s="14">
        <f t="shared" si="28"/>
        <v>0.72750000000000004</v>
      </c>
      <c r="F10" s="14">
        <f t="shared" si="28"/>
        <v>0.71789999999999998</v>
      </c>
      <c r="G10" s="14">
        <f t="shared" si="28"/>
        <v>0.7107</v>
      </c>
      <c r="H10" s="14">
        <f t="shared" si="28"/>
        <v>0.75029999999999997</v>
      </c>
      <c r="I10" s="14">
        <f t="shared" si="28"/>
        <v>0.71789999999999998</v>
      </c>
      <c r="J10" s="14">
        <f t="shared" si="28"/>
        <v>0.71789999999999998</v>
      </c>
      <c r="K10" s="6"/>
      <c r="L10" s="6"/>
      <c r="M10" s="19">
        <v>5.9370000000000003</v>
      </c>
      <c r="N10" s="19">
        <v>5.845</v>
      </c>
      <c r="O10" s="19">
        <v>5.575</v>
      </c>
      <c r="P10" s="19">
        <v>5.2759999999999998</v>
      </c>
      <c r="Q10" s="19">
        <v>5.3630000000000004</v>
      </c>
      <c r="R10" s="19">
        <v>6.645</v>
      </c>
      <c r="S10" s="19">
        <v>5.6539999999999999</v>
      </c>
      <c r="T10" s="19"/>
      <c r="U10" s="5"/>
      <c r="V10" s="13" t="s">
        <v>311</v>
      </c>
      <c r="W10" s="16">
        <f t="shared" si="29" ref="W10:AC10">D10/M10</f>
        <v>0.12844871147043962</v>
      </c>
      <c r="X10" s="16">
        <f t="shared" si="29"/>
        <v>0.12446535500427718</v>
      </c>
      <c r="Y10" s="16">
        <f t="shared" si="29"/>
        <v>0.12877130044843049</v>
      </c>
      <c r="Z10" s="16">
        <f t="shared" si="29"/>
        <v>0.13470432145564823</v>
      </c>
      <c r="AA10" s="16">
        <f t="shared" si="29"/>
        <v>0.13990303934365092</v>
      </c>
      <c r="AB10" s="17">
        <f t="shared" si="29"/>
        <v>0.10803611738148984</v>
      </c>
      <c r="AC10" s="17">
        <f t="shared" si="29"/>
        <v>0.12697205518217192</v>
      </c>
      <c r="AD10" s="6"/>
      <c r="AE10" s="6"/>
      <c r="AF10" s="16">
        <f t="shared" si="30" ref="AF10:AJ10">W10</f>
        <v>0.12844871147043962</v>
      </c>
      <c r="AG10" s="16">
        <f t="shared" si="30"/>
        <v>0.12446535500427718</v>
      </c>
      <c r="AH10" s="16">
        <f t="shared" si="30"/>
        <v>0.12877130044843049</v>
      </c>
      <c r="AI10" s="16">
        <f t="shared" si="30"/>
        <v>0.13470432145564823</v>
      </c>
      <c r="AJ10" s="16">
        <f t="shared" si="30"/>
        <v>0.13990303934365092</v>
      </c>
      <c r="AK10" s="18">
        <f t="shared" si="3"/>
        <v>0.12424153498871331</v>
      </c>
      <c r="AL10" s="18">
        <f t="shared" si="4"/>
        <v>0.14601786345949769</v>
      </c>
      <c r="AM10" s="6"/>
      <c r="AN10" s="6"/>
      <c r="AO10" s="16">
        <f t="shared" si="31" ref="AO10:AS10">W10</f>
        <v>0.12844871147043962</v>
      </c>
      <c r="AP10" s="16">
        <f t="shared" si="31"/>
        <v>0.12446535500427718</v>
      </c>
      <c r="AQ10" s="16">
        <f t="shared" si="31"/>
        <v>0.12877130044843049</v>
      </c>
      <c r="AR10" s="16">
        <f t="shared" si="31"/>
        <v>0.13470432145564823</v>
      </c>
      <c r="AS10" s="16">
        <f t="shared" si="31"/>
        <v>0.13990303934365092</v>
      </c>
      <c r="AT10" s="18">
        <f t="shared" si="6"/>
        <v>0.091830699774266361</v>
      </c>
      <c r="AU10" s="18">
        <f t="shared" si="7"/>
        <v>0.10792624690484613</v>
      </c>
      <c r="AZ10" s="5"/>
      <c r="BA10" s="13" t="s">
        <v>311</v>
      </c>
      <c r="BB10" s="14">
        <v>788.80</v>
      </c>
      <c r="BC10" s="16">
        <v>762.60</v>
      </c>
      <c r="BD10" s="16">
        <v>727.50</v>
      </c>
      <c r="BE10" s="16">
        <v>717.90</v>
      </c>
      <c r="BF10" s="16">
        <v>710.70</v>
      </c>
      <c r="BG10" s="16">
        <v>750.30</v>
      </c>
      <c r="BH10" s="16">
        <v>717.90</v>
      </c>
      <c r="BI10" s="16">
        <v>717.90</v>
      </c>
      <c r="BJ10" s="6"/>
      <c r="BK10" s="6"/>
      <c r="BL10" s="19"/>
      <c r="BM10" s="19"/>
      <c r="BN10" s="19"/>
      <c r="BO10" s="19"/>
    </row>
    <row r="11" spans="1:67" ht="15.5">
      <c r="A11" s="5"/>
      <c r="B11" s="13" t="s">
        <v>312</v>
      </c>
      <c r="C11" s="14">
        <f t="shared" si="32" ref="C11:J11">BB11/1000</f>
        <v>0.23810000000000001</v>
      </c>
      <c r="D11" s="14">
        <f t="shared" si="32"/>
        <v>0.20749999999999999</v>
      </c>
      <c r="E11" s="14">
        <f t="shared" si="32"/>
        <v>0.1951</v>
      </c>
      <c r="F11" s="14">
        <f t="shared" si="32"/>
        <v>0.19159999999999999</v>
      </c>
      <c r="G11" s="14">
        <f t="shared" si="32"/>
        <v>0.186</v>
      </c>
      <c r="H11" s="14">
        <f t="shared" si="32"/>
        <v>0.1938</v>
      </c>
      <c r="I11" s="14">
        <f t="shared" si="32"/>
        <v>0.19159999999999999</v>
      </c>
      <c r="J11" s="14">
        <f t="shared" si="32"/>
        <v>0.19159999999999999</v>
      </c>
      <c r="K11" s="6"/>
      <c r="L11" s="6"/>
      <c r="M11" s="19">
        <v>5.9370000000000003</v>
      </c>
      <c r="N11" s="19">
        <v>5.845</v>
      </c>
      <c r="O11" s="19">
        <v>5.575</v>
      </c>
      <c r="P11" s="19">
        <v>5.2759999999999998</v>
      </c>
      <c r="Q11" s="19">
        <v>5.3630000000000004</v>
      </c>
      <c r="R11" s="19">
        <v>6.645</v>
      </c>
      <c r="S11" s="19">
        <v>5.6539999999999999</v>
      </c>
      <c r="T11" s="19"/>
      <c r="U11" s="5"/>
      <c r="V11" s="13" t="s">
        <v>312</v>
      </c>
      <c r="W11" s="16">
        <f t="shared" si="33" ref="W11:AC11">D11/M11</f>
        <v>0.0349503116051878</v>
      </c>
      <c r="X11" s="16">
        <f t="shared" si="33"/>
        <v>0.033378956372968352</v>
      </c>
      <c r="Y11" s="16">
        <f t="shared" si="33"/>
        <v>0.034367713004484303</v>
      </c>
      <c r="Z11" s="16">
        <f t="shared" si="33"/>
        <v>0.035253980288097043</v>
      </c>
      <c r="AA11" s="16">
        <f t="shared" si="33"/>
        <v>0.036136490770091366</v>
      </c>
      <c r="AB11" s="17">
        <f t="shared" si="33"/>
        <v>0.028833709556057185</v>
      </c>
      <c r="AC11" s="17">
        <f t="shared" si="33"/>
        <v>0.033887513264945171</v>
      </c>
      <c r="AD11" s="6"/>
      <c r="AE11" s="6"/>
      <c r="AF11" s="16">
        <f t="shared" si="34" ref="AF11:AJ11">W11</f>
        <v>0.0349503116051878</v>
      </c>
      <c r="AG11" s="16">
        <f t="shared" si="34"/>
        <v>0.033378956372968352</v>
      </c>
      <c r="AH11" s="16">
        <f t="shared" si="34"/>
        <v>0.034367713004484303</v>
      </c>
      <c r="AI11" s="16">
        <f t="shared" si="34"/>
        <v>0.035253980288097043</v>
      </c>
      <c r="AJ11" s="16">
        <f t="shared" si="34"/>
        <v>0.036136490770091366</v>
      </c>
      <c r="AK11" s="18">
        <f t="shared" si="3"/>
        <v>0.033158765989465759</v>
      </c>
      <c r="AL11" s="18">
        <f t="shared" si="4"/>
        <v>0.038970640254686946</v>
      </c>
      <c r="AM11" s="6"/>
      <c r="AN11" s="6"/>
      <c r="AO11" s="16">
        <f t="shared" si="35" ref="AO11:AS11">W11</f>
        <v>0.0349503116051878</v>
      </c>
      <c r="AP11" s="16">
        <f t="shared" si="35"/>
        <v>0.033378956372968352</v>
      </c>
      <c r="AQ11" s="16">
        <f t="shared" si="35"/>
        <v>0.034367713004484303</v>
      </c>
      <c r="AR11" s="16">
        <f t="shared" si="35"/>
        <v>0.035253980288097043</v>
      </c>
      <c r="AS11" s="16">
        <f t="shared" si="35"/>
        <v>0.036136490770091366</v>
      </c>
      <c r="AT11" s="18">
        <f t="shared" si="6"/>
        <v>0.024508653122648608</v>
      </c>
      <c r="AU11" s="18">
        <f t="shared" si="7"/>
        <v>0.028804386275203396</v>
      </c>
      <c r="AZ11" s="5"/>
      <c r="BA11" s="13" t="s">
        <v>312</v>
      </c>
      <c r="BB11" s="14">
        <v>238.10</v>
      </c>
      <c r="BC11" s="16">
        <v>207.50</v>
      </c>
      <c r="BD11" s="16">
        <v>195.10</v>
      </c>
      <c r="BE11" s="16">
        <v>191.60</v>
      </c>
      <c r="BF11" s="16">
        <v>186</v>
      </c>
      <c r="BG11" s="16">
        <v>193.80</v>
      </c>
      <c r="BH11" s="16">
        <v>191.60</v>
      </c>
      <c r="BI11" s="16">
        <v>191.60</v>
      </c>
      <c r="BJ11" s="6"/>
      <c r="BK11" s="6"/>
      <c r="BL11" s="19"/>
      <c r="BM11" s="19"/>
      <c r="BN11" s="19"/>
      <c r="BO11" s="19"/>
    </row>
    <row r="12" spans="1:67" ht="15.5">
      <c r="A12" s="5"/>
      <c r="B12" s="13" t="s">
        <v>313</v>
      </c>
      <c r="C12" s="14">
        <f t="shared" si="36" ref="C12:J12">BB12/1000</f>
        <v>0.46289999999999998</v>
      </c>
      <c r="D12" s="14">
        <f t="shared" si="36"/>
        <v>0.47489999999999999</v>
      </c>
      <c r="E12" s="14">
        <f t="shared" si="36"/>
        <v>0.4551</v>
      </c>
      <c r="F12" s="14">
        <f t="shared" si="36"/>
        <v>0.45000000000000001</v>
      </c>
      <c r="G12" s="14">
        <f t="shared" si="36"/>
        <v>0.44589999999999996</v>
      </c>
      <c r="H12" s="14">
        <f t="shared" si="36"/>
        <v>0.47470000000000001</v>
      </c>
      <c r="I12" s="14">
        <f t="shared" si="36"/>
        <v>0.45000000000000001</v>
      </c>
      <c r="J12" s="14">
        <f t="shared" si="36"/>
        <v>0.45000000000000001</v>
      </c>
      <c r="K12" s="6"/>
      <c r="L12" s="6"/>
      <c r="M12" s="19">
        <v>5.9370000000000003</v>
      </c>
      <c r="N12" s="19">
        <v>5.845</v>
      </c>
      <c r="O12" s="19">
        <v>5.575</v>
      </c>
      <c r="P12" s="19">
        <v>5.2759999999999998</v>
      </c>
      <c r="Q12" s="19">
        <v>5.3630000000000004</v>
      </c>
      <c r="R12" s="19">
        <v>6.645</v>
      </c>
      <c r="S12" s="19">
        <v>5.6539999999999999</v>
      </c>
      <c r="T12" s="19"/>
      <c r="U12" s="5"/>
      <c r="V12" s="13" t="s">
        <v>313</v>
      </c>
      <c r="W12" s="16">
        <f t="shared" si="37" ref="W12:AC12">D12/M12</f>
        <v>0.079989893885800897</v>
      </c>
      <c r="X12" s="16">
        <f t="shared" si="37"/>
        <v>0.077861420017108648</v>
      </c>
      <c r="Y12" s="16">
        <f t="shared" si="37"/>
        <v>0.080717488789237665</v>
      </c>
      <c r="Z12" s="16">
        <f t="shared" si="37"/>
        <v>0.08451478392721759</v>
      </c>
      <c r="AA12" s="16">
        <f t="shared" si="37"/>
        <v>0.088513891478650006</v>
      </c>
      <c r="AB12" s="17">
        <f t="shared" si="37"/>
        <v>0.06772009029345373</v>
      </c>
      <c r="AC12" s="17">
        <f t="shared" si="37"/>
        <v>0.079589671029359751</v>
      </c>
      <c r="AD12" s="6"/>
      <c r="AE12" s="6"/>
      <c r="AF12" s="16">
        <f t="shared" si="38" ref="AF12:AJ12">W12</f>
        <v>0.079989893885800897</v>
      </c>
      <c r="AG12" s="16">
        <f t="shared" si="38"/>
        <v>0.077861420017108648</v>
      </c>
      <c r="AH12" s="16">
        <f t="shared" si="38"/>
        <v>0.080717488789237665</v>
      </c>
      <c r="AI12" s="16">
        <f t="shared" si="38"/>
        <v>0.08451478392721759</v>
      </c>
      <c r="AJ12" s="16">
        <f t="shared" si="38"/>
        <v>0.088513891478650006</v>
      </c>
      <c r="AK12" s="18">
        <f t="shared" si="3"/>
        <v>0.07787810383747179</v>
      </c>
      <c r="AL12" s="18">
        <f t="shared" si="4"/>
        <v>0.091528121683763702</v>
      </c>
      <c r="AM12" s="6"/>
      <c r="AN12" s="6"/>
      <c r="AO12" s="16">
        <f t="shared" si="39" ref="AO12:AS12">W12</f>
        <v>0.079989893885800897</v>
      </c>
      <c r="AP12" s="16">
        <f t="shared" si="39"/>
        <v>0.077861420017108648</v>
      </c>
      <c r="AQ12" s="16">
        <f t="shared" si="39"/>
        <v>0.080717488789237665</v>
      </c>
      <c r="AR12" s="16">
        <f t="shared" si="39"/>
        <v>0.08451478392721759</v>
      </c>
      <c r="AS12" s="16">
        <f t="shared" si="39"/>
        <v>0.088513891478650006</v>
      </c>
      <c r="AT12" s="18">
        <f t="shared" si="6"/>
        <v>0.05756207674943567</v>
      </c>
      <c r="AU12" s="18">
        <f t="shared" si="7"/>
        <v>0.067651220374955787</v>
      </c>
      <c r="AZ12" s="5"/>
      <c r="BA12" s="13" t="s">
        <v>313</v>
      </c>
      <c r="BB12" s="14">
        <v>462.90</v>
      </c>
      <c r="BC12" s="16">
        <v>474.90</v>
      </c>
      <c r="BD12" s="16">
        <v>455.10</v>
      </c>
      <c r="BE12" s="16">
        <v>450</v>
      </c>
      <c r="BF12" s="16">
        <v>445.90</v>
      </c>
      <c r="BG12" s="16">
        <v>474.70</v>
      </c>
      <c r="BH12" s="16">
        <v>450</v>
      </c>
      <c r="BI12" s="16">
        <v>450</v>
      </c>
      <c r="BJ12" s="6"/>
      <c r="BK12" s="6"/>
      <c r="BL12" s="19"/>
      <c r="BM12" s="19"/>
      <c r="BN12" s="19"/>
      <c r="BO12" s="19"/>
    </row>
    <row r="13" spans="1:67" ht="15.5">
      <c r="A13" s="5"/>
      <c r="B13" s="13" t="s">
        <v>314</v>
      </c>
      <c r="C13" s="14">
        <f t="shared" si="40" ref="C13:J13">BB13/1000</f>
        <v>0.0877</v>
      </c>
      <c r="D13" s="14">
        <f t="shared" si="40"/>
        <v>0.080200000000000007</v>
      </c>
      <c r="E13" s="14">
        <f t="shared" si="40"/>
        <v>0.077200000000000005</v>
      </c>
      <c r="F13" s="14">
        <f t="shared" si="40"/>
        <v>0.076299999999999993</v>
      </c>
      <c r="G13" s="14">
        <f t="shared" si="40"/>
        <v>0.078900000000000012</v>
      </c>
      <c r="H13" s="14">
        <f t="shared" si="40"/>
        <v>0.081700000000000009</v>
      </c>
      <c r="I13" s="14">
        <f t="shared" si="40"/>
        <v>0.076299999999999993</v>
      </c>
      <c r="J13" s="14">
        <f t="shared" si="40"/>
        <v>0.076299999999999993</v>
      </c>
      <c r="K13" s="6"/>
      <c r="L13" s="6"/>
      <c r="M13" s="19">
        <v>5.9370000000000003</v>
      </c>
      <c r="N13" s="19">
        <v>5.845</v>
      </c>
      <c r="O13" s="19">
        <v>5.575</v>
      </c>
      <c r="P13" s="19">
        <v>5.2759999999999998</v>
      </c>
      <c r="Q13" s="19">
        <v>5.3630000000000004</v>
      </c>
      <c r="R13" s="19">
        <v>6.645</v>
      </c>
      <c r="S13" s="19">
        <v>5.6539999999999999</v>
      </c>
      <c r="T13" s="19"/>
      <c r="U13" s="5"/>
      <c r="V13" s="13" t="s">
        <v>314</v>
      </c>
      <c r="W13" s="16">
        <f t="shared" si="41" ref="W13:AC13">D13/M13</f>
        <v>0.013508505979450901</v>
      </c>
      <c r="X13" s="16">
        <f t="shared" si="41"/>
        <v>0.013207869974337042</v>
      </c>
      <c r="Y13" s="16">
        <f t="shared" si="41"/>
        <v>0.013686098654708519</v>
      </c>
      <c r="Z13" s="16">
        <f t="shared" si="41"/>
        <v>0.014954510993176651</v>
      </c>
      <c r="AA13" s="16">
        <f t="shared" si="41"/>
        <v>0.015234010814842439</v>
      </c>
      <c r="AB13" s="17">
        <f t="shared" si="41"/>
        <v>0.011482317531978932</v>
      </c>
      <c r="AC13" s="17">
        <f t="shared" si="41"/>
        <v>0.013494870887866996</v>
      </c>
      <c r="AD13" s="6"/>
      <c r="AE13" s="6"/>
      <c r="AF13" s="16">
        <f t="shared" si="42" ref="AF13:AJ13">W13</f>
        <v>0.013508505979450901</v>
      </c>
      <c r="AG13" s="16">
        <f t="shared" si="42"/>
        <v>0.013207869974337042</v>
      </c>
      <c r="AH13" s="16">
        <f t="shared" si="42"/>
        <v>0.013686098654708519</v>
      </c>
      <c r="AI13" s="16">
        <f t="shared" si="42"/>
        <v>0.014954510993176651</v>
      </c>
      <c r="AJ13" s="16">
        <f t="shared" si="42"/>
        <v>0.015234010814842439</v>
      </c>
      <c r="AK13" s="18">
        <f t="shared" si="3"/>
        <v>0.013204665161775771</v>
      </c>
      <c r="AL13" s="18">
        <f t="shared" si="4"/>
        <v>0.015519101521047044</v>
      </c>
      <c r="AM13" s="6"/>
      <c r="AN13" s="6"/>
      <c r="AO13" s="16">
        <f t="shared" si="43" ref="AO13:AS13">W13</f>
        <v>0.013508505979450901</v>
      </c>
      <c r="AP13" s="16">
        <f t="shared" si="43"/>
        <v>0.013207869974337042</v>
      </c>
      <c r="AQ13" s="16">
        <f t="shared" si="43"/>
        <v>0.013686098654708519</v>
      </c>
      <c r="AR13" s="16">
        <f t="shared" si="43"/>
        <v>0.014954510993176651</v>
      </c>
      <c r="AS13" s="16">
        <f t="shared" si="43"/>
        <v>0.015234010814842439</v>
      </c>
      <c r="AT13" s="18">
        <f t="shared" si="6"/>
        <v>0.0097599699021820915</v>
      </c>
      <c r="AU13" s="18">
        <f t="shared" si="7"/>
        <v>0.011470640254686946</v>
      </c>
      <c r="AZ13" s="5"/>
      <c r="BA13" s="13" t="s">
        <v>314</v>
      </c>
      <c r="BB13" s="14">
        <v>87.70</v>
      </c>
      <c r="BC13" s="16">
        <v>80.20</v>
      </c>
      <c r="BD13" s="16">
        <v>77.20</v>
      </c>
      <c r="BE13" s="16">
        <v>76.30</v>
      </c>
      <c r="BF13" s="16">
        <v>78.90</v>
      </c>
      <c r="BG13" s="16">
        <v>81.70</v>
      </c>
      <c r="BH13" s="16">
        <v>76.30</v>
      </c>
      <c r="BI13" s="16">
        <v>76.30</v>
      </c>
      <c r="BJ13" s="6"/>
      <c r="BK13" s="6"/>
      <c r="BL13" s="19"/>
      <c r="BM13" s="19"/>
      <c r="BN13" s="19"/>
      <c r="BO13" s="19"/>
    </row>
    <row r="14" spans="1:67" ht="15.5">
      <c r="A14" s="5" t="s">
        <v>11</v>
      </c>
      <c r="B14" s="13" t="s">
        <v>310</v>
      </c>
      <c r="C14" s="14">
        <f t="shared" si="44" ref="C14:J14">BB14/1000</f>
        <v>0.87050000000000005</v>
      </c>
      <c r="D14" s="14">
        <f t="shared" si="44"/>
        <v>0.83810000000000007</v>
      </c>
      <c r="E14" s="14">
        <f t="shared" si="44"/>
        <v>0.79900000000000004</v>
      </c>
      <c r="F14" s="14">
        <f t="shared" si="44"/>
        <v>0.78820000000000001</v>
      </c>
      <c r="G14" s="14">
        <f t="shared" si="44"/>
        <v>0.78349999999999997</v>
      </c>
      <c r="H14" s="14">
        <f t="shared" si="44"/>
        <v>0.82529999999999992</v>
      </c>
      <c r="I14" s="14">
        <f t="shared" si="44"/>
        <v>0.78820000000000001</v>
      </c>
      <c r="J14" s="14">
        <f t="shared" si="44"/>
        <v>0.78820000000000001</v>
      </c>
      <c r="K14" s="6"/>
      <c r="L14" s="6"/>
      <c r="M14" s="19">
        <v>5.9370000000000003</v>
      </c>
      <c r="N14" s="19">
        <v>5.845</v>
      </c>
      <c r="O14" s="19">
        <v>5.575</v>
      </c>
      <c r="P14" s="19">
        <v>5.2759999999999998</v>
      </c>
      <c r="Q14" s="19">
        <v>5.3630000000000004</v>
      </c>
      <c r="R14" s="19">
        <v>6.645</v>
      </c>
      <c r="S14" s="19">
        <v>5.6539999999999999</v>
      </c>
      <c r="T14" s="19"/>
      <c r="U14" s="5" t="s">
        <v>11</v>
      </c>
      <c r="V14" s="13" t="s">
        <v>310</v>
      </c>
      <c r="W14" s="16">
        <f t="shared" si="45" ref="W14:AC14">D14/M14</f>
        <v>0.14116557183762843</v>
      </c>
      <c r="X14" s="16">
        <f t="shared" si="45"/>
        <v>0.13669803250641574</v>
      </c>
      <c r="Y14" s="16">
        <f t="shared" si="45"/>
        <v>0.14138116591928251</v>
      </c>
      <c r="Z14" s="16">
        <f t="shared" si="45"/>
        <v>0.14850265352539804</v>
      </c>
      <c r="AA14" s="16">
        <f t="shared" si="45"/>
        <v>0.15388774939399588</v>
      </c>
      <c r="AB14" s="17">
        <f t="shared" si="45"/>
        <v>0.11861550037622273</v>
      </c>
      <c r="AC14" s="17">
        <f t="shared" si="45"/>
        <v>0.13940573045631413</v>
      </c>
      <c r="AD14" s="6"/>
      <c r="AE14" s="6"/>
      <c r="AF14" s="16">
        <f t="shared" si="46" ref="AF14:AJ14">W14</f>
        <v>0.14116557183762843</v>
      </c>
      <c r="AG14" s="16">
        <f t="shared" si="46"/>
        <v>0.13669803250641574</v>
      </c>
      <c r="AH14" s="16">
        <f t="shared" si="46"/>
        <v>0.14138116591928251</v>
      </c>
      <c r="AI14" s="16">
        <f t="shared" si="46"/>
        <v>0.14850265352539804</v>
      </c>
      <c r="AJ14" s="16">
        <f t="shared" si="46"/>
        <v>0.15388774939399588</v>
      </c>
      <c r="AK14" s="18">
        <f t="shared" si="3"/>
        <v>0.13640782543265614</v>
      </c>
      <c r="AL14" s="18">
        <f t="shared" si="4"/>
        <v>0.16031659002476123</v>
      </c>
      <c r="AM14" s="6"/>
      <c r="AN14" s="6"/>
      <c r="AO14" s="16">
        <f t="shared" si="47" ref="AO14:AS14">W14</f>
        <v>0.14116557183762843</v>
      </c>
      <c r="AP14" s="16">
        <f t="shared" si="47"/>
        <v>0.13669803250641574</v>
      </c>
      <c r="AQ14" s="16">
        <f t="shared" si="47"/>
        <v>0.14138116591928251</v>
      </c>
      <c r="AR14" s="16">
        <f t="shared" si="47"/>
        <v>0.14850265352539804</v>
      </c>
      <c r="AS14" s="16">
        <f t="shared" si="47"/>
        <v>0.15388774939399588</v>
      </c>
      <c r="AT14" s="18">
        <f t="shared" si="6"/>
        <v>0.10082317531978932</v>
      </c>
      <c r="AU14" s="18">
        <f t="shared" si="7"/>
        <v>0.118494870887867</v>
      </c>
      <c r="AZ14" s="5" t="s">
        <v>11</v>
      </c>
      <c r="BA14" s="13" t="s">
        <v>310</v>
      </c>
      <c r="BB14" s="14">
        <v>870.50</v>
      </c>
      <c r="BC14" s="16">
        <v>838.10</v>
      </c>
      <c r="BD14" s="16">
        <v>799</v>
      </c>
      <c r="BE14" s="16">
        <v>788.20</v>
      </c>
      <c r="BF14" s="16">
        <v>783.50</v>
      </c>
      <c r="BG14" s="16">
        <v>825.30</v>
      </c>
      <c r="BH14" s="16">
        <v>788.20</v>
      </c>
      <c r="BI14" s="16">
        <v>788.20</v>
      </c>
      <c r="BJ14" s="6"/>
      <c r="BK14" s="6"/>
      <c r="BL14" s="19"/>
      <c r="BM14" s="19"/>
      <c r="BN14" s="19"/>
      <c r="BO14" s="19"/>
    </row>
    <row r="15" spans="1:67" ht="15.5">
      <c r="A15" s="5"/>
      <c r="B15" s="13" t="s">
        <v>311</v>
      </c>
      <c r="C15" s="14">
        <f t="shared" si="48" ref="C15:J15">BB15/1000</f>
        <v>0.80120000000000002</v>
      </c>
      <c r="D15" s="14">
        <f t="shared" si="48"/>
        <v>0.77379999999999993</v>
      </c>
      <c r="E15" s="14">
        <f t="shared" si="48"/>
        <v>0.73820000000000008</v>
      </c>
      <c r="F15" s="14">
        <f t="shared" si="48"/>
        <v>0.72850000000000004</v>
      </c>
      <c r="G15" s="14">
        <f t="shared" si="48"/>
        <v>0.72139999999999993</v>
      </c>
      <c r="H15" s="14">
        <f t="shared" si="48"/>
        <v>0.76129999999999998</v>
      </c>
      <c r="I15" s="14">
        <f t="shared" si="48"/>
        <v>0.72850000000000004</v>
      </c>
      <c r="J15" s="14">
        <f t="shared" si="48"/>
        <v>0.72850000000000004</v>
      </c>
      <c r="K15" s="6"/>
      <c r="L15" s="6"/>
      <c r="M15" s="19">
        <v>5.9370000000000003</v>
      </c>
      <c r="N15" s="19">
        <v>5.845</v>
      </c>
      <c r="O15" s="19">
        <v>5.575</v>
      </c>
      <c r="P15" s="19">
        <v>5.2759999999999998</v>
      </c>
      <c r="Q15" s="19">
        <v>5.3630000000000004</v>
      </c>
      <c r="R15" s="19">
        <v>6.645</v>
      </c>
      <c r="S15" s="19">
        <v>5.6539999999999999</v>
      </c>
      <c r="T15" s="19"/>
      <c r="U15" s="5"/>
      <c r="V15" s="13" t="s">
        <v>311</v>
      </c>
      <c r="W15" s="16">
        <f t="shared" si="49" ref="W15:AC15">D15/M15</f>
        <v>0.13033518612093647</v>
      </c>
      <c r="X15" s="16">
        <f t="shared" si="49"/>
        <v>0.12629597946963217</v>
      </c>
      <c r="Y15" s="16">
        <f t="shared" si="49"/>
        <v>0.1306726457399103</v>
      </c>
      <c r="Z15" s="16">
        <f t="shared" si="49"/>
        <v>0.13673237300985594</v>
      </c>
      <c r="AA15" s="16">
        <f t="shared" si="49"/>
        <v>0.14195413015103486</v>
      </c>
      <c r="AB15" s="17">
        <f t="shared" si="49"/>
        <v>0.10963130173062455</v>
      </c>
      <c r="AC15" s="17">
        <f t="shared" si="49"/>
        <v>0.12884683409975239</v>
      </c>
      <c r="AD15" s="6"/>
      <c r="AE15" s="6"/>
      <c r="AF15" s="16">
        <f t="shared" si="50" ref="AF15:AJ15">W15</f>
        <v>0.13033518612093647</v>
      </c>
      <c r="AG15" s="16">
        <f t="shared" si="50"/>
        <v>0.12629597946963217</v>
      </c>
      <c r="AH15" s="16">
        <f t="shared" si="50"/>
        <v>0.1306726457399103</v>
      </c>
      <c r="AI15" s="16">
        <f t="shared" si="50"/>
        <v>0.13673237300985594</v>
      </c>
      <c r="AJ15" s="16">
        <f t="shared" si="50"/>
        <v>0.14195413015103486</v>
      </c>
      <c r="AK15" s="18">
        <f t="shared" si="3"/>
        <v>0.12607599699021821</v>
      </c>
      <c r="AL15" s="18">
        <f t="shared" si="4"/>
        <v>0.14817385921471524</v>
      </c>
      <c r="AM15" s="6"/>
      <c r="AN15" s="6"/>
      <c r="AO15" s="16">
        <f t="shared" si="51" ref="AO15:AS15">W15</f>
        <v>0.13033518612093647</v>
      </c>
      <c r="AP15" s="16">
        <f t="shared" si="51"/>
        <v>0.12629597946963217</v>
      </c>
      <c r="AQ15" s="16">
        <f t="shared" si="51"/>
        <v>0.1306726457399103</v>
      </c>
      <c r="AR15" s="16">
        <f t="shared" si="51"/>
        <v>0.13673237300985594</v>
      </c>
      <c r="AS15" s="16">
        <f t="shared" si="51"/>
        <v>0.14195413015103486</v>
      </c>
      <c r="AT15" s="18">
        <f t="shared" si="6"/>
        <v>0.093186606471030858</v>
      </c>
      <c r="AU15" s="18">
        <f t="shared" si="7"/>
        <v>0.10951980898478954</v>
      </c>
      <c r="AZ15" s="5"/>
      <c r="BA15" s="13" t="s">
        <v>311</v>
      </c>
      <c r="BB15" s="14">
        <v>801.20</v>
      </c>
      <c r="BC15" s="16">
        <v>773.80</v>
      </c>
      <c r="BD15" s="16">
        <v>738.20</v>
      </c>
      <c r="BE15" s="16">
        <v>728.50</v>
      </c>
      <c r="BF15" s="16">
        <v>721.40</v>
      </c>
      <c r="BG15" s="16">
        <v>761.30</v>
      </c>
      <c r="BH15" s="16">
        <v>728.50</v>
      </c>
      <c r="BI15" s="16">
        <v>728.50</v>
      </c>
      <c r="BJ15" s="6"/>
      <c r="BK15" s="6"/>
      <c r="BL15" s="19"/>
      <c r="BM15" s="19"/>
      <c r="BN15" s="19"/>
      <c r="BO15" s="19"/>
    </row>
    <row r="16" spans="1:67" ht="15.5">
      <c r="A16" s="5"/>
      <c r="B16" s="13" t="s">
        <v>312</v>
      </c>
      <c r="C16" s="14">
        <f t="shared" si="52" ref="C16:J16">BB16/1000</f>
        <v>0.30210000000000004</v>
      </c>
      <c r="D16" s="14">
        <f t="shared" si="52"/>
        <v>0.26539999999999997</v>
      </c>
      <c r="E16" s="14">
        <f t="shared" si="52"/>
        <v>0.25019999999999998</v>
      </c>
      <c r="F16" s="14">
        <f t="shared" si="52"/>
        <v>0.246</v>
      </c>
      <c r="G16" s="14">
        <f t="shared" si="52"/>
        <v>0.24080000000000001</v>
      </c>
      <c r="H16" s="14">
        <f t="shared" si="52"/>
        <v>0.25059999999999999</v>
      </c>
      <c r="I16" s="14">
        <f t="shared" si="52"/>
        <v>0.246</v>
      </c>
      <c r="J16" s="14">
        <f t="shared" si="52"/>
        <v>0.246</v>
      </c>
      <c r="K16" s="6"/>
      <c r="L16" s="6"/>
      <c r="M16" s="19">
        <v>5.9370000000000003</v>
      </c>
      <c r="N16" s="19">
        <v>5.845</v>
      </c>
      <c r="O16" s="19">
        <v>5.575</v>
      </c>
      <c r="P16" s="19">
        <v>5.2759999999999998</v>
      </c>
      <c r="Q16" s="19">
        <v>5.3630000000000004</v>
      </c>
      <c r="R16" s="19">
        <v>6.645</v>
      </c>
      <c r="S16" s="19">
        <v>5.6539999999999999</v>
      </c>
      <c r="T16" s="19"/>
      <c r="U16" s="5"/>
      <c r="V16" s="13" t="s">
        <v>312</v>
      </c>
      <c r="W16" s="16">
        <f t="shared" si="53" ref="W16:AC16">D16/M16</f>
        <v>0.044702711807310079</v>
      </c>
      <c r="X16" s="16">
        <f t="shared" si="53"/>
        <v>0.042805816937553462</v>
      </c>
      <c r="Y16" s="16">
        <f t="shared" si="53"/>
        <v>0.044125560538116587</v>
      </c>
      <c r="Z16" s="16">
        <f t="shared" si="53"/>
        <v>0.045640636846095532</v>
      </c>
      <c r="AA16" s="16">
        <f t="shared" si="53"/>
        <v>0.046727577848219272</v>
      </c>
      <c r="AB16" s="17">
        <f t="shared" si="53"/>
        <v>0.037020316027088038</v>
      </c>
      <c r="AC16" s="17">
        <f t="shared" si="53"/>
        <v>0.043509020162716662</v>
      </c>
      <c r="AD16" s="6"/>
      <c r="AE16" s="6"/>
      <c r="AF16" s="16">
        <f t="shared" si="54" ref="AF16:AJ16">W16</f>
        <v>0.044702711807310079</v>
      </c>
      <c r="AG16" s="16">
        <f t="shared" si="54"/>
        <v>0.042805816937553462</v>
      </c>
      <c r="AH16" s="16">
        <f t="shared" si="54"/>
        <v>0.044125560538116587</v>
      </c>
      <c r="AI16" s="16">
        <f t="shared" si="54"/>
        <v>0.045640636846095532</v>
      </c>
      <c r="AJ16" s="16">
        <f t="shared" si="54"/>
        <v>0.046727577848219272</v>
      </c>
      <c r="AK16" s="18">
        <f t="shared" si="3"/>
        <v>0.042573363431151243</v>
      </c>
      <c r="AL16" s="18">
        <f t="shared" si="4"/>
        <v>0.050035373187124157</v>
      </c>
      <c r="AM16" s="6"/>
      <c r="AN16" s="6"/>
      <c r="AO16" s="16">
        <f t="shared" si="55" ref="AO16:AS16">W16</f>
        <v>0.044702711807310079</v>
      </c>
      <c r="AP16" s="16">
        <f t="shared" si="55"/>
        <v>0.042805816937553462</v>
      </c>
      <c r="AQ16" s="16">
        <f t="shared" si="55"/>
        <v>0.044125560538116587</v>
      </c>
      <c r="AR16" s="16">
        <f t="shared" si="55"/>
        <v>0.045640636846095532</v>
      </c>
      <c r="AS16" s="16">
        <f t="shared" si="55"/>
        <v>0.046727577848219272</v>
      </c>
      <c r="AT16" s="18">
        <f t="shared" si="6"/>
        <v>0.031467268623024833</v>
      </c>
      <c r="AU16" s="18">
        <f t="shared" si="7"/>
        <v>0.03698266713830916</v>
      </c>
      <c r="AZ16" s="5"/>
      <c r="BA16" s="13" t="s">
        <v>312</v>
      </c>
      <c r="BB16" s="14">
        <v>302.10</v>
      </c>
      <c r="BC16" s="16">
        <v>265.40</v>
      </c>
      <c r="BD16" s="16">
        <v>250.20</v>
      </c>
      <c r="BE16" s="16">
        <v>246</v>
      </c>
      <c r="BF16" s="16">
        <v>240.80</v>
      </c>
      <c r="BG16" s="16">
        <v>250.60</v>
      </c>
      <c r="BH16" s="16">
        <v>246</v>
      </c>
      <c r="BI16" s="16">
        <v>246</v>
      </c>
      <c r="BJ16" s="6"/>
      <c r="BK16" s="6"/>
      <c r="BL16" s="19"/>
      <c r="BM16" s="19"/>
      <c r="BN16" s="19"/>
      <c r="BO16" s="19"/>
    </row>
    <row r="17" spans="1:67" ht="15.5">
      <c r="A17" s="5"/>
      <c r="B17" s="13" t="s">
        <v>313</v>
      </c>
      <c r="C17" s="14">
        <f t="shared" si="56" ref="C17:J17">BB17/1000</f>
        <v>0.41370000000000001</v>
      </c>
      <c r="D17" s="14">
        <f t="shared" si="56"/>
        <v>0.4304</v>
      </c>
      <c r="E17" s="14">
        <f t="shared" si="56"/>
        <v>0.41270000000000001</v>
      </c>
      <c r="F17" s="14">
        <f t="shared" si="56"/>
        <v>0.40810000000000002</v>
      </c>
      <c r="G17" s="14">
        <f t="shared" si="56"/>
        <v>0.4037</v>
      </c>
      <c r="H17" s="14">
        <f t="shared" si="56"/>
        <v>0.43110000000000004</v>
      </c>
      <c r="I17" s="14">
        <f t="shared" si="56"/>
        <v>0.40810000000000002</v>
      </c>
      <c r="J17" s="14">
        <f t="shared" si="56"/>
        <v>0.40810000000000002</v>
      </c>
      <c r="K17" s="6"/>
      <c r="L17" s="6"/>
      <c r="M17" s="19">
        <v>5.9370000000000003</v>
      </c>
      <c r="N17" s="19">
        <v>5.845</v>
      </c>
      <c r="O17" s="19">
        <v>5.575</v>
      </c>
      <c r="P17" s="19">
        <v>5.2759999999999998</v>
      </c>
      <c r="Q17" s="19">
        <v>5.3630000000000004</v>
      </c>
      <c r="R17" s="19">
        <v>6.645</v>
      </c>
      <c r="S17" s="19">
        <v>5.6539999999999999</v>
      </c>
      <c r="T17" s="19"/>
      <c r="U17" s="5"/>
      <c r="V17" s="13" t="s">
        <v>313</v>
      </c>
      <c r="W17" s="16">
        <f t="shared" si="57" ref="W17:AC17">D17/M17</f>
        <v>0.072494525854808825</v>
      </c>
      <c r="X17" s="16">
        <f t="shared" si="57"/>
        <v>0.070607356715141151</v>
      </c>
      <c r="Y17" s="16">
        <f t="shared" si="57"/>
        <v>0.073201793721973094</v>
      </c>
      <c r="Z17" s="16">
        <f t="shared" si="57"/>
        <v>0.076516300227445044</v>
      </c>
      <c r="AA17" s="16">
        <f t="shared" si="57"/>
        <v>0.080384113369382809</v>
      </c>
      <c r="AB17" s="17">
        <f t="shared" si="57"/>
        <v>0.061414597441685481</v>
      </c>
      <c r="AC17" s="17">
        <f t="shared" si="57"/>
        <v>0.072178988326848256</v>
      </c>
      <c r="AD17" s="6"/>
      <c r="AE17" s="6"/>
      <c r="AF17" s="16">
        <f t="shared" si="58" ref="AF17:AJ17">W17</f>
        <v>0.072494525854808825</v>
      </c>
      <c r="AG17" s="16">
        <f t="shared" si="58"/>
        <v>0.070607356715141151</v>
      </c>
      <c r="AH17" s="16">
        <f t="shared" si="58"/>
        <v>0.073201793721973094</v>
      </c>
      <c r="AI17" s="16">
        <f t="shared" si="58"/>
        <v>0.076516300227445044</v>
      </c>
      <c r="AJ17" s="16">
        <f t="shared" si="58"/>
        <v>0.080384113369382809</v>
      </c>
      <c r="AK17" s="18">
        <f t="shared" si="3"/>
        <v>0.070626787057938303</v>
      </c>
      <c r="AL17" s="18">
        <f t="shared" si="4"/>
        <v>0.083005836575875486</v>
      </c>
      <c r="AM17" s="6"/>
      <c r="AN17" s="6"/>
      <c r="AO17" s="16">
        <f t="shared" si="59" ref="AO17:AS17">W17</f>
        <v>0.072494525854808825</v>
      </c>
      <c r="AP17" s="16">
        <f t="shared" si="59"/>
        <v>0.070607356715141151</v>
      </c>
      <c r="AQ17" s="16">
        <f t="shared" si="59"/>
        <v>0.073201793721973094</v>
      </c>
      <c r="AR17" s="16">
        <f t="shared" si="59"/>
        <v>0.076516300227445044</v>
      </c>
      <c r="AS17" s="16">
        <f t="shared" si="59"/>
        <v>0.080384113369382809</v>
      </c>
      <c r="AT17" s="18">
        <f t="shared" si="6"/>
        <v>0.052202407825432659</v>
      </c>
      <c r="AU17" s="18">
        <f t="shared" si="7"/>
        <v>0.061352140077821013</v>
      </c>
      <c r="AZ17" s="5"/>
      <c r="BA17" s="13" t="s">
        <v>313</v>
      </c>
      <c r="BB17" s="14">
        <v>413.70</v>
      </c>
      <c r="BC17" s="16">
        <v>430.40</v>
      </c>
      <c r="BD17" s="16">
        <v>412.70</v>
      </c>
      <c r="BE17" s="16">
        <v>408.10</v>
      </c>
      <c r="BF17" s="16">
        <v>403.70</v>
      </c>
      <c r="BG17" s="16">
        <v>431.10</v>
      </c>
      <c r="BH17" s="16">
        <v>408.10</v>
      </c>
      <c r="BI17" s="16">
        <v>408.10</v>
      </c>
      <c r="BJ17" s="6"/>
      <c r="BK17" s="6"/>
      <c r="BL17" s="19"/>
      <c r="BM17" s="19"/>
      <c r="BN17" s="19"/>
      <c r="BO17" s="19"/>
    </row>
    <row r="18" spans="1:67" ht="15.5">
      <c r="A18" s="5"/>
      <c r="B18" s="13" t="s">
        <v>314</v>
      </c>
      <c r="C18" s="14">
        <f t="shared" si="60" ref="C18:J18">BB18/1000</f>
        <v>0.085300000000000001</v>
      </c>
      <c r="D18" s="14">
        <f t="shared" si="60"/>
        <v>0.078099999999999989</v>
      </c>
      <c r="E18" s="14">
        <f t="shared" si="60"/>
        <v>0.075200000000000003</v>
      </c>
      <c r="F18" s="14">
        <f t="shared" si="60"/>
        <v>0.074299999999999991</v>
      </c>
      <c r="G18" s="14">
        <f t="shared" si="60"/>
        <v>0.076799999999999993</v>
      </c>
      <c r="H18" s="14">
        <f t="shared" si="60"/>
        <v>0.079700000000000007</v>
      </c>
      <c r="I18" s="14">
        <f t="shared" si="60"/>
        <v>0.074299999999999991</v>
      </c>
      <c r="J18" s="14">
        <f t="shared" si="60"/>
        <v>0.074299999999999991</v>
      </c>
      <c r="K18" s="6"/>
      <c r="L18" s="6"/>
      <c r="M18" s="19">
        <v>5.9370000000000003</v>
      </c>
      <c r="N18" s="19">
        <v>5.845</v>
      </c>
      <c r="O18" s="19">
        <v>5.575</v>
      </c>
      <c r="P18" s="19">
        <v>5.2759999999999998</v>
      </c>
      <c r="Q18" s="19">
        <v>5.3630000000000004</v>
      </c>
      <c r="R18" s="19">
        <v>6.645</v>
      </c>
      <c r="S18" s="19">
        <v>5.6539999999999999</v>
      </c>
      <c r="T18" s="19"/>
      <c r="U18" s="5"/>
      <c r="V18" s="13" t="s">
        <v>314</v>
      </c>
      <c r="W18" s="16">
        <f t="shared" si="61" ref="W18:AC18">D18/M18</f>
        <v>0.013154791982482733</v>
      </c>
      <c r="X18" s="16">
        <f t="shared" si="61"/>
        <v>0.012865697177074423</v>
      </c>
      <c r="Y18" s="16">
        <f t="shared" si="61"/>
        <v>0.013327354260089684</v>
      </c>
      <c r="Z18" s="16">
        <f t="shared" si="61"/>
        <v>0.014556482183472327</v>
      </c>
      <c r="AA18" s="16">
        <f t="shared" si="61"/>
        <v>0.014861085213499907</v>
      </c>
      <c r="AB18" s="17">
        <f t="shared" si="61"/>
        <v>0.011181339352896915</v>
      </c>
      <c r="AC18" s="17">
        <f t="shared" si="61"/>
        <v>0.013141139016625397</v>
      </c>
      <c r="AD18" s="6"/>
      <c r="AE18" s="6"/>
      <c r="AF18" s="16">
        <f t="shared" si="62" ref="AF18:AJ18">W18</f>
        <v>0.013154791982482733</v>
      </c>
      <c r="AG18" s="16">
        <f t="shared" si="62"/>
        <v>0.012865697177074423</v>
      </c>
      <c r="AH18" s="16">
        <f t="shared" si="62"/>
        <v>0.013327354260089684</v>
      </c>
      <c r="AI18" s="16">
        <f t="shared" si="62"/>
        <v>0.014556482183472327</v>
      </c>
      <c r="AJ18" s="16">
        <f t="shared" si="62"/>
        <v>0.014861085213499907</v>
      </c>
      <c r="AK18" s="18">
        <f t="shared" si="3"/>
        <v>0.012858540255831451</v>
      </c>
      <c r="AL18" s="18">
        <f t="shared" si="4"/>
        <v>0.015112309869119205</v>
      </c>
      <c r="AM18" s="6"/>
      <c r="AN18" s="6"/>
      <c r="AO18" s="16">
        <f t="shared" si="63" ref="AO18:AS18">W18</f>
        <v>0.013154791982482733</v>
      </c>
      <c r="AP18" s="16">
        <f t="shared" si="63"/>
        <v>0.012865697177074423</v>
      </c>
      <c r="AQ18" s="16">
        <f t="shared" si="63"/>
        <v>0.013327354260089684</v>
      </c>
      <c r="AR18" s="16">
        <f t="shared" si="63"/>
        <v>0.014556482183472327</v>
      </c>
      <c r="AS18" s="16">
        <f t="shared" si="63"/>
        <v>0.014861085213499907</v>
      </c>
      <c r="AT18" s="18">
        <f t="shared" si="6"/>
        <v>0.0095041384499623769</v>
      </c>
      <c r="AU18" s="18">
        <f t="shared" si="7"/>
        <v>0.011169968164131587</v>
      </c>
      <c r="AZ18" s="5"/>
      <c r="BA18" s="13" t="s">
        <v>314</v>
      </c>
      <c r="BB18" s="14">
        <v>85.30</v>
      </c>
      <c r="BC18" s="16">
        <v>78.10</v>
      </c>
      <c r="BD18" s="16">
        <v>75.20</v>
      </c>
      <c r="BE18" s="16">
        <v>74.30</v>
      </c>
      <c r="BF18" s="16">
        <v>76.80</v>
      </c>
      <c r="BG18" s="16">
        <v>79.70</v>
      </c>
      <c r="BH18" s="16">
        <v>74.30</v>
      </c>
      <c r="BI18" s="16">
        <v>74.30</v>
      </c>
      <c r="BJ18" s="6"/>
      <c r="BK18" s="6"/>
      <c r="BL18" s="19"/>
      <c r="BM18" s="19"/>
      <c r="BN18" s="19"/>
      <c r="BO18" s="19"/>
    </row>
    <row r="19" spans="1:67" ht="15.5">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spans="1:67" ht="15.5">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spans="1:67" ht="15.5">
      <c r="A21" s="5" t="s">
        <v>328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328</v>
      </c>
      <c r="BA21" s="5"/>
      <c r="BB21" s="5"/>
      <c r="BC21" s="5"/>
      <c r="BD21" s="5"/>
      <c r="BE21" s="5"/>
      <c r="BF21" s="5"/>
      <c r="BG21" s="5"/>
      <c r="BH21" s="5"/>
      <c r="BI21" s="5"/>
      <c r="BJ21" s="6"/>
      <c r="BK21" s="6"/>
      <c r="BL21" s="6"/>
      <c r="BM21" s="6"/>
      <c r="BN21" s="6"/>
      <c r="BO21" s="6"/>
    </row>
    <row r="22" spans="1:67" ht="15.5">
      <c r="A22" s="5" t="s">
        <v>298</v>
      </c>
      <c r="B22" s="5" t="s">
        <v>329</v>
      </c>
      <c r="C22" s="5" t="s">
        <v>300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298</v>
      </c>
      <c r="BA22" s="5" t="s">
        <v>329</v>
      </c>
      <c r="BB22" s="5" t="s">
        <v>300</v>
      </c>
      <c r="BC22" s="5"/>
      <c r="BD22" s="5"/>
      <c r="BE22" s="5"/>
      <c r="BF22" s="5"/>
      <c r="BG22" s="5"/>
      <c r="BH22" s="5"/>
      <c r="BI22" s="5"/>
      <c r="BJ22" s="6"/>
      <c r="BK22" s="6"/>
      <c r="BL22" s="6"/>
      <c r="BM22" s="6"/>
      <c r="BN22" s="6"/>
      <c r="BO22" s="6"/>
    </row>
    <row r="23" spans="1:67" ht="30">
      <c r="A23" s="5"/>
      <c r="B23" s="5"/>
      <c r="C23" s="9" t="s">
        <v>301</v>
      </c>
      <c r="D23" s="6" t="s">
        <v>302</v>
      </c>
      <c r="E23" s="6" t="s">
        <v>303</v>
      </c>
      <c r="F23" s="10" t="s">
        <v>304</v>
      </c>
      <c r="G23" s="6" t="s">
        <v>305</v>
      </c>
      <c r="H23" s="6" t="s">
        <v>306</v>
      </c>
      <c r="I23" s="6" t="s">
        <v>307</v>
      </c>
      <c r="J23" s="6" t="s">
        <v>308</v>
      </c>
      <c r="K23" s="6"/>
      <c r="L23" s="6"/>
      <c r="M23" s="6" t="s">
        <v>302</v>
      </c>
      <c r="N23" s="6" t="s">
        <v>303</v>
      </c>
      <c r="O23" s="6" t="s">
        <v>304</v>
      </c>
      <c r="P23" s="6" t="s">
        <v>305</v>
      </c>
      <c r="Q23" s="6" t="s">
        <v>306</v>
      </c>
      <c r="R23" s="6" t="s">
        <v>307</v>
      </c>
      <c r="S23" s="6" t="s">
        <v>308</v>
      </c>
      <c r="T23" s="6"/>
      <c r="U23" s="6"/>
      <c r="V23" s="8" t="s">
        <v>327</v>
      </c>
      <c r="W23" s="6" t="s">
        <v>302</v>
      </c>
      <c r="X23" s="6" t="s">
        <v>303</v>
      </c>
      <c r="Y23" s="10" t="s">
        <v>304</v>
      </c>
      <c r="Z23" s="6" t="s">
        <v>305</v>
      </c>
      <c r="AA23" s="6" t="s">
        <v>306</v>
      </c>
      <c r="AB23" s="12" t="s">
        <v>307</v>
      </c>
      <c r="AC23" s="12" t="s">
        <v>308</v>
      </c>
      <c r="AD23" s="6"/>
      <c r="AE23" s="6"/>
      <c r="AF23" s="6" t="s">
        <v>302</v>
      </c>
      <c r="AG23" s="6" t="s">
        <v>303</v>
      </c>
      <c r="AH23" s="10" t="s">
        <v>304</v>
      </c>
      <c r="AI23" s="6" t="s">
        <v>305</v>
      </c>
      <c r="AJ23" s="6" t="s">
        <v>306</v>
      </c>
      <c r="AK23" s="12" t="s">
        <v>307</v>
      </c>
      <c r="AL23" s="12" t="s">
        <v>308</v>
      </c>
      <c r="AM23" s="6"/>
      <c r="AN23" s="6"/>
      <c r="AO23" s="6" t="s">
        <v>302</v>
      </c>
      <c r="AP23" s="6" t="s">
        <v>303</v>
      </c>
      <c r="AQ23" s="10" t="s">
        <v>304</v>
      </c>
      <c r="AR23" s="6" t="s">
        <v>305</v>
      </c>
      <c r="AS23" s="6" t="s">
        <v>306</v>
      </c>
      <c r="AT23" s="12" t="s">
        <v>307</v>
      </c>
      <c r="AU23" s="12" t="s">
        <v>308</v>
      </c>
      <c r="AZ23" s="5"/>
      <c r="BA23" s="5"/>
      <c r="BB23" s="9" t="s">
        <v>301</v>
      </c>
      <c r="BC23" s="6" t="s">
        <v>302</v>
      </c>
      <c r="BD23" s="6" t="s">
        <v>303</v>
      </c>
      <c r="BE23" s="10" t="s">
        <v>304</v>
      </c>
      <c r="BF23" s="6" t="s">
        <v>305</v>
      </c>
      <c r="BG23" s="6" t="s">
        <v>306</v>
      </c>
      <c r="BH23" s="6" t="s">
        <v>307</v>
      </c>
      <c r="BI23" s="6" t="s">
        <v>308</v>
      </c>
      <c r="BJ23" s="6"/>
      <c r="BK23" s="6"/>
      <c r="BL23" s="6"/>
      <c r="BM23" s="6"/>
      <c r="BN23" s="6"/>
      <c r="BO23" s="6"/>
    </row>
    <row r="24" spans="1:67" ht="15.5">
      <c r="A24" s="5" t="s">
        <v>309</v>
      </c>
      <c r="B24" s="13" t="s">
        <v>310</v>
      </c>
      <c r="C24" s="14">
        <f t="shared" si="64" ref="C24:J24">BB24/1000</f>
        <v>0.88979999999999992</v>
      </c>
      <c r="D24" s="14">
        <f t="shared" si="64"/>
        <v>0.84320000000000006</v>
      </c>
      <c r="E24" s="14">
        <f t="shared" si="64"/>
        <v>0.80379999999999996</v>
      </c>
      <c r="F24" s="14">
        <f t="shared" si="64"/>
        <v>0.79459999999999997</v>
      </c>
      <c r="G24" s="14">
        <f t="shared" si="64"/>
        <v>0.76649999999999996</v>
      </c>
      <c r="H24" s="14">
        <f t="shared" si="64"/>
        <v>0.80659999999999998</v>
      </c>
      <c r="I24" s="14">
        <f t="shared" si="64"/>
        <v>0.79459999999999997</v>
      </c>
      <c r="J24" s="14">
        <f t="shared" si="64"/>
        <v>0.79459999999999997</v>
      </c>
      <c r="K24" s="6"/>
      <c r="L24" s="6"/>
      <c r="M24" s="15">
        <v>5.9370000000000003</v>
      </c>
      <c r="N24" s="15">
        <v>5.845</v>
      </c>
      <c r="O24" s="15">
        <v>5.575</v>
      </c>
      <c r="P24" s="15">
        <v>5.2759999999999998</v>
      </c>
      <c r="Q24" s="15">
        <v>5.3630000000000004</v>
      </c>
      <c r="R24" s="15">
        <v>6.645</v>
      </c>
      <c r="S24" s="15">
        <v>5.6539999999999999</v>
      </c>
      <c r="T24" s="15"/>
      <c r="U24" s="5" t="s">
        <v>309</v>
      </c>
      <c r="V24" s="13" t="s">
        <v>310</v>
      </c>
      <c r="W24" s="16">
        <f t="shared" si="65" ref="W24:AC24">D24/M24</f>
        <v>0.14202459154455113</v>
      </c>
      <c r="X24" s="16">
        <f t="shared" si="65"/>
        <v>0.13751924721984601</v>
      </c>
      <c r="Y24" s="16">
        <f t="shared" si="65"/>
        <v>0.14252914798206276</v>
      </c>
      <c r="Z24" s="16">
        <f t="shared" si="65"/>
        <v>0.14528051554207733</v>
      </c>
      <c r="AA24" s="16">
        <f t="shared" si="65"/>
        <v>0.15040089502144321</v>
      </c>
      <c r="AB24" s="17">
        <f t="shared" si="65"/>
        <v>0.11957863054928518</v>
      </c>
      <c r="AC24" s="17">
        <f t="shared" si="65"/>
        <v>0.14053767244428722</v>
      </c>
      <c r="AD24" s="6"/>
      <c r="AE24" s="6"/>
      <c r="AF24" s="16">
        <f t="shared" si="66" ref="AF24:AJ24">W24</f>
        <v>0.14202459154455113</v>
      </c>
      <c r="AG24" s="16">
        <f t="shared" si="66"/>
        <v>0.13751924721984601</v>
      </c>
      <c r="AH24" s="16">
        <f t="shared" si="66"/>
        <v>0.14252914798206276</v>
      </c>
      <c r="AI24" s="16">
        <f t="shared" si="66"/>
        <v>0.14528051554207733</v>
      </c>
      <c r="AJ24" s="16">
        <f t="shared" si="66"/>
        <v>0.15040089502144321</v>
      </c>
      <c r="AK24" s="18">
        <f t="shared" si="67" ref="AK24:AK38">AB24*1.15</f>
        <v>0.13751542513167794</v>
      </c>
      <c r="AL24" s="18">
        <f t="shared" si="68" ref="AL24:AL38">AC24*1.15</f>
        <v>0.16161832331093029</v>
      </c>
      <c r="AM24" s="6"/>
      <c r="AN24" s="6"/>
      <c r="AO24" s="16">
        <f t="shared" si="69" ref="AO24:AS24">W24</f>
        <v>0.14202459154455113</v>
      </c>
      <c r="AP24" s="16">
        <f t="shared" si="69"/>
        <v>0.13751924721984601</v>
      </c>
      <c r="AQ24" s="16">
        <f t="shared" si="69"/>
        <v>0.14252914798206276</v>
      </c>
      <c r="AR24" s="16">
        <f t="shared" si="69"/>
        <v>0.14528051554207733</v>
      </c>
      <c r="AS24" s="16">
        <f t="shared" si="69"/>
        <v>0.15040089502144321</v>
      </c>
      <c r="AT24" s="18">
        <f t="shared" si="70" ref="AT24:AT38">AB24*0.85</f>
        <v>0.1016418359668924</v>
      </c>
      <c r="AU24" s="18">
        <f t="shared" si="71" ref="AU24:AU38">AC24*0.85</f>
        <v>0.11945702157764414</v>
      </c>
      <c r="AZ24" s="5" t="s">
        <v>309</v>
      </c>
      <c r="BA24" s="13" t="s">
        <v>310</v>
      </c>
      <c r="BB24" s="14">
        <v>889.80</v>
      </c>
      <c r="BC24" s="16">
        <v>843.20</v>
      </c>
      <c r="BD24" s="16">
        <v>803.80</v>
      </c>
      <c r="BE24" s="16">
        <v>794.60</v>
      </c>
      <c r="BF24" s="16">
        <v>766.50</v>
      </c>
      <c r="BG24" s="16">
        <v>806.60</v>
      </c>
      <c r="BH24" s="16">
        <v>794.60</v>
      </c>
      <c r="BI24" s="16">
        <v>794.60</v>
      </c>
      <c r="BJ24" s="6"/>
      <c r="BK24" s="6"/>
      <c r="BL24" s="15"/>
      <c r="BM24" s="15"/>
      <c r="BN24" s="15"/>
      <c r="BO24" s="15"/>
    </row>
    <row r="25" spans="1:67" ht="15.5">
      <c r="A25" s="5"/>
      <c r="B25" s="13" t="s">
        <v>311</v>
      </c>
      <c r="C25" s="14">
        <f t="shared" si="72" ref="C25:J25">BB25/1000</f>
        <v>0.81240000000000001</v>
      </c>
      <c r="D25" s="14">
        <f t="shared" si="72"/>
        <v>0.77460000000000007</v>
      </c>
      <c r="E25" s="14">
        <f t="shared" si="72"/>
        <v>0.73899999999999999</v>
      </c>
      <c r="F25" s="14">
        <f t="shared" si="72"/>
        <v>0.73070000000000002</v>
      </c>
      <c r="G25" s="14">
        <f t="shared" si="72"/>
        <v>0.70450000000000002</v>
      </c>
      <c r="H25" s="14">
        <f t="shared" si="72"/>
        <v>0.74239999999999995</v>
      </c>
      <c r="I25" s="14">
        <f t="shared" si="72"/>
        <v>0.73070000000000002</v>
      </c>
      <c r="J25" s="14">
        <f t="shared" si="72"/>
        <v>0.73070000000000002</v>
      </c>
      <c r="K25" s="6"/>
      <c r="L25" s="6"/>
      <c r="M25" s="19">
        <v>5.9370000000000003</v>
      </c>
      <c r="N25" s="19">
        <v>5.845</v>
      </c>
      <c r="O25" s="19">
        <v>5.575</v>
      </c>
      <c r="P25" s="19">
        <v>5.2759999999999998</v>
      </c>
      <c r="Q25" s="19">
        <v>5.3630000000000004</v>
      </c>
      <c r="R25" s="19">
        <v>6.645</v>
      </c>
      <c r="S25" s="19">
        <v>5.6539999999999999</v>
      </c>
      <c r="T25" s="19"/>
      <c r="U25" s="5"/>
      <c r="V25" s="13" t="s">
        <v>311</v>
      </c>
      <c r="W25" s="16">
        <f t="shared" si="73" ref="W25:AC25">D25/M25</f>
        <v>0.13046993431025772</v>
      </c>
      <c r="X25" s="16">
        <f t="shared" si="73"/>
        <v>0.12643284858853721</v>
      </c>
      <c r="Y25" s="16">
        <f t="shared" si="73"/>
        <v>0.13106726457399104</v>
      </c>
      <c r="Z25" s="16">
        <f t="shared" si="73"/>
        <v>0.13352918877937833</v>
      </c>
      <c r="AA25" s="16">
        <f t="shared" si="73"/>
        <v>0.13842998321834793</v>
      </c>
      <c r="AB25" s="17">
        <f t="shared" si="73"/>
        <v>0.10996237772761476</v>
      </c>
      <c r="AC25" s="17">
        <f t="shared" si="73"/>
        <v>0.12923593915811815</v>
      </c>
      <c r="AD25" s="6"/>
      <c r="AE25" s="6"/>
      <c r="AF25" s="16">
        <f t="shared" si="74" ref="AF25:AJ25">W25</f>
        <v>0.13046993431025772</v>
      </c>
      <c r="AG25" s="16">
        <f t="shared" si="74"/>
        <v>0.12643284858853721</v>
      </c>
      <c r="AH25" s="16">
        <f t="shared" si="74"/>
        <v>0.13106726457399104</v>
      </c>
      <c r="AI25" s="16">
        <f t="shared" si="74"/>
        <v>0.13352918877937833</v>
      </c>
      <c r="AJ25" s="16">
        <f t="shared" si="74"/>
        <v>0.13842998321834793</v>
      </c>
      <c r="AK25" s="18">
        <f t="shared" si="67"/>
        <v>0.12645673438675697</v>
      </c>
      <c r="AL25" s="18">
        <f t="shared" si="68"/>
        <v>0.14862133003183586</v>
      </c>
      <c r="AM25" s="6"/>
      <c r="AN25" s="6"/>
      <c r="AO25" s="16">
        <f t="shared" si="75" ref="AO25:AS25">W25</f>
        <v>0.13046993431025772</v>
      </c>
      <c r="AP25" s="16">
        <f t="shared" si="75"/>
        <v>0.12643284858853721</v>
      </c>
      <c r="AQ25" s="16">
        <f t="shared" si="75"/>
        <v>0.13106726457399104</v>
      </c>
      <c r="AR25" s="16">
        <f t="shared" si="75"/>
        <v>0.13352918877937833</v>
      </c>
      <c r="AS25" s="16">
        <f t="shared" si="75"/>
        <v>0.13842998321834793</v>
      </c>
      <c r="AT25" s="18">
        <f t="shared" si="70"/>
        <v>0.093468021068472545</v>
      </c>
      <c r="AU25" s="18">
        <f t="shared" si="71"/>
        <v>0.10985054828440043</v>
      </c>
      <c r="AZ25" s="5"/>
      <c r="BA25" s="13" t="s">
        <v>311</v>
      </c>
      <c r="BB25" s="14">
        <v>812.40</v>
      </c>
      <c r="BC25" s="16">
        <v>774.60</v>
      </c>
      <c r="BD25" s="16">
        <v>739</v>
      </c>
      <c r="BE25" s="16">
        <v>730.70</v>
      </c>
      <c r="BF25" s="16">
        <v>704.50</v>
      </c>
      <c r="BG25" s="16">
        <v>742.40</v>
      </c>
      <c r="BH25" s="16">
        <v>730.70</v>
      </c>
      <c r="BI25" s="16">
        <v>730.70</v>
      </c>
      <c r="BJ25" s="6"/>
      <c r="BK25" s="6"/>
      <c r="BL25" s="19"/>
      <c r="BM25" s="19"/>
      <c r="BN25" s="19"/>
      <c r="BO25" s="19"/>
    </row>
    <row r="26" spans="1:67" ht="15.5">
      <c r="A26" s="5"/>
      <c r="B26" s="13" t="s">
        <v>312</v>
      </c>
      <c r="C26" s="14">
        <f t="shared" si="76" ref="C26:J26">BB26/1000</f>
        <v>0.1699</v>
      </c>
      <c r="D26" s="14">
        <f t="shared" si="76"/>
        <v>0.1497</v>
      </c>
      <c r="E26" s="14">
        <f t="shared" si="76"/>
        <v>0.14180000000000001</v>
      </c>
      <c r="F26" s="14">
        <f t="shared" si="76"/>
        <v>0.1399</v>
      </c>
      <c r="G26" s="14">
        <f t="shared" si="76"/>
        <v>0.13589999999999999</v>
      </c>
      <c r="H26" s="14">
        <f t="shared" si="76"/>
        <v>0.14080000000000001</v>
      </c>
      <c r="I26" s="14">
        <f t="shared" si="76"/>
        <v>0.1399</v>
      </c>
      <c r="J26" s="14">
        <f t="shared" si="76"/>
        <v>0.1399</v>
      </c>
      <c r="K26" s="6"/>
      <c r="L26" s="6"/>
      <c r="M26" s="19">
        <v>5.9370000000000003</v>
      </c>
      <c r="N26" s="19">
        <v>5.845</v>
      </c>
      <c r="O26" s="19">
        <v>5.575</v>
      </c>
      <c r="P26" s="19">
        <v>5.2759999999999998</v>
      </c>
      <c r="Q26" s="19">
        <v>5.3630000000000004</v>
      </c>
      <c r="R26" s="19">
        <v>6.645</v>
      </c>
      <c r="S26" s="19">
        <v>5.6539999999999999</v>
      </c>
      <c r="T26" s="19"/>
      <c r="U26" s="5"/>
      <c r="V26" s="13" t="s">
        <v>312</v>
      </c>
      <c r="W26" s="16">
        <f t="shared" si="77" ref="W26:AC26">D26/M26</f>
        <v>0.02521475492673067</v>
      </c>
      <c r="X26" s="16">
        <f t="shared" si="77"/>
        <v>0.024260051325919591</v>
      </c>
      <c r="Y26" s="16">
        <f t="shared" si="77"/>
        <v>0.025094170403587444</v>
      </c>
      <c r="Z26" s="16">
        <f t="shared" si="77"/>
        <v>0.025758150113722518</v>
      </c>
      <c r="AA26" s="16">
        <f t="shared" si="77"/>
        <v>0.026253962334514262</v>
      </c>
      <c r="AB26" s="17">
        <f t="shared" si="77"/>
        <v>0.021053423626787058</v>
      </c>
      <c r="AC26" s="17">
        <f t="shared" si="77"/>
        <v>0.024743544393349842</v>
      </c>
      <c r="AD26" s="6"/>
      <c r="AE26" s="6"/>
      <c r="AF26" s="16">
        <f t="shared" si="78" ref="AF26:AJ26">W26</f>
        <v>0.02521475492673067</v>
      </c>
      <c r="AG26" s="16">
        <f t="shared" si="78"/>
        <v>0.024260051325919591</v>
      </c>
      <c r="AH26" s="16">
        <f t="shared" si="78"/>
        <v>0.025094170403587444</v>
      </c>
      <c r="AI26" s="16">
        <f t="shared" si="78"/>
        <v>0.025758150113722518</v>
      </c>
      <c r="AJ26" s="16">
        <f t="shared" si="78"/>
        <v>0.026253962334514262</v>
      </c>
      <c r="AK26" s="18">
        <f t="shared" si="67"/>
        <v>0.024211437170805115</v>
      </c>
      <c r="AL26" s="18">
        <f t="shared" si="68"/>
        <v>0.028455076052352316</v>
      </c>
      <c r="AM26" s="6"/>
      <c r="AN26" s="6"/>
      <c r="AO26" s="16">
        <f t="shared" si="79" ref="AO26:AS26">W26</f>
        <v>0.02521475492673067</v>
      </c>
      <c r="AP26" s="16">
        <f t="shared" si="79"/>
        <v>0.024260051325919591</v>
      </c>
      <c r="AQ26" s="16">
        <f t="shared" si="79"/>
        <v>0.025094170403587444</v>
      </c>
      <c r="AR26" s="16">
        <f t="shared" si="79"/>
        <v>0.025758150113722518</v>
      </c>
      <c r="AS26" s="16">
        <f t="shared" si="79"/>
        <v>0.026253962334514262</v>
      </c>
      <c r="AT26" s="18">
        <f t="shared" si="70"/>
        <v>0.017895410082769</v>
      </c>
      <c r="AU26" s="18">
        <f t="shared" si="71"/>
        <v>0.021032012734347363</v>
      </c>
      <c r="AZ26" s="5"/>
      <c r="BA26" s="13" t="s">
        <v>312</v>
      </c>
      <c r="BB26" s="14">
        <v>169.90</v>
      </c>
      <c r="BC26" s="16">
        <v>149.70</v>
      </c>
      <c r="BD26" s="16">
        <v>141.80</v>
      </c>
      <c r="BE26" s="16">
        <v>139.90</v>
      </c>
      <c r="BF26" s="16">
        <v>135.90</v>
      </c>
      <c r="BG26" s="16">
        <v>140.80</v>
      </c>
      <c r="BH26" s="16">
        <v>139.90</v>
      </c>
      <c r="BI26" s="16">
        <v>139.90</v>
      </c>
      <c r="BJ26" s="6"/>
      <c r="BK26" s="6"/>
      <c r="BL26" s="19"/>
      <c r="BM26" s="19"/>
      <c r="BN26" s="19"/>
      <c r="BO26" s="19"/>
    </row>
    <row r="27" spans="1:67" ht="15.5">
      <c r="A27" s="5"/>
      <c r="B27" s="13" t="s">
        <v>313</v>
      </c>
      <c r="C27" s="14">
        <f t="shared" si="80" ref="C27:J27">BB27/1000</f>
        <v>0.5978</v>
      </c>
      <c r="D27" s="14">
        <f t="shared" si="80"/>
        <v>0.58069999999999999</v>
      </c>
      <c r="E27" s="14">
        <f t="shared" si="80"/>
        <v>0.55400000000000005</v>
      </c>
      <c r="F27" s="14">
        <f t="shared" si="80"/>
        <v>0.54779999999999995</v>
      </c>
      <c r="G27" s="14">
        <f t="shared" si="80"/>
        <v>0.52600000000000002</v>
      </c>
      <c r="H27" s="14">
        <f t="shared" si="80"/>
        <v>0.5575</v>
      </c>
      <c r="I27" s="14">
        <f t="shared" si="80"/>
        <v>0.54779999999999995</v>
      </c>
      <c r="J27" s="14">
        <f t="shared" si="80"/>
        <v>0.54779999999999995</v>
      </c>
      <c r="K27" s="6"/>
      <c r="L27" s="6"/>
      <c r="M27" s="19">
        <v>5.9370000000000003</v>
      </c>
      <c r="N27" s="19">
        <v>5.845</v>
      </c>
      <c r="O27" s="19">
        <v>5.575</v>
      </c>
      <c r="P27" s="19">
        <v>5.2759999999999998</v>
      </c>
      <c r="Q27" s="19">
        <v>5.3630000000000004</v>
      </c>
      <c r="R27" s="19">
        <v>6.645</v>
      </c>
      <c r="S27" s="19">
        <v>5.6539999999999999</v>
      </c>
      <c r="T27" s="19"/>
      <c r="U27" s="5"/>
      <c r="V27" s="13" t="s">
        <v>313</v>
      </c>
      <c r="W27" s="16">
        <f t="shared" si="81" ref="W27:AC27">D27/M27</f>
        <v>0.0978103419235304</v>
      </c>
      <c r="X27" s="16">
        <f t="shared" si="81"/>
        <v>0.094781864841745098</v>
      </c>
      <c r="Y27" s="16">
        <f t="shared" si="81"/>
        <v>0.098260089686098645</v>
      </c>
      <c r="Z27" s="16">
        <f t="shared" si="81"/>
        <v>0.099696739954511004</v>
      </c>
      <c r="AA27" s="16">
        <f t="shared" si="81"/>
        <v>0.10395301137423082</v>
      </c>
      <c r="AB27" s="17">
        <f t="shared" si="81"/>
        <v>0.082437923250564329</v>
      </c>
      <c r="AC27" s="17">
        <f t="shared" si="81"/>
        <v>0.096887159533073919</v>
      </c>
      <c r="AD27" s="6"/>
      <c r="AE27" s="6"/>
      <c r="AF27" s="16">
        <f t="shared" si="82" ref="AF27:AJ27">W27</f>
        <v>0.0978103419235304</v>
      </c>
      <c r="AG27" s="16">
        <f t="shared" si="82"/>
        <v>0.094781864841745098</v>
      </c>
      <c r="AH27" s="16">
        <f t="shared" si="82"/>
        <v>0.098260089686098645</v>
      </c>
      <c r="AI27" s="16">
        <f t="shared" si="82"/>
        <v>0.099696739954511004</v>
      </c>
      <c r="AJ27" s="16">
        <f t="shared" si="82"/>
        <v>0.10395301137423082</v>
      </c>
      <c r="AK27" s="18">
        <f t="shared" si="67"/>
        <v>0.094803611738148968</v>
      </c>
      <c r="AL27" s="18">
        <f t="shared" si="68"/>
        <v>0.11142023346303499</v>
      </c>
      <c r="AM27" s="6"/>
      <c r="AN27" s="6"/>
      <c r="AO27" s="16">
        <f t="shared" si="83" ref="AO27:AS27">W27</f>
        <v>0.0978103419235304</v>
      </c>
      <c r="AP27" s="16">
        <f t="shared" si="83"/>
        <v>0.094781864841745098</v>
      </c>
      <c r="AQ27" s="16">
        <f t="shared" si="83"/>
        <v>0.098260089686098645</v>
      </c>
      <c r="AR27" s="16">
        <f t="shared" si="83"/>
        <v>0.099696739954511004</v>
      </c>
      <c r="AS27" s="16">
        <f t="shared" si="83"/>
        <v>0.10395301137423082</v>
      </c>
      <c r="AT27" s="18">
        <f t="shared" si="70"/>
        <v>0.070072234762979677</v>
      </c>
      <c r="AU27" s="18">
        <f t="shared" si="71"/>
        <v>0.082354085603112831</v>
      </c>
      <c r="AZ27" s="5"/>
      <c r="BA27" s="13" t="s">
        <v>313</v>
      </c>
      <c r="BB27" s="14">
        <v>597.80</v>
      </c>
      <c r="BC27" s="16">
        <v>580.70</v>
      </c>
      <c r="BD27" s="16">
        <v>554</v>
      </c>
      <c r="BE27" s="16">
        <v>547.80</v>
      </c>
      <c r="BF27" s="16">
        <v>526</v>
      </c>
      <c r="BG27" s="16">
        <v>557.50</v>
      </c>
      <c r="BH27" s="16">
        <v>547.80</v>
      </c>
      <c r="BI27" s="16">
        <v>547.80</v>
      </c>
      <c r="BJ27" s="6"/>
      <c r="BK27" s="6"/>
      <c r="BL27" s="19"/>
      <c r="BM27" s="19"/>
      <c r="BN27" s="19"/>
      <c r="BO27" s="19"/>
    </row>
    <row r="28" spans="1:67" ht="15.5">
      <c r="A28" s="5"/>
      <c r="B28" s="13" t="s">
        <v>314</v>
      </c>
      <c r="C28" s="14">
        <f t="shared" si="84" ref="C28:J28">BB28/1000</f>
        <v>0.085000000000000006</v>
      </c>
      <c r="D28" s="14">
        <f t="shared" si="84"/>
        <v>0.078599999999999989</v>
      </c>
      <c r="E28" s="14">
        <f t="shared" si="84"/>
        <v>0.076299999999999993</v>
      </c>
      <c r="F28" s="14">
        <f t="shared" si="84"/>
        <v>0.075900000000000009</v>
      </c>
      <c r="G28" s="14">
        <f t="shared" si="84"/>
        <v>0.073700000000000002</v>
      </c>
      <c r="H28" s="14">
        <f t="shared" si="84"/>
        <v>0.075999999999999998</v>
      </c>
      <c r="I28" s="14">
        <f t="shared" si="84"/>
        <v>0.075900000000000009</v>
      </c>
      <c r="J28" s="14">
        <f t="shared" si="84"/>
        <v>0.075900000000000009</v>
      </c>
      <c r="K28" s="6"/>
      <c r="L28" s="6"/>
      <c r="M28" s="19">
        <v>5.9370000000000003</v>
      </c>
      <c r="N28" s="19">
        <v>5.845</v>
      </c>
      <c r="O28" s="19">
        <v>5.575</v>
      </c>
      <c r="P28" s="19">
        <v>5.2759999999999998</v>
      </c>
      <c r="Q28" s="19">
        <v>5.3630000000000004</v>
      </c>
      <c r="R28" s="19">
        <v>6.645</v>
      </c>
      <c r="S28" s="19">
        <v>5.6539999999999999</v>
      </c>
      <c r="T28" s="19"/>
      <c r="U28" s="5"/>
      <c r="V28" s="13" t="s">
        <v>314</v>
      </c>
      <c r="W28" s="16">
        <f t="shared" si="85" ref="W28:AC28">D28/M28</f>
        <v>0.013239009600808488</v>
      </c>
      <c r="X28" s="16">
        <f t="shared" si="85"/>
        <v>0.013053892215568862</v>
      </c>
      <c r="Y28" s="16">
        <f t="shared" si="85"/>
        <v>0.013614349775784755</v>
      </c>
      <c r="Z28" s="16">
        <f t="shared" si="85"/>
        <v>0.013968915845337378</v>
      </c>
      <c r="AA28" s="16">
        <f t="shared" si="85"/>
        <v>0.01417117285101622</v>
      </c>
      <c r="AB28" s="17">
        <f t="shared" si="85"/>
        <v>0.01142212189616253</v>
      </c>
      <c r="AC28" s="17">
        <f t="shared" si="85"/>
        <v>0.01342412451361868</v>
      </c>
      <c r="AD28" s="6"/>
      <c r="AE28" s="6"/>
      <c r="AF28" s="16">
        <f t="shared" si="86" ref="AF28:AJ28">W28</f>
        <v>0.013239009600808488</v>
      </c>
      <c r="AG28" s="16">
        <f t="shared" si="86"/>
        <v>0.013053892215568862</v>
      </c>
      <c r="AH28" s="16">
        <f t="shared" si="86"/>
        <v>0.013614349775784755</v>
      </c>
      <c r="AI28" s="16">
        <f t="shared" si="86"/>
        <v>0.013968915845337378</v>
      </c>
      <c r="AJ28" s="16">
        <f t="shared" si="86"/>
        <v>0.01417117285101622</v>
      </c>
      <c r="AK28" s="18">
        <f t="shared" si="67"/>
        <v>0.013135440180586908</v>
      </c>
      <c r="AL28" s="18">
        <f t="shared" si="68"/>
        <v>0.01543774319066148</v>
      </c>
      <c r="AM28" s="6"/>
      <c r="AN28" s="6"/>
      <c r="AO28" s="16">
        <f t="shared" si="87" ref="AO28:AS28">W28</f>
        <v>0.013239009600808488</v>
      </c>
      <c r="AP28" s="16">
        <f t="shared" si="87"/>
        <v>0.013053892215568862</v>
      </c>
      <c r="AQ28" s="16">
        <f t="shared" si="87"/>
        <v>0.013614349775784755</v>
      </c>
      <c r="AR28" s="16">
        <f t="shared" si="87"/>
        <v>0.013968915845337378</v>
      </c>
      <c r="AS28" s="16">
        <f t="shared" si="87"/>
        <v>0.01417117285101622</v>
      </c>
      <c r="AT28" s="18">
        <f t="shared" si="70"/>
        <v>0.0097088036117381499</v>
      </c>
      <c r="AU28" s="18">
        <f t="shared" si="71"/>
        <v>0.011410505836575878</v>
      </c>
      <c r="AZ28" s="5"/>
      <c r="BA28" s="13" t="s">
        <v>314</v>
      </c>
      <c r="BB28" s="14">
        <v>85</v>
      </c>
      <c r="BC28" s="16">
        <v>78.60</v>
      </c>
      <c r="BD28" s="16">
        <v>76.30</v>
      </c>
      <c r="BE28" s="16">
        <v>75.90</v>
      </c>
      <c r="BF28" s="16">
        <v>73.70</v>
      </c>
      <c r="BG28" s="16">
        <v>76</v>
      </c>
      <c r="BH28" s="16">
        <v>75.90</v>
      </c>
      <c r="BI28" s="16">
        <v>75.90</v>
      </c>
      <c r="BJ28" s="6"/>
      <c r="BK28" s="6"/>
      <c r="BL28" s="19"/>
      <c r="BM28" s="19"/>
      <c r="BN28" s="19"/>
      <c r="BO28" s="19"/>
    </row>
    <row r="29" spans="1:67" ht="15.5">
      <c r="A29" s="5" t="s">
        <v>315</v>
      </c>
      <c r="B29" s="13" t="s">
        <v>310</v>
      </c>
      <c r="C29" s="14">
        <f t="shared" si="88" ref="C29:J29">BB29/1000</f>
        <v>0.90679999999999994</v>
      </c>
      <c r="D29" s="14">
        <f t="shared" si="88"/>
        <v>0.85860000000000003</v>
      </c>
      <c r="E29" s="14">
        <f t="shared" si="88"/>
        <v>0.81840000000000002</v>
      </c>
      <c r="F29" s="14">
        <f t="shared" si="88"/>
        <v>0.80910000000000004</v>
      </c>
      <c r="G29" s="14">
        <f t="shared" si="88"/>
        <v>0.78110000000000002</v>
      </c>
      <c r="H29" s="14">
        <f t="shared" si="88"/>
        <v>0.8217000000000001</v>
      </c>
      <c r="I29" s="14">
        <f t="shared" si="88"/>
        <v>0.80910000000000004</v>
      </c>
      <c r="J29" s="14">
        <f t="shared" si="88"/>
        <v>0.80910000000000004</v>
      </c>
      <c r="K29" s="6"/>
      <c r="L29" s="6"/>
      <c r="M29" s="19">
        <v>5.9370000000000003</v>
      </c>
      <c r="N29" s="19">
        <v>5.845</v>
      </c>
      <c r="O29" s="19">
        <v>5.575</v>
      </c>
      <c r="P29" s="19">
        <v>5.2759999999999998</v>
      </c>
      <c r="Q29" s="19">
        <v>5.3630000000000004</v>
      </c>
      <c r="R29" s="19">
        <v>6.645</v>
      </c>
      <c r="S29" s="19">
        <v>5.6539999999999999</v>
      </c>
      <c r="T29" s="19"/>
      <c r="U29" s="5" t="s">
        <v>315</v>
      </c>
      <c r="V29" s="13" t="s">
        <v>310</v>
      </c>
      <c r="W29" s="16">
        <f t="shared" si="89" ref="W29:AC29">D29/M29</f>
        <v>0.14461849418898434</v>
      </c>
      <c r="X29" s="16">
        <f t="shared" si="89"/>
        <v>0.14001710863986314</v>
      </c>
      <c r="Y29" s="16">
        <f t="shared" si="89"/>
        <v>0.14513004484304934</v>
      </c>
      <c r="Z29" s="16">
        <f t="shared" si="89"/>
        <v>0.14804776345716453</v>
      </c>
      <c r="AA29" s="16">
        <f t="shared" si="89"/>
        <v>0.15321648331157933</v>
      </c>
      <c r="AB29" s="17">
        <f t="shared" si="89"/>
        <v>0.12176072234762982</v>
      </c>
      <c r="AC29" s="17">
        <f t="shared" si="89"/>
        <v>0.14310222851078883</v>
      </c>
      <c r="AD29" s="6"/>
      <c r="AE29" s="6"/>
      <c r="AF29" s="16">
        <f t="shared" si="90" ref="AF29:AJ29">W29</f>
        <v>0.14461849418898434</v>
      </c>
      <c r="AG29" s="16">
        <f t="shared" si="90"/>
        <v>0.14001710863986314</v>
      </c>
      <c r="AH29" s="16">
        <f t="shared" si="90"/>
        <v>0.14513004484304934</v>
      </c>
      <c r="AI29" s="16">
        <f t="shared" si="90"/>
        <v>0.14804776345716453</v>
      </c>
      <c r="AJ29" s="16">
        <f t="shared" si="90"/>
        <v>0.15321648331157933</v>
      </c>
      <c r="AK29" s="18">
        <f t="shared" si="67"/>
        <v>0.14002483069977428</v>
      </c>
      <c r="AL29" s="18">
        <f t="shared" si="68"/>
        <v>0.16456756278740714</v>
      </c>
      <c r="AM29" s="6"/>
      <c r="AN29" s="6"/>
      <c r="AO29" s="16">
        <f t="shared" si="91" ref="AO29:AS29">W29</f>
        <v>0.14461849418898434</v>
      </c>
      <c r="AP29" s="16">
        <f t="shared" si="91"/>
        <v>0.14001710863986314</v>
      </c>
      <c r="AQ29" s="16">
        <f t="shared" si="91"/>
        <v>0.14513004484304934</v>
      </c>
      <c r="AR29" s="16">
        <f t="shared" si="91"/>
        <v>0.14804776345716453</v>
      </c>
      <c r="AS29" s="16">
        <f t="shared" si="91"/>
        <v>0.15321648331157933</v>
      </c>
      <c r="AT29" s="18">
        <f t="shared" si="70"/>
        <v>0.10349661399548533</v>
      </c>
      <c r="AU29" s="18">
        <f t="shared" si="71"/>
        <v>0.1216368942341705</v>
      </c>
      <c r="AZ29" s="5" t="s">
        <v>315</v>
      </c>
      <c r="BA29" s="13" t="s">
        <v>310</v>
      </c>
      <c r="BB29" s="14">
        <v>906.80</v>
      </c>
      <c r="BC29" s="16">
        <v>858.60</v>
      </c>
      <c r="BD29" s="16">
        <v>818.40</v>
      </c>
      <c r="BE29" s="16">
        <v>809.10</v>
      </c>
      <c r="BF29" s="16">
        <v>781.10</v>
      </c>
      <c r="BG29" s="16">
        <v>821.70</v>
      </c>
      <c r="BH29" s="16">
        <v>809.10</v>
      </c>
      <c r="BI29" s="16">
        <v>809.10</v>
      </c>
      <c r="BJ29" s="6"/>
      <c r="BK29" s="6"/>
      <c r="BL29" s="19"/>
      <c r="BM29" s="19"/>
      <c r="BN29" s="19"/>
      <c r="BO29" s="19"/>
    </row>
    <row r="30" spans="1:67" ht="15.5">
      <c r="A30" s="5"/>
      <c r="B30" s="13" t="s">
        <v>311</v>
      </c>
      <c r="C30" s="14">
        <f t="shared" si="92" ref="C30:J30">BB30/1000</f>
        <v>0.83029999999999993</v>
      </c>
      <c r="D30" s="14">
        <f t="shared" si="92"/>
        <v>0.79089999999999994</v>
      </c>
      <c r="E30" s="14">
        <f t="shared" si="92"/>
        <v>0.75449999999999995</v>
      </c>
      <c r="F30" s="14">
        <f t="shared" si="92"/>
        <v>0.746</v>
      </c>
      <c r="G30" s="14">
        <f t="shared" si="92"/>
        <v>0.71989999999999998</v>
      </c>
      <c r="H30" s="14">
        <f t="shared" si="92"/>
        <v>0.75839999999999996</v>
      </c>
      <c r="I30" s="14">
        <f t="shared" si="92"/>
        <v>0.746</v>
      </c>
      <c r="J30" s="14">
        <f t="shared" si="92"/>
        <v>0.746</v>
      </c>
      <c r="K30" s="6"/>
      <c r="L30" s="6"/>
      <c r="M30" s="19">
        <v>5.9370000000000003</v>
      </c>
      <c r="N30" s="19">
        <v>5.845</v>
      </c>
      <c r="O30" s="19">
        <v>5.575</v>
      </c>
      <c r="P30" s="19">
        <v>5.2759999999999998</v>
      </c>
      <c r="Q30" s="19">
        <v>5.3630000000000004</v>
      </c>
      <c r="R30" s="19">
        <v>6.645</v>
      </c>
      <c r="S30" s="19">
        <v>5.6539999999999999</v>
      </c>
      <c r="T30" s="19"/>
      <c r="U30" s="5"/>
      <c r="V30" s="13" t="s">
        <v>311</v>
      </c>
      <c r="W30" s="16">
        <f t="shared" si="93" ref="W30:AC30">D30/M30</f>
        <v>0.13321542866767727</v>
      </c>
      <c r="X30" s="16">
        <f t="shared" si="93"/>
        <v>0.12908468776732249</v>
      </c>
      <c r="Y30" s="16">
        <f t="shared" si="93"/>
        <v>0.13381165919282512</v>
      </c>
      <c r="Z30" s="16">
        <f t="shared" si="93"/>
        <v>0.13644806671721002</v>
      </c>
      <c r="AA30" s="16">
        <f t="shared" si="93"/>
        <v>0.14141338802908818</v>
      </c>
      <c r="AB30" s="17">
        <f t="shared" si="93"/>
        <v>0.11226486079759218</v>
      </c>
      <c r="AC30" s="17">
        <f t="shared" si="93"/>
        <v>0.13194198797311638</v>
      </c>
      <c r="AD30" s="6"/>
      <c r="AE30" s="6"/>
      <c r="AF30" s="16">
        <f t="shared" si="94" ref="AF30:AJ30">W30</f>
        <v>0.13321542866767727</v>
      </c>
      <c r="AG30" s="16">
        <f t="shared" si="94"/>
        <v>0.12908468776732249</v>
      </c>
      <c r="AH30" s="16">
        <f t="shared" si="94"/>
        <v>0.13381165919282512</v>
      </c>
      <c r="AI30" s="16">
        <f t="shared" si="94"/>
        <v>0.13644806671721002</v>
      </c>
      <c r="AJ30" s="16">
        <f t="shared" si="94"/>
        <v>0.14141338802908818</v>
      </c>
      <c r="AK30" s="18">
        <f t="shared" si="67"/>
        <v>0.12910458991723101</v>
      </c>
      <c r="AL30" s="18">
        <f t="shared" si="68"/>
        <v>0.15173328616908383</v>
      </c>
      <c r="AM30" s="6"/>
      <c r="AN30" s="6"/>
      <c r="AO30" s="16">
        <f t="shared" si="95" ref="AO30:AS30">W30</f>
        <v>0.13321542866767727</v>
      </c>
      <c r="AP30" s="16">
        <f t="shared" si="95"/>
        <v>0.12908468776732249</v>
      </c>
      <c r="AQ30" s="16">
        <f t="shared" si="95"/>
        <v>0.13381165919282512</v>
      </c>
      <c r="AR30" s="16">
        <f t="shared" si="95"/>
        <v>0.13644806671721002</v>
      </c>
      <c r="AS30" s="16">
        <f t="shared" si="95"/>
        <v>0.14141338802908818</v>
      </c>
      <c r="AT30" s="18">
        <f t="shared" si="70"/>
        <v>0.095425131677953356</v>
      </c>
      <c r="AU30" s="18">
        <f t="shared" si="71"/>
        <v>0.11215068977714891</v>
      </c>
      <c r="AZ30" s="5"/>
      <c r="BA30" s="13" t="s">
        <v>311</v>
      </c>
      <c r="BB30" s="14">
        <v>830.30</v>
      </c>
      <c r="BC30" s="16">
        <v>790.90</v>
      </c>
      <c r="BD30" s="16">
        <v>754.50</v>
      </c>
      <c r="BE30" s="16">
        <v>746</v>
      </c>
      <c r="BF30" s="16">
        <v>719.90</v>
      </c>
      <c r="BG30" s="16">
        <v>758.40</v>
      </c>
      <c r="BH30" s="16">
        <v>746</v>
      </c>
      <c r="BI30" s="16">
        <v>746</v>
      </c>
      <c r="BJ30" s="6"/>
      <c r="BK30" s="6"/>
      <c r="BL30" s="19"/>
      <c r="BM30" s="19"/>
      <c r="BN30" s="19"/>
      <c r="BO30" s="19"/>
    </row>
    <row r="31" spans="1:67" ht="15.5">
      <c r="A31" s="5"/>
      <c r="B31" s="13" t="s">
        <v>312</v>
      </c>
      <c r="C31" s="14">
        <f t="shared" si="96" ref="C31:J31">BB31/1000</f>
        <v>0.2079</v>
      </c>
      <c r="D31" s="14">
        <f t="shared" si="96"/>
        <v>0.18419999999999997</v>
      </c>
      <c r="E31" s="14">
        <f t="shared" si="96"/>
        <v>0.17460000000000001</v>
      </c>
      <c r="F31" s="14">
        <f t="shared" si="96"/>
        <v>0.1724</v>
      </c>
      <c r="G31" s="14">
        <f t="shared" si="96"/>
        <v>0.16869999999999999</v>
      </c>
      <c r="H31" s="14">
        <f t="shared" si="96"/>
        <v>0.17469999999999999</v>
      </c>
      <c r="I31" s="14">
        <f t="shared" si="96"/>
        <v>0.1724</v>
      </c>
      <c r="J31" s="14">
        <f t="shared" si="96"/>
        <v>0.1724</v>
      </c>
      <c r="K31" s="6"/>
      <c r="L31" s="6"/>
      <c r="M31" s="19">
        <v>5.9370000000000003</v>
      </c>
      <c r="N31" s="19">
        <v>5.845</v>
      </c>
      <c r="O31" s="19">
        <v>5.575</v>
      </c>
      <c r="P31" s="19">
        <v>5.2759999999999998</v>
      </c>
      <c r="Q31" s="19">
        <v>5.3630000000000004</v>
      </c>
      <c r="R31" s="19">
        <v>6.645</v>
      </c>
      <c r="S31" s="19">
        <v>5.6539999999999999</v>
      </c>
      <c r="T31" s="19"/>
      <c r="U31" s="5"/>
      <c r="V31" s="13" t="s">
        <v>312</v>
      </c>
      <c r="W31" s="16">
        <f t="shared" si="97" ref="W31:AC31">D31/M31</f>
        <v>0.031025770591207674</v>
      </c>
      <c r="X31" s="16">
        <f t="shared" si="97"/>
        <v>0.02987168520102652</v>
      </c>
      <c r="Y31" s="16">
        <f t="shared" si="97"/>
        <v>0.030923766816143495</v>
      </c>
      <c r="Z31" s="16">
        <f t="shared" si="97"/>
        <v>0.031974981046247158</v>
      </c>
      <c r="AA31" s="16">
        <f t="shared" si="97"/>
        <v>0.03257505127727018</v>
      </c>
      <c r="AB31" s="17">
        <f t="shared" si="97"/>
        <v>0.025944319036869827</v>
      </c>
      <c r="AC31" s="17">
        <f t="shared" si="97"/>
        <v>0.030491687301025822</v>
      </c>
      <c r="AD31" s="6"/>
      <c r="AE31" s="6"/>
      <c r="AF31" s="16">
        <f t="shared" si="98" ref="AF31:AJ31">W31</f>
        <v>0.031025770591207674</v>
      </c>
      <c r="AG31" s="16">
        <f t="shared" si="98"/>
        <v>0.02987168520102652</v>
      </c>
      <c r="AH31" s="16">
        <f t="shared" si="98"/>
        <v>0.030923766816143495</v>
      </c>
      <c r="AI31" s="16">
        <f t="shared" si="98"/>
        <v>0.031974981046247158</v>
      </c>
      <c r="AJ31" s="16">
        <f t="shared" si="98"/>
        <v>0.03257505127727018</v>
      </c>
      <c r="AK31" s="18">
        <f t="shared" si="67"/>
        <v>0.029835966892400298</v>
      </c>
      <c r="AL31" s="18">
        <f t="shared" si="68"/>
        <v>0.03506544039617969</v>
      </c>
      <c r="AM31" s="6"/>
      <c r="AN31" s="6"/>
      <c r="AO31" s="16">
        <f t="shared" si="99" ref="AO31:AS31">W31</f>
        <v>0.031025770591207674</v>
      </c>
      <c r="AP31" s="16">
        <f t="shared" si="99"/>
        <v>0.02987168520102652</v>
      </c>
      <c r="AQ31" s="16">
        <f t="shared" si="99"/>
        <v>0.030923766816143495</v>
      </c>
      <c r="AR31" s="16">
        <f t="shared" si="99"/>
        <v>0.031974981046247158</v>
      </c>
      <c r="AS31" s="16">
        <f t="shared" si="99"/>
        <v>0.03257505127727018</v>
      </c>
      <c r="AT31" s="18">
        <f t="shared" si="70"/>
        <v>0.022052671181339353</v>
      </c>
      <c r="AU31" s="18">
        <f t="shared" si="71"/>
        <v>0.025917934205871948</v>
      </c>
      <c r="AZ31" s="5"/>
      <c r="BA31" s="13" t="s">
        <v>312</v>
      </c>
      <c r="BB31" s="14">
        <v>207.90</v>
      </c>
      <c r="BC31" s="16">
        <v>184.20</v>
      </c>
      <c r="BD31" s="16">
        <v>174.60</v>
      </c>
      <c r="BE31" s="16">
        <v>172.40</v>
      </c>
      <c r="BF31" s="16">
        <v>168.70</v>
      </c>
      <c r="BG31" s="16">
        <v>174.70</v>
      </c>
      <c r="BH31" s="16">
        <v>172.40</v>
      </c>
      <c r="BI31" s="16">
        <v>172.40</v>
      </c>
      <c r="BJ31" s="6"/>
      <c r="BK31" s="6"/>
      <c r="BL31" s="19"/>
      <c r="BM31" s="19"/>
      <c r="BN31" s="19"/>
      <c r="BO31" s="19"/>
    </row>
    <row r="32" spans="1:67" ht="15.5">
      <c r="A32" s="5"/>
      <c r="B32" s="13" t="s">
        <v>313</v>
      </c>
      <c r="C32" s="14">
        <f t="shared" si="100" ref="C32:J32">BB32/1000</f>
        <v>0.5747000000000001</v>
      </c>
      <c r="D32" s="14">
        <f t="shared" si="100"/>
        <v>0.55970000000000009</v>
      </c>
      <c r="E32" s="14">
        <f t="shared" si="100"/>
        <v>0.53400000000000003</v>
      </c>
      <c r="F32" s="14">
        <f t="shared" si="100"/>
        <v>0.52800000000000002</v>
      </c>
      <c r="G32" s="14">
        <f t="shared" si="100"/>
        <v>0.50609999999999999</v>
      </c>
      <c r="H32" s="14">
        <f t="shared" si="100"/>
        <v>0.53689999999999993</v>
      </c>
      <c r="I32" s="14">
        <f t="shared" si="100"/>
        <v>0.52800000000000002</v>
      </c>
      <c r="J32" s="14">
        <f t="shared" si="100"/>
        <v>0.52800000000000002</v>
      </c>
      <c r="K32" s="6"/>
      <c r="L32" s="6"/>
      <c r="M32" s="19">
        <v>5.9370000000000003</v>
      </c>
      <c r="N32" s="19">
        <v>5.845</v>
      </c>
      <c r="O32" s="19">
        <v>5.575</v>
      </c>
      <c r="P32" s="19">
        <v>5.2759999999999998</v>
      </c>
      <c r="Q32" s="19">
        <v>5.3630000000000004</v>
      </c>
      <c r="R32" s="19">
        <v>6.645</v>
      </c>
      <c r="S32" s="19">
        <v>5.6539999999999999</v>
      </c>
      <c r="T32" s="19"/>
      <c r="U32" s="5"/>
      <c r="V32" s="13" t="s">
        <v>313</v>
      </c>
      <c r="W32" s="16">
        <f t="shared" si="101" ref="W32:AC32">D32/M32</f>
        <v>0.094273201953848751</v>
      </c>
      <c r="X32" s="16">
        <f t="shared" si="101"/>
        <v>0.09136013686911891</v>
      </c>
      <c r="Y32" s="16">
        <f t="shared" si="101"/>
        <v>0.094708520179372202</v>
      </c>
      <c r="Z32" s="16">
        <f t="shared" si="101"/>
        <v>0.095924943138741475</v>
      </c>
      <c r="AA32" s="16">
        <f t="shared" si="101"/>
        <v>0.10011187768040274</v>
      </c>
      <c r="AB32" s="17">
        <f t="shared" si="101"/>
        <v>0.079458239277652373</v>
      </c>
      <c r="AC32" s="17">
        <f t="shared" si="101"/>
        <v>0.093385214007782102</v>
      </c>
      <c r="AD32" s="6"/>
      <c r="AE32" s="6"/>
      <c r="AF32" s="16">
        <f t="shared" si="102" ref="AF32:AJ32">W32</f>
        <v>0.094273201953848751</v>
      </c>
      <c r="AG32" s="16">
        <f t="shared" si="102"/>
        <v>0.09136013686911891</v>
      </c>
      <c r="AH32" s="16">
        <f t="shared" si="102"/>
        <v>0.094708520179372202</v>
      </c>
      <c r="AI32" s="16">
        <f t="shared" si="102"/>
        <v>0.095924943138741475</v>
      </c>
      <c r="AJ32" s="16">
        <f t="shared" si="102"/>
        <v>0.10011187768040274</v>
      </c>
      <c r="AK32" s="18">
        <f t="shared" si="67"/>
        <v>0.091376975169300226</v>
      </c>
      <c r="AL32" s="18">
        <f t="shared" si="68"/>
        <v>0.10739299610894941</v>
      </c>
      <c r="AM32" s="6"/>
      <c r="AN32" s="6"/>
      <c r="AO32" s="16">
        <f t="shared" si="103" ref="AO32:AS32">W32</f>
        <v>0.094273201953848751</v>
      </c>
      <c r="AP32" s="16">
        <f t="shared" si="103"/>
        <v>0.09136013686911891</v>
      </c>
      <c r="AQ32" s="16">
        <f t="shared" si="103"/>
        <v>0.094708520179372202</v>
      </c>
      <c r="AR32" s="16">
        <f t="shared" si="103"/>
        <v>0.095924943138741475</v>
      </c>
      <c r="AS32" s="16">
        <f t="shared" si="103"/>
        <v>0.10011187768040274</v>
      </c>
      <c r="AT32" s="18">
        <f t="shared" si="70"/>
        <v>0.067539503386004521</v>
      </c>
      <c r="AU32" s="18">
        <f t="shared" si="71"/>
        <v>0.079377431906614782</v>
      </c>
      <c r="AZ32" s="5"/>
      <c r="BA32" s="13" t="s">
        <v>313</v>
      </c>
      <c r="BB32" s="14">
        <v>574.70</v>
      </c>
      <c r="BC32" s="16">
        <v>559.70</v>
      </c>
      <c r="BD32" s="16">
        <v>534</v>
      </c>
      <c r="BE32" s="16">
        <v>528</v>
      </c>
      <c r="BF32" s="16">
        <v>506.10</v>
      </c>
      <c r="BG32" s="16">
        <v>536.90</v>
      </c>
      <c r="BH32" s="16">
        <v>528</v>
      </c>
      <c r="BI32" s="16">
        <v>528</v>
      </c>
      <c r="BJ32" s="6"/>
      <c r="BK32" s="6"/>
      <c r="BL32" s="19"/>
      <c r="BM32" s="19"/>
      <c r="BN32" s="19"/>
      <c r="BO32" s="19"/>
    </row>
    <row r="33" spans="1:67" ht="15.5">
      <c r="A33" s="5"/>
      <c r="B33" s="13" t="s">
        <v>314</v>
      </c>
      <c r="C33" s="14">
        <f t="shared" si="104" ref="C33:J33">BB33/1000</f>
        <v>0.087999999999999995</v>
      </c>
      <c r="D33" s="14">
        <f t="shared" si="104"/>
        <v>0.0814</v>
      </c>
      <c r="E33" s="14">
        <f t="shared" si="104"/>
        <v>0.079000000000000001</v>
      </c>
      <c r="F33" s="14">
        <f t="shared" si="104"/>
        <v>0.0785</v>
      </c>
      <c r="G33" s="14">
        <f t="shared" si="104"/>
        <v>0.07640000000000001</v>
      </c>
      <c r="H33" s="14">
        <f t="shared" si="104"/>
        <v>0.078700000000000006</v>
      </c>
      <c r="I33" s="14">
        <f t="shared" si="104"/>
        <v>0.0785</v>
      </c>
      <c r="J33" s="14">
        <f t="shared" si="104"/>
        <v>0.0785</v>
      </c>
      <c r="K33" s="6"/>
      <c r="L33" s="6"/>
      <c r="M33" s="19">
        <v>5.9370000000000003</v>
      </c>
      <c r="N33" s="19">
        <v>5.845</v>
      </c>
      <c r="O33" s="19">
        <v>5.575</v>
      </c>
      <c r="P33" s="19">
        <v>5.2759999999999998</v>
      </c>
      <c r="Q33" s="19">
        <v>5.3630000000000004</v>
      </c>
      <c r="R33" s="19">
        <v>6.645</v>
      </c>
      <c r="S33" s="19">
        <v>5.6539999999999999</v>
      </c>
      <c r="T33" s="19"/>
      <c r="U33" s="5"/>
      <c r="V33" s="13" t="s">
        <v>314</v>
      </c>
      <c r="W33" s="16">
        <f t="shared" si="105" ref="W33:AC33">D33/M33</f>
        <v>0.013710628263432709</v>
      </c>
      <c r="X33" s="16">
        <f t="shared" si="105"/>
        <v>0.013515825491873397</v>
      </c>
      <c r="Y33" s="16">
        <f t="shared" si="105"/>
        <v>0.014080717488789238</v>
      </c>
      <c r="Z33" s="16">
        <f t="shared" si="105"/>
        <v>0.014480667172100078</v>
      </c>
      <c r="AA33" s="16">
        <f t="shared" si="105"/>
        <v>0.014674622412828641</v>
      </c>
      <c r="AB33" s="17">
        <f t="shared" si="105"/>
        <v>0.01181339352896915</v>
      </c>
      <c r="AC33" s="17">
        <f t="shared" si="105"/>
        <v>0.013883975946232755</v>
      </c>
      <c r="AD33" s="6"/>
      <c r="AE33" s="6"/>
      <c r="AF33" s="16">
        <f t="shared" si="106" ref="AF33:AJ33">W33</f>
        <v>0.013710628263432709</v>
      </c>
      <c r="AG33" s="16">
        <f t="shared" si="106"/>
        <v>0.013515825491873397</v>
      </c>
      <c r="AH33" s="16">
        <f t="shared" si="106"/>
        <v>0.014080717488789238</v>
      </c>
      <c r="AI33" s="16">
        <f t="shared" si="106"/>
        <v>0.014480667172100078</v>
      </c>
      <c r="AJ33" s="16">
        <f t="shared" si="106"/>
        <v>0.014674622412828641</v>
      </c>
      <c r="AK33" s="18">
        <f t="shared" si="67"/>
        <v>0.013585402558314521</v>
      </c>
      <c r="AL33" s="18">
        <f t="shared" si="68"/>
        <v>0.015966572338167666</v>
      </c>
      <c r="AM33" s="6"/>
      <c r="AN33" s="6"/>
      <c r="AO33" s="16">
        <f t="shared" si="107" ref="AO33:AS33">W33</f>
        <v>0.013710628263432709</v>
      </c>
      <c r="AP33" s="16">
        <f t="shared" si="107"/>
        <v>0.013515825491873397</v>
      </c>
      <c r="AQ33" s="16">
        <f t="shared" si="107"/>
        <v>0.014080717488789238</v>
      </c>
      <c r="AR33" s="16">
        <f t="shared" si="107"/>
        <v>0.014480667172100078</v>
      </c>
      <c r="AS33" s="16">
        <f t="shared" si="107"/>
        <v>0.014674622412828641</v>
      </c>
      <c r="AT33" s="18">
        <f t="shared" si="70"/>
        <v>0.010041384499623777</v>
      </c>
      <c r="AU33" s="18">
        <f t="shared" si="71"/>
        <v>0.011801379554297841</v>
      </c>
      <c r="AZ33" s="5"/>
      <c r="BA33" s="13" t="s">
        <v>314</v>
      </c>
      <c r="BB33" s="14">
        <v>88</v>
      </c>
      <c r="BC33" s="16">
        <v>81.40</v>
      </c>
      <c r="BD33" s="16">
        <v>79</v>
      </c>
      <c r="BE33" s="16">
        <v>78.50</v>
      </c>
      <c r="BF33" s="16">
        <v>76.40</v>
      </c>
      <c r="BG33" s="16">
        <v>78.70</v>
      </c>
      <c r="BH33" s="16">
        <v>78.50</v>
      </c>
      <c r="BI33" s="16">
        <v>78.50</v>
      </c>
      <c r="BJ33" s="6"/>
      <c r="BK33" s="6"/>
      <c r="BL33" s="19"/>
      <c r="BM33" s="19"/>
      <c r="BN33" s="19"/>
      <c r="BO33" s="19"/>
    </row>
    <row r="34" spans="1:67" ht="15.5">
      <c r="A34" s="5" t="s">
        <v>11</v>
      </c>
      <c r="B34" s="13" t="s">
        <v>310</v>
      </c>
      <c r="C34" s="14">
        <f t="shared" si="108" ref="C34:J34">BB34/1000</f>
        <v>0.92170000000000007</v>
      </c>
      <c r="D34" s="14">
        <f t="shared" si="108"/>
        <v>0.87209999999999999</v>
      </c>
      <c r="E34" s="14">
        <f t="shared" si="108"/>
        <v>0.83129999999999993</v>
      </c>
      <c r="F34" s="14">
        <f t="shared" si="108"/>
        <v>0.82179999999999997</v>
      </c>
      <c r="G34" s="14">
        <f t="shared" si="108"/>
        <v>0.79400000000000004</v>
      </c>
      <c r="H34" s="14">
        <f t="shared" si="108"/>
        <v>0.83499999999999996</v>
      </c>
      <c r="I34" s="14">
        <f t="shared" si="108"/>
        <v>0.82179999999999997</v>
      </c>
      <c r="J34" s="14">
        <f t="shared" si="108"/>
        <v>0.82179999999999997</v>
      </c>
      <c r="K34" s="6"/>
      <c r="L34" s="6"/>
      <c r="M34" s="19">
        <v>5.9370000000000003</v>
      </c>
      <c r="N34" s="19">
        <v>5.845</v>
      </c>
      <c r="O34" s="19">
        <v>5.575</v>
      </c>
      <c r="P34" s="19">
        <v>5.2759999999999998</v>
      </c>
      <c r="Q34" s="19">
        <v>5.3630000000000004</v>
      </c>
      <c r="R34" s="19">
        <v>6.645</v>
      </c>
      <c r="S34" s="19">
        <v>5.6539999999999999</v>
      </c>
      <c r="T34" s="19"/>
      <c r="U34" s="5" t="s">
        <v>11</v>
      </c>
      <c r="V34" s="13" t="s">
        <v>310</v>
      </c>
      <c r="W34" s="16">
        <f t="shared" si="109" ref="W34:AC34">D34/M34</f>
        <v>0.14689236988377968</v>
      </c>
      <c r="X34" s="16">
        <f t="shared" si="109"/>
        <v>0.14222412318220701</v>
      </c>
      <c r="Y34" s="16">
        <f t="shared" si="109"/>
        <v>0.1474080717488789</v>
      </c>
      <c r="Z34" s="16">
        <f t="shared" si="109"/>
        <v>0.15049279757391965</v>
      </c>
      <c r="AA34" s="16">
        <f t="shared" si="109"/>
        <v>0.15569643856050716</v>
      </c>
      <c r="AB34" s="17">
        <f t="shared" si="109"/>
        <v>0.12367193378480061</v>
      </c>
      <c r="AC34" s="17">
        <f t="shared" si="109"/>
        <v>0.14534842589317298</v>
      </c>
      <c r="AD34" s="6"/>
      <c r="AE34" s="6"/>
      <c r="AF34" s="16">
        <f t="shared" si="110" ref="AF34:AJ34">W34</f>
        <v>0.14689236988377968</v>
      </c>
      <c r="AG34" s="16">
        <f t="shared" si="110"/>
        <v>0.14222412318220701</v>
      </c>
      <c r="AH34" s="16">
        <f t="shared" si="110"/>
        <v>0.1474080717488789</v>
      </c>
      <c r="AI34" s="16">
        <f t="shared" si="110"/>
        <v>0.15049279757391965</v>
      </c>
      <c r="AJ34" s="16">
        <f t="shared" si="110"/>
        <v>0.15569643856050716</v>
      </c>
      <c r="AK34" s="18">
        <f t="shared" si="67"/>
        <v>0.14222272385252069</v>
      </c>
      <c r="AL34" s="18">
        <f t="shared" si="68"/>
        <v>0.16715068977714892</v>
      </c>
      <c r="AM34" s="6"/>
      <c r="AN34" s="6"/>
      <c r="AO34" s="16">
        <f t="shared" si="111" ref="AO34:AS34">W34</f>
        <v>0.14689236988377968</v>
      </c>
      <c r="AP34" s="16">
        <f t="shared" si="111"/>
        <v>0.14222412318220701</v>
      </c>
      <c r="AQ34" s="16">
        <f t="shared" si="111"/>
        <v>0.1474080717488789</v>
      </c>
      <c r="AR34" s="16">
        <f t="shared" si="111"/>
        <v>0.15049279757391965</v>
      </c>
      <c r="AS34" s="16">
        <f t="shared" si="111"/>
        <v>0.15569643856050716</v>
      </c>
      <c r="AT34" s="18">
        <f t="shared" si="70"/>
        <v>0.10512114371708052</v>
      </c>
      <c r="AU34" s="18">
        <f t="shared" si="71"/>
        <v>0.12354616200919703</v>
      </c>
      <c r="AZ34" s="5" t="s">
        <v>11</v>
      </c>
      <c r="BA34" s="13" t="s">
        <v>310</v>
      </c>
      <c r="BB34" s="14">
        <v>921.70</v>
      </c>
      <c r="BC34" s="16">
        <v>872.10</v>
      </c>
      <c r="BD34" s="16">
        <v>831.30</v>
      </c>
      <c r="BE34" s="16">
        <v>821.80</v>
      </c>
      <c r="BF34" s="16">
        <v>794</v>
      </c>
      <c r="BG34" s="16">
        <v>835</v>
      </c>
      <c r="BH34" s="16">
        <v>821.80</v>
      </c>
      <c r="BI34" s="16">
        <v>821.80</v>
      </c>
      <c r="BJ34" s="6"/>
      <c r="BK34" s="6"/>
      <c r="BL34" s="19"/>
      <c r="BM34" s="19"/>
      <c r="BN34" s="19"/>
      <c r="BO34" s="19"/>
    </row>
    <row r="35" spans="1:67" ht="15.5">
      <c r="A35" s="5"/>
      <c r="B35" s="13" t="s">
        <v>311</v>
      </c>
      <c r="C35" s="14">
        <f t="shared" si="112" ref="C35:J35">BB35/1000</f>
        <v>0.84220000000000006</v>
      </c>
      <c r="D35" s="14">
        <f t="shared" si="112"/>
        <v>0.80179999999999996</v>
      </c>
      <c r="E35" s="14">
        <f t="shared" si="112"/>
        <v>0.76479999999999992</v>
      </c>
      <c r="F35" s="14">
        <f t="shared" si="112"/>
        <v>0.75620000000000009</v>
      </c>
      <c r="G35" s="14">
        <f t="shared" si="112"/>
        <v>0.73020000000000007</v>
      </c>
      <c r="H35" s="14">
        <f t="shared" si="112"/>
        <v>0.76910000000000001</v>
      </c>
      <c r="I35" s="14">
        <f t="shared" si="112"/>
        <v>0.75620000000000009</v>
      </c>
      <c r="J35" s="14">
        <f t="shared" si="112"/>
        <v>0.75620000000000009</v>
      </c>
      <c r="K35" s="6"/>
      <c r="L35" s="6"/>
      <c r="M35" s="19">
        <v>5.9370000000000003</v>
      </c>
      <c r="N35" s="19">
        <v>5.845</v>
      </c>
      <c r="O35" s="19">
        <v>5.575</v>
      </c>
      <c r="P35" s="19">
        <v>5.2759999999999998</v>
      </c>
      <c r="Q35" s="19">
        <v>5.3630000000000004</v>
      </c>
      <c r="R35" s="19">
        <v>6.645</v>
      </c>
      <c r="S35" s="19">
        <v>5.6539999999999999</v>
      </c>
      <c r="T35" s="19"/>
      <c r="U35" s="5"/>
      <c r="V35" s="13" t="s">
        <v>311</v>
      </c>
      <c r="W35" s="16">
        <f t="shared" si="113" ref="W35:AC35">D35/M35</f>
        <v>0.13505137274717868</v>
      </c>
      <c r="X35" s="16">
        <f t="shared" si="113"/>
        <v>0.13084687767322498</v>
      </c>
      <c r="Y35" s="16">
        <f t="shared" si="113"/>
        <v>0.13564125560538118</v>
      </c>
      <c r="Z35" s="16">
        <f t="shared" si="113"/>
        <v>0.13840030326004552</v>
      </c>
      <c r="AA35" s="16">
        <f t="shared" si="113"/>
        <v>0.14340853999627073</v>
      </c>
      <c r="AB35" s="17">
        <f t="shared" si="113"/>
        <v>0.11379984951091048</v>
      </c>
      <c r="AC35" s="17">
        <f t="shared" si="113"/>
        <v>0.13374602051644854</v>
      </c>
      <c r="AD35" s="6"/>
      <c r="AE35" s="6"/>
      <c r="AF35" s="16">
        <f t="shared" si="114" ref="AF35:AJ35">W35</f>
        <v>0.13505137274717868</v>
      </c>
      <c r="AG35" s="16">
        <f t="shared" si="114"/>
        <v>0.13084687767322498</v>
      </c>
      <c r="AH35" s="16">
        <f t="shared" si="114"/>
        <v>0.13564125560538118</v>
      </c>
      <c r="AI35" s="16">
        <f t="shared" si="114"/>
        <v>0.13840030326004552</v>
      </c>
      <c r="AJ35" s="16">
        <f t="shared" si="114"/>
        <v>0.14340853999627073</v>
      </c>
      <c r="AK35" s="18">
        <f t="shared" si="67"/>
        <v>0.13086982693754703</v>
      </c>
      <c r="AL35" s="18">
        <f t="shared" si="68"/>
        <v>0.15380792359391582</v>
      </c>
      <c r="AM35" s="6"/>
      <c r="AN35" s="6"/>
      <c r="AO35" s="16">
        <f t="shared" si="115" ref="AO35:AS35">W35</f>
        <v>0.13505137274717868</v>
      </c>
      <c r="AP35" s="16">
        <f t="shared" si="115"/>
        <v>0.13084687767322498</v>
      </c>
      <c r="AQ35" s="16">
        <f t="shared" si="115"/>
        <v>0.13564125560538118</v>
      </c>
      <c r="AR35" s="16">
        <f t="shared" si="115"/>
        <v>0.13840030326004552</v>
      </c>
      <c r="AS35" s="16">
        <f t="shared" si="115"/>
        <v>0.14340853999627073</v>
      </c>
      <c r="AT35" s="18">
        <f t="shared" si="70"/>
        <v>0.096729872084273902</v>
      </c>
      <c r="AU35" s="18">
        <f t="shared" si="71"/>
        <v>0.11368411743898126</v>
      </c>
      <c r="AZ35" s="5"/>
      <c r="BA35" s="13" t="s">
        <v>311</v>
      </c>
      <c r="BB35" s="14">
        <v>842.20</v>
      </c>
      <c r="BC35" s="16">
        <v>801.80</v>
      </c>
      <c r="BD35" s="16">
        <v>764.80</v>
      </c>
      <c r="BE35" s="16">
        <v>756.20</v>
      </c>
      <c r="BF35" s="16">
        <v>730.20</v>
      </c>
      <c r="BG35" s="16">
        <v>769.10</v>
      </c>
      <c r="BH35" s="16">
        <v>756.20</v>
      </c>
      <c r="BI35" s="16">
        <v>756.20</v>
      </c>
      <c r="BJ35" s="6"/>
      <c r="BK35" s="6"/>
      <c r="BL35" s="19"/>
      <c r="BM35" s="19"/>
      <c r="BN35" s="19"/>
      <c r="BO35" s="19"/>
    </row>
    <row r="36" spans="1:67" ht="15.5">
      <c r="A36" s="5"/>
      <c r="B36" s="13" t="s">
        <v>312</v>
      </c>
      <c r="C36" s="14">
        <f t="shared" si="116" ref="C36:J36">BB36/1000</f>
        <v>0.26939999999999997</v>
      </c>
      <c r="D36" s="14">
        <f t="shared" si="116"/>
        <v>0.24010000000000001</v>
      </c>
      <c r="E36" s="14">
        <f t="shared" si="116"/>
        <v>0.2278</v>
      </c>
      <c r="F36" s="14">
        <f t="shared" si="116"/>
        <v>0.22490000000000002</v>
      </c>
      <c r="G36" s="14">
        <f t="shared" si="116"/>
        <v>0.22169999999999998</v>
      </c>
      <c r="H36" s="14">
        <f t="shared" si="116"/>
        <v>0.2296</v>
      </c>
      <c r="I36" s="14">
        <f t="shared" si="116"/>
        <v>0.22490000000000002</v>
      </c>
      <c r="J36" s="14">
        <f t="shared" si="116"/>
        <v>0.22490000000000002</v>
      </c>
      <c r="K36" s="6"/>
      <c r="L36" s="6"/>
      <c r="M36" s="19">
        <v>5.9370000000000003</v>
      </c>
      <c r="N36" s="19">
        <v>5.845</v>
      </c>
      <c r="O36" s="19">
        <v>5.575</v>
      </c>
      <c r="P36" s="19">
        <v>5.2759999999999998</v>
      </c>
      <c r="Q36" s="19">
        <v>5.3630000000000004</v>
      </c>
      <c r="R36" s="19">
        <v>6.645</v>
      </c>
      <c r="S36" s="19">
        <v>5.6539999999999999</v>
      </c>
      <c r="T36" s="19"/>
      <c r="U36" s="5"/>
      <c r="V36" s="13" t="s">
        <v>312</v>
      </c>
      <c r="W36" s="16">
        <f t="shared" si="117" ref="W36:AC36">D36/M36</f>
        <v>0.040441300320026949</v>
      </c>
      <c r="X36" s="16">
        <f t="shared" si="117"/>
        <v>0.038973481608212152</v>
      </c>
      <c r="Y36" s="16">
        <f t="shared" si="117"/>
        <v>0.040340807174887895</v>
      </c>
      <c r="Z36" s="16">
        <f t="shared" si="117"/>
        <v>0.042020470053070504</v>
      </c>
      <c r="AA36" s="16">
        <f t="shared" si="117"/>
        <v>0.042811859034122692</v>
      </c>
      <c r="AB36" s="17">
        <f t="shared" si="117"/>
        <v>0.033844996237772769</v>
      </c>
      <c r="AC36" s="17">
        <f t="shared" si="117"/>
        <v>0.039777148921117798</v>
      </c>
      <c r="AD36" s="6"/>
      <c r="AE36" s="6"/>
      <c r="AF36" s="16">
        <f t="shared" si="118" ref="AF36:AJ36">W36</f>
        <v>0.040441300320026949</v>
      </c>
      <c r="AG36" s="16">
        <f t="shared" si="118"/>
        <v>0.038973481608212152</v>
      </c>
      <c r="AH36" s="16">
        <f t="shared" si="118"/>
        <v>0.040340807174887895</v>
      </c>
      <c r="AI36" s="16">
        <f t="shared" si="118"/>
        <v>0.042020470053070504</v>
      </c>
      <c r="AJ36" s="16">
        <f t="shared" si="118"/>
        <v>0.042811859034122692</v>
      </c>
      <c r="AK36" s="18">
        <f t="shared" si="67"/>
        <v>0.03892174567343868</v>
      </c>
      <c r="AL36" s="18">
        <f t="shared" si="68"/>
        <v>0.045743721259285462</v>
      </c>
      <c r="AM36" s="6"/>
      <c r="AN36" s="6"/>
      <c r="AO36" s="16">
        <f t="shared" si="119" ref="AO36:AS36">W36</f>
        <v>0.040441300320026949</v>
      </c>
      <c r="AP36" s="16">
        <f t="shared" si="119"/>
        <v>0.038973481608212152</v>
      </c>
      <c r="AQ36" s="16">
        <f t="shared" si="119"/>
        <v>0.040340807174887895</v>
      </c>
      <c r="AR36" s="16">
        <f t="shared" si="119"/>
        <v>0.042020470053070504</v>
      </c>
      <c r="AS36" s="16">
        <f t="shared" si="119"/>
        <v>0.042811859034122692</v>
      </c>
      <c r="AT36" s="18">
        <f t="shared" si="70"/>
        <v>0.028768246802106854</v>
      </c>
      <c r="AU36" s="18">
        <f t="shared" si="71"/>
        <v>0.033810576582950128</v>
      </c>
      <c r="AZ36" s="5"/>
      <c r="BA36" s="13" t="s">
        <v>312</v>
      </c>
      <c r="BB36" s="14">
        <v>269.40</v>
      </c>
      <c r="BC36" s="16">
        <v>240.10</v>
      </c>
      <c r="BD36" s="16">
        <v>227.80</v>
      </c>
      <c r="BE36" s="16">
        <v>224.90</v>
      </c>
      <c r="BF36" s="16">
        <v>221.70</v>
      </c>
      <c r="BG36" s="16">
        <v>229.60</v>
      </c>
      <c r="BH36" s="16">
        <v>224.90</v>
      </c>
      <c r="BI36" s="16">
        <v>224.90</v>
      </c>
      <c r="BJ36" s="6"/>
      <c r="BK36" s="6"/>
      <c r="BL36" s="19"/>
      <c r="BM36" s="19"/>
      <c r="BN36" s="19"/>
      <c r="BO36" s="19"/>
    </row>
    <row r="37" spans="1:67" ht="15.5">
      <c r="A37" s="5"/>
      <c r="B37" s="13" t="s">
        <v>313</v>
      </c>
      <c r="C37" s="14">
        <f t="shared" si="120" ref="C37:J37">BB37/1000</f>
        <v>0.52729999999999999</v>
      </c>
      <c r="D37" s="14">
        <f t="shared" si="120"/>
        <v>0.51670000000000005</v>
      </c>
      <c r="E37" s="14">
        <f t="shared" si="120"/>
        <v>0.49310000000000004</v>
      </c>
      <c r="F37" s="14">
        <f t="shared" si="120"/>
        <v>0.48749999999999999</v>
      </c>
      <c r="G37" s="14">
        <f t="shared" si="120"/>
        <v>0.46529999999999999</v>
      </c>
      <c r="H37" s="14">
        <f t="shared" si="120"/>
        <v>0.49460000000000004</v>
      </c>
      <c r="I37" s="14">
        <f t="shared" si="120"/>
        <v>0.48749999999999999</v>
      </c>
      <c r="J37" s="14">
        <f t="shared" si="120"/>
        <v>0.48749999999999999</v>
      </c>
      <c r="K37" s="6"/>
      <c r="L37" s="6"/>
      <c r="M37" s="19">
        <v>5.9370000000000003</v>
      </c>
      <c r="N37" s="19">
        <v>5.845</v>
      </c>
      <c r="O37" s="19">
        <v>5.575</v>
      </c>
      <c r="P37" s="19">
        <v>5.2759999999999998</v>
      </c>
      <c r="Q37" s="19">
        <v>5.3630000000000004</v>
      </c>
      <c r="R37" s="19">
        <v>6.645</v>
      </c>
      <c r="S37" s="19">
        <v>5.6539999999999999</v>
      </c>
      <c r="T37" s="19"/>
      <c r="U37" s="5"/>
      <c r="V37" s="13" t="s">
        <v>313</v>
      </c>
      <c r="W37" s="16">
        <f t="shared" si="121" ref="W37:AC37">D37/M37</f>
        <v>0.087030486777833926</v>
      </c>
      <c r="X37" s="16">
        <f t="shared" si="121"/>
        <v>0.084362703165098391</v>
      </c>
      <c r="Y37" s="16">
        <f t="shared" si="121"/>
        <v>0.087443946188340796</v>
      </c>
      <c r="Z37" s="16">
        <f t="shared" si="121"/>
        <v>0.088191811978771795</v>
      </c>
      <c r="AA37" s="16">
        <f t="shared" si="121"/>
        <v>0.092224501212008203</v>
      </c>
      <c r="AB37" s="17">
        <f t="shared" si="121"/>
        <v>0.07336343115124154</v>
      </c>
      <c r="AC37" s="17">
        <f t="shared" si="121"/>
        <v>0.086222143615139718</v>
      </c>
      <c r="AD37" s="6"/>
      <c r="AE37" s="6"/>
      <c r="AF37" s="16">
        <f t="shared" si="122" ref="AF37:AJ37">W37</f>
        <v>0.087030486777833926</v>
      </c>
      <c r="AG37" s="16">
        <f t="shared" si="122"/>
        <v>0.084362703165098391</v>
      </c>
      <c r="AH37" s="16">
        <f t="shared" si="122"/>
        <v>0.087443946188340796</v>
      </c>
      <c r="AI37" s="16">
        <f t="shared" si="122"/>
        <v>0.088191811978771795</v>
      </c>
      <c r="AJ37" s="16">
        <f t="shared" si="122"/>
        <v>0.092224501212008203</v>
      </c>
      <c r="AK37" s="18">
        <f t="shared" si="67"/>
        <v>0.084367945823927759</v>
      </c>
      <c r="AL37" s="18">
        <f t="shared" si="68"/>
        <v>0.099155465157410666</v>
      </c>
      <c r="AM37" s="6"/>
      <c r="AN37" s="6"/>
      <c r="AO37" s="16">
        <f t="shared" si="123" ref="AO37:AS37">W37</f>
        <v>0.087030486777833926</v>
      </c>
      <c r="AP37" s="16">
        <f t="shared" si="123"/>
        <v>0.084362703165098391</v>
      </c>
      <c r="AQ37" s="16">
        <f t="shared" si="123"/>
        <v>0.087443946188340796</v>
      </c>
      <c r="AR37" s="16">
        <f t="shared" si="123"/>
        <v>0.088191811978771795</v>
      </c>
      <c r="AS37" s="16">
        <f t="shared" si="123"/>
        <v>0.092224501212008203</v>
      </c>
      <c r="AT37" s="18">
        <f t="shared" si="70"/>
        <v>0.062358916478555307</v>
      </c>
      <c r="AU37" s="18">
        <f t="shared" si="71"/>
        <v>0.073288822072868756</v>
      </c>
      <c r="AZ37" s="5"/>
      <c r="BA37" s="13" t="s">
        <v>313</v>
      </c>
      <c r="BB37" s="14">
        <v>527.30</v>
      </c>
      <c r="BC37" s="16">
        <v>516.70</v>
      </c>
      <c r="BD37" s="16">
        <v>493.10</v>
      </c>
      <c r="BE37" s="16">
        <v>487.50</v>
      </c>
      <c r="BF37" s="16">
        <v>465.30</v>
      </c>
      <c r="BG37" s="16">
        <v>494.60</v>
      </c>
      <c r="BH37" s="16">
        <v>487.50</v>
      </c>
      <c r="BI37" s="16">
        <v>487.50</v>
      </c>
      <c r="BJ37" s="6"/>
      <c r="BK37" s="6"/>
      <c r="BL37" s="19"/>
      <c r="BM37" s="19"/>
      <c r="BN37" s="19"/>
      <c r="BO37" s="19"/>
    </row>
    <row r="38" spans="1:67" ht="15.5">
      <c r="A38" s="5"/>
      <c r="B38" s="13" t="s">
        <v>314</v>
      </c>
      <c r="C38" s="14">
        <f t="shared" si="124" ref="C38:J38">BB38/1000</f>
        <v>0.085800000000000001</v>
      </c>
      <c r="D38" s="14">
        <f t="shared" si="124"/>
        <v>0.079299999999999995</v>
      </c>
      <c r="E38" s="14">
        <f t="shared" si="124"/>
        <v>0.077099999999999988</v>
      </c>
      <c r="F38" s="14">
        <f t="shared" si="124"/>
        <v>0.076599999999999988</v>
      </c>
      <c r="G38" s="14">
        <f t="shared" si="124"/>
        <v>0.074400000000000008</v>
      </c>
      <c r="H38" s="14">
        <f t="shared" si="124"/>
        <v>0.076700000000000004</v>
      </c>
      <c r="I38" s="14">
        <f t="shared" si="124"/>
        <v>0.076599999999999988</v>
      </c>
      <c r="J38" s="14">
        <f t="shared" si="124"/>
        <v>0.076599999999999988</v>
      </c>
      <c r="K38" s="6"/>
      <c r="L38" s="6"/>
      <c r="M38" s="19">
        <v>5.9370000000000003</v>
      </c>
      <c r="N38" s="19">
        <v>5.845</v>
      </c>
      <c r="O38" s="19">
        <v>5.575</v>
      </c>
      <c r="P38" s="19">
        <v>5.2759999999999998</v>
      </c>
      <c r="Q38" s="19">
        <v>5.3630000000000004</v>
      </c>
      <c r="R38" s="19">
        <v>6.645</v>
      </c>
      <c r="S38" s="19">
        <v>5.6539999999999999</v>
      </c>
      <c r="T38" s="19"/>
      <c r="U38" s="5"/>
      <c r="V38" s="13" t="s">
        <v>314</v>
      </c>
      <c r="W38" s="16">
        <f t="shared" si="125" ref="W38:AC38">D38/M38</f>
        <v>0.013356914266464542</v>
      </c>
      <c r="X38" s="16">
        <f t="shared" si="125"/>
        <v>0.013190761334473907</v>
      </c>
      <c r="Y38" s="16">
        <f t="shared" si="125"/>
        <v>0.013739910313901343</v>
      </c>
      <c r="Z38" s="16">
        <f t="shared" si="125"/>
        <v>0.01410159211523882</v>
      </c>
      <c r="AA38" s="16">
        <f t="shared" si="125"/>
        <v>0.014301696811486108</v>
      </c>
      <c r="AB38" s="17">
        <f t="shared" si="125"/>
        <v>0.011527464258841233</v>
      </c>
      <c r="AC38" s="17">
        <f t="shared" si="125"/>
        <v>0.013547930668553235</v>
      </c>
      <c r="AD38" s="6"/>
      <c r="AE38" s="6"/>
      <c r="AF38" s="16">
        <f t="shared" si="126" ref="AF38:AJ38">W38</f>
        <v>0.013356914266464542</v>
      </c>
      <c r="AG38" s="16">
        <f t="shared" si="126"/>
        <v>0.013190761334473907</v>
      </c>
      <c r="AH38" s="16">
        <f t="shared" si="126"/>
        <v>0.013739910313901343</v>
      </c>
      <c r="AI38" s="16">
        <f t="shared" si="126"/>
        <v>0.01410159211523882</v>
      </c>
      <c r="AJ38" s="16">
        <f t="shared" si="126"/>
        <v>0.014301696811486108</v>
      </c>
      <c r="AK38" s="18">
        <f t="shared" si="67"/>
        <v>0.013256583897667417</v>
      </c>
      <c r="AL38" s="18">
        <f t="shared" si="68"/>
        <v>0.015580120268836218</v>
      </c>
      <c r="AM38" s="6"/>
      <c r="AN38" s="6"/>
      <c r="AO38" s="16">
        <f t="shared" si="127" ref="AO38:AS38">W38</f>
        <v>0.013356914266464542</v>
      </c>
      <c r="AP38" s="16">
        <f t="shared" si="127"/>
        <v>0.013190761334473907</v>
      </c>
      <c r="AQ38" s="16">
        <f t="shared" si="127"/>
        <v>0.013739910313901343</v>
      </c>
      <c r="AR38" s="16">
        <f t="shared" si="127"/>
        <v>0.01410159211523882</v>
      </c>
      <c r="AS38" s="16">
        <f t="shared" si="127"/>
        <v>0.014301696811486108</v>
      </c>
      <c r="AT38" s="18">
        <f t="shared" si="70"/>
        <v>0.0097983446200150467</v>
      </c>
      <c r="AU38" s="18">
        <f t="shared" si="71"/>
        <v>0.01151574106827025</v>
      </c>
      <c r="AZ38" s="5"/>
      <c r="BA38" s="13" t="s">
        <v>314</v>
      </c>
      <c r="BB38" s="14">
        <v>85.80</v>
      </c>
      <c r="BC38" s="16">
        <v>79.30</v>
      </c>
      <c r="BD38" s="16">
        <v>77.10</v>
      </c>
      <c r="BE38" s="16">
        <v>76.60</v>
      </c>
      <c r="BF38" s="16">
        <v>74.40</v>
      </c>
      <c r="BG38" s="16">
        <v>76.70</v>
      </c>
      <c r="BH38" s="16">
        <v>76.60</v>
      </c>
      <c r="BI38" s="16">
        <v>76.60</v>
      </c>
      <c r="BJ38" s="6"/>
      <c r="BK38" s="6"/>
      <c r="BL38" s="19"/>
      <c r="BM38" s="19"/>
      <c r="BN38" s="19"/>
      <c r="BO38" s="19"/>
    </row>
    <row r="39" spans="1:67" ht="15.5">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spans="1:67" ht="15.5">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spans="1:67" ht="15.5">
      <c r="A41" s="5" t="s">
        <v>330</v>
      </c>
      <c r="B41" s="5"/>
      <c r="C41" s="5"/>
      <c r="D41" s="5"/>
      <c r="E41" s="5"/>
      <c r="F41" s="5"/>
      <c r="G41" s="5"/>
      <c r="H41" s="5"/>
      <c r="I41" s="5"/>
      <c r="J41" s="5"/>
      <c r="K41" s="6"/>
      <c r="L41" s="6"/>
      <c r="M41" s="6"/>
      <c r="N41" s="6"/>
      <c r="O41" s="6"/>
      <c r="P41" s="6"/>
      <c r="Q41" s="6"/>
      <c r="R41" s="6"/>
      <c r="S41" s="6"/>
      <c r="T41" s="6"/>
      <c r="AZ41" s="5" t="s">
        <v>330</v>
      </c>
      <c r="BA41" s="5"/>
      <c r="BB41" s="5"/>
      <c r="BC41" s="5"/>
      <c r="BD41" s="5"/>
      <c r="BE41" s="5"/>
      <c r="BF41" s="5"/>
      <c r="BG41" s="5"/>
      <c r="BH41" s="5"/>
      <c r="BI41" s="5"/>
      <c r="BJ41" s="6"/>
      <c r="BK41" s="6"/>
      <c r="BL41" s="6"/>
      <c r="BM41" s="6"/>
      <c r="BN41" s="6"/>
      <c r="BO41" s="6"/>
    </row>
    <row r="42" spans="1:67" ht="15.5">
      <c r="A42" s="5" t="s">
        <v>298</v>
      </c>
      <c r="B42" s="5" t="s">
        <v>329</v>
      </c>
      <c r="C42" s="5" t="s">
        <v>300</v>
      </c>
      <c r="D42" s="5"/>
      <c r="E42" s="5"/>
      <c r="F42" s="5"/>
      <c r="G42" s="5"/>
      <c r="H42" s="5"/>
      <c r="I42" s="5"/>
      <c r="J42" s="5"/>
      <c r="K42" s="6"/>
      <c r="L42" s="6"/>
      <c r="M42" s="6"/>
      <c r="N42" s="6"/>
      <c r="O42" s="6"/>
      <c r="P42" s="6"/>
      <c r="Q42" s="6"/>
      <c r="R42" s="6"/>
      <c r="S42" s="6"/>
      <c r="T42" s="6"/>
      <c r="AZ42" s="5" t="s">
        <v>298</v>
      </c>
      <c r="BA42" s="5" t="s">
        <v>329</v>
      </c>
      <c r="BB42" s="5" t="s">
        <v>300</v>
      </c>
      <c r="BC42" s="5"/>
      <c r="BD42" s="5"/>
      <c r="BE42" s="5"/>
      <c r="BF42" s="5"/>
      <c r="BG42" s="5"/>
      <c r="BH42" s="5"/>
      <c r="BI42" s="5"/>
      <c r="BJ42" s="6"/>
      <c r="BK42" s="6"/>
      <c r="BL42" s="6"/>
      <c r="BM42" s="6"/>
      <c r="BN42" s="6"/>
      <c r="BO42" s="6"/>
    </row>
    <row r="43" spans="1:67" ht="30">
      <c r="A43" s="5"/>
      <c r="B43" s="5"/>
      <c r="C43" s="9" t="s">
        <v>301</v>
      </c>
      <c r="D43" s="6" t="s">
        <v>302</v>
      </c>
      <c r="E43" s="6" t="s">
        <v>303</v>
      </c>
      <c r="F43" s="10" t="s">
        <v>304</v>
      </c>
      <c r="G43" s="6" t="s">
        <v>305</v>
      </c>
      <c r="H43" s="6" t="s">
        <v>306</v>
      </c>
      <c r="I43" s="6" t="s">
        <v>307</v>
      </c>
      <c r="J43" s="6" t="s">
        <v>308</v>
      </c>
      <c r="K43" s="6"/>
      <c r="L43" s="6"/>
      <c r="M43" s="6" t="s">
        <v>302</v>
      </c>
      <c r="N43" s="6" t="s">
        <v>303</v>
      </c>
      <c r="O43" s="6" t="s">
        <v>304</v>
      </c>
      <c r="P43" s="6" t="s">
        <v>305</v>
      </c>
      <c r="Q43" s="6" t="s">
        <v>306</v>
      </c>
      <c r="R43" s="6" t="s">
        <v>307</v>
      </c>
      <c r="S43" s="6" t="s">
        <v>308</v>
      </c>
      <c r="T43" s="6"/>
      <c r="U43" s="6"/>
      <c r="V43" s="8" t="s">
        <v>327</v>
      </c>
      <c r="W43" s="6" t="s">
        <v>302</v>
      </c>
      <c r="X43" s="6" t="s">
        <v>303</v>
      </c>
      <c r="Y43" s="10" t="s">
        <v>304</v>
      </c>
      <c r="Z43" s="6" t="s">
        <v>305</v>
      </c>
      <c r="AA43" s="6" t="s">
        <v>306</v>
      </c>
      <c r="AB43" s="12" t="s">
        <v>307</v>
      </c>
      <c r="AC43" s="12" t="s">
        <v>308</v>
      </c>
      <c r="AD43" s="6"/>
      <c r="AE43" s="6"/>
      <c r="AF43" s="6" t="s">
        <v>302</v>
      </c>
      <c r="AG43" s="6" t="s">
        <v>303</v>
      </c>
      <c r="AH43" s="10" t="s">
        <v>304</v>
      </c>
      <c r="AI43" s="6" t="s">
        <v>305</v>
      </c>
      <c r="AJ43" s="6" t="s">
        <v>306</v>
      </c>
      <c r="AK43" s="12" t="s">
        <v>307</v>
      </c>
      <c r="AL43" s="12" t="s">
        <v>308</v>
      </c>
      <c r="AO43" s="6" t="s">
        <v>302</v>
      </c>
      <c r="AP43" s="6" t="s">
        <v>303</v>
      </c>
      <c r="AQ43" s="10" t="s">
        <v>304</v>
      </c>
      <c r="AR43" s="6" t="s">
        <v>305</v>
      </c>
      <c r="AS43" s="6" t="s">
        <v>306</v>
      </c>
      <c r="AT43" s="12" t="s">
        <v>307</v>
      </c>
      <c r="AU43" s="12" t="s">
        <v>308</v>
      </c>
      <c r="AZ43" s="5"/>
      <c r="BA43" s="5"/>
      <c r="BB43" s="9" t="s">
        <v>301</v>
      </c>
      <c r="BC43" s="6" t="s">
        <v>302</v>
      </c>
      <c r="BD43" s="6" t="s">
        <v>303</v>
      </c>
      <c r="BE43" s="10" t="s">
        <v>304</v>
      </c>
      <c r="BF43" s="6" t="s">
        <v>305</v>
      </c>
      <c r="BG43" s="6" t="s">
        <v>306</v>
      </c>
      <c r="BH43" s="6" t="s">
        <v>307</v>
      </c>
      <c r="BI43" s="6" t="s">
        <v>308</v>
      </c>
      <c r="BJ43" s="6"/>
      <c r="BK43" s="6"/>
      <c r="BL43" s="6"/>
      <c r="BM43" s="6"/>
      <c r="BN43" s="6"/>
      <c r="BO43" s="6"/>
    </row>
    <row r="44" spans="1:67" ht="15.5">
      <c r="A44" s="5" t="s">
        <v>309</v>
      </c>
      <c r="B44" s="13" t="s">
        <v>310</v>
      </c>
      <c r="C44" s="14">
        <f t="shared" si="128" ref="C44:J44">BB44/1000</f>
        <v>0.66520000000000001</v>
      </c>
      <c r="D44" s="14">
        <f t="shared" si="128"/>
        <v>0.58640000000000003</v>
      </c>
      <c r="E44" s="14">
        <f t="shared" si="128"/>
        <v>0.56789999999999996</v>
      </c>
      <c r="F44" s="14">
        <f t="shared" si="128"/>
        <v>0.56359999999999999</v>
      </c>
      <c r="G44" s="14">
        <f t="shared" si="128"/>
        <v>0.54089999999999994</v>
      </c>
      <c r="H44" s="14">
        <f t="shared" si="128"/>
        <v>0.55210000000000004</v>
      </c>
      <c r="I44" s="14">
        <f t="shared" si="128"/>
        <v>0.56359999999999999</v>
      </c>
      <c r="J44" s="14">
        <f t="shared" si="128"/>
        <v>0.56359999999999999</v>
      </c>
      <c r="K44" s="6"/>
      <c r="L44" s="6"/>
      <c r="M44" s="15">
        <v>5.9370000000000003</v>
      </c>
      <c r="N44" s="15">
        <v>5.845</v>
      </c>
      <c r="O44" s="15">
        <v>5.575</v>
      </c>
      <c r="P44" s="15">
        <v>5.2759999999999998</v>
      </c>
      <c r="Q44" s="15">
        <v>5.3630000000000004</v>
      </c>
      <c r="R44" s="15">
        <v>6.645</v>
      </c>
      <c r="S44" s="15">
        <v>5.6539999999999999</v>
      </c>
      <c r="T44" s="15"/>
      <c r="U44" s="5" t="s">
        <v>309</v>
      </c>
      <c r="V44" s="13" t="s">
        <v>310</v>
      </c>
      <c r="W44" s="16">
        <f t="shared" si="129" ref="W44:AC44">D44/M44</f>
        <v>0.098770422772443994</v>
      </c>
      <c r="X44" s="16">
        <f t="shared" si="129"/>
        <v>0.097159965782720265</v>
      </c>
      <c r="Y44" s="16">
        <f t="shared" si="129"/>
        <v>0.10109417040358744</v>
      </c>
      <c r="Z44" s="16">
        <f t="shared" si="129"/>
        <v>0.10252084912812737</v>
      </c>
      <c r="AA44" s="16">
        <f t="shared" si="129"/>
        <v>0.102946112250606</v>
      </c>
      <c r="AB44" s="17">
        <f t="shared" si="129"/>
        <v>0.084815650865312273</v>
      </c>
      <c r="AC44" s="17">
        <f t="shared" si="129"/>
        <v>0.099681641315882558</v>
      </c>
      <c r="AD44" s="6"/>
      <c r="AE44" s="6"/>
      <c r="AF44" s="16">
        <f t="shared" si="130" ref="AF44:AJ44">W44</f>
        <v>0.098770422772443994</v>
      </c>
      <c r="AG44" s="16">
        <f t="shared" si="130"/>
        <v>0.097159965782720265</v>
      </c>
      <c r="AH44" s="16">
        <f t="shared" si="130"/>
        <v>0.10109417040358744</v>
      </c>
      <c r="AI44" s="16">
        <f t="shared" si="130"/>
        <v>0.10252084912812737</v>
      </c>
      <c r="AJ44" s="16">
        <f t="shared" si="130"/>
        <v>0.102946112250606</v>
      </c>
      <c r="AK44" s="18">
        <f t="shared" si="131" ref="AK44:AK58">AB44*1.15</f>
        <v>0.097537998495109107</v>
      </c>
      <c r="AL44" s="18">
        <f t="shared" si="132" ref="AL44:AL58">AC44*1.15</f>
        <v>0.11463388751326493</v>
      </c>
      <c r="AO44" s="16">
        <f t="shared" si="133" ref="AO44:AS44">W44</f>
        <v>0.098770422772443994</v>
      </c>
      <c r="AP44" s="16">
        <f t="shared" si="133"/>
        <v>0.097159965782720265</v>
      </c>
      <c r="AQ44" s="16">
        <f t="shared" si="133"/>
        <v>0.10109417040358744</v>
      </c>
      <c r="AR44" s="16">
        <f t="shared" si="133"/>
        <v>0.10252084912812737</v>
      </c>
      <c r="AS44" s="16">
        <f t="shared" si="133"/>
        <v>0.102946112250606</v>
      </c>
      <c r="AT44" s="18">
        <f t="shared" si="134" ref="AT44:AT58">AB44*0.85</f>
        <v>0.072093303235515424</v>
      </c>
      <c r="AU44" s="18">
        <f t="shared" si="135" ref="AU44:AU58">AC44*0.85</f>
        <v>0.084729395118500167</v>
      </c>
      <c r="AZ44" s="5" t="s">
        <v>309</v>
      </c>
      <c r="BA44" s="13" t="s">
        <v>310</v>
      </c>
      <c r="BB44" s="14">
        <v>665.20</v>
      </c>
      <c r="BC44" s="16">
        <v>586.40</v>
      </c>
      <c r="BD44" s="16">
        <v>567.90</v>
      </c>
      <c r="BE44" s="16">
        <v>563.60</v>
      </c>
      <c r="BF44" s="16">
        <v>540.90</v>
      </c>
      <c r="BG44" s="16">
        <v>552.10</v>
      </c>
      <c r="BH44" s="16">
        <v>563.60</v>
      </c>
      <c r="BI44" s="16">
        <v>563.60</v>
      </c>
      <c r="BJ44" s="6"/>
      <c r="BK44" s="6"/>
      <c r="BL44" s="15"/>
      <c r="BM44" s="15"/>
      <c r="BN44" s="15"/>
      <c r="BO44" s="15"/>
    </row>
    <row r="45" spans="1:67" ht="15.5">
      <c r="A45" s="5"/>
      <c r="B45" s="13" t="s">
        <v>311</v>
      </c>
      <c r="C45" s="14">
        <f t="shared" si="136" ref="C45:J45">BB45/1000</f>
        <v>0.60920000000000007</v>
      </c>
      <c r="D45" s="14">
        <f t="shared" si="136"/>
        <v>0.53959999999999997</v>
      </c>
      <c r="E45" s="14">
        <f t="shared" si="136"/>
        <v>0.5232</v>
      </c>
      <c r="F45" s="14">
        <f t="shared" si="136"/>
        <v>0.51929999999999998</v>
      </c>
      <c r="G45" s="14">
        <f t="shared" si="136"/>
        <v>0.499</v>
      </c>
      <c r="H45" s="14">
        <f t="shared" si="136"/>
        <v>0.5091</v>
      </c>
      <c r="I45" s="14">
        <f t="shared" si="136"/>
        <v>0.51929999999999998</v>
      </c>
      <c r="J45" s="14">
        <f t="shared" si="136"/>
        <v>0.51929999999999998</v>
      </c>
      <c r="K45" s="6"/>
      <c r="L45" s="6"/>
      <c r="M45" s="19">
        <v>5.9370000000000003</v>
      </c>
      <c r="N45" s="19">
        <v>5.845</v>
      </c>
      <c r="O45" s="19">
        <v>5.575</v>
      </c>
      <c r="P45" s="19">
        <v>5.2759999999999998</v>
      </c>
      <c r="Q45" s="19">
        <v>5.3630000000000004</v>
      </c>
      <c r="R45" s="19">
        <v>6.645</v>
      </c>
      <c r="S45" s="19">
        <v>5.6539999999999999</v>
      </c>
      <c r="T45" s="19"/>
      <c r="U45" s="5"/>
      <c r="V45" s="13" t="s">
        <v>311</v>
      </c>
      <c r="W45" s="16">
        <f t="shared" si="137" ref="W45:AC45">D45/M45</f>
        <v>0.090887653697153431</v>
      </c>
      <c r="X45" s="16">
        <f t="shared" si="137"/>
        <v>0.08951240376390078</v>
      </c>
      <c r="Y45" s="16">
        <f t="shared" si="137"/>
        <v>0.093147982062780257</v>
      </c>
      <c r="Z45" s="16">
        <f t="shared" si="137"/>
        <v>0.09457922668688401</v>
      </c>
      <c r="AA45" s="16">
        <f t="shared" si="137"/>
        <v>0.094928211821741548</v>
      </c>
      <c r="AB45" s="17">
        <f t="shared" si="137"/>
        <v>0.078148984198645605</v>
      </c>
      <c r="AC45" s="17">
        <f t="shared" si="137"/>
        <v>0.09184648036788115</v>
      </c>
      <c r="AD45" s="6"/>
      <c r="AE45" s="6"/>
      <c r="AF45" s="16">
        <f t="shared" si="138" ref="AF45:AJ45">W45</f>
        <v>0.090887653697153431</v>
      </c>
      <c r="AG45" s="16">
        <f t="shared" si="138"/>
        <v>0.08951240376390078</v>
      </c>
      <c r="AH45" s="16">
        <f t="shared" si="138"/>
        <v>0.093147982062780257</v>
      </c>
      <c r="AI45" s="16">
        <f t="shared" si="138"/>
        <v>0.09457922668688401</v>
      </c>
      <c r="AJ45" s="16">
        <f t="shared" si="138"/>
        <v>0.094928211821741548</v>
      </c>
      <c r="AK45" s="18">
        <f t="shared" si="131"/>
        <v>0.089871331828442438</v>
      </c>
      <c r="AL45" s="18">
        <f t="shared" si="132"/>
        <v>0.10562345242306331</v>
      </c>
      <c r="AO45" s="16">
        <f t="shared" si="139" ref="AO45:AS45">W45</f>
        <v>0.090887653697153431</v>
      </c>
      <c r="AP45" s="16">
        <f t="shared" si="139"/>
        <v>0.08951240376390078</v>
      </c>
      <c r="AQ45" s="16">
        <f t="shared" si="139"/>
        <v>0.093147982062780257</v>
      </c>
      <c r="AR45" s="16">
        <f t="shared" si="139"/>
        <v>0.09457922668688401</v>
      </c>
      <c r="AS45" s="16">
        <f t="shared" si="139"/>
        <v>0.094928211821741548</v>
      </c>
      <c r="AT45" s="18">
        <f t="shared" si="134"/>
        <v>0.066426636568848757</v>
      </c>
      <c r="AU45" s="18">
        <f t="shared" si="135"/>
        <v>0.078069508312698974</v>
      </c>
      <c r="AZ45" s="5"/>
      <c r="BA45" s="13" t="s">
        <v>311</v>
      </c>
      <c r="BB45" s="14">
        <v>609.20</v>
      </c>
      <c r="BC45" s="16">
        <v>539.60</v>
      </c>
      <c r="BD45" s="16">
        <v>523.20</v>
      </c>
      <c r="BE45" s="16">
        <v>519.30</v>
      </c>
      <c r="BF45" s="16">
        <v>499</v>
      </c>
      <c r="BG45" s="16">
        <v>509.10</v>
      </c>
      <c r="BH45" s="16">
        <v>519.30</v>
      </c>
      <c r="BI45" s="16">
        <v>519.30</v>
      </c>
      <c r="BJ45" s="6"/>
      <c r="BK45" s="6"/>
      <c r="BL45" s="19"/>
      <c r="BM45" s="19"/>
      <c r="BN45" s="19"/>
      <c r="BO45" s="19"/>
    </row>
    <row r="46" spans="1:67" ht="15.5">
      <c r="A46" s="5"/>
      <c r="B46" s="13" t="s">
        <v>312</v>
      </c>
      <c r="C46" s="14">
        <f t="shared" si="140" ref="C46:J46">BB46/1000</f>
        <v>0.1429</v>
      </c>
      <c r="D46" s="14">
        <f t="shared" si="140"/>
        <v>0.11940000000000001</v>
      </c>
      <c r="E46" s="14">
        <f t="shared" si="140"/>
        <v>0.114</v>
      </c>
      <c r="F46" s="14">
        <f t="shared" si="140"/>
        <v>0.11270000000000001</v>
      </c>
      <c r="G46" s="14">
        <f t="shared" si="140"/>
        <v>0.1061</v>
      </c>
      <c r="H46" s="14">
        <f t="shared" si="140"/>
        <v>0.10940000000000001</v>
      </c>
      <c r="I46" s="14">
        <f t="shared" si="140"/>
        <v>0.11270000000000001</v>
      </c>
      <c r="J46" s="14">
        <f t="shared" si="140"/>
        <v>0.11270000000000001</v>
      </c>
      <c r="K46" s="6"/>
      <c r="L46" s="6"/>
      <c r="M46" s="19">
        <v>5.9370000000000003</v>
      </c>
      <c r="N46" s="19">
        <v>5.845</v>
      </c>
      <c r="O46" s="19">
        <v>5.575</v>
      </c>
      <c r="P46" s="19">
        <v>5.2759999999999998</v>
      </c>
      <c r="Q46" s="19">
        <v>5.3630000000000004</v>
      </c>
      <c r="R46" s="19">
        <v>6.645</v>
      </c>
      <c r="S46" s="19">
        <v>5.6539999999999999</v>
      </c>
      <c r="T46" s="19"/>
      <c r="U46" s="5"/>
      <c r="V46" s="13" t="s">
        <v>312</v>
      </c>
      <c r="W46" s="16">
        <f t="shared" si="141" ref="W46:AC46">D46/M46</f>
        <v>0.020111167256189996</v>
      </c>
      <c r="X46" s="16">
        <f t="shared" si="141"/>
        <v>0.019503849443969205</v>
      </c>
      <c r="Y46" s="16">
        <f t="shared" si="141"/>
        <v>0.020215246636771302</v>
      </c>
      <c r="Z46" s="16">
        <f t="shared" si="141"/>
        <v>0.020109931766489765</v>
      </c>
      <c r="AA46" s="16">
        <f t="shared" si="141"/>
        <v>0.020399030393436511</v>
      </c>
      <c r="AB46" s="17">
        <f t="shared" si="141"/>
        <v>0.016960120391271635</v>
      </c>
      <c r="AC46" s="17">
        <f t="shared" si="141"/>
        <v>0.0199327909444641</v>
      </c>
      <c r="AD46" s="6"/>
      <c r="AE46" s="6"/>
      <c r="AF46" s="16">
        <f t="shared" si="142" ref="AF46:AJ46">W46</f>
        <v>0.020111167256189996</v>
      </c>
      <c r="AG46" s="16">
        <f t="shared" si="142"/>
        <v>0.019503849443969205</v>
      </c>
      <c r="AH46" s="16">
        <f t="shared" si="142"/>
        <v>0.020215246636771302</v>
      </c>
      <c r="AI46" s="16">
        <f t="shared" si="142"/>
        <v>0.020109931766489765</v>
      </c>
      <c r="AJ46" s="16">
        <f t="shared" si="142"/>
        <v>0.020399030393436511</v>
      </c>
      <c r="AK46" s="18">
        <f t="shared" si="131"/>
        <v>0.019504138449962381</v>
      </c>
      <c r="AL46" s="18">
        <f t="shared" si="132"/>
        <v>0.022922709586133714</v>
      </c>
      <c r="AO46" s="16">
        <f t="shared" si="143" ref="AO46:AS46">W46</f>
        <v>0.020111167256189996</v>
      </c>
      <c r="AP46" s="16">
        <f t="shared" si="143"/>
        <v>0.019503849443969205</v>
      </c>
      <c r="AQ46" s="16">
        <f t="shared" si="143"/>
        <v>0.020215246636771302</v>
      </c>
      <c r="AR46" s="16">
        <f t="shared" si="143"/>
        <v>0.020109931766489765</v>
      </c>
      <c r="AS46" s="16">
        <f t="shared" si="143"/>
        <v>0.020399030393436511</v>
      </c>
      <c r="AT46" s="18">
        <f t="shared" si="134"/>
        <v>0.01441610233258089</v>
      </c>
      <c r="AU46" s="18">
        <f t="shared" si="135"/>
        <v>0.016942872302794485</v>
      </c>
      <c r="AZ46" s="5"/>
      <c r="BA46" s="13" t="s">
        <v>312</v>
      </c>
      <c r="BB46" s="14">
        <v>142.90</v>
      </c>
      <c r="BC46" s="16">
        <v>119.40</v>
      </c>
      <c r="BD46" s="16">
        <v>114</v>
      </c>
      <c r="BE46" s="16">
        <v>112.70</v>
      </c>
      <c r="BF46" s="16">
        <v>106.10</v>
      </c>
      <c r="BG46" s="16">
        <v>109.40</v>
      </c>
      <c r="BH46" s="16">
        <v>112.70</v>
      </c>
      <c r="BI46" s="16">
        <v>112.70</v>
      </c>
      <c r="BJ46" s="6"/>
      <c r="BK46" s="6"/>
      <c r="BL46" s="19"/>
      <c r="BM46" s="19"/>
      <c r="BN46" s="19"/>
      <c r="BO46" s="19"/>
    </row>
    <row r="47" spans="1:67" ht="15.5">
      <c r="A47" s="5"/>
      <c r="B47" s="13" t="s">
        <v>313</v>
      </c>
      <c r="C47" s="14">
        <f t="shared" si="144" ref="C47:J47">BB47/1000</f>
        <v>0.42560000000000003</v>
      </c>
      <c r="D47" s="14">
        <f t="shared" si="144"/>
        <v>0.38069999999999998</v>
      </c>
      <c r="E47" s="14">
        <f t="shared" si="144"/>
        <v>0.37030000000000002</v>
      </c>
      <c r="F47" s="14">
        <f t="shared" si="144"/>
        <v>0.3679</v>
      </c>
      <c r="G47" s="14">
        <f t="shared" si="144"/>
        <v>0.35520000000000002</v>
      </c>
      <c r="H47" s="14">
        <f t="shared" si="144"/>
        <v>0.36130000000000001</v>
      </c>
      <c r="I47" s="14">
        <f t="shared" si="144"/>
        <v>0.3679</v>
      </c>
      <c r="J47" s="14">
        <f t="shared" si="144"/>
        <v>0.3679</v>
      </c>
      <c r="K47" s="6"/>
      <c r="L47" s="6"/>
      <c r="M47" s="19">
        <v>5.9370000000000003</v>
      </c>
      <c r="N47" s="19">
        <v>5.845</v>
      </c>
      <c r="O47" s="19">
        <v>5.575</v>
      </c>
      <c r="P47" s="19">
        <v>5.2759999999999998</v>
      </c>
      <c r="Q47" s="19">
        <v>5.3630000000000004</v>
      </c>
      <c r="R47" s="19">
        <v>6.645</v>
      </c>
      <c r="S47" s="19">
        <v>5.6539999999999999</v>
      </c>
      <c r="T47" s="19"/>
      <c r="U47" s="5"/>
      <c r="V47" s="13" t="s">
        <v>313</v>
      </c>
      <c r="W47" s="16">
        <f t="shared" si="145" ref="W47:AC47">D47/M47</f>
        <v>0.064123294593228894</v>
      </c>
      <c r="X47" s="16">
        <f t="shared" si="145"/>
        <v>0.063353293413173653</v>
      </c>
      <c r="Y47" s="16">
        <f t="shared" si="145"/>
        <v>0.065991031390134527</v>
      </c>
      <c r="Z47" s="16">
        <f t="shared" si="145"/>
        <v>0.06732373009855952</v>
      </c>
      <c r="AA47" s="16">
        <f t="shared" si="145"/>
        <v>0.067369009882528433</v>
      </c>
      <c r="AB47" s="17">
        <f t="shared" si="145"/>
        <v>0.05536493604213695</v>
      </c>
      <c r="AC47" s="17">
        <f t="shared" si="145"/>
        <v>0.065068977714892118</v>
      </c>
      <c r="AD47" s="6"/>
      <c r="AE47" s="6"/>
      <c r="AF47" s="16">
        <f t="shared" si="146" ref="AF47:AJ47">W47</f>
        <v>0.064123294593228894</v>
      </c>
      <c r="AG47" s="16">
        <f t="shared" si="146"/>
        <v>0.063353293413173653</v>
      </c>
      <c r="AH47" s="16">
        <f t="shared" si="146"/>
        <v>0.065991031390134527</v>
      </c>
      <c r="AI47" s="16">
        <f t="shared" si="146"/>
        <v>0.06732373009855952</v>
      </c>
      <c r="AJ47" s="16">
        <f t="shared" si="146"/>
        <v>0.067369009882528433</v>
      </c>
      <c r="AK47" s="18">
        <f t="shared" si="131"/>
        <v>0.063669676448457488</v>
      </c>
      <c r="AL47" s="18">
        <f t="shared" si="132"/>
        <v>0.07482932437212593</v>
      </c>
      <c r="AO47" s="16">
        <f t="shared" si="147" ref="AO47:AS47">W47</f>
        <v>0.064123294593228894</v>
      </c>
      <c r="AP47" s="16">
        <f t="shared" si="147"/>
        <v>0.063353293413173653</v>
      </c>
      <c r="AQ47" s="16">
        <f t="shared" si="147"/>
        <v>0.065991031390134527</v>
      </c>
      <c r="AR47" s="16">
        <f t="shared" si="147"/>
        <v>0.06732373009855952</v>
      </c>
      <c r="AS47" s="16">
        <f t="shared" si="147"/>
        <v>0.067369009882528433</v>
      </c>
      <c r="AT47" s="18">
        <f t="shared" si="134"/>
        <v>0.047060195635816406</v>
      </c>
      <c r="AU47" s="18">
        <f t="shared" si="135"/>
        <v>0.055308631057658299</v>
      </c>
      <c r="AZ47" s="5"/>
      <c r="BA47" s="13" t="s">
        <v>313</v>
      </c>
      <c r="BB47" s="14">
        <v>425.60</v>
      </c>
      <c r="BC47" s="16">
        <v>380.70</v>
      </c>
      <c r="BD47" s="16">
        <v>370.30</v>
      </c>
      <c r="BE47" s="16">
        <v>367.90</v>
      </c>
      <c r="BF47" s="16">
        <v>355.20</v>
      </c>
      <c r="BG47" s="16">
        <v>361.30</v>
      </c>
      <c r="BH47" s="16">
        <v>367.90</v>
      </c>
      <c r="BI47" s="16">
        <v>367.90</v>
      </c>
      <c r="BJ47" s="6"/>
      <c r="BK47" s="6"/>
      <c r="BL47" s="19"/>
      <c r="BM47" s="19"/>
      <c r="BN47" s="19"/>
      <c r="BO47" s="19"/>
    </row>
    <row r="48" spans="1:67" ht="15.5">
      <c r="A48" s="5"/>
      <c r="B48" s="13" t="s">
        <v>314</v>
      </c>
      <c r="C48" s="14">
        <f t="shared" si="148" ref="C48:J48">BB48/1000</f>
        <v>0.084599999999999995</v>
      </c>
      <c r="D48" s="14">
        <f t="shared" si="148"/>
        <v>0.076999999999999999</v>
      </c>
      <c r="E48" s="14">
        <f t="shared" si="148"/>
        <v>0.074900000000000008</v>
      </c>
      <c r="F48" s="14">
        <f t="shared" si="148"/>
        <v>0.074400000000000008</v>
      </c>
      <c r="G48" s="14">
        <f t="shared" si="148"/>
        <v>0.0717</v>
      </c>
      <c r="H48" s="14">
        <f t="shared" si="148"/>
        <v>0.073099999999999998</v>
      </c>
      <c r="I48" s="14">
        <f t="shared" si="148"/>
        <v>0.074400000000000008</v>
      </c>
      <c r="J48" s="14">
        <f t="shared" si="148"/>
        <v>0.074400000000000008</v>
      </c>
      <c r="K48" s="6"/>
      <c r="L48" s="6"/>
      <c r="M48" s="19">
        <v>5.9370000000000003</v>
      </c>
      <c r="N48" s="19">
        <v>5.845</v>
      </c>
      <c r="O48" s="19">
        <v>5.575</v>
      </c>
      <c r="P48" s="19">
        <v>5.2759999999999998</v>
      </c>
      <c r="Q48" s="19">
        <v>5.3630000000000004</v>
      </c>
      <c r="R48" s="19">
        <v>6.645</v>
      </c>
      <c r="S48" s="19">
        <v>5.6539999999999999</v>
      </c>
      <c r="T48" s="19"/>
      <c r="U48" s="5"/>
      <c r="V48" s="13" t="s">
        <v>314</v>
      </c>
      <c r="W48" s="16">
        <f t="shared" si="149" ref="W48:AC48">D48/M48</f>
        <v>0.012969513222166076</v>
      </c>
      <c r="X48" s="16">
        <f t="shared" si="149"/>
        <v>0.012814371257485031</v>
      </c>
      <c r="Y48" s="16">
        <f t="shared" si="149"/>
        <v>0.013345291479820628</v>
      </c>
      <c r="Z48" s="16">
        <f t="shared" si="149"/>
        <v>0.013589840788476118</v>
      </c>
      <c r="AA48" s="16">
        <f t="shared" si="149"/>
        <v>0.013630430729069548</v>
      </c>
      <c r="AB48" s="17">
        <f t="shared" si="149"/>
        <v>0.011196388261851018</v>
      </c>
      <c r="AC48" s="17">
        <f t="shared" si="149"/>
        <v>0.013158825610187479</v>
      </c>
      <c r="AD48" s="6"/>
      <c r="AE48" s="6"/>
      <c r="AF48" s="16">
        <f t="shared" si="150" ref="AF48:AJ48">W48</f>
        <v>0.012969513222166076</v>
      </c>
      <c r="AG48" s="16">
        <f t="shared" si="150"/>
        <v>0.012814371257485031</v>
      </c>
      <c r="AH48" s="16">
        <f t="shared" si="150"/>
        <v>0.013345291479820628</v>
      </c>
      <c r="AI48" s="16">
        <f t="shared" si="150"/>
        <v>0.013589840788476118</v>
      </c>
      <c r="AJ48" s="16">
        <f t="shared" si="150"/>
        <v>0.013630430729069548</v>
      </c>
      <c r="AK48" s="18">
        <f t="shared" si="131"/>
        <v>0.01287584650112867</v>
      </c>
      <c r="AL48" s="18">
        <f t="shared" si="132"/>
        <v>0.0151326494517156</v>
      </c>
      <c r="AO48" s="16">
        <f t="shared" si="151" ref="AO48:AS48">W48</f>
        <v>0.012969513222166076</v>
      </c>
      <c r="AP48" s="16">
        <f t="shared" si="151"/>
        <v>0.012814371257485031</v>
      </c>
      <c r="AQ48" s="16">
        <f t="shared" si="151"/>
        <v>0.013345291479820628</v>
      </c>
      <c r="AR48" s="16">
        <f t="shared" si="151"/>
        <v>0.013589840788476118</v>
      </c>
      <c r="AS48" s="16">
        <f t="shared" si="151"/>
        <v>0.013630430729069548</v>
      </c>
      <c r="AT48" s="18">
        <f t="shared" si="134"/>
        <v>0.0095169300225733649</v>
      </c>
      <c r="AU48" s="18">
        <f t="shared" si="135"/>
        <v>0.011185001768659357</v>
      </c>
      <c r="AZ48" s="5"/>
      <c r="BA48" s="13" t="s">
        <v>314</v>
      </c>
      <c r="BB48" s="14">
        <v>84.60</v>
      </c>
      <c r="BC48" s="16">
        <v>77</v>
      </c>
      <c r="BD48" s="16">
        <v>74.90</v>
      </c>
      <c r="BE48" s="16">
        <v>74.40</v>
      </c>
      <c r="BF48" s="16">
        <v>71.70</v>
      </c>
      <c r="BG48" s="16">
        <v>73.10</v>
      </c>
      <c r="BH48" s="16">
        <v>74.40</v>
      </c>
      <c r="BI48" s="16">
        <v>74.40</v>
      </c>
      <c r="BJ48" s="6"/>
      <c r="BK48" s="6"/>
      <c r="BL48" s="19"/>
      <c r="BM48" s="19"/>
      <c r="BN48" s="19"/>
      <c r="BO48" s="19"/>
    </row>
    <row r="49" spans="1:67" ht="15.5">
      <c r="A49" s="5" t="s">
        <v>315</v>
      </c>
      <c r="B49" s="13" t="s">
        <v>310</v>
      </c>
      <c r="C49" s="14">
        <f t="shared" si="152" ref="C49:J49">BB49/1000</f>
        <v>0.67920000000000003</v>
      </c>
      <c r="D49" s="14">
        <f t="shared" si="152"/>
        <v>0.59839999999999993</v>
      </c>
      <c r="E49" s="14">
        <f t="shared" si="152"/>
        <v>0.57940000000000003</v>
      </c>
      <c r="F49" s="14">
        <f t="shared" si="152"/>
        <v>0.57499999999999996</v>
      </c>
      <c r="G49" s="14">
        <f t="shared" si="152"/>
        <v>0.55170000000000008</v>
      </c>
      <c r="H49" s="14">
        <f t="shared" si="152"/>
        <v>0.56320000000000003</v>
      </c>
      <c r="I49" s="14">
        <f t="shared" si="152"/>
        <v>0.57499999999999996</v>
      </c>
      <c r="J49" s="14">
        <f t="shared" si="152"/>
        <v>0.57499999999999996</v>
      </c>
      <c r="K49" s="6"/>
      <c r="L49" s="6"/>
      <c r="M49" s="19">
        <v>5.9370000000000003</v>
      </c>
      <c r="N49" s="19">
        <v>5.845</v>
      </c>
      <c r="O49" s="19">
        <v>5.575</v>
      </c>
      <c r="P49" s="19">
        <v>5.2759999999999998</v>
      </c>
      <c r="Q49" s="19">
        <v>5.3630000000000004</v>
      </c>
      <c r="R49" s="19">
        <v>6.645</v>
      </c>
      <c r="S49" s="19">
        <v>5.6539999999999999</v>
      </c>
      <c r="T49" s="19"/>
      <c r="U49" s="5" t="s">
        <v>315</v>
      </c>
      <c r="V49" s="13" t="s">
        <v>310</v>
      </c>
      <c r="W49" s="16">
        <f t="shared" si="153" ref="W49:AC49">D49/M49</f>
        <v>0.10079164561226207</v>
      </c>
      <c r="X49" s="16">
        <f t="shared" si="153"/>
        <v>0.099127459366980336</v>
      </c>
      <c r="Y49" s="16">
        <f t="shared" si="153"/>
        <v>0.10313901345291479</v>
      </c>
      <c r="Z49" s="16">
        <f t="shared" si="153"/>
        <v>0.10456785443517819</v>
      </c>
      <c r="AA49" s="16">
        <f t="shared" si="153"/>
        <v>0.10501584933805705</v>
      </c>
      <c r="AB49" s="17">
        <f t="shared" si="153"/>
        <v>0.086531226486079763</v>
      </c>
      <c r="AC49" s="17">
        <f t="shared" si="153"/>
        <v>0.10169791298195967</v>
      </c>
      <c r="AD49" s="6"/>
      <c r="AE49" s="6"/>
      <c r="AF49" s="16">
        <f t="shared" si="154" ref="AF49:AJ49">W49</f>
        <v>0.10079164561226207</v>
      </c>
      <c r="AG49" s="16">
        <f t="shared" si="154"/>
        <v>0.099127459366980336</v>
      </c>
      <c r="AH49" s="16">
        <f t="shared" si="154"/>
        <v>0.10313901345291479</v>
      </c>
      <c r="AI49" s="16">
        <f t="shared" si="154"/>
        <v>0.10456785443517819</v>
      </c>
      <c r="AJ49" s="16">
        <f t="shared" si="154"/>
        <v>0.10501584933805705</v>
      </c>
      <c r="AK49" s="18">
        <f t="shared" si="131"/>
        <v>0.099510910458991714</v>
      </c>
      <c r="AL49" s="18">
        <f t="shared" si="132"/>
        <v>0.11695259992925361</v>
      </c>
      <c r="AO49" s="16">
        <f t="shared" si="155" ref="AO49:AS49">W49</f>
        <v>0.10079164561226207</v>
      </c>
      <c r="AP49" s="16">
        <f t="shared" si="155"/>
        <v>0.099127459366980336</v>
      </c>
      <c r="AQ49" s="16">
        <f t="shared" si="155"/>
        <v>0.10313901345291479</v>
      </c>
      <c r="AR49" s="16">
        <f t="shared" si="155"/>
        <v>0.10456785443517819</v>
      </c>
      <c r="AS49" s="16">
        <f t="shared" si="155"/>
        <v>0.10501584933805705</v>
      </c>
      <c r="AT49" s="18">
        <f t="shared" si="134"/>
        <v>0.073551542513167797</v>
      </c>
      <c r="AU49" s="18">
        <f t="shared" si="135"/>
        <v>0.086443226034665713</v>
      </c>
      <c r="AZ49" s="5" t="s">
        <v>315</v>
      </c>
      <c r="BA49" s="13" t="s">
        <v>310</v>
      </c>
      <c r="BB49" s="14">
        <v>679.20</v>
      </c>
      <c r="BC49" s="16">
        <v>598.40</v>
      </c>
      <c r="BD49" s="16">
        <v>579.40</v>
      </c>
      <c r="BE49" s="16">
        <v>575</v>
      </c>
      <c r="BF49" s="16">
        <v>551.70</v>
      </c>
      <c r="BG49" s="16">
        <v>563.20</v>
      </c>
      <c r="BH49" s="16">
        <v>575</v>
      </c>
      <c r="BI49" s="16">
        <v>575</v>
      </c>
      <c r="BJ49" s="6"/>
      <c r="BK49" s="6"/>
      <c r="BL49" s="19"/>
      <c r="BM49" s="19"/>
      <c r="BN49" s="19"/>
      <c r="BO49" s="19"/>
    </row>
    <row r="50" spans="1:67" ht="15.5">
      <c r="A50" s="5"/>
      <c r="B50" s="13" t="s">
        <v>311</v>
      </c>
      <c r="C50" s="14">
        <f t="shared" si="156" ref="C50:J50">BB50/1000</f>
        <v>0.62409999999999999</v>
      </c>
      <c r="D50" s="14">
        <f t="shared" si="156"/>
        <v>0.5522999999999999</v>
      </c>
      <c r="E50" s="14">
        <f t="shared" si="156"/>
        <v>0.5353</v>
      </c>
      <c r="F50" s="14">
        <f t="shared" si="156"/>
        <v>0.53139999999999998</v>
      </c>
      <c r="G50" s="14">
        <f t="shared" si="156"/>
        <v>0.51049999999999995</v>
      </c>
      <c r="H50" s="14">
        <f t="shared" si="156"/>
        <v>0.52090000000000003</v>
      </c>
      <c r="I50" s="14">
        <f t="shared" si="156"/>
        <v>0.53139999999999998</v>
      </c>
      <c r="J50" s="14">
        <f t="shared" si="156"/>
        <v>0.53139999999999998</v>
      </c>
      <c r="K50" s="6"/>
      <c r="L50" s="6"/>
      <c r="M50" s="19">
        <v>5.9370000000000003</v>
      </c>
      <c r="N50" s="19">
        <v>5.845</v>
      </c>
      <c r="O50" s="19">
        <v>5.575</v>
      </c>
      <c r="P50" s="19">
        <v>5.2759999999999998</v>
      </c>
      <c r="Q50" s="19">
        <v>5.3630000000000004</v>
      </c>
      <c r="R50" s="19">
        <v>6.645</v>
      </c>
      <c r="S50" s="19">
        <v>5.6539999999999999</v>
      </c>
      <c r="T50" s="19"/>
      <c r="U50" s="5"/>
      <c r="V50" s="13" t="s">
        <v>311</v>
      </c>
      <c r="W50" s="16">
        <f t="shared" si="157" ref="W50:AC50">D50/M50</f>
        <v>0.09302678120262757</v>
      </c>
      <c r="X50" s="16">
        <f t="shared" si="157"/>
        <v>0.091582549187339615</v>
      </c>
      <c r="Y50" s="16">
        <f t="shared" si="157"/>
        <v>0.095318385650224213</v>
      </c>
      <c r="Z50" s="16">
        <f t="shared" si="157"/>
        <v>0.096758908263836235</v>
      </c>
      <c r="AA50" s="16">
        <f t="shared" si="157"/>
        <v>0.097128472869662502</v>
      </c>
      <c r="AB50" s="17">
        <f t="shared" si="157"/>
        <v>0.079969902182091795</v>
      </c>
      <c r="AC50" s="17">
        <f t="shared" si="157"/>
        <v>0.093986558188892816</v>
      </c>
      <c r="AD50" s="6"/>
      <c r="AE50" s="6"/>
      <c r="AF50" s="16">
        <f t="shared" si="158" ref="AF50:AJ50">W50</f>
        <v>0.09302678120262757</v>
      </c>
      <c r="AG50" s="16">
        <f t="shared" si="158"/>
        <v>0.091582549187339615</v>
      </c>
      <c r="AH50" s="16">
        <f t="shared" si="158"/>
        <v>0.095318385650224213</v>
      </c>
      <c r="AI50" s="16">
        <f t="shared" si="158"/>
        <v>0.096758908263836235</v>
      </c>
      <c r="AJ50" s="16">
        <f t="shared" si="158"/>
        <v>0.097128472869662502</v>
      </c>
      <c r="AK50" s="18">
        <f t="shared" si="131"/>
        <v>0.091965387509405555</v>
      </c>
      <c r="AL50" s="18">
        <f t="shared" si="132"/>
        <v>0.10808454191722673</v>
      </c>
      <c r="AO50" s="16">
        <f t="shared" si="159" ref="AO50:AS50">W50</f>
        <v>0.09302678120262757</v>
      </c>
      <c r="AP50" s="16">
        <f t="shared" si="159"/>
        <v>0.091582549187339615</v>
      </c>
      <c r="AQ50" s="16">
        <f t="shared" si="159"/>
        <v>0.095318385650224213</v>
      </c>
      <c r="AR50" s="16">
        <f t="shared" si="159"/>
        <v>0.096758908263836235</v>
      </c>
      <c r="AS50" s="16">
        <f t="shared" si="159"/>
        <v>0.097128472869662502</v>
      </c>
      <c r="AT50" s="18">
        <f t="shared" si="134"/>
        <v>0.067974416854778022</v>
      </c>
      <c r="AU50" s="18">
        <f t="shared" si="135"/>
        <v>0.079888574460558887</v>
      </c>
      <c r="AZ50" s="5"/>
      <c r="BA50" s="13" t="s">
        <v>311</v>
      </c>
      <c r="BB50" s="14">
        <v>624.10</v>
      </c>
      <c r="BC50" s="16">
        <v>552.30</v>
      </c>
      <c r="BD50" s="16">
        <v>535.30</v>
      </c>
      <c r="BE50" s="16">
        <v>531.40</v>
      </c>
      <c r="BF50" s="16">
        <v>510.50</v>
      </c>
      <c r="BG50" s="16">
        <v>520.90</v>
      </c>
      <c r="BH50" s="16">
        <v>531.40</v>
      </c>
      <c r="BI50" s="16">
        <v>531.40</v>
      </c>
      <c r="BJ50" s="6"/>
      <c r="BK50" s="6"/>
      <c r="BL50" s="19"/>
      <c r="BM50" s="19"/>
      <c r="BN50" s="19"/>
      <c r="BO50" s="19"/>
    </row>
    <row r="51" spans="1:67" ht="15.5">
      <c r="A51" s="5"/>
      <c r="B51" s="13" t="s">
        <v>312</v>
      </c>
      <c r="C51" s="14">
        <f t="shared" si="160" ref="C51:J51">BB51/1000</f>
        <v>0.17449999999999999</v>
      </c>
      <c r="D51" s="14">
        <f t="shared" si="160"/>
        <v>0.14630000000000001</v>
      </c>
      <c r="E51" s="14">
        <f t="shared" si="160"/>
        <v>0.13980000000000001</v>
      </c>
      <c r="F51" s="14">
        <f t="shared" si="160"/>
        <v>0.13830000000000001</v>
      </c>
      <c r="G51" s="14">
        <f t="shared" si="160"/>
        <v>0.13040000000000002</v>
      </c>
      <c r="H51" s="14">
        <f t="shared" si="160"/>
        <v>0.1343</v>
      </c>
      <c r="I51" s="14">
        <f t="shared" si="160"/>
        <v>0.13830000000000001</v>
      </c>
      <c r="J51" s="14">
        <f t="shared" si="160"/>
        <v>0.13830000000000001</v>
      </c>
      <c r="K51" s="6"/>
      <c r="L51" s="6"/>
      <c r="M51" s="19">
        <v>5.9370000000000003</v>
      </c>
      <c r="N51" s="19">
        <v>5.845</v>
      </c>
      <c r="O51" s="19">
        <v>5.575</v>
      </c>
      <c r="P51" s="19">
        <v>5.2759999999999998</v>
      </c>
      <c r="Q51" s="19">
        <v>5.3630000000000004</v>
      </c>
      <c r="R51" s="19">
        <v>6.645</v>
      </c>
      <c r="S51" s="19">
        <v>5.6539999999999999</v>
      </c>
      <c r="T51" s="19"/>
      <c r="U51" s="5"/>
      <c r="V51" s="13" t="s">
        <v>312</v>
      </c>
      <c r="W51" s="16">
        <f t="shared" si="161" ref="W51:AC51">D51/M51</f>
        <v>0.024642075122115546</v>
      </c>
      <c r="X51" s="16">
        <f t="shared" si="161"/>
        <v>0.023917878528656972</v>
      </c>
      <c r="Y51" s="16">
        <f t="shared" si="161"/>
        <v>0.024807174887892375</v>
      </c>
      <c r="Z51" s="16">
        <f t="shared" si="161"/>
        <v>0.024715693707354061</v>
      </c>
      <c r="AA51" s="16">
        <f t="shared" si="161"/>
        <v>0.025041954130151034</v>
      </c>
      <c r="AB51" s="17">
        <f t="shared" si="161"/>
        <v>0.020812641083521446</v>
      </c>
      <c r="AC51" s="17">
        <f t="shared" si="161"/>
        <v>0.024460558896356562</v>
      </c>
      <c r="AD51" s="6"/>
      <c r="AE51" s="6"/>
      <c r="AF51" s="16">
        <f t="shared" si="162" ref="AF51:AJ51">W51</f>
        <v>0.024642075122115546</v>
      </c>
      <c r="AG51" s="16">
        <f t="shared" si="162"/>
        <v>0.023917878528656972</v>
      </c>
      <c r="AH51" s="16">
        <f t="shared" si="162"/>
        <v>0.024807174887892375</v>
      </c>
      <c r="AI51" s="16">
        <f t="shared" si="162"/>
        <v>0.024715693707354061</v>
      </c>
      <c r="AJ51" s="16">
        <f t="shared" si="162"/>
        <v>0.025041954130151034</v>
      </c>
      <c r="AK51" s="18">
        <f t="shared" si="131"/>
        <v>0.023934537246049662</v>
      </c>
      <c r="AL51" s="18">
        <f t="shared" si="132"/>
        <v>0.028129642730810044</v>
      </c>
      <c r="AO51" s="16">
        <f t="shared" si="163" ref="AO51:AS51">W51</f>
        <v>0.024642075122115546</v>
      </c>
      <c r="AP51" s="16">
        <f t="shared" si="163"/>
        <v>0.023917878528656972</v>
      </c>
      <c r="AQ51" s="16">
        <f t="shared" si="163"/>
        <v>0.024807174887892375</v>
      </c>
      <c r="AR51" s="16">
        <f t="shared" si="163"/>
        <v>0.024715693707354061</v>
      </c>
      <c r="AS51" s="16">
        <f t="shared" si="163"/>
        <v>0.025041954130151034</v>
      </c>
      <c r="AT51" s="18">
        <f t="shared" si="134"/>
        <v>0.017690744920993227</v>
      </c>
      <c r="AU51" s="18">
        <f t="shared" si="135"/>
        <v>0.020791475061903077</v>
      </c>
      <c r="AZ51" s="5"/>
      <c r="BA51" s="13" t="s">
        <v>312</v>
      </c>
      <c r="BB51" s="14">
        <v>174.50</v>
      </c>
      <c r="BC51" s="16">
        <v>146.30</v>
      </c>
      <c r="BD51" s="16">
        <v>139.80</v>
      </c>
      <c r="BE51" s="16">
        <v>138.30</v>
      </c>
      <c r="BF51" s="16">
        <v>130.40</v>
      </c>
      <c r="BG51" s="16">
        <v>134.30</v>
      </c>
      <c r="BH51" s="16">
        <v>138.30</v>
      </c>
      <c r="BI51" s="16">
        <v>138.30</v>
      </c>
      <c r="BJ51" s="6"/>
      <c r="BK51" s="6"/>
      <c r="BL51" s="19"/>
      <c r="BM51" s="19"/>
      <c r="BN51" s="19"/>
      <c r="BO51" s="19"/>
    </row>
    <row r="52" spans="1:67" ht="15.5">
      <c r="A52" s="5"/>
      <c r="B52" s="13" t="s">
        <v>313</v>
      </c>
      <c r="C52" s="14">
        <f t="shared" si="164" ref="C52:J52">BB52/1000</f>
        <v>0.40639999999999998</v>
      </c>
      <c r="D52" s="14">
        <f t="shared" si="164"/>
        <v>0.36430000000000001</v>
      </c>
      <c r="E52" s="14">
        <f t="shared" si="164"/>
        <v>0.35460000000000003</v>
      </c>
      <c r="F52" s="14">
        <f t="shared" si="164"/>
        <v>0.3523</v>
      </c>
      <c r="G52" s="14">
        <f t="shared" si="164"/>
        <v>0.34039999999999998</v>
      </c>
      <c r="H52" s="14">
        <f t="shared" si="164"/>
        <v>0.34620000000000001</v>
      </c>
      <c r="I52" s="14">
        <f t="shared" si="164"/>
        <v>0.3523</v>
      </c>
      <c r="J52" s="14">
        <f t="shared" si="164"/>
        <v>0.3523</v>
      </c>
      <c r="K52" s="6"/>
      <c r="L52" s="6"/>
      <c r="M52" s="19">
        <v>5.9370000000000003</v>
      </c>
      <c r="N52" s="19">
        <v>5.845</v>
      </c>
      <c r="O52" s="19">
        <v>5.575</v>
      </c>
      <c r="P52" s="19">
        <v>5.2759999999999998</v>
      </c>
      <c r="Q52" s="19">
        <v>5.3630000000000004</v>
      </c>
      <c r="R52" s="19">
        <v>6.645</v>
      </c>
      <c r="S52" s="19">
        <v>5.6539999999999999</v>
      </c>
      <c r="T52" s="19"/>
      <c r="U52" s="5"/>
      <c r="V52" s="13" t="s">
        <v>313</v>
      </c>
      <c r="W52" s="16">
        <f t="shared" si="165" ref="W52:AC52">D52/M52</f>
        <v>0.061360956712144178</v>
      </c>
      <c r="X52" s="16">
        <f t="shared" si="165"/>
        <v>0.060667236954662113</v>
      </c>
      <c r="Y52" s="16">
        <f t="shared" si="165"/>
        <v>0.063192825112107623</v>
      </c>
      <c r="Z52" s="16">
        <f t="shared" si="165"/>
        <v>0.064518574677786197</v>
      </c>
      <c r="AA52" s="16">
        <f t="shared" si="165"/>
        <v>0.064553421592392315</v>
      </c>
      <c r="AB52" s="17">
        <f t="shared" si="165"/>
        <v>0.05301730624529722</v>
      </c>
      <c r="AC52" s="17">
        <f t="shared" si="165"/>
        <v>0.062309869119207641</v>
      </c>
      <c r="AD52" s="6"/>
      <c r="AE52" s="6"/>
      <c r="AF52" s="16">
        <f t="shared" si="166" ref="AF52:AJ52">W52</f>
        <v>0.061360956712144178</v>
      </c>
      <c r="AG52" s="16">
        <f t="shared" si="166"/>
        <v>0.060667236954662113</v>
      </c>
      <c r="AH52" s="16">
        <f t="shared" si="166"/>
        <v>0.063192825112107623</v>
      </c>
      <c r="AI52" s="16">
        <f t="shared" si="166"/>
        <v>0.064518574677786197</v>
      </c>
      <c r="AJ52" s="16">
        <f t="shared" si="166"/>
        <v>0.064553421592392315</v>
      </c>
      <c r="AK52" s="18">
        <f t="shared" si="131"/>
        <v>0.060969902182091799</v>
      </c>
      <c r="AL52" s="18">
        <f t="shared" si="132"/>
        <v>0.07165634948708878</v>
      </c>
      <c r="AO52" s="16">
        <f t="shared" si="167" ref="AO52:AS52">W52</f>
        <v>0.061360956712144178</v>
      </c>
      <c r="AP52" s="16">
        <f t="shared" si="167"/>
        <v>0.060667236954662113</v>
      </c>
      <c r="AQ52" s="16">
        <f t="shared" si="167"/>
        <v>0.063192825112107623</v>
      </c>
      <c r="AR52" s="16">
        <f t="shared" si="167"/>
        <v>0.064518574677786197</v>
      </c>
      <c r="AS52" s="16">
        <f t="shared" si="167"/>
        <v>0.064553421592392315</v>
      </c>
      <c r="AT52" s="18">
        <f t="shared" si="134"/>
        <v>0.045064710308502634</v>
      </c>
      <c r="AU52" s="18">
        <f t="shared" si="135"/>
        <v>0.052963388751326494</v>
      </c>
      <c r="AZ52" s="5"/>
      <c r="BA52" s="13" t="s">
        <v>313</v>
      </c>
      <c r="BB52" s="14">
        <v>406.40</v>
      </c>
      <c r="BC52" s="16">
        <v>364.30</v>
      </c>
      <c r="BD52" s="16">
        <v>354.60</v>
      </c>
      <c r="BE52" s="16">
        <v>352.30</v>
      </c>
      <c r="BF52" s="16">
        <v>340.40</v>
      </c>
      <c r="BG52" s="16">
        <v>346.20</v>
      </c>
      <c r="BH52" s="16">
        <v>352.30</v>
      </c>
      <c r="BI52" s="16">
        <v>352.30</v>
      </c>
      <c r="BJ52" s="6"/>
      <c r="BK52" s="6"/>
      <c r="BL52" s="19"/>
      <c r="BM52" s="19"/>
      <c r="BN52" s="19"/>
      <c r="BO52" s="19"/>
    </row>
    <row r="53" spans="1:67" ht="15.5">
      <c r="A53" s="5"/>
      <c r="B53" s="13" t="s">
        <v>314</v>
      </c>
      <c r="C53" s="14">
        <f t="shared" si="168" ref="C53:J53">BB53/1000</f>
        <v>0.0872</v>
      </c>
      <c r="D53" s="14">
        <f t="shared" si="168"/>
        <v>0.07909999999999999</v>
      </c>
      <c r="E53" s="14">
        <f t="shared" si="168"/>
        <v>0.076999999999999999</v>
      </c>
      <c r="F53" s="14">
        <f t="shared" si="168"/>
        <v>0.076499999999999999</v>
      </c>
      <c r="G53" s="14">
        <f t="shared" si="168"/>
        <v>0.073700000000000002</v>
      </c>
      <c r="H53" s="14">
        <f t="shared" si="168"/>
        <v>0.0751</v>
      </c>
      <c r="I53" s="14">
        <f t="shared" si="168"/>
        <v>0.076499999999999999</v>
      </c>
      <c r="J53" s="14">
        <f t="shared" si="168"/>
        <v>0.076499999999999999</v>
      </c>
      <c r="K53" s="6"/>
      <c r="L53" s="6"/>
      <c r="M53" s="19">
        <v>5.9370000000000003</v>
      </c>
      <c r="N53" s="19">
        <v>5.845</v>
      </c>
      <c r="O53" s="19">
        <v>5.575</v>
      </c>
      <c r="P53" s="19">
        <v>5.2759999999999998</v>
      </c>
      <c r="Q53" s="19">
        <v>5.3630000000000004</v>
      </c>
      <c r="R53" s="19">
        <v>6.645</v>
      </c>
      <c r="S53" s="19">
        <v>5.6539999999999999</v>
      </c>
      <c r="T53" s="19"/>
      <c r="U53" s="5"/>
      <c r="V53" s="13" t="s">
        <v>314</v>
      </c>
      <c r="W53" s="16">
        <f t="shared" si="169" ref="W53:AC53">D53/M53</f>
        <v>0.01332322721913424</v>
      </c>
      <c r="X53" s="16">
        <f t="shared" si="169"/>
        <v>0.01317365269461078</v>
      </c>
      <c r="Y53" s="16">
        <f t="shared" si="169"/>
        <v>0.013721973094170403</v>
      </c>
      <c r="Z53" s="16">
        <f t="shared" si="169"/>
        <v>0.013968915845337378</v>
      </c>
      <c r="AA53" s="16">
        <f t="shared" si="169"/>
        <v>0.014003356330412081</v>
      </c>
      <c r="AB53" s="17">
        <f t="shared" si="169"/>
        <v>0.011512415349887133</v>
      </c>
      <c r="AC53" s="17">
        <f t="shared" si="169"/>
        <v>0.013530244074991156</v>
      </c>
      <c r="AD53" s="6"/>
      <c r="AE53" s="6"/>
      <c r="AF53" s="16">
        <f t="shared" si="170" ref="AF53:AJ53">W53</f>
        <v>0.01332322721913424</v>
      </c>
      <c r="AG53" s="16">
        <f t="shared" si="170"/>
        <v>0.01317365269461078</v>
      </c>
      <c r="AH53" s="16">
        <f t="shared" si="170"/>
        <v>0.013721973094170403</v>
      </c>
      <c r="AI53" s="16">
        <f t="shared" si="170"/>
        <v>0.013968915845337378</v>
      </c>
      <c r="AJ53" s="16">
        <f t="shared" si="170"/>
        <v>0.014003356330412081</v>
      </c>
      <c r="AK53" s="18">
        <f t="shared" si="131"/>
        <v>0.013239277652370202</v>
      </c>
      <c r="AL53" s="18">
        <f t="shared" si="132"/>
        <v>0.015559780686239828</v>
      </c>
      <c r="AO53" s="16">
        <f t="shared" si="171" ref="AO53:AS53">W53</f>
        <v>0.01332322721913424</v>
      </c>
      <c r="AP53" s="16">
        <f t="shared" si="171"/>
        <v>0.01317365269461078</v>
      </c>
      <c r="AQ53" s="16">
        <f t="shared" si="171"/>
        <v>0.013721973094170403</v>
      </c>
      <c r="AR53" s="16">
        <f t="shared" si="171"/>
        <v>0.013968915845337378</v>
      </c>
      <c r="AS53" s="16">
        <f t="shared" si="171"/>
        <v>0.014003356330412081</v>
      </c>
      <c r="AT53" s="18">
        <f t="shared" si="134"/>
        <v>0.0097855530474040622</v>
      </c>
      <c r="AU53" s="18">
        <f t="shared" si="135"/>
        <v>0.011500707463742483</v>
      </c>
      <c r="AZ53" s="5"/>
      <c r="BA53" s="13" t="s">
        <v>314</v>
      </c>
      <c r="BB53" s="14">
        <v>87.20</v>
      </c>
      <c r="BC53" s="16">
        <v>79.10</v>
      </c>
      <c r="BD53" s="16">
        <v>77</v>
      </c>
      <c r="BE53" s="16">
        <v>76.50</v>
      </c>
      <c r="BF53" s="16">
        <v>73.70</v>
      </c>
      <c r="BG53" s="16">
        <v>75.10</v>
      </c>
      <c r="BH53" s="16">
        <v>76.50</v>
      </c>
      <c r="BI53" s="16">
        <v>76.50</v>
      </c>
      <c r="BJ53" s="6"/>
      <c r="BK53" s="6"/>
      <c r="BL53" s="19"/>
      <c r="BM53" s="19"/>
      <c r="BN53" s="19"/>
      <c r="BO53" s="19"/>
    </row>
    <row r="54" spans="1:67" ht="15.5">
      <c r="A54" s="5" t="s">
        <v>11</v>
      </c>
      <c r="B54" s="13" t="s">
        <v>310</v>
      </c>
      <c r="C54" s="14">
        <f t="shared" si="172" ref="C54:J54">BB54/1000</f>
        <v>0.69159999999999999</v>
      </c>
      <c r="D54" s="14">
        <f t="shared" si="172"/>
        <v>0.6089</v>
      </c>
      <c r="E54" s="14">
        <f t="shared" si="172"/>
        <v>0.58950000000000002</v>
      </c>
      <c r="F54" s="14">
        <f t="shared" si="172"/>
        <v>0.58499999999999996</v>
      </c>
      <c r="G54" s="14">
        <f t="shared" si="172"/>
        <v>0.56120000000000003</v>
      </c>
      <c r="H54" s="14">
        <f t="shared" si="172"/>
        <v>0.57299999999999995</v>
      </c>
      <c r="I54" s="14">
        <f t="shared" si="172"/>
        <v>0.58499999999999996</v>
      </c>
      <c r="J54" s="14">
        <f t="shared" si="172"/>
        <v>0.58499999999999996</v>
      </c>
      <c r="K54" s="6"/>
      <c r="L54" s="6"/>
      <c r="M54" s="19">
        <v>5.9370000000000003</v>
      </c>
      <c r="N54" s="19">
        <v>5.845</v>
      </c>
      <c r="O54" s="19">
        <v>5.575</v>
      </c>
      <c r="P54" s="19">
        <v>5.2759999999999998</v>
      </c>
      <c r="Q54" s="19">
        <v>5.3630000000000004</v>
      </c>
      <c r="R54" s="19">
        <v>6.645</v>
      </c>
      <c r="S54" s="19">
        <v>5.6539999999999999</v>
      </c>
      <c r="T54" s="19"/>
      <c r="U54" s="5" t="s">
        <v>11</v>
      </c>
      <c r="V54" s="13" t="s">
        <v>310</v>
      </c>
      <c r="W54" s="16">
        <f t="shared" si="173" ref="W54:AC54">D54/M54</f>
        <v>0.10256021559710291</v>
      </c>
      <c r="X54" s="16">
        <f t="shared" si="173"/>
        <v>0.10085543199315655</v>
      </c>
      <c r="Y54" s="16">
        <f t="shared" si="173"/>
        <v>0.10493273542600896</v>
      </c>
      <c r="Z54" s="16">
        <f t="shared" si="173"/>
        <v>0.10636846095526915</v>
      </c>
      <c r="AA54" s="16">
        <f t="shared" si="173"/>
        <v>0.10684318478463545</v>
      </c>
      <c r="AB54" s="17">
        <f t="shared" si="173"/>
        <v>0.088036117381489837</v>
      </c>
      <c r="AC54" s="17">
        <f t="shared" si="173"/>
        <v>0.10346657233816767</v>
      </c>
      <c r="AD54" s="6"/>
      <c r="AE54" s="6"/>
      <c r="AF54" s="16">
        <f t="shared" si="174" ref="AF54:AJ54">W54</f>
        <v>0.10256021559710291</v>
      </c>
      <c r="AG54" s="16">
        <f t="shared" si="174"/>
        <v>0.10085543199315655</v>
      </c>
      <c r="AH54" s="16">
        <f t="shared" si="174"/>
        <v>0.10493273542600896</v>
      </c>
      <c r="AI54" s="16">
        <f t="shared" si="174"/>
        <v>0.10636846095526915</v>
      </c>
      <c r="AJ54" s="16">
        <f t="shared" si="174"/>
        <v>0.10684318478463545</v>
      </c>
      <c r="AK54" s="18">
        <f t="shared" si="131"/>
        <v>0.1012415349887133</v>
      </c>
      <c r="AL54" s="18">
        <f t="shared" si="132"/>
        <v>0.11898655818889281</v>
      </c>
      <c r="AO54" s="16">
        <f t="shared" si="175" ref="AO54:AS54">W54</f>
        <v>0.10256021559710291</v>
      </c>
      <c r="AP54" s="16">
        <f t="shared" si="175"/>
        <v>0.10085543199315655</v>
      </c>
      <c r="AQ54" s="16">
        <f t="shared" si="175"/>
        <v>0.10493273542600896</v>
      </c>
      <c r="AR54" s="16">
        <f t="shared" si="175"/>
        <v>0.10636846095526915</v>
      </c>
      <c r="AS54" s="16">
        <f t="shared" si="175"/>
        <v>0.10684318478463545</v>
      </c>
      <c r="AT54" s="18">
        <f t="shared" si="134"/>
        <v>0.07483069977426636</v>
      </c>
      <c r="AU54" s="18">
        <f t="shared" si="135"/>
        <v>0.08794658648744251</v>
      </c>
      <c r="AZ54" s="5" t="s">
        <v>11</v>
      </c>
      <c r="BA54" s="13" t="s">
        <v>310</v>
      </c>
      <c r="BB54" s="14">
        <v>691.60</v>
      </c>
      <c r="BC54" s="16">
        <v>608.90</v>
      </c>
      <c r="BD54" s="16">
        <v>589.50</v>
      </c>
      <c r="BE54" s="16">
        <v>585</v>
      </c>
      <c r="BF54" s="16">
        <v>561.20</v>
      </c>
      <c r="BG54" s="16">
        <v>573</v>
      </c>
      <c r="BH54" s="16">
        <v>585</v>
      </c>
      <c r="BI54" s="16">
        <v>585</v>
      </c>
      <c r="BJ54" s="6"/>
      <c r="BK54" s="6"/>
      <c r="BL54" s="19"/>
      <c r="BM54" s="19"/>
      <c r="BN54" s="19"/>
      <c r="BO54" s="19"/>
    </row>
    <row r="55" spans="1:67" ht="15.5">
      <c r="A55" s="5"/>
      <c r="B55" s="13" t="s">
        <v>311</v>
      </c>
      <c r="C55" s="14">
        <f t="shared" si="176" ref="C55:J55">BB55/1000</f>
        <v>0.63400000000000001</v>
      </c>
      <c r="D55" s="14">
        <f t="shared" si="176"/>
        <v>0.56079999999999997</v>
      </c>
      <c r="E55" s="14">
        <f t="shared" si="176"/>
        <v>0.54349999999999998</v>
      </c>
      <c r="F55" s="14">
        <f t="shared" si="176"/>
        <v>0.53939999999999999</v>
      </c>
      <c r="G55" s="14">
        <f t="shared" si="176"/>
        <v>0.5181</v>
      </c>
      <c r="H55" s="14">
        <f t="shared" si="176"/>
        <v>0.52870000000000006</v>
      </c>
      <c r="I55" s="14">
        <f t="shared" si="176"/>
        <v>0.53939999999999999</v>
      </c>
      <c r="J55" s="14">
        <f t="shared" si="176"/>
        <v>0.53939999999999999</v>
      </c>
      <c r="K55" s="6"/>
      <c r="L55" s="6"/>
      <c r="M55" s="19">
        <v>5.9370000000000003</v>
      </c>
      <c r="N55" s="19">
        <v>5.845</v>
      </c>
      <c r="O55" s="19">
        <v>5.575</v>
      </c>
      <c r="P55" s="19">
        <v>5.2759999999999998</v>
      </c>
      <c r="Q55" s="19">
        <v>5.3630000000000004</v>
      </c>
      <c r="R55" s="19">
        <v>6.645</v>
      </c>
      <c r="S55" s="19">
        <v>5.6539999999999999</v>
      </c>
      <c r="T55" s="19"/>
      <c r="U55" s="5"/>
      <c r="V55" s="13" t="s">
        <v>311</v>
      </c>
      <c r="W55" s="16">
        <f t="shared" si="177" ref="W55:AC55">D55/M55</f>
        <v>0.094458480714165391</v>
      </c>
      <c r="X55" s="16">
        <f t="shared" si="177"/>
        <v>0.092985457656116335</v>
      </c>
      <c r="Y55" s="16">
        <f t="shared" si="177"/>
        <v>0.09675336322869954</v>
      </c>
      <c r="Z55" s="16">
        <f t="shared" si="177"/>
        <v>0.098199393479909025</v>
      </c>
      <c r="AA55" s="16">
        <f t="shared" si="177"/>
        <v>0.098582882714898387</v>
      </c>
      <c r="AB55" s="17">
        <f t="shared" si="177"/>
        <v>0.081173814898419863</v>
      </c>
      <c r="AC55" s="17">
        <f t="shared" si="177"/>
        <v>0.095401485673859213</v>
      </c>
      <c r="AD55" s="6"/>
      <c r="AE55" s="6"/>
      <c r="AF55" s="16">
        <f t="shared" si="178" ref="AF55:AJ55">W55</f>
        <v>0.094458480714165391</v>
      </c>
      <c r="AG55" s="16">
        <f t="shared" si="178"/>
        <v>0.092985457656116335</v>
      </c>
      <c r="AH55" s="16">
        <f t="shared" si="178"/>
        <v>0.09675336322869954</v>
      </c>
      <c r="AI55" s="16">
        <f t="shared" si="178"/>
        <v>0.098199393479909025</v>
      </c>
      <c r="AJ55" s="16">
        <f t="shared" si="178"/>
        <v>0.098582882714898387</v>
      </c>
      <c r="AK55" s="18">
        <f t="shared" si="131"/>
        <v>0.093349887133182832</v>
      </c>
      <c r="AL55" s="18">
        <f t="shared" si="132"/>
        <v>0.10971170852493808</v>
      </c>
      <c r="AO55" s="16">
        <f t="shared" si="179" ref="AO55:AS55">W55</f>
        <v>0.094458480714165391</v>
      </c>
      <c r="AP55" s="16">
        <f t="shared" si="179"/>
        <v>0.092985457656116335</v>
      </c>
      <c r="AQ55" s="16">
        <f t="shared" si="179"/>
        <v>0.09675336322869954</v>
      </c>
      <c r="AR55" s="16">
        <f t="shared" si="179"/>
        <v>0.098199393479909025</v>
      </c>
      <c r="AS55" s="16">
        <f t="shared" si="179"/>
        <v>0.098582882714898387</v>
      </c>
      <c r="AT55" s="18">
        <f t="shared" si="134"/>
        <v>0.06899774266365688</v>
      </c>
      <c r="AU55" s="18">
        <f t="shared" si="135"/>
        <v>0.081091262822780327</v>
      </c>
      <c r="AZ55" s="5"/>
      <c r="BA55" s="13" t="s">
        <v>311</v>
      </c>
      <c r="BB55" s="14">
        <v>634</v>
      </c>
      <c r="BC55" s="16">
        <v>560.80</v>
      </c>
      <c r="BD55" s="16">
        <v>543.50</v>
      </c>
      <c r="BE55" s="16">
        <v>539.40</v>
      </c>
      <c r="BF55" s="16">
        <v>518.10</v>
      </c>
      <c r="BG55" s="16">
        <v>528.70</v>
      </c>
      <c r="BH55" s="16">
        <v>539.40</v>
      </c>
      <c r="BI55" s="16">
        <v>539.40</v>
      </c>
      <c r="BJ55" s="6"/>
      <c r="BK55" s="6"/>
      <c r="BL55" s="19"/>
      <c r="BM55" s="19"/>
      <c r="BN55" s="19"/>
      <c r="BO55" s="19"/>
    </row>
    <row r="56" spans="1:67" ht="15.5">
      <c r="A56" s="5"/>
      <c r="B56" s="13" t="s">
        <v>312</v>
      </c>
      <c r="C56" s="14">
        <f t="shared" si="180" ref="C56:J56">BB56/1000</f>
        <v>0.22559999999999999</v>
      </c>
      <c r="D56" s="14">
        <f t="shared" si="180"/>
        <v>0.18980000000000002</v>
      </c>
      <c r="E56" s="14">
        <f t="shared" si="180"/>
        <v>0.18159999999999998</v>
      </c>
      <c r="F56" s="14">
        <f t="shared" si="180"/>
        <v>0.1797</v>
      </c>
      <c r="G56" s="14">
        <f t="shared" si="180"/>
        <v>0.16969999999999999</v>
      </c>
      <c r="H56" s="14">
        <f t="shared" si="180"/>
        <v>0.17469999999999999</v>
      </c>
      <c r="I56" s="14">
        <f t="shared" si="180"/>
        <v>0.1797</v>
      </c>
      <c r="J56" s="14">
        <f t="shared" si="180"/>
        <v>0.1797</v>
      </c>
      <c r="K56" s="6"/>
      <c r="L56" s="6"/>
      <c r="M56" s="19">
        <v>5.9370000000000003</v>
      </c>
      <c r="N56" s="19">
        <v>5.845</v>
      </c>
      <c r="O56" s="19">
        <v>5.575</v>
      </c>
      <c r="P56" s="19">
        <v>5.2759999999999998</v>
      </c>
      <c r="Q56" s="19">
        <v>5.3630000000000004</v>
      </c>
      <c r="R56" s="19">
        <v>6.645</v>
      </c>
      <c r="S56" s="19">
        <v>5.6539999999999999</v>
      </c>
      <c r="T56" s="19"/>
      <c r="U56" s="5"/>
      <c r="V56" s="13" t="s">
        <v>312</v>
      </c>
      <c r="W56" s="16">
        <f t="shared" si="181" ref="W56:AC56">D56/M56</f>
        <v>0.031969007916456127</v>
      </c>
      <c r="X56" s="16">
        <f t="shared" si="181"/>
        <v>0.031069289991445679</v>
      </c>
      <c r="Y56" s="16">
        <f t="shared" si="181"/>
        <v>0.032233183856502243</v>
      </c>
      <c r="Z56" s="16">
        <f t="shared" si="181"/>
        <v>0.032164518574677788</v>
      </c>
      <c r="AA56" s="16">
        <f t="shared" si="181"/>
        <v>0.03257505127727018</v>
      </c>
      <c r="AB56" s="17">
        <f t="shared" si="181"/>
        <v>0.02704288939051919</v>
      </c>
      <c r="AC56" s="17">
        <f t="shared" si="181"/>
        <v>0.03178280863105766</v>
      </c>
      <c r="AD56" s="6"/>
      <c r="AE56" s="6"/>
      <c r="AF56" s="16">
        <f t="shared" si="182" ref="AF56:AJ56">W56</f>
        <v>0.031969007916456127</v>
      </c>
      <c r="AG56" s="16">
        <f t="shared" si="182"/>
        <v>0.031069289991445679</v>
      </c>
      <c r="AH56" s="16">
        <f t="shared" si="182"/>
        <v>0.032233183856502243</v>
      </c>
      <c r="AI56" s="16">
        <f t="shared" si="182"/>
        <v>0.032164518574677788</v>
      </c>
      <c r="AJ56" s="16">
        <f t="shared" si="182"/>
        <v>0.03257505127727018</v>
      </c>
      <c r="AK56" s="18">
        <f t="shared" si="131"/>
        <v>0.031099322799097065</v>
      </c>
      <c r="AL56" s="18">
        <f t="shared" si="132"/>
        <v>0.036550229925716306</v>
      </c>
      <c r="AO56" s="16">
        <f t="shared" si="183" ref="AO56:AS56">W56</f>
        <v>0.031969007916456127</v>
      </c>
      <c r="AP56" s="16">
        <f t="shared" si="183"/>
        <v>0.031069289991445679</v>
      </c>
      <c r="AQ56" s="16">
        <f t="shared" si="183"/>
        <v>0.032233183856502243</v>
      </c>
      <c r="AR56" s="16">
        <f t="shared" si="183"/>
        <v>0.032164518574677788</v>
      </c>
      <c r="AS56" s="16">
        <f t="shared" si="183"/>
        <v>0.03257505127727018</v>
      </c>
      <c r="AT56" s="18">
        <f t="shared" si="134"/>
        <v>0.022986455981941312</v>
      </c>
      <c r="AU56" s="18">
        <f t="shared" si="135"/>
        <v>0.027015387336399011</v>
      </c>
      <c r="AZ56" s="5"/>
      <c r="BA56" s="13" t="s">
        <v>312</v>
      </c>
      <c r="BB56" s="14">
        <v>225.60</v>
      </c>
      <c r="BC56" s="16">
        <v>189.80</v>
      </c>
      <c r="BD56" s="16">
        <v>181.60</v>
      </c>
      <c r="BE56" s="16">
        <v>179.70</v>
      </c>
      <c r="BF56" s="16">
        <v>169.70</v>
      </c>
      <c r="BG56" s="16">
        <v>174.70</v>
      </c>
      <c r="BH56" s="16">
        <v>179.70</v>
      </c>
      <c r="BI56" s="16">
        <v>179.70</v>
      </c>
      <c r="BJ56" s="6"/>
      <c r="BK56" s="6"/>
      <c r="BL56" s="19"/>
      <c r="BM56" s="19"/>
      <c r="BN56" s="19"/>
      <c r="BO56" s="19"/>
    </row>
    <row r="57" spans="1:67" ht="15.5">
      <c r="A57" s="5"/>
      <c r="B57" s="13" t="s">
        <v>313</v>
      </c>
      <c r="C57" s="14">
        <f t="shared" si="184" ref="C57:J57">BB57/1000</f>
        <v>0.36710000000000004</v>
      </c>
      <c r="D57" s="14">
        <f t="shared" si="184"/>
        <v>0.33080000000000004</v>
      </c>
      <c r="E57" s="14">
        <f t="shared" si="184"/>
        <v>0.32239999999999996</v>
      </c>
      <c r="F57" s="14">
        <f t="shared" si="184"/>
        <v>0.32050000000000001</v>
      </c>
      <c r="G57" s="14">
        <f t="shared" si="184"/>
        <v>0.31010000000000004</v>
      </c>
      <c r="H57" s="14">
        <f t="shared" si="184"/>
        <v>0.31510000000000005</v>
      </c>
      <c r="I57" s="14">
        <f t="shared" si="184"/>
        <v>0.32050000000000001</v>
      </c>
      <c r="J57" s="14">
        <f t="shared" si="184"/>
        <v>0.32050000000000001</v>
      </c>
      <c r="K57" s="6"/>
      <c r="L57" s="6"/>
      <c r="M57" s="19">
        <v>5.9370000000000003</v>
      </c>
      <c r="N57" s="19">
        <v>5.845</v>
      </c>
      <c r="O57" s="19">
        <v>5.575</v>
      </c>
      <c r="P57" s="19">
        <v>5.2759999999999998</v>
      </c>
      <c r="Q57" s="19">
        <v>5.3630000000000004</v>
      </c>
      <c r="R57" s="19">
        <v>6.645</v>
      </c>
      <c r="S57" s="19">
        <v>5.6539999999999999</v>
      </c>
      <c r="T57" s="19"/>
      <c r="U57" s="5"/>
      <c r="V57" s="13" t="s">
        <v>313</v>
      </c>
      <c r="W57" s="16">
        <f t="shared" si="185" ref="W57:AC57">D57/M57</f>
        <v>0.055718376284318687</v>
      </c>
      <c r="X57" s="16">
        <f t="shared" si="185"/>
        <v>0.055158254918733954</v>
      </c>
      <c r="Y57" s="16">
        <f t="shared" si="185"/>
        <v>0.057488789237668161</v>
      </c>
      <c r="Z57" s="16">
        <f t="shared" si="185"/>
        <v>0.058775587566338147</v>
      </c>
      <c r="AA57" s="16">
        <f t="shared" si="185"/>
        <v>0.058754428491515943</v>
      </c>
      <c r="AB57" s="17">
        <f t="shared" si="185"/>
        <v>0.048231753197893155</v>
      </c>
      <c r="AC57" s="17">
        <f t="shared" si="185"/>
        <v>0.056685532366466222</v>
      </c>
      <c r="AD57" s="6"/>
      <c r="AE57" s="6"/>
      <c r="AF57" s="16">
        <f t="shared" si="186" ref="AF57:AJ57">W57</f>
        <v>0.055718376284318687</v>
      </c>
      <c r="AG57" s="16">
        <f t="shared" si="186"/>
        <v>0.055158254918733954</v>
      </c>
      <c r="AH57" s="16">
        <f t="shared" si="186"/>
        <v>0.057488789237668161</v>
      </c>
      <c r="AI57" s="16">
        <f t="shared" si="186"/>
        <v>0.058775587566338147</v>
      </c>
      <c r="AJ57" s="16">
        <f t="shared" si="186"/>
        <v>0.058754428491515943</v>
      </c>
      <c r="AK57" s="18">
        <f t="shared" si="131"/>
        <v>0.055466516177577127</v>
      </c>
      <c r="AL57" s="18">
        <f t="shared" si="132"/>
        <v>0.065188362221436147</v>
      </c>
      <c r="AO57" s="16">
        <f t="shared" si="187" ref="AO57:AS57">W57</f>
        <v>0.055718376284318687</v>
      </c>
      <c r="AP57" s="16">
        <f t="shared" si="187"/>
        <v>0.055158254918733954</v>
      </c>
      <c r="AQ57" s="16">
        <f t="shared" si="187"/>
        <v>0.057488789237668161</v>
      </c>
      <c r="AR57" s="16">
        <f t="shared" si="187"/>
        <v>0.058775587566338147</v>
      </c>
      <c r="AS57" s="16">
        <f t="shared" si="187"/>
        <v>0.058754428491515943</v>
      </c>
      <c r="AT57" s="18">
        <f t="shared" si="134"/>
        <v>0.040996990218209184</v>
      </c>
      <c r="AU57" s="18">
        <f t="shared" si="135"/>
        <v>0.048182702511496291</v>
      </c>
      <c r="AZ57" s="5"/>
      <c r="BA57" s="13" t="s">
        <v>313</v>
      </c>
      <c r="BB57" s="14">
        <v>367.10</v>
      </c>
      <c r="BC57" s="16">
        <v>330.80</v>
      </c>
      <c r="BD57" s="16">
        <v>322.40</v>
      </c>
      <c r="BE57" s="16">
        <v>320.50</v>
      </c>
      <c r="BF57" s="16">
        <v>310.10</v>
      </c>
      <c r="BG57" s="16">
        <v>315.10</v>
      </c>
      <c r="BH57" s="16">
        <v>320.50</v>
      </c>
      <c r="BI57" s="16">
        <v>320.50</v>
      </c>
      <c r="BJ57" s="6"/>
      <c r="BK57" s="6"/>
      <c r="BL57" s="19"/>
      <c r="BM57" s="19"/>
      <c r="BN57" s="19"/>
      <c r="BO57" s="19"/>
    </row>
    <row r="58" spans="1:67" ht="15.5">
      <c r="A58" s="5"/>
      <c r="B58" s="13" t="s">
        <v>314</v>
      </c>
      <c r="C58" s="14">
        <f t="shared" si="188" ref="C58:J58">BB58/1000</f>
        <v>0.085300000000000001</v>
      </c>
      <c r="D58" s="14">
        <f t="shared" si="188"/>
        <v>0.077499999999999999</v>
      </c>
      <c r="E58" s="14">
        <f t="shared" si="188"/>
        <v>0.075499999999999998</v>
      </c>
      <c r="F58" s="14">
        <f t="shared" si="188"/>
        <v>0.074999999999999997</v>
      </c>
      <c r="G58" s="14">
        <f t="shared" si="188"/>
        <v>0.0722</v>
      </c>
      <c r="H58" s="14">
        <f t="shared" si="188"/>
        <v>0.073599999999999999</v>
      </c>
      <c r="I58" s="14">
        <f t="shared" si="188"/>
        <v>0.074999999999999997</v>
      </c>
      <c r="J58" s="14">
        <f t="shared" si="188"/>
        <v>0.074999999999999997</v>
      </c>
      <c r="K58" s="6"/>
      <c r="L58" s="6"/>
      <c r="M58" s="19">
        <v>5.9370000000000003</v>
      </c>
      <c r="N58" s="19">
        <v>5.845</v>
      </c>
      <c r="O58" s="19">
        <v>5.575</v>
      </c>
      <c r="P58" s="19">
        <v>5.2759999999999998</v>
      </c>
      <c r="Q58" s="19">
        <v>5.3630000000000004</v>
      </c>
      <c r="R58" s="19">
        <v>6.645</v>
      </c>
      <c r="S58" s="19">
        <v>5.6539999999999999</v>
      </c>
      <c r="T58" s="19"/>
      <c r="U58" s="5"/>
      <c r="V58" s="13" t="s">
        <v>314</v>
      </c>
      <c r="W58" s="16">
        <f t="shared" si="189" ref="W58:AC58">D58/M58</f>
        <v>0.01305373084049183</v>
      </c>
      <c r="X58" s="16">
        <f t="shared" si="189"/>
        <v>0.012917023096663816</v>
      </c>
      <c r="Y58" s="16">
        <f t="shared" si="189"/>
        <v>0.013452914798206277</v>
      </c>
      <c r="Z58" s="16">
        <f t="shared" si="189"/>
        <v>0.013684609552691433</v>
      </c>
      <c r="AA58" s="16">
        <f t="shared" si="189"/>
        <v>0.013723662129405182</v>
      </c>
      <c r="AB58" s="17">
        <f t="shared" si="189"/>
        <v>0.011286681715575621</v>
      </c>
      <c r="AC58" s="17">
        <f t="shared" si="189"/>
        <v>0.013264945171559957</v>
      </c>
      <c r="AD58" s="6"/>
      <c r="AE58" s="6"/>
      <c r="AF58" s="16">
        <f t="shared" si="190" ref="AF58:AJ58">W58</f>
        <v>0.01305373084049183</v>
      </c>
      <c r="AG58" s="16">
        <f t="shared" si="190"/>
        <v>0.012917023096663816</v>
      </c>
      <c r="AH58" s="16">
        <f t="shared" si="190"/>
        <v>0.013452914798206277</v>
      </c>
      <c r="AI58" s="16">
        <f t="shared" si="190"/>
        <v>0.013684609552691433</v>
      </c>
      <c r="AJ58" s="16">
        <f t="shared" si="190"/>
        <v>0.013723662129405182</v>
      </c>
      <c r="AK58" s="18">
        <f t="shared" si="131"/>
        <v>0.012979683972911963</v>
      </c>
      <c r="AL58" s="18">
        <f t="shared" si="132"/>
        <v>0.01525468694729395</v>
      </c>
      <c r="AO58" s="16">
        <f t="shared" si="191" ref="AO58:AS58">W58</f>
        <v>0.01305373084049183</v>
      </c>
      <c r="AP58" s="16">
        <f t="shared" si="191"/>
        <v>0.012917023096663816</v>
      </c>
      <c r="AQ58" s="16">
        <f t="shared" si="191"/>
        <v>0.013452914798206277</v>
      </c>
      <c r="AR58" s="16">
        <f t="shared" si="191"/>
        <v>0.013684609552691433</v>
      </c>
      <c r="AS58" s="16">
        <f t="shared" si="191"/>
        <v>0.013723662129405182</v>
      </c>
      <c r="AT58" s="18">
        <f t="shared" si="134"/>
        <v>0.0095936794582392772</v>
      </c>
      <c r="AU58" s="18">
        <f t="shared" si="135"/>
        <v>0.011275203395825963</v>
      </c>
      <c r="AZ58" s="5"/>
      <c r="BA58" s="13" t="s">
        <v>314</v>
      </c>
      <c r="BB58" s="14">
        <v>85.30</v>
      </c>
      <c r="BC58" s="16">
        <v>77.50</v>
      </c>
      <c r="BD58" s="16">
        <v>75.50</v>
      </c>
      <c r="BE58" s="16">
        <v>75</v>
      </c>
      <c r="BF58" s="16">
        <v>72.20</v>
      </c>
      <c r="BG58" s="16">
        <v>73.60</v>
      </c>
      <c r="BH58" s="16">
        <v>75</v>
      </c>
      <c r="BI58" s="16">
        <v>75</v>
      </c>
      <c r="BJ58" s="6"/>
      <c r="BK58" s="6"/>
      <c r="BL58" s="19"/>
      <c r="BM58" s="19"/>
      <c r="BN58" s="19"/>
      <c r="BO58" s="19"/>
    </row>
    <row r="59" spans="1:67" ht="15.5">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spans="1:67" ht="15.5">
      <c r="A60" s="6" t="s">
        <v>316</v>
      </c>
      <c r="B60" s="6"/>
      <c r="C60" s="9"/>
      <c r="D60" s="6"/>
      <c r="E60" s="6"/>
      <c r="F60" s="6"/>
      <c r="G60" s="6"/>
      <c r="H60" s="6"/>
      <c r="I60" s="6"/>
      <c r="J60" s="6"/>
      <c r="K60" s="6"/>
      <c r="L60" s="6"/>
      <c r="M60" s="6"/>
      <c r="N60" s="6"/>
      <c r="O60" s="6"/>
      <c r="P60" s="6"/>
      <c r="Q60" s="6"/>
      <c r="R60" s="6"/>
      <c r="S60" s="6"/>
      <c r="T60" s="6"/>
      <c r="AZ60" s="6" t="s">
        <v>316</v>
      </c>
      <c r="BA60" s="6"/>
      <c r="BB60" s="9"/>
      <c r="BC60" s="6"/>
      <c r="BD60" s="6"/>
      <c r="BE60" s="6"/>
      <c r="BF60" s="6"/>
      <c r="BG60" s="6"/>
      <c r="BH60" s="6"/>
      <c r="BI60" s="6"/>
      <c r="BJ60" s="6"/>
      <c r="BK60" s="6"/>
      <c r="BL60" s="6"/>
      <c r="BM60" s="6"/>
      <c r="BN60" s="6"/>
      <c r="BO60" s="6"/>
    </row>
    <row r="61" spans="1:67" ht="15.5">
      <c r="A61" s="6" t="s">
        <v>331</v>
      </c>
      <c r="B61" s="6"/>
      <c r="C61" s="9"/>
      <c r="D61" s="6"/>
      <c r="E61" s="6"/>
      <c r="F61" s="6"/>
      <c r="G61" s="6"/>
      <c r="H61" s="6"/>
      <c r="I61" s="6"/>
      <c r="J61" s="6"/>
      <c r="K61" s="6"/>
      <c r="L61" s="6"/>
      <c r="M61" s="6"/>
      <c r="N61" s="6"/>
      <c r="O61" s="6"/>
      <c r="P61" s="6"/>
      <c r="Q61" s="6"/>
      <c r="R61" s="6"/>
      <c r="S61" s="6"/>
      <c r="T61" s="6"/>
      <c r="AZ61" s="6" t="s">
        <v>331</v>
      </c>
      <c r="BA61" s="6"/>
      <c r="BB61" s="9"/>
      <c r="BC61" s="6"/>
      <c r="BD61" s="6"/>
      <c r="BE61" s="6"/>
      <c r="BF61" s="6"/>
      <c r="BG61" s="6"/>
      <c r="BH61" s="6"/>
      <c r="BI61" s="6"/>
      <c r="BJ61" s="6"/>
      <c r="BK61" s="6"/>
      <c r="BL61" s="6"/>
      <c r="BM61" s="6"/>
      <c r="BN61" s="6"/>
      <c r="BO61" s="6"/>
    </row>
    <row r="62" spans="1:67" ht="15.5">
      <c r="A62" s="6" t="s">
        <v>332</v>
      </c>
      <c r="B62" s="6"/>
      <c r="C62" s="9"/>
      <c r="D62" s="6"/>
      <c r="E62" s="6"/>
      <c r="F62" s="6"/>
      <c r="G62" s="6"/>
      <c r="H62" s="6"/>
      <c r="I62" s="6"/>
      <c r="J62" s="6"/>
      <c r="K62" s="6"/>
      <c r="L62" s="6"/>
      <c r="M62" s="6"/>
      <c r="N62" s="6"/>
      <c r="O62" s="6"/>
      <c r="P62" s="6"/>
      <c r="Q62" s="6"/>
      <c r="R62" s="6"/>
      <c r="S62" s="6"/>
      <c r="T62" s="6"/>
      <c r="AZ62" s="6" t="s">
        <v>332</v>
      </c>
      <c r="BA62" s="6"/>
      <c r="BB62" s="9"/>
      <c r="BC62" s="6"/>
      <c r="BD62" s="6"/>
      <c r="BE62" s="6"/>
      <c r="BF62" s="6"/>
      <c r="BG62" s="6"/>
      <c r="BH62" s="6"/>
      <c r="BI62" s="6"/>
      <c r="BJ62" s="6"/>
      <c r="BK62" s="6"/>
      <c r="BL62" s="6"/>
      <c r="BM62" s="6"/>
      <c r="BN62" s="6"/>
      <c r="BO62" s="6"/>
    </row>
    <row r="71" spans="21:47" ht="15.5">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spans="21:47" ht="15.5">
      <c r="U72" s="6"/>
      <c r="V72" s="6"/>
      <c r="W72" s="6" t="s">
        <v>302</v>
      </c>
      <c r="X72" s="6" t="s">
        <v>303</v>
      </c>
      <c r="Y72" s="10" t="s">
        <v>304</v>
      </c>
      <c r="Z72" s="6" t="s">
        <v>305</v>
      </c>
      <c r="AA72" s="6" t="s">
        <v>306</v>
      </c>
      <c r="AB72" s="12" t="s">
        <v>307</v>
      </c>
      <c r="AC72" s="12" t="s">
        <v>308</v>
      </c>
      <c r="AD72" s="6"/>
      <c r="AE72" s="6"/>
      <c r="AF72" s="6" t="s">
        <v>302</v>
      </c>
      <c r="AG72" s="6" t="s">
        <v>303</v>
      </c>
      <c r="AH72" s="10" t="s">
        <v>304</v>
      </c>
      <c r="AI72" s="6" t="s">
        <v>305</v>
      </c>
      <c r="AJ72" s="6" t="s">
        <v>306</v>
      </c>
      <c r="AK72" s="12" t="s">
        <v>307</v>
      </c>
      <c r="AL72" s="12" t="s">
        <v>308</v>
      </c>
      <c r="AM72" s="6"/>
      <c r="AN72" s="6"/>
      <c r="AO72" s="6" t="s">
        <v>302</v>
      </c>
      <c r="AP72" s="6" t="s">
        <v>303</v>
      </c>
      <c r="AQ72" s="10" t="s">
        <v>304</v>
      </c>
      <c r="AR72" s="6" t="s">
        <v>305</v>
      </c>
      <c r="AS72" s="6" t="s">
        <v>306</v>
      </c>
      <c r="AT72" s="12" t="s">
        <v>307</v>
      </c>
      <c r="AU72" s="12" t="s">
        <v>308</v>
      </c>
    </row>
    <row r="73" spans="21:47" ht="14.5">
      <c r="U73" s="5" t="s">
        <v>309</v>
      </c>
      <c r="V73" s="20" t="s">
        <v>121</v>
      </c>
      <c r="W73" s="3">
        <f t="shared" si="192" ref="W73:AC73">W4-W5</f>
        <v>0.010510358767054057</v>
      </c>
      <c r="X73" s="3">
        <f t="shared" si="192"/>
        <v>0.010094097519247211</v>
      </c>
      <c r="Y73" s="3">
        <f t="shared" si="192"/>
        <v>0.010385650224215226</v>
      </c>
      <c r="Z73" s="3">
        <f t="shared" si="192"/>
        <v>0.011429112964366939</v>
      </c>
      <c r="AA73" s="3">
        <f t="shared" si="192"/>
        <v>0.011597986201752758</v>
      </c>
      <c r="AB73" s="3">
        <f t="shared" si="192"/>
        <v>0.0087133182844243706</v>
      </c>
      <c r="AC73" s="3">
        <f t="shared" si="192"/>
        <v>0.010240537672444275</v>
      </c>
      <c r="AF73" s="3">
        <f t="shared" si="193" ref="AF73:AL73">AF4-AF5</f>
        <v>0.010510358767054057</v>
      </c>
      <c r="AG73" s="3">
        <f t="shared" si="193"/>
        <v>0.010094097519247211</v>
      </c>
      <c r="AH73" s="3">
        <f t="shared" si="193"/>
        <v>0.010385650224215226</v>
      </c>
      <c r="AI73" s="3">
        <f t="shared" si="193"/>
        <v>0.011429112964366939</v>
      </c>
      <c r="AJ73" s="3">
        <f t="shared" si="193"/>
        <v>0.011597986201752758</v>
      </c>
      <c r="AK73" s="3">
        <f t="shared" si="193"/>
        <v>0.010020316027088028</v>
      </c>
      <c r="AL73" s="3">
        <f t="shared" si="193"/>
        <v>0.011776618323310922</v>
      </c>
      <c r="AO73" s="3">
        <f t="shared" si="194" ref="AO73:AU73">AO4-AO5</f>
        <v>0.010510358767054057</v>
      </c>
      <c r="AP73" s="3">
        <f t="shared" si="194"/>
        <v>0.010094097519247211</v>
      </c>
      <c r="AQ73" s="3">
        <f t="shared" si="194"/>
        <v>0.010385650224215226</v>
      </c>
      <c r="AR73" s="3">
        <f t="shared" si="194"/>
        <v>0.011429112964366939</v>
      </c>
      <c r="AS73" s="3">
        <f t="shared" si="194"/>
        <v>0.011597986201752758</v>
      </c>
      <c r="AT73" s="3">
        <f t="shared" si="194"/>
        <v>0.0074063205417607275</v>
      </c>
      <c r="AU73" s="3">
        <f t="shared" si="194"/>
        <v>0.0087044570215776274</v>
      </c>
    </row>
    <row r="74" spans="21:47" ht="14.5">
      <c r="U74" s="5"/>
      <c r="V74" s="21" t="s">
        <v>333</v>
      </c>
      <c r="W74" s="3">
        <f t="shared" si="195" ref="W74:AC74">W6</f>
        <v>0.028920330133063835</v>
      </c>
      <c r="X74" s="3">
        <f t="shared" si="195"/>
        <v>0.027562018819503851</v>
      </c>
      <c r="Y74" s="3">
        <f t="shared" si="195"/>
        <v>0.028322869955156951</v>
      </c>
      <c r="Z74" s="3">
        <f t="shared" si="195"/>
        <v>0.02882865807429871</v>
      </c>
      <c r="AA74" s="3">
        <f t="shared" si="195"/>
        <v>0.029610292746597055</v>
      </c>
      <c r="AB74" s="3">
        <f t="shared" si="195"/>
        <v>0.02376222723852521</v>
      </c>
      <c r="AC74" s="3">
        <f t="shared" si="195"/>
        <v>0.027927131234524234</v>
      </c>
      <c r="AF74" s="3">
        <f t="shared" si="196" ref="AF74:AL74">AF6</f>
        <v>0.028920330133063835</v>
      </c>
      <c r="AG74" s="3">
        <f t="shared" si="196"/>
        <v>0.027562018819503851</v>
      </c>
      <c r="AH74" s="3">
        <f t="shared" si="196"/>
        <v>0.028322869955156951</v>
      </c>
      <c r="AI74" s="3">
        <f t="shared" si="196"/>
        <v>0.02882865807429871</v>
      </c>
      <c r="AJ74" s="3">
        <f t="shared" si="196"/>
        <v>0.029610292746597055</v>
      </c>
      <c r="AK74" s="3">
        <f t="shared" si="196"/>
        <v>0.027326561324303989</v>
      </c>
      <c r="AL74" s="3">
        <f t="shared" si="196"/>
        <v>0.032116200919702867</v>
      </c>
      <c r="AO74" s="3">
        <f t="shared" si="197" ref="AO74:AU74">AO6</f>
        <v>0.028920330133063835</v>
      </c>
      <c r="AP74" s="3">
        <f t="shared" si="197"/>
        <v>0.027562018819503851</v>
      </c>
      <c r="AQ74" s="3">
        <f t="shared" si="197"/>
        <v>0.028322869955156951</v>
      </c>
      <c r="AR74" s="3">
        <f t="shared" si="197"/>
        <v>0.02882865807429871</v>
      </c>
      <c r="AS74" s="3">
        <f t="shared" si="197"/>
        <v>0.029610292746597055</v>
      </c>
      <c r="AT74" s="3">
        <f t="shared" si="197"/>
        <v>0.020197893152746428</v>
      </c>
      <c r="AU74" s="3">
        <f t="shared" si="197"/>
        <v>0.023738061549345598</v>
      </c>
    </row>
    <row r="75" spans="21:47" ht="14.5">
      <c r="U75" s="5"/>
      <c r="V75" s="20" t="s">
        <v>334</v>
      </c>
      <c r="W75" s="3">
        <f t="shared" si="198" ref="W75:AC75">W7</f>
        <v>0.083661782044803762</v>
      </c>
      <c r="X75" s="3">
        <f t="shared" si="198"/>
        <v>0.081402908468776736</v>
      </c>
      <c r="Y75" s="3">
        <f t="shared" si="198"/>
        <v>0.084394618834080712</v>
      </c>
      <c r="Z75" s="3">
        <f t="shared" si="198"/>
        <v>0.088419257012888566</v>
      </c>
      <c r="AA75" s="3">
        <f t="shared" si="198"/>
        <v>0.092485549132947972</v>
      </c>
      <c r="AB75" s="3">
        <f t="shared" si="198"/>
        <v>0.070805116629044401</v>
      </c>
      <c r="AC75" s="3">
        <f t="shared" si="198"/>
        <v>0.083215422709586137</v>
      </c>
      <c r="AF75" s="3">
        <f t="shared" si="199" ref="AF75:AL75">AF7</f>
        <v>0.083661782044803762</v>
      </c>
      <c r="AG75" s="3">
        <f t="shared" si="199"/>
        <v>0.081402908468776736</v>
      </c>
      <c r="AH75" s="3">
        <f t="shared" si="199"/>
        <v>0.084394618834080712</v>
      </c>
      <c r="AI75" s="3">
        <f t="shared" si="199"/>
        <v>0.088419257012888566</v>
      </c>
      <c r="AJ75" s="3">
        <f t="shared" si="199"/>
        <v>0.092485549132947972</v>
      </c>
      <c r="AK75" s="3">
        <f t="shared" si="199"/>
        <v>0.081425884123401057</v>
      </c>
      <c r="AL75" s="3">
        <f t="shared" si="199"/>
        <v>0.095697736116024057</v>
      </c>
      <c r="AO75" s="3">
        <f t="shared" si="200" ref="AO75:AU75">AO7</f>
        <v>0.083661782044803762</v>
      </c>
      <c r="AP75" s="3">
        <f t="shared" si="200"/>
        <v>0.081402908468776736</v>
      </c>
      <c r="AQ75" s="3">
        <f t="shared" si="200"/>
        <v>0.084394618834080712</v>
      </c>
      <c r="AR75" s="3">
        <f t="shared" si="200"/>
        <v>0.088419257012888566</v>
      </c>
      <c r="AS75" s="3">
        <f t="shared" si="200"/>
        <v>0.092485549132947972</v>
      </c>
      <c r="AT75" s="3">
        <f t="shared" si="200"/>
        <v>0.060184349134687738</v>
      </c>
      <c r="AU75" s="3">
        <f t="shared" si="200"/>
        <v>0.070733109303148217</v>
      </c>
    </row>
    <row r="76" spans="21:47" ht="14.5">
      <c r="U76" s="5"/>
      <c r="V76" s="20" t="s">
        <v>335</v>
      </c>
      <c r="W76" s="3">
        <f t="shared" si="201" ref="W76:AC76">W8</f>
        <v>0.013020043793161528</v>
      </c>
      <c r="X76" s="3">
        <f t="shared" si="201"/>
        <v>0.012745936698032506</v>
      </c>
      <c r="Y76" s="3">
        <f t="shared" si="201"/>
        <v>0.013201793721973094</v>
      </c>
      <c r="Z76" s="3">
        <f t="shared" si="201"/>
        <v>0.014423805913570887</v>
      </c>
      <c r="AA76" s="3">
        <f t="shared" si="201"/>
        <v>0.014711914972962896</v>
      </c>
      <c r="AB76" s="3">
        <f t="shared" si="201"/>
        <v>0.011075996990218209</v>
      </c>
      <c r="AC76" s="3">
        <f t="shared" si="201"/>
        <v>0.013017332861690838</v>
      </c>
      <c r="AF76" s="3">
        <f t="shared" si="202" ref="AF76:AL76">AF8</f>
        <v>0.013020043793161528</v>
      </c>
      <c r="AG76" s="3">
        <f t="shared" si="202"/>
        <v>0.012745936698032506</v>
      </c>
      <c r="AH76" s="3">
        <f t="shared" si="202"/>
        <v>0.013201793721973094</v>
      </c>
      <c r="AI76" s="3">
        <f t="shared" si="202"/>
        <v>0.014423805913570887</v>
      </c>
      <c r="AJ76" s="3">
        <f t="shared" si="202"/>
        <v>0.014711914972962896</v>
      </c>
      <c r="AK76" s="3">
        <f t="shared" si="202"/>
        <v>0.012737396538750939</v>
      </c>
      <c r="AL76" s="3">
        <f t="shared" si="202"/>
        <v>0.014969932790944463</v>
      </c>
      <c r="AO76" s="3">
        <f t="shared" si="203" ref="AO76:AU76">AO8</f>
        <v>0.013020043793161528</v>
      </c>
      <c r="AP76" s="3">
        <f t="shared" si="203"/>
        <v>0.012745936698032506</v>
      </c>
      <c r="AQ76" s="3">
        <f t="shared" si="203"/>
        <v>0.013201793721973094</v>
      </c>
      <c r="AR76" s="3">
        <f t="shared" si="203"/>
        <v>0.014423805913570887</v>
      </c>
      <c r="AS76" s="3">
        <f t="shared" si="203"/>
        <v>0.014711914972962896</v>
      </c>
      <c r="AT76" s="3">
        <f t="shared" si="203"/>
        <v>0.0094145974416854766</v>
      </c>
      <c r="AU76" s="3">
        <f t="shared" si="203"/>
        <v>0.011064732932437212</v>
      </c>
    </row>
    <row r="77" spans="21:47" ht="14.5">
      <c r="U77" s="5" t="s">
        <v>315</v>
      </c>
      <c r="V77" s="20" t="s">
        <v>121</v>
      </c>
      <c r="W77" s="3">
        <f t="shared" si="204" ref="W77:AC77">W9-W10</f>
        <v>0.010358767054067713</v>
      </c>
      <c r="X77" s="3">
        <f t="shared" si="204"/>
        <v>0.0099572284003421746</v>
      </c>
      <c r="Y77" s="3">
        <f t="shared" si="204"/>
        <v>0.010242152466367727</v>
      </c>
      <c r="Z77" s="3">
        <f t="shared" si="204"/>
        <v>0.011277482941622424</v>
      </c>
      <c r="AA77" s="3">
        <f t="shared" si="204"/>
        <v>0.011430169681148628</v>
      </c>
      <c r="AB77" s="3">
        <f t="shared" si="204"/>
        <v>0.0085929270127915874</v>
      </c>
      <c r="AC77" s="3">
        <f t="shared" si="204"/>
        <v>0.010099044923947642</v>
      </c>
      <c r="AF77" s="3">
        <f t="shared" si="205" ref="AF77:AL77">AF9-AF10</f>
        <v>0.010358767054067713</v>
      </c>
      <c r="AG77" s="3">
        <f t="shared" si="205"/>
        <v>0.0099572284003421746</v>
      </c>
      <c r="AH77" s="3">
        <f t="shared" si="205"/>
        <v>0.010242152466367727</v>
      </c>
      <c r="AI77" s="3">
        <f t="shared" si="205"/>
        <v>0.011277482941622424</v>
      </c>
      <c r="AJ77" s="3">
        <f t="shared" si="205"/>
        <v>0.011430169681148628</v>
      </c>
      <c r="AK77" s="3">
        <f t="shared" si="205"/>
        <v>0.0098818660647103235</v>
      </c>
      <c r="AL77" s="3">
        <f t="shared" si="205"/>
        <v>0.011613901662539783</v>
      </c>
      <c r="AO77" s="3">
        <f t="shared" si="206" ref="AO77:AU77">AO9-AO10</f>
        <v>0.010358767054067713</v>
      </c>
      <c r="AP77" s="3">
        <f t="shared" si="206"/>
        <v>0.0099572284003421746</v>
      </c>
      <c r="AQ77" s="3">
        <f t="shared" si="206"/>
        <v>0.010242152466367727</v>
      </c>
      <c r="AR77" s="3">
        <f t="shared" si="206"/>
        <v>0.011277482941622424</v>
      </c>
      <c r="AS77" s="3">
        <f t="shared" si="206"/>
        <v>0.011430169681148628</v>
      </c>
      <c r="AT77" s="3">
        <f t="shared" si="206"/>
        <v>0.0073039879608728514</v>
      </c>
      <c r="AU77" s="3">
        <f t="shared" si="206"/>
        <v>0.0085841881853554874</v>
      </c>
    </row>
    <row r="78" spans="21:47" ht="14.5">
      <c r="U78" s="5"/>
      <c r="V78" s="21" t="s">
        <v>333</v>
      </c>
      <c r="W78" s="3">
        <f t="shared" si="207" ref="W78:AC78">W11</f>
        <v>0.0349503116051878</v>
      </c>
      <c r="X78" s="3">
        <f t="shared" si="207"/>
        <v>0.033378956372968352</v>
      </c>
      <c r="Y78" s="3">
        <f t="shared" si="207"/>
        <v>0.034367713004484303</v>
      </c>
      <c r="Z78" s="3">
        <f t="shared" si="207"/>
        <v>0.035253980288097043</v>
      </c>
      <c r="AA78" s="3">
        <f t="shared" si="207"/>
        <v>0.036136490770091366</v>
      </c>
      <c r="AB78" s="3">
        <f t="shared" si="207"/>
        <v>0.028833709556057185</v>
      </c>
      <c r="AC78" s="3">
        <f t="shared" si="207"/>
        <v>0.033887513264945171</v>
      </c>
      <c r="AF78" s="3">
        <f t="shared" si="208" ref="AF78:AL78">AF11</f>
        <v>0.0349503116051878</v>
      </c>
      <c r="AG78" s="3">
        <f t="shared" si="208"/>
        <v>0.033378956372968352</v>
      </c>
      <c r="AH78" s="3">
        <f t="shared" si="208"/>
        <v>0.034367713004484303</v>
      </c>
      <c r="AI78" s="3">
        <f t="shared" si="208"/>
        <v>0.035253980288097043</v>
      </c>
      <c r="AJ78" s="3">
        <f t="shared" si="208"/>
        <v>0.036136490770091366</v>
      </c>
      <c r="AK78" s="3">
        <f t="shared" si="208"/>
        <v>0.033158765989465759</v>
      </c>
      <c r="AL78" s="3">
        <f t="shared" si="208"/>
        <v>0.038970640254686946</v>
      </c>
      <c r="AO78" s="3">
        <f t="shared" si="209" ref="AO78:AU78">AO11</f>
        <v>0.0349503116051878</v>
      </c>
      <c r="AP78" s="3">
        <f t="shared" si="209"/>
        <v>0.033378956372968352</v>
      </c>
      <c r="AQ78" s="3">
        <f t="shared" si="209"/>
        <v>0.034367713004484303</v>
      </c>
      <c r="AR78" s="3">
        <f t="shared" si="209"/>
        <v>0.035253980288097043</v>
      </c>
      <c r="AS78" s="3">
        <f t="shared" si="209"/>
        <v>0.036136490770091366</v>
      </c>
      <c r="AT78" s="3">
        <f t="shared" si="209"/>
        <v>0.024508653122648608</v>
      </c>
      <c r="AU78" s="3">
        <f t="shared" si="209"/>
        <v>0.028804386275203396</v>
      </c>
    </row>
    <row r="79" spans="21:47" ht="15.5">
      <c r="U79" s="5"/>
      <c r="V79" s="20" t="s">
        <v>334</v>
      </c>
      <c r="W79" s="3">
        <f t="shared" si="210" ref="W79:AC79">W12</f>
        <v>0.079989893885800897</v>
      </c>
      <c r="X79" s="3">
        <f t="shared" si="210"/>
        <v>0.077861420017108648</v>
      </c>
      <c r="Y79" s="3">
        <f t="shared" si="210"/>
        <v>0.080717488789237665</v>
      </c>
      <c r="Z79" s="3">
        <f t="shared" si="210"/>
        <v>0.08451478392721759</v>
      </c>
      <c r="AA79" s="3">
        <f t="shared" si="210"/>
        <v>0.088513891478650006</v>
      </c>
      <c r="AB79" s="3">
        <f t="shared" si="210"/>
        <v>0.06772009029345373</v>
      </c>
      <c r="AC79" s="3">
        <f t="shared" si="210"/>
        <v>0.079589671029359751</v>
      </c>
      <c r="AD79" s="6"/>
      <c r="AE79" s="6"/>
      <c r="AF79" s="3">
        <f t="shared" si="211" ref="AF79:AL79">AF12</f>
        <v>0.079989893885800897</v>
      </c>
      <c r="AG79" s="3">
        <f t="shared" si="211"/>
        <v>0.077861420017108648</v>
      </c>
      <c r="AH79" s="3">
        <f t="shared" si="211"/>
        <v>0.080717488789237665</v>
      </c>
      <c r="AI79" s="3">
        <f t="shared" si="211"/>
        <v>0.08451478392721759</v>
      </c>
      <c r="AJ79" s="3">
        <f t="shared" si="211"/>
        <v>0.088513891478650006</v>
      </c>
      <c r="AK79" s="3">
        <f t="shared" si="211"/>
        <v>0.07787810383747179</v>
      </c>
      <c r="AL79" s="3">
        <f t="shared" si="211"/>
        <v>0.091528121683763702</v>
      </c>
      <c r="AM79" s="6"/>
      <c r="AN79" s="6"/>
      <c r="AO79" s="3">
        <f t="shared" si="212" ref="AO79:AU79">AO12</f>
        <v>0.079989893885800897</v>
      </c>
      <c r="AP79" s="3">
        <f t="shared" si="212"/>
        <v>0.077861420017108648</v>
      </c>
      <c r="AQ79" s="3">
        <f t="shared" si="212"/>
        <v>0.080717488789237665</v>
      </c>
      <c r="AR79" s="3">
        <f t="shared" si="212"/>
        <v>0.08451478392721759</v>
      </c>
      <c r="AS79" s="3">
        <f t="shared" si="212"/>
        <v>0.088513891478650006</v>
      </c>
      <c r="AT79" s="3">
        <f t="shared" si="212"/>
        <v>0.05756207674943567</v>
      </c>
      <c r="AU79" s="3">
        <f t="shared" si="212"/>
        <v>0.067651220374955787</v>
      </c>
    </row>
    <row r="80" spans="21:47" ht="15.5">
      <c r="U80" s="5"/>
      <c r="V80" s="20" t="s">
        <v>335</v>
      </c>
      <c r="W80" s="3">
        <f t="shared" si="213" ref="W80:AC80">W13</f>
        <v>0.013508505979450901</v>
      </c>
      <c r="X80" s="3">
        <f t="shared" si="213"/>
        <v>0.013207869974337042</v>
      </c>
      <c r="Y80" s="3">
        <f t="shared" si="213"/>
        <v>0.013686098654708519</v>
      </c>
      <c r="Z80" s="3">
        <f t="shared" si="213"/>
        <v>0.014954510993176651</v>
      </c>
      <c r="AA80" s="3">
        <f t="shared" si="213"/>
        <v>0.015234010814842439</v>
      </c>
      <c r="AB80" s="3">
        <f t="shared" si="213"/>
        <v>0.011482317531978932</v>
      </c>
      <c r="AC80" s="3">
        <f t="shared" si="213"/>
        <v>0.013494870887866996</v>
      </c>
      <c r="AD80" s="6"/>
      <c r="AE80" s="6"/>
      <c r="AF80" s="3">
        <f t="shared" si="214" ref="AF80:AL80">AF13</f>
        <v>0.013508505979450901</v>
      </c>
      <c r="AG80" s="3">
        <f t="shared" si="214"/>
        <v>0.013207869974337042</v>
      </c>
      <c r="AH80" s="3">
        <f t="shared" si="214"/>
        <v>0.013686098654708519</v>
      </c>
      <c r="AI80" s="3">
        <f t="shared" si="214"/>
        <v>0.014954510993176651</v>
      </c>
      <c r="AJ80" s="3">
        <f t="shared" si="214"/>
        <v>0.015234010814842439</v>
      </c>
      <c r="AK80" s="3">
        <f t="shared" si="214"/>
        <v>0.013204665161775771</v>
      </c>
      <c r="AL80" s="3">
        <f t="shared" si="214"/>
        <v>0.015519101521047044</v>
      </c>
      <c r="AM80" s="6"/>
      <c r="AN80" s="6"/>
      <c r="AO80" s="3">
        <f t="shared" si="215" ref="AO80:AU80">AO13</f>
        <v>0.013508505979450901</v>
      </c>
      <c r="AP80" s="3">
        <f t="shared" si="215"/>
        <v>0.013207869974337042</v>
      </c>
      <c r="AQ80" s="3">
        <f t="shared" si="215"/>
        <v>0.013686098654708519</v>
      </c>
      <c r="AR80" s="3">
        <f t="shared" si="215"/>
        <v>0.014954510993176651</v>
      </c>
      <c r="AS80" s="3">
        <f t="shared" si="215"/>
        <v>0.015234010814842439</v>
      </c>
      <c r="AT80" s="3">
        <f t="shared" si="215"/>
        <v>0.0097599699021820915</v>
      </c>
      <c r="AU80" s="3">
        <f t="shared" si="215"/>
        <v>0.011470640254686946</v>
      </c>
    </row>
    <row r="81" spans="21:47" ht="15.5">
      <c r="U81" s="5" t="s">
        <v>336</v>
      </c>
      <c r="V81" s="20" t="s">
        <v>121</v>
      </c>
      <c r="W81" s="6">
        <f t="shared" si="216" ref="W81:AC81">W14-W15</f>
        <v>0.010830385716691954</v>
      </c>
      <c r="X81" s="6">
        <f t="shared" si="216"/>
        <v>0.010402053036783571</v>
      </c>
      <c r="Y81" s="6">
        <f t="shared" si="216"/>
        <v>0.010708520179372211</v>
      </c>
      <c r="Z81" s="6">
        <f t="shared" si="216"/>
        <v>0.011770280515542103</v>
      </c>
      <c r="AA81" s="6">
        <f t="shared" si="216"/>
        <v>0.011933619242961019</v>
      </c>
      <c r="AB81" s="6">
        <f t="shared" si="216"/>
        <v>0.0089841986455981848</v>
      </c>
      <c r="AC81" s="6">
        <f t="shared" si="216"/>
        <v>0.010558896356561737</v>
      </c>
      <c r="AD81" s="6"/>
      <c r="AE81" s="6"/>
      <c r="AF81" s="6">
        <f t="shared" si="217" ref="AF81:AL81">AF14-AF15</f>
        <v>0.010830385716691954</v>
      </c>
      <c r="AG81" s="6">
        <f t="shared" si="217"/>
        <v>0.010402053036783571</v>
      </c>
      <c r="AH81" s="6">
        <f t="shared" si="217"/>
        <v>0.010708520179372211</v>
      </c>
      <c r="AI81" s="6">
        <f t="shared" si="217"/>
        <v>0.011770280515542103</v>
      </c>
      <c r="AJ81" s="6">
        <f t="shared" si="217"/>
        <v>0.011933619242961019</v>
      </c>
      <c r="AK81" s="6">
        <f t="shared" si="217"/>
        <v>0.010331828442437935</v>
      </c>
      <c r="AL81" s="6">
        <f t="shared" si="217"/>
        <v>0.012142730810045993</v>
      </c>
      <c r="AM81" s="6"/>
      <c r="AN81" s="6"/>
      <c r="AO81" s="6">
        <f t="shared" si="218" ref="AO81:AU81">AO14-AO15</f>
        <v>0.010830385716691954</v>
      </c>
      <c r="AP81" s="6">
        <f t="shared" si="218"/>
        <v>0.010402053036783571</v>
      </c>
      <c r="AQ81" s="6">
        <f t="shared" si="218"/>
        <v>0.010708520179372211</v>
      </c>
      <c r="AR81" s="6">
        <f t="shared" si="218"/>
        <v>0.011770280515542103</v>
      </c>
      <c r="AS81" s="6">
        <f t="shared" si="218"/>
        <v>0.011933619242961019</v>
      </c>
      <c r="AT81" s="6">
        <f t="shared" si="218"/>
        <v>0.0076365688487584626</v>
      </c>
      <c r="AU81" s="6">
        <f t="shared" si="218"/>
        <v>0.0089750619030774664</v>
      </c>
    </row>
    <row r="82" spans="21:47" ht="15.5">
      <c r="U82" s="5"/>
      <c r="V82" s="21" t="s">
        <v>333</v>
      </c>
      <c r="W82" s="6">
        <f t="shared" si="219" ref="W82:AC82">W16</f>
        <v>0.044702711807310079</v>
      </c>
      <c r="X82" s="6">
        <f t="shared" si="219"/>
        <v>0.042805816937553462</v>
      </c>
      <c r="Y82" s="6">
        <f t="shared" si="219"/>
        <v>0.044125560538116587</v>
      </c>
      <c r="Z82" s="6">
        <f t="shared" si="219"/>
        <v>0.045640636846095532</v>
      </c>
      <c r="AA82" s="6">
        <f t="shared" si="219"/>
        <v>0.046727577848219272</v>
      </c>
      <c r="AB82" s="6">
        <f t="shared" si="219"/>
        <v>0.037020316027088038</v>
      </c>
      <c r="AC82" s="6">
        <f t="shared" si="219"/>
        <v>0.043509020162716662</v>
      </c>
      <c r="AD82" s="6"/>
      <c r="AE82" s="6"/>
      <c r="AF82" s="6">
        <f t="shared" si="220" ref="AF82:AL82">AF16</f>
        <v>0.044702711807310079</v>
      </c>
      <c r="AG82" s="6">
        <f t="shared" si="220"/>
        <v>0.042805816937553462</v>
      </c>
      <c r="AH82" s="6">
        <f t="shared" si="220"/>
        <v>0.044125560538116587</v>
      </c>
      <c r="AI82" s="6">
        <f t="shared" si="220"/>
        <v>0.045640636846095532</v>
      </c>
      <c r="AJ82" s="6">
        <f t="shared" si="220"/>
        <v>0.046727577848219272</v>
      </c>
      <c r="AK82" s="6">
        <f t="shared" si="220"/>
        <v>0.042573363431151243</v>
      </c>
      <c r="AL82" s="6">
        <f t="shared" si="220"/>
        <v>0.050035373187124157</v>
      </c>
      <c r="AM82" s="6"/>
      <c r="AN82" s="6"/>
      <c r="AO82" s="6">
        <f t="shared" si="221" ref="AO82:AU82">AO16</f>
        <v>0.044702711807310079</v>
      </c>
      <c r="AP82" s="6">
        <f t="shared" si="221"/>
        <v>0.042805816937553462</v>
      </c>
      <c r="AQ82" s="6">
        <f t="shared" si="221"/>
        <v>0.044125560538116587</v>
      </c>
      <c r="AR82" s="6">
        <f t="shared" si="221"/>
        <v>0.045640636846095532</v>
      </c>
      <c r="AS82" s="6">
        <f t="shared" si="221"/>
        <v>0.046727577848219272</v>
      </c>
      <c r="AT82" s="6">
        <f t="shared" si="221"/>
        <v>0.031467268623024833</v>
      </c>
      <c r="AU82" s="6">
        <f t="shared" si="221"/>
        <v>0.03698266713830916</v>
      </c>
    </row>
    <row r="83" spans="21:47" ht="15.5">
      <c r="U83" s="5"/>
      <c r="V83" s="20" t="s">
        <v>334</v>
      </c>
      <c r="W83" s="6">
        <f t="shared" si="222" ref="W83:AC83">W17</f>
        <v>0.072494525854808825</v>
      </c>
      <c r="X83" s="6">
        <f t="shared" si="222"/>
        <v>0.070607356715141151</v>
      </c>
      <c r="Y83" s="6">
        <f t="shared" si="222"/>
        <v>0.073201793721973094</v>
      </c>
      <c r="Z83" s="6">
        <f t="shared" si="222"/>
        <v>0.076516300227445044</v>
      </c>
      <c r="AA83" s="6">
        <f t="shared" si="222"/>
        <v>0.080384113369382809</v>
      </c>
      <c r="AB83" s="6">
        <f t="shared" si="222"/>
        <v>0.061414597441685481</v>
      </c>
      <c r="AC83" s="6">
        <f t="shared" si="222"/>
        <v>0.072178988326848256</v>
      </c>
      <c r="AD83" s="6"/>
      <c r="AE83" s="6"/>
      <c r="AF83" s="6">
        <f t="shared" si="223" ref="AF83:AL83">AF17</f>
        <v>0.072494525854808825</v>
      </c>
      <c r="AG83" s="6">
        <f t="shared" si="223"/>
        <v>0.070607356715141151</v>
      </c>
      <c r="AH83" s="6">
        <f t="shared" si="223"/>
        <v>0.073201793721973094</v>
      </c>
      <c r="AI83" s="6">
        <f t="shared" si="223"/>
        <v>0.076516300227445044</v>
      </c>
      <c r="AJ83" s="6">
        <f t="shared" si="223"/>
        <v>0.080384113369382809</v>
      </c>
      <c r="AK83" s="6">
        <f t="shared" si="223"/>
        <v>0.070626787057938303</v>
      </c>
      <c r="AL83" s="6">
        <f t="shared" si="223"/>
        <v>0.083005836575875486</v>
      </c>
      <c r="AM83" s="6"/>
      <c r="AN83" s="6"/>
      <c r="AO83" s="6">
        <f t="shared" si="224" ref="AO83:AU83">AO17</f>
        <v>0.072494525854808825</v>
      </c>
      <c r="AP83" s="6">
        <f t="shared" si="224"/>
        <v>0.070607356715141151</v>
      </c>
      <c r="AQ83" s="6">
        <f t="shared" si="224"/>
        <v>0.073201793721973094</v>
      </c>
      <c r="AR83" s="6">
        <f t="shared" si="224"/>
        <v>0.076516300227445044</v>
      </c>
      <c r="AS83" s="6">
        <f t="shared" si="224"/>
        <v>0.080384113369382809</v>
      </c>
      <c r="AT83" s="6">
        <f t="shared" si="224"/>
        <v>0.052202407825432659</v>
      </c>
      <c r="AU83" s="6">
        <f t="shared" si="224"/>
        <v>0.061352140077821013</v>
      </c>
    </row>
    <row r="84" spans="21:47" ht="15.5">
      <c r="U84" s="5"/>
      <c r="V84" s="20" t="s">
        <v>335</v>
      </c>
      <c r="W84" s="6">
        <f t="shared" si="225" ref="W84:AC84">W18</f>
        <v>0.013154791982482733</v>
      </c>
      <c r="X84" s="6">
        <f t="shared" si="225"/>
        <v>0.012865697177074423</v>
      </c>
      <c r="Y84" s="6">
        <f t="shared" si="225"/>
        <v>0.013327354260089684</v>
      </c>
      <c r="Z84" s="6">
        <f t="shared" si="225"/>
        <v>0.014556482183472327</v>
      </c>
      <c r="AA84" s="6">
        <f t="shared" si="225"/>
        <v>0.014861085213499907</v>
      </c>
      <c r="AB84" s="6">
        <f t="shared" si="225"/>
        <v>0.011181339352896915</v>
      </c>
      <c r="AC84" s="6">
        <f t="shared" si="225"/>
        <v>0.013141139016625397</v>
      </c>
      <c r="AD84" s="6"/>
      <c r="AE84" s="6"/>
      <c r="AF84" s="6">
        <f t="shared" si="226" ref="AF84:AL84">AF18</f>
        <v>0.013154791982482733</v>
      </c>
      <c r="AG84" s="6">
        <f t="shared" si="226"/>
        <v>0.012865697177074423</v>
      </c>
      <c r="AH84" s="6">
        <f t="shared" si="226"/>
        <v>0.013327354260089684</v>
      </c>
      <c r="AI84" s="6">
        <f t="shared" si="226"/>
        <v>0.014556482183472327</v>
      </c>
      <c r="AJ84" s="6">
        <f t="shared" si="226"/>
        <v>0.014861085213499907</v>
      </c>
      <c r="AK84" s="6">
        <f t="shared" si="226"/>
        <v>0.012858540255831451</v>
      </c>
      <c r="AL84" s="6">
        <f t="shared" si="226"/>
        <v>0.015112309869119205</v>
      </c>
      <c r="AM84" s="6"/>
      <c r="AN84" s="6"/>
      <c r="AO84" s="6">
        <f t="shared" si="227" ref="AO84:AU84">AO18</f>
        <v>0.013154791982482733</v>
      </c>
      <c r="AP84" s="6">
        <f t="shared" si="227"/>
        <v>0.012865697177074423</v>
      </c>
      <c r="AQ84" s="6">
        <f t="shared" si="227"/>
        <v>0.013327354260089684</v>
      </c>
      <c r="AR84" s="6">
        <f t="shared" si="227"/>
        <v>0.014556482183472327</v>
      </c>
      <c r="AS84" s="6">
        <f t="shared" si="227"/>
        <v>0.014861085213499907</v>
      </c>
      <c r="AT84" s="6">
        <f t="shared" si="227"/>
        <v>0.0095041384499623769</v>
      </c>
      <c r="AU84" s="6">
        <f t="shared" si="227"/>
        <v>0.011169968164131587</v>
      </c>
    </row>
    <row r="85" spans="21:47" ht="15.5">
      <c r="U85" s="28" t="s">
        <v>309</v>
      </c>
      <c r="V85" s="20" t="s">
        <v>121</v>
      </c>
      <c r="W85" s="22">
        <f t="shared" si="228" ref="W85:AC85">W73</f>
        <v>0.010510358767054057</v>
      </c>
      <c r="X85" s="22">
        <f t="shared" si="228"/>
        <v>0.010094097519247211</v>
      </c>
      <c r="Y85" s="22">
        <f t="shared" si="228"/>
        <v>0.010385650224215226</v>
      </c>
      <c r="Z85" s="22">
        <f t="shared" si="228"/>
        <v>0.011429112964366939</v>
      </c>
      <c r="AA85" s="22">
        <f t="shared" si="228"/>
        <v>0.011597986201752758</v>
      </c>
      <c r="AB85" s="22">
        <f t="shared" si="228"/>
        <v>0.0087133182844243706</v>
      </c>
      <c r="AC85" s="22">
        <f t="shared" si="228"/>
        <v>0.010240537672444275</v>
      </c>
      <c r="AD85" s="6"/>
      <c r="AE85" s="6"/>
      <c r="AF85" s="22">
        <f t="shared" si="229" ref="AF85:AL85">AF73</f>
        <v>0.010510358767054057</v>
      </c>
      <c r="AG85" s="22">
        <f t="shared" si="229"/>
        <v>0.010094097519247211</v>
      </c>
      <c r="AH85" s="22">
        <f t="shared" si="229"/>
        <v>0.010385650224215226</v>
      </c>
      <c r="AI85" s="22">
        <f t="shared" si="229"/>
        <v>0.011429112964366939</v>
      </c>
      <c r="AJ85" s="22">
        <f t="shared" si="229"/>
        <v>0.011597986201752758</v>
      </c>
      <c r="AK85" s="22">
        <f t="shared" si="229"/>
        <v>0.010020316027088028</v>
      </c>
      <c r="AL85" s="22">
        <f t="shared" si="229"/>
        <v>0.011776618323310922</v>
      </c>
      <c r="AM85" s="6"/>
      <c r="AN85" s="6"/>
      <c r="AO85" s="22">
        <f t="shared" si="230" ref="AO85:AU85">AO73</f>
        <v>0.010510358767054057</v>
      </c>
      <c r="AP85" s="22">
        <f t="shared" si="230"/>
        <v>0.010094097519247211</v>
      </c>
      <c r="AQ85" s="22">
        <f t="shared" si="230"/>
        <v>0.010385650224215226</v>
      </c>
      <c r="AR85" s="22">
        <f t="shared" si="230"/>
        <v>0.011429112964366939</v>
      </c>
      <c r="AS85" s="22">
        <f t="shared" si="230"/>
        <v>0.011597986201752758</v>
      </c>
      <c r="AT85" s="22">
        <f t="shared" si="230"/>
        <v>0.0074063205417607275</v>
      </c>
      <c r="AU85" s="22">
        <f t="shared" si="230"/>
        <v>0.0087044570215776274</v>
      </c>
    </row>
    <row r="86" spans="21:47" ht="15.5">
      <c r="U86" s="28"/>
      <c r="V86" s="21" t="s">
        <v>333</v>
      </c>
      <c r="W86" s="22">
        <f t="shared" si="231" ref="W86:AC86">W74</f>
        <v>0.028920330133063835</v>
      </c>
      <c r="X86" s="22">
        <f t="shared" si="231"/>
        <v>0.027562018819503851</v>
      </c>
      <c r="Y86" s="22">
        <f t="shared" si="231"/>
        <v>0.028322869955156951</v>
      </c>
      <c r="Z86" s="22">
        <f t="shared" si="231"/>
        <v>0.02882865807429871</v>
      </c>
      <c r="AA86" s="22">
        <f t="shared" si="231"/>
        <v>0.029610292746597055</v>
      </c>
      <c r="AB86" s="22">
        <f t="shared" si="231"/>
        <v>0.02376222723852521</v>
      </c>
      <c r="AC86" s="22">
        <f t="shared" si="231"/>
        <v>0.027927131234524234</v>
      </c>
      <c r="AD86" s="6"/>
      <c r="AE86" s="6"/>
      <c r="AF86" s="22">
        <f t="shared" si="232" ref="AF86:AL86">AF74</f>
        <v>0.028920330133063835</v>
      </c>
      <c r="AG86" s="22">
        <f t="shared" si="232"/>
        <v>0.027562018819503851</v>
      </c>
      <c r="AH86" s="22">
        <f t="shared" si="232"/>
        <v>0.028322869955156951</v>
      </c>
      <c r="AI86" s="22">
        <f t="shared" si="232"/>
        <v>0.02882865807429871</v>
      </c>
      <c r="AJ86" s="22">
        <f t="shared" si="232"/>
        <v>0.029610292746597055</v>
      </c>
      <c r="AK86" s="22">
        <f t="shared" si="232"/>
        <v>0.027326561324303989</v>
      </c>
      <c r="AL86" s="22">
        <f t="shared" si="232"/>
        <v>0.032116200919702867</v>
      </c>
      <c r="AM86" s="6"/>
      <c r="AN86" s="6"/>
      <c r="AO86" s="22">
        <f t="shared" si="233" ref="AO86:AU86">AO74</f>
        <v>0.028920330133063835</v>
      </c>
      <c r="AP86" s="22">
        <f t="shared" si="233"/>
        <v>0.027562018819503851</v>
      </c>
      <c r="AQ86" s="22">
        <f t="shared" si="233"/>
        <v>0.028322869955156951</v>
      </c>
      <c r="AR86" s="22">
        <f t="shared" si="233"/>
        <v>0.02882865807429871</v>
      </c>
      <c r="AS86" s="22">
        <f t="shared" si="233"/>
        <v>0.029610292746597055</v>
      </c>
      <c r="AT86" s="22">
        <f t="shared" si="233"/>
        <v>0.020197893152746428</v>
      </c>
      <c r="AU86" s="22">
        <f t="shared" si="233"/>
        <v>0.023738061549345598</v>
      </c>
    </row>
    <row r="87" spans="21:47" ht="15.5">
      <c r="U87" s="28"/>
      <c r="V87" s="20" t="s">
        <v>334</v>
      </c>
      <c r="W87" s="22">
        <f t="shared" si="234" ref="W87:AC87">W75</f>
        <v>0.083661782044803762</v>
      </c>
      <c r="X87" s="22">
        <f t="shared" si="234"/>
        <v>0.081402908468776736</v>
      </c>
      <c r="Y87" s="22">
        <f t="shared" si="234"/>
        <v>0.084394618834080712</v>
      </c>
      <c r="Z87" s="22">
        <f t="shared" si="234"/>
        <v>0.088419257012888566</v>
      </c>
      <c r="AA87" s="22">
        <f t="shared" si="234"/>
        <v>0.092485549132947972</v>
      </c>
      <c r="AB87" s="22">
        <f t="shared" si="234"/>
        <v>0.070805116629044401</v>
      </c>
      <c r="AC87" s="22">
        <f t="shared" si="234"/>
        <v>0.083215422709586137</v>
      </c>
      <c r="AD87" s="6"/>
      <c r="AE87" s="6"/>
      <c r="AF87" s="22">
        <f t="shared" si="235" ref="AF87:AL87">AF75</f>
        <v>0.083661782044803762</v>
      </c>
      <c r="AG87" s="22">
        <f t="shared" si="235"/>
        <v>0.081402908468776736</v>
      </c>
      <c r="AH87" s="22">
        <f t="shared" si="235"/>
        <v>0.084394618834080712</v>
      </c>
      <c r="AI87" s="22">
        <f t="shared" si="235"/>
        <v>0.088419257012888566</v>
      </c>
      <c r="AJ87" s="22">
        <f t="shared" si="235"/>
        <v>0.092485549132947972</v>
      </c>
      <c r="AK87" s="22">
        <f t="shared" si="235"/>
        <v>0.081425884123401057</v>
      </c>
      <c r="AL87" s="22">
        <f t="shared" si="235"/>
        <v>0.095697736116024057</v>
      </c>
      <c r="AM87" s="6"/>
      <c r="AN87" s="6"/>
      <c r="AO87" s="22">
        <f t="shared" si="236" ref="AO87:AU87">AO75</f>
        <v>0.083661782044803762</v>
      </c>
      <c r="AP87" s="22">
        <f t="shared" si="236"/>
        <v>0.081402908468776736</v>
      </c>
      <c r="AQ87" s="22">
        <f t="shared" si="236"/>
        <v>0.084394618834080712</v>
      </c>
      <c r="AR87" s="22">
        <f t="shared" si="236"/>
        <v>0.088419257012888566</v>
      </c>
      <c r="AS87" s="22">
        <f t="shared" si="236"/>
        <v>0.092485549132947972</v>
      </c>
      <c r="AT87" s="22">
        <f t="shared" si="236"/>
        <v>0.060184349134687738</v>
      </c>
      <c r="AU87" s="22">
        <f t="shared" si="236"/>
        <v>0.070733109303148217</v>
      </c>
    </row>
    <row r="88" spans="21:47" ht="15.5">
      <c r="U88" s="28"/>
      <c r="V88" s="20" t="s">
        <v>335</v>
      </c>
      <c r="W88" s="22">
        <f t="shared" si="237" ref="W88:AC88">W76</f>
        <v>0.013020043793161528</v>
      </c>
      <c r="X88" s="22">
        <f t="shared" si="237"/>
        <v>0.012745936698032506</v>
      </c>
      <c r="Y88" s="22">
        <f t="shared" si="237"/>
        <v>0.013201793721973094</v>
      </c>
      <c r="Z88" s="22">
        <f t="shared" si="237"/>
        <v>0.014423805913570887</v>
      </c>
      <c r="AA88" s="22">
        <f t="shared" si="237"/>
        <v>0.014711914972962896</v>
      </c>
      <c r="AB88" s="22">
        <f t="shared" si="237"/>
        <v>0.011075996990218209</v>
      </c>
      <c r="AC88" s="22">
        <f t="shared" si="237"/>
        <v>0.013017332861690838</v>
      </c>
      <c r="AD88" s="6"/>
      <c r="AE88" s="6"/>
      <c r="AF88" s="22">
        <f t="shared" si="238" ref="AF88:AL88">AF76</f>
        <v>0.013020043793161528</v>
      </c>
      <c r="AG88" s="22">
        <f t="shared" si="238"/>
        <v>0.012745936698032506</v>
      </c>
      <c r="AH88" s="22">
        <f t="shared" si="238"/>
        <v>0.013201793721973094</v>
      </c>
      <c r="AI88" s="22">
        <f t="shared" si="238"/>
        <v>0.014423805913570887</v>
      </c>
      <c r="AJ88" s="22">
        <f t="shared" si="238"/>
        <v>0.014711914972962896</v>
      </c>
      <c r="AK88" s="22">
        <f t="shared" si="238"/>
        <v>0.012737396538750939</v>
      </c>
      <c r="AL88" s="22">
        <f t="shared" si="238"/>
        <v>0.014969932790944463</v>
      </c>
      <c r="AM88" s="6"/>
      <c r="AN88" s="6"/>
      <c r="AO88" s="22">
        <f t="shared" si="239" ref="AO88:AU88">AO76</f>
        <v>0.013020043793161528</v>
      </c>
      <c r="AP88" s="22">
        <f t="shared" si="239"/>
        <v>0.012745936698032506</v>
      </c>
      <c r="AQ88" s="22">
        <f t="shared" si="239"/>
        <v>0.013201793721973094</v>
      </c>
      <c r="AR88" s="22">
        <f t="shared" si="239"/>
        <v>0.014423805913570887</v>
      </c>
      <c r="AS88" s="22">
        <f t="shared" si="239"/>
        <v>0.014711914972962896</v>
      </c>
      <c r="AT88" s="22">
        <f t="shared" si="239"/>
        <v>0.0094145974416854766</v>
      </c>
      <c r="AU88" s="22">
        <f t="shared" si="239"/>
        <v>0.011064732932437212</v>
      </c>
    </row>
    <row r="89" spans="21:47" ht="15.5">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spans="21:47" ht="15.5">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spans="21:47" ht="15.5">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spans="21:47" ht="15.5">
      <c r="U92" s="6"/>
      <c r="V92" s="6"/>
      <c r="W92" s="6" t="s">
        <v>302</v>
      </c>
      <c r="X92" s="6" t="s">
        <v>303</v>
      </c>
      <c r="Y92" s="10" t="s">
        <v>304</v>
      </c>
      <c r="Z92" s="6" t="s">
        <v>305</v>
      </c>
      <c r="AA92" s="6" t="s">
        <v>306</v>
      </c>
      <c r="AB92" s="12" t="s">
        <v>307</v>
      </c>
      <c r="AC92" s="12" t="s">
        <v>308</v>
      </c>
      <c r="AD92" s="6"/>
      <c r="AE92" s="6"/>
      <c r="AF92" s="6" t="s">
        <v>302</v>
      </c>
      <c r="AG92" s="6" t="s">
        <v>303</v>
      </c>
      <c r="AH92" s="10" t="s">
        <v>304</v>
      </c>
      <c r="AI92" s="6" t="s">
        <v>305</v>
      </c>
      <c r="AJ92" s="6" t="s">
        <v>306</v>
      </c>
      <c r="AK92" s="12" t="s">
        <v>307</v>
      </c>
      <c r="AL92" s="12" t="s">
        <v>308</v>
      </c>
      <c r="AM92" s="6"/>
      <c r="AN92" s="6"/>
      <c r="AO92" s="6" t="s">
        <v>302</v>
      </c>
      <c r="AP92" s="6" t="s">
        <v>303</v>
      </c>
      <c r="AQ92" s="10" t="s">
        <v>304</v>
      </c>
      <c r="AR92" s="6" t="s">
        <v>305</v>
      </c>
      <c r="AS92" s="6" t="s">
        <v>306</v>
      </c>
      <c r="AT92" s="12" t="s">
        <v>307</v>
      </c>
      <c r="AU92" s="12" t="s">
        <v>308</v>
      </c>
    </row>
    <row r="93" spans="21:47" ht="14.5">
      <c r="U93" s="5" t="s">
        <v>309</v>
      </c>
      <c r="V93" s="20" t="s">
        <v>121</v>
      </c>
      <c r="W93" s="3">
        <f t="shared" si="240" ref="W93:AC93">W24-W25</f>
        <v>0.011554657234293414</v>
      </c>
      <c r="X93" s="3">
        <f t="shared" si="240"/>
        <v>0.011086398631308808</v>
      </c>
      <c r="Y93" s="3">
        <f t="shared" si="240"/>
        <v>0.011461883408071721</v>
      </c>
      <c r="Z93" s="3">
        <f t="shared" si="240"/>
        <v>0.011751326762698994</v>
      </c>
      <c r="AA93" s="3">
        <f t="shared" si="240"/>
        <v>0.011970911803095285</v>
      </c>
      <c r="AB93" s="3">
        <f t="shared" si="240"/>
        <v>0.0096162528216704179</v>
      </c>
      <c r="AC93" s="3">
        <f t="shared" si="240"/>
        <v>0.011301733286169069</v>
      </c>
      <c r="AF93" s="3">
        <f t="shared" si="241" ref="AF93:AL93">AF24-AF25</f>
        <v>0.011554657234293414</v>
      </c>
      <c r="AG93" s="3">
        <f t="shared" si="241"/>
        <v>0.011086398631308808</v>
      </c>
      <c r="AH93" s="3">
        <f t="shared" si="241"/>
        <v>0.011461883408071721</v>
      </c>
      <c r="AI93" s="3">
        <f t="shared" si="241"/>
        <v>0.011751326762698994</v>
      </c>
      <c r="AJ93" s="3">
        <f t="shared" si="241"/>
        <v>0.011970911803095285</v>
      </c>
      <c r="AK93" s="3">
        <f t="shared" si="241"/>
        <v>0.011058690744920968</v>
      </c>
      <c r="AL93" s="3">
        <f t="shared" si="241"/>
        <v>0.012996993279094426</v>
      </c>
      <c r="AO93" s="3">
        <f t="shared" si="242" ref="AO93:AU93">AO24-AO25</f>
        <v>0.011554657234293414</v>
      </c>
      <c r="AP93" s="3">
        <f t="shared" si="242"/>
        <v>0.011086398631308808</v>
      </c>
      <c r="AQ93" s="3">
        <f t="shared" si="242"/>
        <v>0.011461883408071721</v>
      </c>
      <c r="AR93" s="3">
        <f t="shared" si="242"/>
        <v>0.011751326762698994</v>
      </c>
      <c r="AS93" s="3">
        <f t="shared" si="242"/>
        <v>0.011970911803095285</v>
      </c>
      <c r="AT93" s="3">
        <f t="shared" si="242"/>
        <v>0.0081738148984198539</v>
      </c>
      <c r="AU93" s="3">
        <f t="shared" si="242"/>
        <v>0.0096064732932437114</v>
      </c>
    </row>
    <row r="94" spans="21:47" ht="14.5">
      <c r="U94" s="5"/>
      <c r="V94" s="21" t="s">
        <v>333</v>
      </c>
      <c r="W94" s="3">
        <f t="shared" si="243" ref="W94:AC94">W26</f>
        <v>0.02521475492673067</v>
      </c>
      <c r="X94" s="3">
        <f t="shared" si="243"/>
        <v>0.024260051325919591</v>
      </c>
      <c r="Y94" s="3">
        <f t="shared" si="243"/>
        <v>0.025094170403587444</v>
      </c>
      <c r="Z94" s="3">
        <f t="shared" si="243"/>
        <v>0.025758150113722518</v>
      </c>
      <c r="AA94" s="3">
        <f t="shared" si="243"/>
        <v>0.026253962334514262</v>
      </c>
      <c r="AB94" s="3">
        <f t="shared" si="243"/>
        <v>0.021053423626787058</v>
      </c>
      <c r="AC94" s="3">
        <f t="shared" si="243"/>
        <v>0.024743544393349842</v>
      </c>
      <c r="AF94" s="3">
        <f t="shared" si="244" ref="AF94:AL94">AF26</f>
        <v>0.02521475492673067</v>
      </c>
      <c r="AG94" s="3">
        <f t="shared" si="244"/>
        <v>0.024260051325919591</v>
      </c>
      <c r="AH94" s="3">
        <f t="shared" si="244"/>
        <v>0.025094170403587444</v>
      </c>
      <c r="AI94" s="3">
        <f t="shared" si="244"/>
        <v>0.025758150113722518</v>
      </c>
      <c r="AJ94" s="3">
        <f t="shared" si="244"/>
        <v>0.026253962334514262</v>
      </c>
      <c r="AK94" s="3">
        <f t="shared" si="244"/>
        <v>0.024211437170805115</v>
      </c>
      <c r="AL94" s="3">
        <f t="shared" si="244"/>
        <v>0.028455076052352316</v>
      </c>
      <c r="AO94" s="3">
        <f t="shared" si="245" ref="AO94:AU94">AO26</f>
        <v>0.02521475492673067</v>
      </c>
      <c r="AP94" s="3">
        <f t="shared" si="245"/>
        <v>0.024260051325919591</v>
      </c>
      <c r="AQ94" s="3">
        <f t="shared" si="245"/>
        <v>0.025094170403587444</v>
      </c>
      <c r="AR94" s="3">
        <f t="shared" si="245"/>
        <v>0.025758150113722518</v>
      </c>
      <c r="AS94" s="3">
        <f t="shared" si="245"/>
        <v>0.026253962334514262</v>
      </c>
      <c r="AT94" s="3">
        <f t="shared" si="245"/>
        <v>0.017895410082769</v>
      </c>
      <c r="AU94" s="3">
        <f t="shared" si="245"/>
        <v>0.021032012734347363</v>
      </c>
    </row>
    <row r="95" spans="21:47" ht="14.5">
      <c r="U95" s="5"/>
      <c r="V95" s="20" t="s">
        <v>334</v>
      </c>
      <c r="W95" s="3">
        <f t="shared" si="246" ref="W95:AC95">W27</f>
        <v>0.0978103419235304</v>
      </c>
      <c r="X95" s="3">
        <f t="shared" si="246"/>
        <v>0.094781864841745098</v>
      </c>
      <c r="Y95" s="3">
        <f t="shared" si="246"/>
        <v>0.098260089686098645</v>
      </c>
      <c r="Z95" s="3">
        <f t="shared" si="246"/>
        <v>0.099696739954511004</v>
      </c>
      <c r="AA95" s="3">
        <f t="shared" si="246"/>
        <v>0.10395301137423082</v>
      </c>
      <c r="AB95" s="3">
        <f t="shared" si="246"/>
        <v>0.082437923250564329</v>
      </c>
      <c r="AC95" s="3">
        <f t="shared" si="246"/>
        <v>0.096887159533073919</v>
      </c>
      <c r="AF95" s="3">
        <f t="shared" si="247" ref="AF95:AL95">AF27</f>
        <v>0.0978103419235304</v>
      </c>
      <c r="AG95" s="3">
        <f t="shared" si="247"/>
        <v>0.094781864841745098</v>
      </c>
      <c r="AH95" s="3">
        <f t="shared" si="247"/>
        <v>0.098260089686098645</v>
      </c>
      <c r="AI95" s="3">
        <f t="shared" si="247"/>
        <v>0.099696739954511004</v>
      </c>
      <c r="AJ95" s="3">
        <f t="shared" si="247"/>
        <v>0.10395301137423082</v>
      </c>
      <c r="AK95" s="3">
        <f t="shared" si="247"/>
        <v>0.094803611738148968</v>
      </c>
      <c r="AL95" s="3">
        <f t="shared" si="247"/>
        <v>0.11142023346303499</v>
      </c>
      <c r="AO95" s="3">
        <f t="shared" si="248" ref="AO95:AU95">AO27</f>
        <v>0.0978103419235304</v>
      </c>
      <c r="AP95" s="3">
        <f t="shared" si="248"/>
        <v>0.094781864841745098</v>
      </c>
      <c r="AQ95" s="3">
        <f t="shared" si="248"/>
        <v>0.098260089686098645</v>
      </c>
      <c r="AR95" s="3">
        <f t="shared" si="248"/>
        <v>0.099696739954511004</v>
      </c>
      <c r="AS95" s="3">
        <f t="shared" si="248"/>
        <v>0.10395301137423082</v>
      </c>
      <c r="AT95" s="3">
        <f t="shared" si="248"/>
        <v>0.070072234762979677</v>
      </c>
      <c r="AU95" s="3">
        <f t="shared" si="248"/>
        <v>0.082354085603112831</v>
      </c>
    </row>
    <row r="96" spans="21:47" ht="14.5">
      <c r="U96" s="5"/>
      <c r="V96" s="20" t="s">
        <v>335</v>
      </c>
      <c r="W96" s="3">
        <f t="shared" si="249" ref="W96:AC96">W28</f>
        <v>0.013239009600808488</v>
      </c>
      <c r="X96" s="3">
        <f t="shared" si="249"/>
        <v>0.013053892215568862</v>
      </c>
      <c r="Y96" s="3">
        <f t="shared" si="249"/>
        <v>0.013614349775784755</v>
      </c>
      <c r="Z96" s="3">
        <f t="shared" si="249"/>
        <v>0.013968915845337378</v>
      </c>
      <c r="AA96" s="3">
        <f t="shared" si="249"/>
        <v>0.01417117285101622</v>
      </c>
      <c r="AB96" s="3">
        <f t="shared" si="249"/>
        <v>0.01142212189616253</v>
      </c>
      <c r="AC96" s="3">
        <f t="shared" si="249"/>
        <v>0.01342412451361868</v>
      </c>
      <c r="AF96" s="3">
        <f t="shared" si="250" ref="AF96:AL96">AF28</f>
        <v>0.013239009600808488</v>
      </c>
      <c r="AG96" s="3">
        <f t="shared" si="250"/>
        <v>0.013053892215568862</v>
      </c>
      <c r="AH96" s="3">
        <f t="shared" si="250"/>
        <v>0.013614349775784755</v>
      </c>
      <c r="AI96" s="3">
        <f t="shared" si="250"/>
        <v>0.013968915845337378</v>
      </c>
      <c r="AJ96" s="3">
        <f t="shared" si="250"/>
        <v>0.01417117285101622</v>
      </c>
      <c r="AK96" s="3">
        <f t="shared" si="250"/>
        <v>0.013135440180586908</v>
      </c>
      <c r="AL96" s="3">
        <f t="shared" si="250"/>
        <v>0.01543774319066148</v>
      </c>
      <c r="AO96" s="3">
        <f t="shared" si="251" ref="AO96:AU96">AO28</f>
        <v>0.013239009600808488</v>
      </c>
      <c r="AP96" s="3">
        <f t="shared" si="251"/>
        <v>0.013053892215568862</v>
      </c>
      <c r="AQ96" s="3">
        <f t="shared" si="251"/>
        <v>0.013614349775784755</v>
      </c>
      <c r="AR96" s="3">
        <f t="shared" si="251"/>
        <v>0.013968915845337378</v>
      </c>
      <c r="AS96" s="3">
        <f t="shared" si="251"/>
        <v>0.01417117285101622</v>
      </c>
      <c r="AT96" s="3">
        <f t="shared" si="251"/>
        <v>0.0097088036117381499</v>
      </c>
      <c r="AU96" s="3">
        <f t="shared" si="251"/>
        <v>0.011410505836575878</v>
      </c>
    </row>
    <row r="97" spans="21:47" ht="14.5">
      <c r="U97" s="5" t="s">
        <v>315</v>
      </c>
      <c r="V97" s="20" t="s">
        <v>121</v>
      </c>
      <c r="W97" s="3">
        <f t="shared" si="252" ref="W97:AC97">W29-W30</f>
        <v>0.011403065521307071</v>
      </c>
      <c r="X97" s="3">
        <f t="shared" si="252"/>
        <v>0.010932420872540649</v>
      </c>
      <c r="Y97" s="3">
        <f t="shared" si="252"/>
        <v>0.011318385650224222</v>
      </c>
      <c r="Z97" s="3">
        <f t="shared" si="252"/>
        <v>0.011599696739954507</v>
      </c>
      <c r="AA97" s="3">
        <f t="shared" si="252"/>
        <v>0.011803095282491155</v>
      </c>
      <c r="AB97" s="3">
        <f t="shared" si="252"/>
        <v>0.0094958615500376348</v>
      </c>
      <c r="AC97" s="3">
        <f t="shared" si="252"/>
        <v>0.01116024053767245</v>
      </c>
      <c r="AF97" s="3">
        <f t="shared" si="253" ref="AF97:AL97">AF29-AF30</f>
        <v>0.011403065521307071</v>
      </c>
      <c r="AG97" s="3">
        <f t="shared" si="253"/>
        <v>0.010932420872540649</v>
      </c>
      <c r="AH97" s="3">
        <f t="shared" si="253"/>
        <v>0.011318385650224222</v>
      </c>
      <c r="AI97" s="3">
        <f t="shared" si="253"/>
        <v>0.011599696739954507</v>
      </c>
      <c r="AJ97" s="3">
        <f t="shared" si="253"/>
        <v>0.011803095282491155</v>
      </c>
      <c r="AK97" s="3">
        <f t="shared" si="253"/>
        <v>0.010920240782543278</v>
      </c>
      <c r="AL97" s="3">
        <f t="shared" si="253"/>
        <v>0.012834276618323315</v>
      </c>
      <c r="AO97" s="3">
        <f t="shared" si="254" ref="AO97:AU97">AO29-AO30</f>
        <v>0.011403065521307071</v>
      </c>
      <c r="AP97" s="3">
        <f t="shared" si="254"/>
        <v>0.010932420872540649</v>
      </c>
      <c r="AQ97" s="3">
        <f t="shared" si="254"/>
        <v>0.011318385650224222</v>
      </c>
      <c r="AR97" s="3">
        <f t="shared" si="254"/>
        <v>0.011599696739954507</v>
      </c>
      <c r="AS97" s="3">
        <f t="shared" si="254"/>
        <v>0.011803095282491155</v>
      </c>
      <c r="AT97" s="3">
        <f t="shared" si="254"/>
        <v>0.0080714823175319778</v>
      </c>
      <c r="AU97" s="3">
        <f t="shared" si="254"/>
        <v>0.0094862044570215853</v>
      </c>
    </row>
    <row r="98" spans="21:47" ht="14.5">
      <c r="U98" s="5"/>
      <c r="V98" s="21" t="s">
        <v>333</v>
      </c>
      <c r="W98" s="3">
        <f t="shared" si="255" ref="W98:AC98">W31</f>
        <v>0.031025770591207674</v>
      </c>
      <c r="X98" s="3">
        <f t="shared" si="255"/>
        <v>0.02987168520102652</v>
      </c>
      <c r="Y98" s="3">
        <f t="shared" si="255"/>
        <v>0.030923766816143495</v>
      </c>
      <c r="Z98" s="3">
        <f t="shared" si="255"/>
        <v>0.031974981046247158</v>
      </c>
      <c r="AA98" s="3">
        <f t="shared" si="255"/>
        <v>0.03257505127727018</v>
      </c>
      <c r="AB98" s="3">
        <f t="shared" si="255"/>
        <v>0.025944319036869827</v>
      </c>
      <c r="AC98" s="3">
        <f t="shared" si="255"/>
        <v>0.030491687301025822</v>
      </c>
      <c r="AF98" s="3">
        <f t="shared" si="256" ref="AF98:AL98">AF31</f>
        <v>0.031025770591207674</v>
      </c>
      <c r="AG98" s="3">
        <f t="shared" si="256"/>
        <v>0.02987168520102652</v>
      </c>
      <c r="AH98" s="3">
        <f t="shared" si="256"/>
        <v>0.030923766816143495</v>
      </c>
      <c r="AI98" s="3">
        <f t="shared" si="256"/>
        <v>0.031974981046247158</v>
      </c>
      <c r="AJ98" s="3">
        <f t="shared" si="256"/>
        <v>0.03257505127727018</v>
      </c>
      <c r="AK98" s="3">
        <f t="shared" si="256"/>
        <v>0.029835966892400298</v>
      </c>
      <c r="AL98" s="3">
        <f t="shared" si="256"/>
        <v>0.03506544039617969</v>
      </c>
      <c r="AO98" s="3">
        <f t="shared" si="257" ref="AO98:AU98">AO31</f>
        <v>0.031025770591207674</v>
      </c>
      <c r="AP98" s="3">
        <f t="shared" si="257"/>
        <v>0.02987168520102652</v>
      </c>
      <c r="AQ98" s="3">
        <f t="shared" si="257"/>
        <v>0.030923766816143495</v>
      </c>
      <c r="AR98" s="3">
        <f t="shared" si="257"/>
        <v>0.031974981046247158</v>
      </c>
      <c r="AS98" s="3">
        <f t="shared" si="257"/>
        <v>0.03257505127727018</v>
      </c>
      <c r="AT98" s="3">
        <f t="shared" si="257"/>
        <v>0.022052671181339353</v>
      </c>
      <c r="AU98" s="3">
        <f t="shared" si="257"/>
        <v>0.025917934205871948</v>
      </c>
    </row>
    <row r="99" spans="21:47" ht="15.5">
      <c r="U99" s="5"/>
      <c r="V99" s="20" t="s">
        <v>334</v>
      </c>
      <c r="W99" s="3">
        <f t="shared" si="258" ref="W99:AC99">W32</f>
        <v>0.094273201953848751</v>
      </c>
      <c r="X99" s="3">
        <f t="shared" si="258"/>
        <v>0.09136013686911891</v>
      </c>
      <c r="Y99" s="3">
        <f t="shared" si="258"/>
        <v>0.094708520179372202</v>
      </c>
      <c r="Z99" s="3">
        <f t="shared" si="258"/>
        <v>0.095924943138741475</v>
      </c>
      <c r="AA99" s="3">
        <f t="shared" si="258"/>
        <v>0.10011187768040274</v>
      </c>
      <c r="AB99" s="3">
        <f t="shared" si="258"/>
        <v>0.079458239277652373</v>
      </c>
      <c r="AC99" s="3">
        <f t="shared" si="258"/>
        <v>0.093385214007782102</v>
      </c>
      <c r="AD99" s="6"/>
      <c r="AE99" s="6"/>
      <c r="AF99" s="3">
        <f t="shared" si="259" ref="AF99:AL99">AF32</f>
        <v>0.094273201953848751</v>
      </c>
      <c r="AG99" s="3">
        <f t="shared" si="259"/>
        <v>0.09136013686911891</v>
      </c>
      <c r="AH99" s="3">
        <f t="shared" si="259"/>
        <v>0.094708520179372202</v>
      </c>
      <c r="AI99" s="3">
        <f t="shared" si="259"/>
        <v>0.095924943138741475</v>
      </c>
      <c r="AJ99" s="3">
        <f t="shared" si="259"/>
        <v>0.10011187768040274</v>
      </c>
      <c r="AK99" s="3">
        <f t="shared" si="259"/>
        <v>0.091376975169300226</v>
      </c>
      <c r="AL99" s="3">
        <f t="shared" si="259"/>
        <v>0.10739299610894941</v>
      </c>
      <c r="AM99" s="6"/>
      <c r="AN99" s="6"/>
      <c r="AO99" s="3">
        <f t="shared" si="260" ref="AO99:AU99">AO32</f>
        <v>0.094273201953848751</v>
      </c>
      <c r="AP99" s="3">
        <f t="shared" si="260"/>
        <v>0.09136013686911891</v>
      </c>
      <c r="AQ99" s="3">
        <f t="shared" si="260"/>
        <v>0.094708520179372202</v>
      </c>
      <c r="AR99" s="3">
        <f t="shared" si="260"/>
        <v>0.095924943138741475</v>
      </c>
      <c r="AS99" s="3">
        <f t="shared" si="260"/>
        <v>0.10011187768040274</v>
      </c>
      <c r="AT99" s="3">
        <f t="shared" si="260"/>
        <v>0.067539503386004521</v>
      </c>
      <c r="AU99" s="3">
        <f t="shared" si="260"/>
        <v>0.079377431906614782</v>
      </c>
    </row>
    <row r="100" spans="21:47" ht="15.5">
      <c r="U100" s="5"/>
      <c r="V100" s="20" t="s">
        <v>335</v>
      </c>
      <c r="W100" s="3">
        <f t="shared" si="261" ref="W100:AC100">W33</f>
        <v>0.013710628263432709</v>
      </c>
      <c r="X100" s="3">
        <f t="shared" si="261"/>
        <v>0.013515825491873397</v>
      </c>
      <c r="Y100" s="3">
        <f t="shared" si="261"/>
        <v>0.014080717488789238</v>
      </c>
      <c r="Z100" s="3">
        <f t="shared" si="261"/>
        <v>0.014480667172100078</v>
      </c>
      <c r="AA100" s="3">
        <f t="shared" si="261"/>
        <v>0.014674622412828641</v>
      </c>
      <c r="AB100" s="3">
        <f t="shared" si="261"/>
        <v>0.01181339352896915</v>
      </c>
      <c r="AC100" s="3">
        <f t="shared" si="261"/>
        <v>0.013883975946232755</v>
      </c>
      <c r="AD100" s="6"/>
      <c r="AE100" s="6"/>
      <c r="AF100" s="3">
        <f t="shared" si="262" ref="AF100:AL100">AF33</f>
        <v>0.013710628263432709</v>
      </c>
      <c r="AG100" s="3">
        <f t="shared" si="262"/>
        <v>0.013515825491873397</v>
      </c>
      <c r="AH100" s="3">
        <f t="shared" si="262"/>
        <v>0.014080717488789238</v>
      </c>
      <c r="AI100" s="3">
        <f t="shared" si="262"/>
        <v>0.014480667172100078</v>
      </c>
      <c r="AJ100" s="3">
        <f t="shared" si="262"/>
        <v>0.014674622412828641</v>
      </c>
      <c r="AK100" s="3">
        <f t="shared" si="262"/>
        <v>0.013585402558314521</v>
      </c>
      <c r="AL100" s="3">
        <f t="shared" si="262"/>
        <v>0.015966572338167666</v>
      </c>
      <c r="AM100" s="6"/>
      <c r="AN100" s="6"/>
      <c r="AO100" s="3">
        <f t="shared" si="263" ref="AO100:AU100">AO33</f>
        <v>0.013710628263432709</v>
      </c>
      <c r="AP100" s="3">
        <f t="shared" si="263"/>
        <v>0.013515825491873397</v>
      </c>
      <c r="AQ100" s="3">
        <f t="shared" si="263"/>
        <v>0.014080717488789238</v>
      </c>
      <c r="AR100" s="3">
        <f t="shared" si="263"/>
        <v>0.014480667172100078</v>
      </c>
      <c r="AS100" s="3">
        <f t="shared" si="263"/>
        <v>0.014674622412828641</v>
      </c>
      <c r="AT100" s="3">
        <f t="shared" si="263"/>
        <v>0.010041384499623777</v>
      </c>
      <c r="AU100" s="3">
        <f t="shared" si="263"/>
        <v>0.011801379554297841</v>
      </c>
    </row>
    <row r="101" spans="21:47" ht="15.5">
      <c r="U101" s="5" t="s">
        <v>336</v>
      </c>
      <c r="V101" s="20" t="s">
        <v>121</v>
      </c>
      <c r="W101" s="6">
        <f t="shared" si="264" ref="W101:AC101">W34-W35</f>
        <v>0.011840997136601</v>
      </c>
      <c r="X101" s="6">
        <f t="shared" si="264"/>
        <v>0.011377245508982031</v>
      </c>
      <c r="Y101" s="6">
        <f t="shared" si="264"/>
        <v>0.011766816143497727</v>
      </c>
      <c r="Z101" s="6">
        <f t="shared" si="264"/>
        <v>0.01209249431387413</v>
      </c>
      <c r="AA101" s="6">
        <f t="shared" si="264"/>
        <v>0.012287898564236427</v>
      </c>
      <c r="AB101" s="6">
        <f t="shared" si="264"/>
        <v>0.009872084273890136</v>
      </c>
      <c r="AC101" s="6">
        <f t="shared" si="264"/>
        <v>0.01160240537672444</v>
      </c>
      <c r="AD101" s="6"/>
      <c r="AE101" s="6"/>
      <c r="AF101" s="6">
        <f t="shared" si="265" ref="AF101:AL101">AF34-AF35</f>
        <v>0.011840997136601</v>
      </c>
      <c r="AG101" s="6">
        <f t="shared" si="265"/>
        <v>0.011377245508982031</v>
      </c>
      <c r="AH101" s="6">
        <f t="shared" si="265"/>
        <v>0.011766816143497727</v>
      </c>
      <c r="AI101" s="6">
        <f t="shared" si="265"/>
        <v>0.01209249431387413</v>
      </c>
      <c r="AJ101" s="6">
        <f t="shared" si="265"/>
        <v>0.012287898564236427</v>
      </c>
      <c r="AK101" s="6">
        <f t="shared" si="265"/>
        <v>0.011352896914973654</v>
      </c>
      <c r="AL101" s="6">
        <f t="shared" si="265"/>
        <v>0.013342766183233101</v>
      </c>
      <c r="AM101" s="6"/>
      <c r="AN101" s="6"/>
      <c r="AO101" s="6">
        <f t="shared" si="266" ref="AO101:AU101">AO34-AO35</f>
        <v>0.011840997136601</v>
      </c>
      <c r="AP101" s="6">
        <f t="shared" si="266"/>
        <v>0.011377245508982031</v>
      </c>
      <c r="AQ101" s="6">
        <f t="shared" si="266"/>
        <v>0.011766816143497727</v>
      </c>
      <c r="AR101" s="6">
        <f t="shared" si="266"/>
        <v>0.01209249431387413</v>
      </c>
      <c r="AS101" s="6">
        <f t="shared" si="266"/>
        <v>0.012287898564236427</v>
      </c>
      <c r="AT101" s="6">
        <f t="shared" si="266"/>
        <v>0.0083912716328066184</v>
      </c>
      <c r="AU101" s="6">
        <f t="shared" si="266"/>
        <v>0.0098620445702157777</v>
      </c>
    </row>
    <row r="102" spans="21:47" ht="15.5">
      <c r="U102" s="5"/>
      <c r="V102" s="21" t="s">
        <v>333</v>
      </c>
      <c r="W102" s="6">
        <f t="shared" si="267" ref="W102:AC102">W36</f>
        <v>0.040441300320026949</v>
      </c>
      <c r="X102" s="6">
        <f t="shared" si="267"/>
        <v>0.038973481608212152</v>
      </c>
      <c r="Y102" s="6">
        <f t="shared" si="267"/>
        <v>0.040340807174887895</v>
      </c>
      <c r="Z102" s="6">
        <f t="shared" si="267"/>
        <v>0.042020470053070504</v>
      </c>
      <c r="AA102" s="6">
        <f t="shared" si="267"/>
        <v>0.042811859034122692</v>
      </c>
      <c r="AB102" s="6">
        <f t="shared" si="267"/>
        <v>0.033844996237772769</v>
      </c>
      <c r="AC102" s="6">
        <f t="shared" si="267"/>
        <v>0.039777148921117798</v>
      </c>
      <c r="AD102" s="6"/>
      <c r="AE102" s="6"/>
      <c r="AF102" s="6">
        <f t="shared" si="268" ref="AF102:AL102">AF36</f>
        <v>0.040441300320026949</v>
      </c>
      <c r="AG102" s="6">
        <f t="shared" si="268"/>
        <v>0.038973481608212152</v>
      </c>
      <c r="AH102" s="6">
        <f t="shared" si="268"/>
        <v>0.040340807174887895</v>
      </c>
      <c r="AI102" s="6">
        <f t="shared" si="268"/>
        <v>0.042020470053070504</v>
      </c>
      <c r="AJ102" s="6">
        <f t="shared" si="268"/>
        <v>0.042811859034122692</v>
      </c>
      <c r="AK102" s="6">
        <f t="shared" si="268"/>
        <v>0.03892174567343868</v>
      </c>
      <c r="AL102" s="6">
        <f t="shared" si="268"/>
        <v>0.045743721259285462</v>
      </c>
      <c r="AM102" s="6"/>
      <c r="AN102" s="6"/>
      <c r="AO102" s="6">
        <f t="shared" si="269" ref="AO102:AU102">AO36</f>
        <v>0.040441300320026949</v>
      </c>
      <c r="AP102" s="6">
        <f t="shared" si="269"/>
        <v>0.038973481608212152</v>
      </c>
      <c r="AQ102" s="6">
        <f t="shared" si="269"/>
        <v>0.040340807174887895</v>
      </c>
      <c r="AR102" s="6">
        <f t="shared" si="269"/>
        <v>0.042020470053070504</v>
      </c>
      <c r="AS102" s="6">
        <f t="shared" si="269"/>
        <v>0.042811859034122692</v>
      </c>
      <c r="AT102" s="6">
        <f t="shared" si="269"/>
        <v>0.028768246802106854</v>
      </c>
      <c r="AU102" s="6">
        <f t="shared" si="269"/>
        <v>0.033810576582950128</v>
      </c>
    </row>
    <row r="103" spans="21:47" ht="15.5">
      <c r="U103" s="5"/>
      <c r="V103" s="20" t="s">
        <v>334</v>
      </c>
      <c r="W103" s="6">
        <f t="shared" si="270" ref="W103:AC103">W37</f>
        <v>0.087030486777833926</v>
      </c>
      <c r="X103" s="6">
        <f t="shared" si="270"/>
        <v>0.084362703165098391</v>
      </c>
      <c r="Y103" s="6">
        <f t="shared" si="270"/>
        <v>0.087443946188340796</v>
      </c>
      <c r="Z103" s="6">
        <f t="shared" si="270"/>
        <v>0.088191811978771795</v>
      </c>
      <c r="AA103" s="6">
        <f t="shared" si="270"/>
        <v>0.092224501212008203</v>
      </c>
      <c r="AB103" s="6">
        <f t="shared" si="270"/>
        <v>0.07336343115124154</v>
      </c>
      <c r="AC103" s="6">
        <f t="shared" si="270"/>
        <v>0.086222143615139718</v>
      </c>
      <c r="AD103" s="6"/>
      <c r="AE103" s="6"/>
      <c r="AF103" s="6">
        <f t="shared" si="271" ref="AF103:AL103">AF37</f>
        <v>0.087030486777833926</v>
      </c>
      <c r="AG103" s="6">
        <f t="shared" si="271"/>
        <v>0.084362703165098391</v>
      </c>
      <c r="AH103" s="6">
        <f t="shared" si="271"/>
        <v>0.087443946188340796</v>
      </c>
      <c r="AI103" s="6">
        <f t="shared" si="271"/>
        <v>0.088191811978771795</v>
      </c>
      <c r="AJ103" s="6">
        <f t="shared" si="271"/>
        <v>0.092224501212008203</v>
      </c>
      <c r="AK103" s="6">
        <f t="shared" si="271"/>
        <v>0.084367945823927759</v>
      </c>
      <c r="AL103" s="6">
        <f t="shared" si="271"/>
        <v>0.099155465157410666</v>
      </c>
      <c r="AM103" s="6"/>
      <c r="AN103" s="6"/>
      <c r="AO103" s="6">
        <f t="shared" si="272" ref="AO103:AU103">AO37</f>
        <v>0.087030486777833926</v>
      </c>
      <c r="AP103" s="6">
        <f t="shared" si="272"/>
        <v>0.084362703165098391</v>
      </c>
      <c r="AQ103" s="6">
        <f t="shared" si="272"/>
        <v>0.087443946188340796</v>
      </c>
      <c r="AR103" s="6">
        <f t="shared" si="272"/>
        <v>0.088191811978771795</v>
      </c>
      <c r="AS103" s="6">
        <f t="shared" si="272"/>
        <v>0.092224501212008203</v>
      </c>
      <c r="AT103" s="6">
        <f t="shared" si="272"/>
        <v>0.062358916478555307</v>
      </c>
      <c r="AU103" s="6">
        <f t="shared" si="272"/>
        <v>0.073288822072868756</v>
      </c>
    </row>
    <row r="104" spans="21:47" ht="15.5">
      <c r="U104" s="5"/>
      <c r="V104" s="20" t="s">
        <v>335</v>
      </c>
      <c r="W104" s="6">
        <f t="shared" si="273" ref="W104:AC104">W38</f>
        <v>0.013356914266464542</v>
      </c>
      <c r="X104" s="6">
        <f t="shared" si="273"/>
        <v>0.013190761334473907</v>
      </c>
      <c r="Y104" s="6">
        <f t="shared" si="273"/>
        <v>0.013739910313901343</v>
      </c>
      <c r="Z104" s="6">
        <f t="shared" si="273"/>
        <v>0.01410159211523882</v>
      </c>
      <c r="AA104" s="6">
        <f t="shared" si="273"/>
        <v>0.014301696811486108</v>
      </c>
      <c r="AB104" s="6">
        <f t="shared" si="273"/>
        <v>0.011527464258841233</v>
      </c>
      <c r="AC104" s="6">
        <f t="shared" si="273"/>
        <v>0.013547930668553235</v>
      </c>
      <c r="AD104" s="6"/>
      <c r="AE104" s="6"/>
      <c r="AF104" s="6">
        <f t="shared" si="274" ref="AF104:AL104">AF38</f>
        <v>0.013356914266464542</v>
      </c>
      <c r="AG104" s="6">
        <f t="shared" si="274"/>
        <v>0.013190761334473907</v>
      </c>
      <c r="AH104" s="6">
        <f t="shared" si="274"/>
        <v>0.013739910313901343</v>
      </c>
      <c r="AI104" s="6">
        <f t="shared" si="274"/>
        <v>0.01410159211523882</v>
      </c>
      <c r="AJ104" s="6">
        <f t="shared" si="274"/>
        <v>0.014301696811486108</v>
      </c>
      <c r="AK104" s="6">
        <f t="shared" si="274"/>
        <v>0.013256583897667417</v>
      </c>
      <c r="AL104" s="6">
        <f t="shared" si="274"/>
        <v>0.015580120268836218</v>
      </c>
      <c r="AM104" s="6"/>
      <c r="AN104" s="6"/>
      <c r="AO104" s="6">
        <f t="shared" si="275" ref="AO104:AU104">AO38</f>
        <v>0.013356914266464542</v>
      </c>
      <c r="AP104" s="6">
        <f t="shared" si="275"/>
        <v>0.013190761334473907</v>
      </c>
      <c r="AQ104" s="6">
        <f t="shared" si="275"/>
        <v>0.013739910313901343</v>
      </c>
      <c r="AR104" s="6">
        <f t="shared" si="275"/>
        <v>0.01410159211523882</v>
      </c>
      <c r="AS104" s="6">
        <f t="shared" si="275"/>
        <v>0.014301696811486108</v>
      </c>
      <c r="AT104" s="6">
        <f t="shared" si="275"/>
        <v>0.0097983446200150467</v>
      </c>
      <c r="AU104" s="6">
        <f t="shared" si="275"/>
        <v>0.01151574106827025</v>
      </c>
    </row>
    <row r="105" spans="21:47" ht="15.5">
      <c r="U105" s="28" t="s">
        <v>309</v>
      </c>
      <c r="V105" s="20" t="s">
        <v>121</v>
      </c>
      <c r="W105" s="22">
        <f t="shared" si="276" ref="W105:AC105">W93</f>
        <v>0.011554657234293414</v>
      </c>
      <c r="X105" s="22">
        <f t="shared" si="276"/>
        <v>0.011086398631308808</v>
      </c>
      <c r="Y105" s="22">
        <f t="shared" si="276"/>
        <v>0.011461883408071721</v>
      </c>
      <c r="Z105" s="22">
        <f t="shared" si="276"/>
        <v>0.011751326762698994</v>
      </c>
      <c r="AA105" s="22">
        <f t="shared" si="276"/>
        <v>0.011970911803095285</v>
      </c>
      <c r="AB105" s="22">
        <f t="shared" si="276"/>
        <v>0.0096162528216704179</v>
      </c>
      <c r="AC105" s="22">
        <f t="shared" si="276"/>
        <v>0.011301733286169069</v>
      </c>
      <c r="AD105" s="6"/>
      <c r="AE105" s="6"/>
      <c r="AF105" s="22">
        <f t="shared" si="277" ref="AF105:AL105">AF93</f>
        <v>0.011554657234293414</v>
      </c>
      <c r="AG105" s="22">
        <f t="shared" si="277"/>
        <v>0.011086398631308808</v>
      </c>
      <c r="AH105" s="22">
        <f t="shared" si="277"/>
        <v>0.011461883408071721</v>
      </c>
      <c r="AI105" s="22">
        <f t="shared" si="277"/>
        <v>0.011751326762698994</v>
      </c>
      <c r="AJ105" s="22">
        <f t="shared" si="277"/>
        <v>0.011970911803095285</v>
      </c>
      <c r="AK105" s="22">
        <f t="shared" si="277"/>
        <v>0.011058690744920968</v>
      </c>
      <c r="AL105" s="22">
        <f t="shared" si="277"/>
        <v>0.012996993279094426</v>
      </c>
      <c r="AM105" s="6"/>
      <c r="AN105" s="6"/>
      <c r="AO105" s="22">
        <f t="shared" si="278" ref="AO105:AU105">AO93</f>
        <v>0.011554657234293414</v>
      </c>
      <c r="AP105" s="22">
        <f t="shared" si="278"/>
        <v>0.011086398631308808</v>
      </c>
      <c r="AQ105" s="22">
        <f t="shared" si="278"/>
        <v>0.011461883408071721</v>
      </c>
      <c r="AR105" s="22">
        <f t="shared" si="278"/>
        <v>0.011751326762698994</v>
      </c>
      <c r="AS105" s="22">
        <f t="shared" si="278"/>
        <v>0.011970911803095285</v>
      </c>
      <c r="AT105" s="22">
        <f t="shared" si="278"/>
        <v>0.0081738148984198539</v>
      </c>
      <c r="AU105" s="22">
        <f t="shared" si="278"/>
        <v>0.0096064732932437114</v>
      </c>
    </row>
    <row r="106" spans="21:47" ht="15.5">
      <c r="U106" s="28"/>
      <c r="V106" s="21" t="s">
        <v>333</v>
      </c>
      <c r="W106" s="22">
        <f t="shared" si="279" ref="W106:AC106">W94</f>
        <v>0.02521475492673067</v>
      </c>
      <c r="X106" s="22">
        <f t="shared" si="279"/>
        <v>0.024260051325919591</v>
      </c>
      <c r="Y106" s="22">
        <f t="shared" si="279"/>
        <v>0.025094170403587444</v>
      </c>
      <c r="Z106" s="22">
        <f t="shared" si="279"/>
        <v>0.025758150113722518</v>
      </c>
      <c r="AA106" s="22">
        <f t="shared" si="279"/>
        <v>0.026253962334514262</v>
      </c>
      <c r="AB106" s="22">
        <f t="shared" si="279"/>
        <v>0.021053423626787058</v>
      </c>
      <c r="AC106" s="22">
        <f t="shared" si="279"/>
        <v>0.024743544393349842</v>
      </c>
      <c r="AD106" s="6"/>
      <c r="AE106" s="6"/>
      <c r="AF106" s="22">
        <f t="shared" si="280" ref="AF106:AL106">AF94</f>
        <v>0.02521475492673067</v>
      </c>
      <c r="AG106" s="22">
        <f t="shared" si="280"/>
        <v>0.024260051325919591</v>
      </c>
      <c r="AH106" s="22">
        <f t="shared" si="280"/>
        <v>0.025094170403587444</v>
      </c>
      <c r="AI106" s="22">
        <f t="shared" si="280"/>
        <v>0.025758150113722518</v>
      </c>
      <c r="AJ106" s="22">
        <f t="shared" si="280"/>
        <v>0.026253962334514262</v>
      </c>
      <c r="AK106" s="22">
        <f t="shared" si="280"/>
        <v>0.024211437170805115</v>
      </c>
      <c r="AL106" s="22">
        <f t="shared" si="280"/>
        <v>0.028455076052352316</v>
      </c>
      <c r="AM106" s="6"/>
      <c r="AN106" s="6"/>
      <c r="AO106" s="22">
        <f t="shared" si="281" ref="AO106:AU106">AO94</f>
        <v>0.02521475492673067</v>
      </c>
      <c r="AP106" s="22">
        <f t="shared" si="281"/>
        <v>0.024260051325919591</v>
      </c>
      <c r="AQ106" s="22">
        <f t="shared" si="281"/>
        <v>0.025094170403587444</v>
      </c>
      <c r="AR106" s="22">
        <f t="shared" si="281"/>
        <v>0.025758150113722518</v>
      </c>
      <c r="AS106" s="22">
        <f t="shared" si="281"/>
        <v>0.026253962334514262</v>
      </c>
      <c r="AT106" s="22">
        <f t="shared" si="281"/>
        <v>0.017895410082769</v>
      </c>
      <c r="AU106" s="22">
        <f t="shared" si="281"/>
        <v>0.021032012734347363</v>
      </c>
    </row>
    <row r="107" spans="21:47" ht="15.5">
      <c r="U107" s="28"/>
      <c r="V107" s="20" t="s">
        <v>334</v>
      </c>
      <c r="W107" s="22">
        <f t="shared" si="282" ref="W107:AC107">W95</f>
        <v>0.0978103419235304</v>
      </c>
      <c r="X107" s="22">
        <f t="shared" si="282"/>
        <v>0.094781864841745098</v>
      </c>
      <c r="Y107" s="22">
        <f t="shared" si="282"/>
        <v>0.098260089686098645</v>
      </c>
      <c r="Z107" s="22">
        <f t="shared" si="282"/>
        <v>0.099696739954511004</v>
      </c>
      <c r="AA107" s="22">
        <f t="shared" si="282"/>
        <v>0.10395301137423082</v>
      </c>
      <c r="AB107" s="22">
        <f t="shared" si="282"/>
        <v>0.082437923250564329</v>
      </c>
      <c r="AC107" s="22">
        <f t="shared" si="282"/>
        <v>0.096887159533073919</v>
      </c>
      <c r="AD107" s="6"/>
      <c r="AE107" s="6"/>
      <c r="AF107" s="22">
        <f t="shared" si="283" ref="AF107:AL107">AF95</f>
        <v>0.0978103419235304</v>
      </c>
      <c r="AG107" s="22">
        <f t="shared" si="283"/>
        <v>0.094781864841745098</v>
      </c>
      <c r="AH107" s="22">
        <f t="shared" si="283"/>
        <v>0.098260089686098645</v>
      </c>
      <c r="AI107" s="22">
        <f t="shared" si="283"/>
        <v>0.099696739954511004</v>
      </c>
      <c r="AJ107" s="22">
        <f t="shared" si="283"/>
        <v>0.10395301137423082</v>
      </c>
      <c r="AK107" s="22">
        <f t="shared" si="283"/>
        <v>0.094803611738148968</v>
      </c>
      <c r="AL107" s="22">
        <f t="shared" si="283"/>
        <v>0.11142023346303499</v>
      </c>
      <c r="AM107" s="6"/>
      <c r="AN107" s="6"/>
      <c r="AO107" s="22">
        <f t="shared" si="284" ref="AO107:AU107">AO95</f>
        <v>0.0978103419235304</v>
      </c>
      <c r="AP107" s="22">
        <f t="shared" si="284"/>
        <v>0.094781864841745098</v>
      </c>
      <c r="AQ107" s="22">
        <f t="shared" si="284"/>
        <v>0.098260089686098645</v>
      </c>
      <c r="AR107" s="22">
        <f t="shared" si="284"/>
        <v>0.099696739954511004</v>
      </c>
      <c r="AS107" s="22">
        <f t="shared" si="284"/>
        <v>0.10395301137423082</v>
      </c>
      <c r="AT107" s="22">
        <f t="shared" si="284"/>
        <v>0.070072234762979677</v>
      </c>
      <c r="AU107" s="22">
        <f t="shared" si="284"/>
        <v>0.082354085603112831</v>
      </c>
    </row>
    <row r="108" spans="21:47" ht="15.5">
      <c r="U108" s="28"/>
      <c r="V108" s="20" t="s">
        <v>335</v>
      </c>
      <c r="W108" s="22">
        <f t="shared" si="285" ref="W108:AC108">W96</f>
        <v>0.013239009600808488</v>
      </c>
      <c r="X108" s="22">
        <f t="shared" si="285"/>
        <v>0.013053892215568862</v>
      </c>
      <c r="Y108" s="22">
        <f t="shared" si="285"/>
        <v>0.013614349775784755</v>
      </c>
      <c r="Z108" s="22">
        <f t="shared" si="285"/>
        <v>0.013968915845337378</v>
      </c>
      <c r="AA108" s="22">
        <f t="shared" si="285"/>
        <v>0.01417117285101622</v>
      </c>
      <c r="AB108" s="22">
        <f t="shared" si="285"/>
        <v>0.01142212189616253</v>
      </c>
      <c r="AC108" s="22">
        <f t="shared" si="285"/>
        <v>0.01342412451361868</v>
      </c>
      <c r="AD108" s="6"/>
      <c r="AE108" s="6"/>
      <c r="AF108" s="22">
        <f t="shared" si="286" ref="AF108:AL108">AF96</f>
        <v>0.013239009600808488</v>
      </c>
      <c r="AG108" s="22">
        <f t="shared" si="286"/>
        <v>0.013053892215568862</v>
      </c>
      <c r="AH108" s="22">
        <f t="shared" si="286"/>
        <v>0.013614349775784755</v>
      </c>
      <c r="AI108" s="22">
        <f t="shared" si="286"/>
        <v>0.013968915845337378</v>
      </c>
      <c r="AJ108" s="22">
        <f t="shared" si="286"/>
        <v>0.01417117285101622</v>
      </c>
      <c r="AK108" s="22">
        <f t="shared" si="286"/>
        <v>0.013135440180586908</v>
      </c>
      <c r="AL108" s="22">
        <f t="shared" si="286"/>
        <v>0.01543774319066148</v>
      </c>
      <c r="AM108" s="6"/>
      <c r="AN108" s="6"/>
      <c r="AO108" s="22">
        <f t="shared" si="287" ref="AO108:AU108">AO96</f>
        <v>0.013239009600808488</v>
      </c>
      <c r="AP108" s="22">
        <f t="shared" si="287"/>
        <v>0.013053892215568862</v>
      </c>
      <c r="AQ108" s="22">
        <f t="shared" si="287"/>
        <v>0.013614349775784755</v>
      </c>
      <c r="AR108" s="22">
        <f t="shared" si="287"/>
        <v>0.013968915845337378</v>
      </c>
      <c r="AS108" s="22">
        <f t="shared" si="287"/>
        <v>0.01417117285101622</v>
      </c>
      <c r="AT108" s="22">
        <f t="shared" si="287"/>
        <v>0.0097088036117381499</v>
      </c>
      <c r="AU108" s="22">
        <f t="shared" si="287"/>
        <v>0.011410505836575878</v>
      </c>
    </row>
    <row r="112" spans="21:47" ht="15.5">
      <c r="U112" s="6"/>
      <c r="V112" s="6"/>
      <c r="W112" s="6" t="s">
        <v>302</v>
      </c>
      <c r="X112" s="6" t="s">
        <v>303</v>
      </c>
      <c r="Y112" s="10" t="s">
        <v>304</v>
      </c>
      <c r="Z112" s="6" t="s">
        <v>305</v>
      </c>
      <c r="AA112" s="6" t="s">
        <v>306</v>
      </c>
      <c r="AB112" s="12" t="s">
        <v>307</v>
      </c>
      <c r="AC112" s="12" t="s">
        <v>308</v>
      </c>
      <c r="AD112" s="6"/>
      <c r="AE112" s="6"/>
      <c r="AF112" s="6" t="s">
        <v>302</v>
      </c>
      <c r="AG112" s="6" t="s">
        <v>303</v>
      </c>
      <c r="AH112" s="10" t="s">
        <v>304</v>
      </c>
      <c r="AI112" s="6" t="s">
        <v>305</v>
      </c>
      <c r="AJ112" s="6" t="s">
        <v>306</v>
      </c>
      <c r="AK112" s="12" t="s">
        <v>307</v>
      </c>
      <c r="AL112" s="12" t="s">
        <v>308</v>
      </c>
      <c r="AM112" s="6"/>
      <c r="AN112" s="6"/>
      <c r="AO112" s="6" t="s">
        <v>302</v>
      </c>
      <c r="AP112" s="6" t="s">
        <v>303</v>
      </c>
      <c r="AQ112" s="10" t="s">
        <v>304</v>
      </c>
      <c r="AR112" s="6" t="s">
        <v>305</v>
      </c>
      <c r="AS112" s="6" t="s">
        <v>306</v>
      </c>
      <c r="AT112" s="12" t="s">
        <v>307</v>
      </c>
      <c r="AU112" s="12" t="s">
        <v>308</v>
      </c>
    </row>
    <row r="113" spans="21:47" ht="14.5">
      <c r="U113" s="5" t="s">
        <v>309</v>
      </c>
      <c r="V113" s="20" t="s">
        <v>121</v>
      </c>
      <c r="W113" s="3">
        <f t="shared" si="288" ref="W113:AC113">W44-W45</f>
        <v>0.0078827690752905633</v>
      </c>
      <c r="X113" s="3">
        <f t="shared" si="288"/>
        <v>0.0076475620188194843</v>
      </c>
      <c r="Y113" s="3">
        <f t="shared" si="288"/>
        <v>0.0079461883408071809</v>
      </c>
      <c r="Z113" s="3">
        <f t="shared" si="288"/>
        <v>0.0079416224412433567</v>
      </c>
      <c r="AA113" s="3">
        <f t="shared" si="288"/>
        <v>0.0080179004288644523</v>
      </c>
      <c r="AB113" s="3">
        <f t="shared" si="288"/>
        <v>0.006666666666666668</v>
      </c>
      <c r="AC113" s="3">
        <f t="shared" si="288"/>
        <v>0.0078351609480014073</v>
      </c>
      <c r="AF113" s="3">
        <f t="shared" si="289" ref="AF113:AL113">AF44-AF45</f>
        <v>0.0078827690752905633</v>
      </c>
      <c r="AG113" s="3">
        <f t="shared" si="289"/>
        <v>0.0076475620188194843</v>
      </c>
      <c r="AH113" s="3">
        <f t="shared" si="289"/>
        <v>0.0079461883408071809</v>
      </c>
      <c r="AI113" s="3">
        <f t="shared" si="289"/>
        <v>0.0079416224412433567</v>
      </c>
      <c r="AJ113" s="3">
        <f t="shared" si="289"/>
        <v>0.0080179004288644523</v>
      </c>
      <c r="AK113" s="3">
        <f t="shared" si="289"/>
        <v>0.0076666666666666689</v>
      </c>
      <c r="AL113" s="3">
        <f t="shared" si="289"/>
        <v>0.0090104350902016211</v>
      </c>
      <c r="AO113" s="3">
        <f t="shared" si="290" ref="AO113:AU113">AO44-AO45</f>
        <v>0.0078827690752905633</v>
      </c>
      <c r="AP113" s="3">
        <f t="shared" si="290"/>
        <v>0.0076475620188194843</v>
      </c>
      <c r="AQ113" s="3">
        <f t="shared" si="290"/>
        <v>0.0079461883408071809</v>
      </c>
      <c r="AR113" s="3">
        <f t="shared" si="290"/>
        <v>0.0079416224412433567</v>
      </c>
      <c r="AS113" s="3">
        <f t="shared" si="290"/>
        <v>0.0080179004288644523</v>
      </c>
      <c r="AT113" s="3">
        <f t="shared" si="290"/>
        <v>0.0056666666666666671</v>
      </c>
      <c r="AU113" s="3">
        <f t="shared" si="290"/>
        <v>0.0066598868058011934</v>
      </c>
    </row>
    <row r="114" spans="21:47" ht="14.5">
      <c r="U114" s="5"/>
      <c r="V114" s="21" t="s">
        <v>333</v>
      </c>
      <c r="W114" s="3">
        <f t="shared" si="291" ref="W114:AC114">W46</f>
        <v>0.020111167256189996</v>
      </c>
      <c r="X114" s="3">
        <f t="shared" si="291"/>
        <v>0.019503849443969205</v>
      </c>
      <c r="Y114" s="3">
        <f t="shared" si="291"/>
        <v>0.020215246636771302</v>
      </c>
      <c r="Z114" s="3">
        <f t="shared" si="291"/>
        <v>0.020109931766489765</v>
      </c>
      <c r="AA114" s="3">
        <f t="shared" si="291"/>
        <v>0.020399030393436511</v>
      </c>
      <c r="AB114" s="3">
        <f t="shared" si="291"/>
        <v>0.016960120391271635</v>
      </c>
      <c r="AC114" s="3">
        <f t="shared" si="291"/>
        <v>0.0199327909444641</v>
      </c>
      <c r="AF114" s="3">
        <f t="shared" si="292" ref="AF114:AL114">AF46</f>
        <v>0.020111167256189996</v>
      </c>
      <c r="AG114" s="3">
        <f t="shared" si="292"/>
        <v>0.019503849443969205</v>
      </c>
      <c r="AH114" s="3">
        <f t="shared" si="292"/>
        <v>0.020215246636771302</v>
      </c>
      <c r="AI114" s="3">
        <f t="shared" si="292"/>
        <v>0.020109931766489765</v>
      </c>
      <c r="AJ114" s="3">
        <f t="shared" si="292"/>
        <v>0.020399030393436511</v>
      </c>
      <c r="AK114" s="3">
        <f t="shared" si="292"/>
        <v>0.019504138449962381</v>
      </c>
      <c r="AL114" s="3">
        <f t="shared" si="292"/>
        <v>0.022922709586133714</v>
      </c>
      <c r="AO114" s="3">
        <f t="shared" si="293" ref="AO114:AU114">AO46</f>
        <v>0.020111167256189996</v>
      </c>
      <c r="AP114" s="3">
        <f t="shared" si="293"/>
        <v>0.019503849443969205</v>
      </c>
      <c r="AQ114" s="3">
        <f t="shared" si="293"/>
        <v>0.020215246636771302</v>
      </c>
      <c r="AR114" s="3">
        <f t="shared" si="293"/>
        <v>0.020109931766489765</v>
      </c>
      <c r="AS114" s="3">
        <f t="shared" si="293"/>
        <v>0.020399030393436511</v>
      </c>
      <c r="AT114" s="3">
        <f t="shared" si="293"/>
        <v>0.01441610233258089</v>
      </c>
      <c r="AU114" s="3">
        <f t="shared" si="293"/>
        <v>0.016942872302794485</v>
      </c>
    </row>
    <row r="115" spans="21:47" ht="14.5">
      <c r="U115" s="5"/>
      <c r="V115" s="20" t="s">
        <v>334</v>
      </c>
      <c r="W115" s="3">
        <f t="shared" si="294" ref="W115:AC115">W47</f>
        <v>0.064123294593228894</v>
      </c>
      <c r="X115" s="3">
        <f t="shared" si="294"/>
        <v>0.063353293413173653</v>
      </c>
      <c r="Y115" s="3">
        <f t="shared" si="294"/>
        <v>0.065991031390134527</v>
      </c>
      <c r="Z115" s="3">
        <f t="shared" si="294"/>
        <v>0.06732373009855952</v>
      </c>
      <c r="AA115" s="3">
        <f t="shared" si="294"/>
        <v>0.067369009882528433</v>
      </c>
      <c r="AB115" s="3">
        <f t="shared" si="294"/>
        <v>0.05536493604213695</v>
      </c>
      <c r="AC115" s="3">
        <f t="shared" si="294"/>
        <v>0.065068977714892118</v>
      </c>
      <c r="AF115" s="3">
        <f t="shared" si="295" ref="AF115:AL115">AF47</f>
        <v>0.064123294593228894</v>
      </c>
      <c r="AG115" s="3">
        <f t="shared" si="295"/>
        <v>0.063353293413173653</v>
      </c>
      <c r="AH115" s="3">
        <f t="shared" si="295"/>
        <v>0.065991031390134527</v>
      </c>
      <c r="AI115" s="3">
        <f t="shared" si="295"/>
        <v>0.06732373009855952</v>
      </c>
      <c r="AJ115" s="3">
        <f t="shared" si="295"/>
        <v>0.067369009882528433</v>
      </c>
      <c r="AK115" s="3">
        <f t="shared" si="295"/>
        <v>0.063669676448457488</v>
      </c>
      <c r="AL115" s="3">
        <f t="shared" si="295"/>
        <v>0.07482932437212593</v>
      </c>
      <c r="AO115" s="3">
        <f t="shared" si="296" ref="AO115:AU115">AO47</f>
        <v>0.064123294593228894</v>
      </c>
      <c r="AP115" s="3">
        <f t="shared" si="296"/>
        <v>0.063353293413173653</v>
      </c>
      <c r="AQ115" s="3">
        <f t="shared" si="296"/>
        <v>0.065991031390134527</v>
      </c>
      <c r="AR115" s="3">
        <f t="shared" si="296"/>
        <v>0.06732373009855952</v>
      </c>
      <c r="AS115" s="3">
        <f t="shared" si="296"/>
        <v>0.067369009882528433</v>
      </c>
      <c r="AT115" s="3">
        <f t="shared" si="296"/>
        <v>0.047060195635816406</v>
      </c>
      <c r="AU115" s="3">
        <f t="shared" si="296"/>
        <v>0.055308631057658299</v>
      </c>
    </row>
    <row r="116" spans="21:47" ht="14.5">
      <c r="U116" s="5"/>
      <c r="V116" s="20" t="s">
        <v>335</v>
      </c>
      <c r="W116" s="3">
        <f t="shared" si="297" ref="W116:AC116">W48</f>
        <v>0.012969513222166076</v>
      </c>
      <c r="X116" s="3">
        <f t="shared" si="297"/>
        <v>0.012814371257485031</v>
      </c>
      <c r="Y116" s="3">
        <f t="shared" si="297"/>
        <v>0.013345291479820628</v>
      </c>
      <c r="Z116" s="3">
        <f t="shared" si="297"/>
        <v>0.013589840788476118</v>
      </c>
      <c r="AA116" s="3">
        <f t="shared" si="297"/>
        <v>0.013630430729069548</v>
      </c>
      <c r="AB116" s="3">
        <f t="shared" si="297"/>
        <v>0.011196388261851018</v>
      </c>
      <c r="AC116" s="3">
        <f t="shared" si="297"/>
        <v>0.013158825610187479</v>
      </c>
      <c r="AF116" s="3">
        <f t="shared" si="298" ref="AF116:AL116">AF48</f>
        <v>0.012969513222166076</v>
      </c>
      <c r="AG116" s="3">
        <f t="shared" si="298"/>
        <v>0.012814371257485031</v>
      </c>
      <c r="AH116" s="3">
        <f t="shared" si="298"/>
        <v>0.013345291479820628</v>
      </c>
      <c r="AI116" s="3">
        <f t="shared" si="298"/>
        <v>0.013589840788476118</v>
      </c>
      <c r="AJ116" s="3">
        <f t="shared" si="298"/>
        <v>0.013630430729069548</v>
      </c>
      <c r="AK116" s="3">
        <f t="shared" si="298"/>
        <v>0.01287584650112867</v>
      </c>
      <c r="AL116" s="3">
        <f t="shared" si="298"/>
        <v>0.0151326494517156</v>
      </c>
      <c r="AO116" s="3">
        <f t="shared" si="299" ref="AO116:AU116">AO48</f>
        <v>0.012969513222166076</v>
      </c>
      <c r="AP116" s="3">
        <f t="shared" si="299"/>
        <v>0.012814371257485031</v>
      </c>
      <c r="AQ116" s="3">
        <f t="shared" si="299"/>
        <v>0.013345291479820628</v>
      </c>
      <c r="AR116" s="3">
        <f t="shared" si="299"/>
        <v>0.013589840788476118</v>
      </c>
      <c r="AS116" s="3">
        <f t="shared" si="299"/>
        <v>0.013630430729069548</v>
      </c>
      <c r="AT116" s="3">
        <f t="shared" si="299"/>
        <v>0.0095169300225733649</v>
      </c>
      <c r="AU116" s="3">
        <f t="shared" si="299"/>
        <v>0.011185001768659357</v>
      </c>
    </row>
    <row r="117" spans="21:47" ht="14.5">
      <c r="U117" s="5" t="s">
        <v>315</v>
      </c>
      <c r="V117" s="20" t="s">
        <v>121</v>
      </c>
      <c r="W117" s="3">
        <f t="shared" si="300" ref="W117:AC117">W49-W50</f>
        <v>0.0077648644096345032</v>
      </c>
      <c r="X117" s="3">
        <f t="shared" si="300"/>
        <v>0.0075449101796407209</v>
      </c>
      <c r="Y117" s="3">
        <f t="shared" si="300"/>
        <v>0.0078206278026905773</v>
      </c>
      <c r="Z117" s="3">
        <f t="shared" si="300"/>
        <v>0.0078089461713419517</v>
      </c>
      <c r="AA117" s="3">
        <f t="shared" si="300"/>
        <v>0.0078873764683945469</v>
      </c>
      <c r="AB117" s="3">
        <f t="shared" si="300"/>
        <v>0.0065613243039879671</v>
      </c>
      <c r="AC117" s="3">
        <f t="shared" si="300"/>
        <v>0.0077113547930668519</v>
      </c>
      <c r="AF117" s="3">
        <f t="shared" si="301" ref="AF117:AL117">AF49-AF50</f>
        <v>0.0077648644096345032</v>
      </c>
      <c r="AG117" s="3">
        <f t="shared" si="301"/>
        <v>0.0075449101796407209</v>
      </c>
      <c r="AH117" s="3">
        <f t="shared" si="301"/>
        <v>0.0078206278026905773</v>
      </c>
      <c r="AI117" s="3">
        <f t="shared" si="301"/>
        <v>0.0078089461713419517</v>
      </c>
      <c r="AJ117" s="3">
        <f t="shared" si="301"/>
        <v>0.0078873764683945469</v>
      </c>
      <c r="AK117" s="3">
        <f t="shared" si="301"/>
        <v>0.0075455229495861587</v>
      </c>
      <c r="AL117" s="3">
        <f t="shared" si="301"/>
        <v>0.0088680580120268776</v>
      </c>
      <c r="AO117" s="3">
        <f t="shared" si="302" ref="AO117:AU117">AO49-AO50</f>
        <v>0.0077648644096345032</v>
      </c>
      <c r="AP117" s="3">
        <f t="shared" si="302"/>
        <v>0.0075449101796407209</v>
      </c>
      <c r="AQ117" s="3">
        <f t="shared" si="302"/>
        <v>0.0078206278026905773</v>
      </c>
      <c r="AR117" s="3">
        <f t="shared" si="302"/>
        <v>0.0078089461713419517</v>
      </c>
      <c r="AS117" s="3">
        <f t="shared" si="302"/>
        <v>0.0078873764683945469</v>
      </c>
      <c r="AT117" s="3">
        <f t="shared" si="302"/>
        <v>0.0055771256583897755</v>
      </c>
      <c r="AU117" s="3">
        <f t="shared" si="302"/>
        <v>0.0065546515741068262</v>
      </c>
    </row>
    <row r="118" spans="21:47" ht="14.5">
      <c r="U118" s="5"/>
      <c r="V118" s="21" t="s">
        <v>333</v>
      </c>
      <c r="W118" s="3">
        <f t="shared" si="303" ref="W118:AC118">W51</f>
        <v>0.024642075122115546</v>
      </c>
      <c r="X118" s="3">
        <f t="shared" si="303"/>
        <v>0.023917878528656972</v>
      </c>
      <c r="Y118" s="3">
        <f t="shared" si="303"/>
        <v>0.024807174887892375</v>
      </c>
      <c r="Z118" s="3">
        <f t="shared" si="303"/>
        <v>0.024715693707354061</v>
      </c>
      <c r="AA118" s="3">
        <f t="shared" si="303"/>
        <v>0.025041954130151034</v>
      </c>
      <c r="AB118" s="3">
        <f t="shared" si="303"/>
        <v>0.020812641083521446</v>
      </c>
      <c r="AC118" s="3">
        <f t="shared" si="303"/>
        <v>0.024460558896356562</v>
      </c>
      <c r="AF118" s="3">
        <f t="shared" si="304" ref="AF118:AL118">AF51</f>
        <v>0.024642075122115546</v>
      </c>
      <c r="AG118" s="3">
        <f t="shared" si="304"/>
        <v>0.023917878528656972</v>
      </c>
      <c r="AH118" s="3">
        <f t="shared" si="304"/>
        <v>0.024807174887892375</v>
      </c>
      <c r="AI118" s="3">
        <f t="shared" si="304"/>
        <v>0.024715693707354061</v>
      </c>
      <c r="AJ118" s="3">
        <f t="shared" si="304"/>
        <v>0.025041954130151034</v>
      </c>
      <c r="AK118" s="3">
        <f t="shared" si="304"/>
        <v>0.023934537246049662</v>
      </c>
      <c r="AL118" s="3">
        <f t="shared" si="304"/>
        <v>0.028129642730810044</v>
      </c>
      <c r="AO118" s="3">
        <f t="shared" si="305" ref="AO118:AU118">AO51</f>
        <v>0.024642075122115546</v>
      </c>
      <c r="AP118" s="3">
        <f t="shared" si="305"/>
        <v>0.023917878528656972</v>
      </c>
      <c r="AQ118" s="3">
        <f t="shared" si="305"/>
        <v>0.024807174887892375</v>
      </c>
      <c r="AR118" s="3">
        <f t="shared" si="305"/>
        <v>0.024715693707354061</v>
      </c>
      <c r="AS118" s="3">
        <f t="shared" si="305"/>
        <v>0.025041954130151034</v>
      </c>
      <c r="AT118" s="3">
        <f t="shared" si="305"/>
        <v>0.017690744920993227</v>
      </c>
      <c r="AU118" s="3">
        <f t="shared" si="305"/>
        <v>0.020791475061903077</v>
      </c>
    </row>
    <row r="119" spans="21:47" ht="15.5">
      <c r="U119" s="5"/>
      <c r="V119" s="20" t="s">
        <v>334</v>
      </c>
      <c r="W119" s="3">
        <f t="shared" si="306" ref="W119:AC119">W52</f>
        <v>0.061360956712144178</v>
      </c>
      <c r="X119" s="3">
        <f t="shared" si="306"/>
        <v>0.060667236954662113</v>
      </c>
      <c r="Y119" s="3">
        <f t="shared" si="306"/>
        <v>0.063192825112107623</v>
      </c>
      <c r="Z119" s="3">
        <f t="shared" si="306"/>
        <v>0.064518574677786197</v>
      </c>
      <c r="AA119" s="3">
        <f t="shared" si="306"/>
        <v>0.064553421592392315</v>
      </c>
      <c r="AB119" s="3">
        <f t="shared" si="306"/>
        <v>0.05301730624529722</v>
      </c>
      <c r="AC119" s="3">
        <f t="shared" si="306"/>
        <v>0.062309869119207641</v>
      </c>
      <c r="AD119" s="6"/>
      <c r="AE119" s="6"/>
      <c r="AF119" s="3">
        <f t="shared" si="307" ref="AF119:AL119">AF52</f>
        <v>0.061360956712144178</v>
      </c>
      <c r="AG119" s="3">
        <f t="shared" si="307"/>
        <v>0.060667236954662113</v>
      </c>
      <c r="AH119" s="3">
        <f t="shared" si="307"/>
        <v>0.063192825112107623</v>
      </c>
      <c r="AI119" s="3">
        <f t="shared" si="307"/>
        <v>0.064518574677786197</v>
      </c>
      <c r="AJ119" s="3">
        <f t="shared" si="307"/>
        <v>0.064553421592392315</v>
      </c>
      <c r="AK119" s="3">
        <f t="shared" si="307"/>
        <v>0.060969902182091799</v>
      </c>
      <c r="AL119" s="3">
        <f t="shared" si="307"/>
        <v>0.07165634948708878</v>
      </c>
      <c r="AM119" s="6"/>
      <c r="AN119" s="6"/>
      <c r="AO119" s="3">
        <f t="shared" si="308" ref="AO119:AU119">AO52</f>
        <v>0.061360956712144178</v>
      </c>
      <c r="AP119" s="3">
        <f t="shared" si="308"/>
        <v>0.060667236954662113</v>
      </c>
      <c r="AQ119" s="3">
        <f t="shared" si="308"/>
        <v>0.063192825112107623</v>
      </c>
      <c r="AR119" s="3">
        <f t="shared" si="308"/>
        <v>0.064518574677786197</v>
      </c>
      <c r="AS119" s="3">
        <f t="shared" si="308"/>
        <v>0.064553421592392315</v>
      </c>
      <c r="AT119" s="3">
        <f t="shared" si="308"/>
        <v>0.045064710308502634</v>
      </c>
      <c r="AU119" s="3">
        <f t="shared" si="308"/>
        <v>0.052963388751326494</v>
      </c>
    </row>
    <row r="120" spans="21:47" ht="15.5">
      <c r="U120" s="5"/>
      <c r="V120" s="20" t="s">
        <v>335</v>
      </c>
      <c r="W120" s="3">
        <f t="shared" si="309" ref="W120:AC120">W53</f>
        <v>0.01332322721913424</v>
      </c>
      <c r="X120" s="3">
        <f t="shared" si="309"/>
        <v>0.01317365269461078</v>
      </c>
      <c r="Y120" s="3">
        <f t="shared" si="309"/>
        <v>0.013721973094170403</v>
      </c>
      <c r="Z120" s="3">
        <f t="shared" si="309"/>
        <v>0.013968915845337378</v>
      </c>
      <c r="AA120" s="3">
        <f t="shared" si="309"/>
        <v>0.014003356330412081</v>
      </c>
      <c r="AB120" s="3">
        <f t="shared" si="309"/>
        <v>0.011512415349887133</v>
      </c>
      <c r="AC120" s="3">
        <f t="shared" si="309"/>
        <v>0.013530244074991156</v>
      </c>
      <c r="AD120" s="6"/>
      <c r="AE120" s="6"/>
      <c r="AF120" s="3">
        <f t="shared" si="310" ref="AF120:AL120">AF53</f>
        <v>0.01332322721913424</v>
      </c>
      <c r="AG120" s="3">
        <f t="shared" si="310"/>
        <v>0.01317365269461078</v>
      </c>
      <c r="AH120" s="3">
        <f t="shared" si="310"/>
        <v>0.013721973094170403</v>
      </c>
      <c r="AI120" s="3">
        <f t="shared" si="310"/>
        <v>0.013968915845337378</v>
      </c>
      <c r="AJ120" s="3">
        <f t="shared" si="310"/>
        <v>0.014003356330412081</v>
      </c>
      <c r="AK120" s="3">
        <f t="shared" si="310"/>
        <v>0.013239277652370202</v>
      </c>
      <c r="AL120" s="3">
        <f t="shared" si="310"/>
        <v>0.015559780686239828</v>
      </c>
      <c r="AM120" s="6"/>
      <c r="AN120" s="6"/>
      <c r="AO120" s="3">
        <f t="shared" si="311" ref="AO120:AU120">AO53</f>
        <v>0.01332322721913424</v>
      </c>
      <c r="AP120" s="3">
        <f t="shared" si="311"/>
        <v>0.01317365269461078</v>
      </c>
      <c r="AQ120" s="3">
        <f t="shared" si="311"/>
        <v>0.013721973094170403</v>
      </c>
      <c r="AR120" s="3">
        <f t="shared" si="311"/>
        <v>0.013968915845337378</v>
      </c>
      <c r="AS120" s="3">
        <f t="shared" si="311"/>
        <v>0.014003356330412081</v>
      </c>
      <c r="AT120" s="3">
        <f t="shared" si="311"/>
        <v>0.0097855530474040622</v>
      </c>
      <c r="AU120" s="3">
        <f t="shared" si="311"/>
        <v>0.011500707463742483</v>
      </c>
    </row>
    <row r="121" spans="21:47" ht="15.5">
      <c r="U121" s="5" t="s">
        <v>336</v>
      </c>
      <c r="V121" s="20" t="s">
        <v>121</v>
      </c>
      <c r="W121" s="6">
        <f t="shared" si="312" ref="W121:AC121">W54-W55</f>
        <v>0.0081017348829375141</v>
      </c>
      <c r="X121" s="6">
        <f t="shared" si="312"/>
        <v>0.007869974337040217</v>
      </c>
      <c r="Y121" s="6">
        <f t="shared" si="312"/>
        <v>0.008179372197309423</v>
      </c>
      <c r="Z121" s="6">
        <f t="shared" si="312"/>
        <v>0.0081690674753601283</v>
      </c>
      <c r="AA121" s="6">
        <f t="shared" si="312"/>
        <v>0.0082603020697370605</v>
      </c>
      <c r="AB121" s="6">
        <f t="shared" si="312"/>
        <v>0.0068623024830699736</v>
      </c>
      <c r="AC121" s="6">
        <f t="shared" si="312"/>
        <v>0.0080650866643084546</v>
      </c>
      <c r="AD121" s="6"/>
      <c r="AE121" s="6"/>
      <c r="AF121" s="6">
        <f t="shared" si="313" ref="AF121:AL121">AF54-AF55</f>
        <v>0.0081017348829375141</v>
      </c>
      <c r="AG121" s="6">
        <f t="shared" si="313"/>
        <v>0.007869974337040217</v>
      </c>
      <c r="AH121" s="6">
        <f t="shared" si="313"/>
        <v>0.008179372197309423</v>
      </c>
      <c r="AI121" s="6">
        <f t="shared" si="313"/>
        <v>0.0081690674753601283</v>
      </c>
      <c r="AJ121" s="6">
        <f t="shared" si="313"/>
        <v>0.0082603020697370605</v>
      </c>
      <c r="AK121" s="6">
        <f t="shared" si="313"/>
        <v>0.0078916478555304675</v>
      </c>
      <c r="AL121" s="6">
        <f t="shared" si="313"/>
        <v>0.0092748496639547262</v>
      </c>
      <c r="AM121" s="6"/>
      <c r="AN121" s="6"/>
      <c r="AO121" s="6">
        <f t="shared" si="314" ref="AO121:AU121">AO54-AO55</f>
        <v>0.0081017348829375141</v>
      </c>
      <c r="AP121" s="6">
        <f t="shared" si="314"/>
        <v>0.007869974337040217</v>
      </c>
      <c r="AQ121" s="6">
        <f t="shared" si="314"/>
        <v>0.008179372197309423</v>
      </c>
      <c r="AR121" s="6">
        <f t="shared" si="314"/>
        <v>0.0081690674753601283</v>
      </c>
      <c r="AS121" s="6">
        <f t="shared" si="314"/>
        <v>0.0082603020697370605</v>
      </c>
      <c r="AT121" s="6">
        <f t="shared" si="314"/>
        <v>0.0058329571106094796</v>
      </c>
      <c r="AU121" s="6">
        <f t="shared" si="314"/>
        <v>0.0068553236646621829</v>
      </c>
    </row>
    <row r="122" spans="21:47" ht="15.5">
      <c r="U122" s="5"/>
      <c r="V122" s="21" t="s">
        <v>333</v>
      </c>
      <c r="W122" s="6">
        <f t="shared" si="315" ref="W122:AC122">W56</f>
        <v>0.031969007916456127</v>
      </c>
      <c r="X122" s="6">
        <f t="shared" si="315"/>
        <v>0.031069289991445679</v>
      </c>
      <c r="Y122" s="6">
        <f t="shared" si="315"/>
        <v>0.032233183856502243</v>
      </c>
      <c r="Z122" s="6">
        <f t="shared" si="315"/>
        <v>0.032164518574677788</v>
      </c>
      <c r="AA122" s="6">
        <f t="shared" si="315"/>
        <v>0.03257505127727018</v>
      </c>
      <c r="AB122" s="6">
        <f t="shared" si="315"/>
        <v>0.02704288939051919</v>
      </c>
      <c r="AC122" s="6">
        <f t="shared" si="315"/>
        <v>0.03178280863105766</v>
      </c>
      <c r="AD122" s="6"/>
      <c r="AE122" s="6"/>
      <c r="AF122" s="6">
        <f t="shared" si="316" ref="AF122:AL122">AF56</f>
        <v>0.031969007916456127</v>
      </c>
      <c r="AG122" s="6">
        <f t="shared" si="316"/>
        <v>0.031069289991445679</v>
      </c>
      <c r="AH122" s="6">
        <f t="shared" si="316"/>
        <v>0.032233183856502243</v>
      </c>
      <c r="AI122" s="6">
        <f t="shared" si="316"/>
        <v>0.032164518574677788</v>
      </c>
      <c r="AJ122" s="6">
        <f t="shared" si="316"/>
        <v>0.03257505127727018</v>
      </c>
      <c r="AK122" s="6">
        <f t="shared" si="316"/>
        <v>0.031099322799097065</v>
      </c>
      <c r="AL122" s="6">
        <f t="shared" si="316"/>
        <v>0.036550229925716306</v>
      </c>
      <c r="AM122" s="6"/>
      <c r="AN122" s="6"/>
      <c r="AO122" s="6">
        <f t="shared" si="317" ref="AO122:AU122">AO56</f>
        <v>0.031969007916456127</v>
      </c>
      <c r="AP122" s="6">
        <f t="shared" si="317"/>
        <v>0.031069289991445679</v>
      </c>
      <c r="AQ122" s="6">
        <f t="shared" si="317"/>
        <v>0.032233183856502243</v>
      </c>
      <c r="AR122" s="6">
        <f t="shared" si="317"/>
        <v>0.032164518574677788</v>
      </c>
      <c r="AS122" s="6">
        <f t="shared" si="317"/>
        <v>0.03257505127727018</v>
      </c>
      <c r="AT122" s="6">
        <f t="shared" si="317"/>
        <v>0.022986455981941312</v>
      </c>
      <c r="AU122" s="6">
        <f t="shared" si="317"/>
        <v>0.027015387336399011</v>
      </c>
    </row>
    <row r="123" spans="21:47" ht="15.5">
      <c r="U123" s="5"/>
      <c r="V123" s="20" t="s">
        <v>334</v>
      </c>
      <c r="W123" s="6">
        <f t="shared" si="318" ref="W123:AC123">W57</f>
        <v>0.055718376284318687</v>
      </c>
      <c r="X123" s="6">
        <f t="shared" si="318"/>
        <v>0.055158254918733954</v>
      </c>
      <c r="Y123" s="6">
        <f t="shared" si="318"/>
        <v>0.057488789237668161</v>
      </c>
      <c r="Z123" s="6">
        <f t="shared" si="318"/>
        <v>0.058775587566338147</v>
      </c>
      <c r="AA123" s="6">
        <f t="shared" si="318"/>
        <v>0.058754428491515943</v>
      </c>
      <c r="AB123" s="6">
        <f t="shared" si="318"/>
        <v>0.048231753197893155</v>
      </c>
      <c r="AC123" s="6">
        <f t="shared" si="318"/>
        <v>0.056685532366466222</v>
      </c>
      <c r="AD123" s="6"/>
      <c r="AE123" s="6"/>
      <c r="AF123" s="6">
        <f t="shared" si="319" ref="AF123:AL123">AF57</f>
        <v>0.055718376284318687</v>
      </c>
      <c r="AG123" s="6">
        <f t="shared" si="319"/>
        <v>0.055158254918733954</v>
      </c>
      <c r="AH123" s="6">
        <f t="shared" si="319"/>
        <v>0.057488789237668161</v>
      </c>
      <c r="AI123" s="6">
        <f t="shared" si="319"/>
        <v>0.058775587566338147</v>
      </c>
      <c r="AJ123" s="6">
        <f t="shared" si="319"/>
        <v>0.058754428491515943</v>
      </c>
      <c r="AK123" s="6">
        <f t="shared" si="319"/>
        <v>0.055466516177577127</v>
      </c>
      <c r="AL123" s="6">
        <f t="shared" si="319"/>
        <v>0.065188362221436147</v>
      </c>
      <c r="AM123" s="6"/>
      <c r="AN123" s="6"/>
      <c r="AO123" s="6">
        <f t="shared" si="320" ref="AO123:AU123">AO57</f>
        <v>0.055718376284318687</v>
      </c>
      <c r="AP123" s="6">
        <f t="shared" si="320"/>
        <v>0.055158254918733954</v>
      </c>
      <c r="AQ123" s="6">
        <f t="shared" si="320"/>
        <v>0.057488789237668161</v>
      </c>
      <c r="AR123" s="6">
        <f t="shared" si="320"/>
        <v>0.058775587566338147</v>
      </c>
      <c r="AS123" s="6">
        <f t="shared" si="320"/>
        <v>0.058754428491515943</v>
      </c>
      <c r="AT123" s="6">
        <f t="shared" si="320"/>
        <v>0.040996990218209184</v>
      </c>
      <c r="AU123" s="6">
        <f t="shared" si="320"/>
        <v>0.048182702511496291</v>
      </c>
    </row>
    <row r="124" spans="21:47" ht="15.5">
      <c r="U124" s="5"/>
      <c r="V124" s="20" t="s">
        <v>335</v>
      </c>
      <c r="W124" s="6">
        <f t="shared" si="321" ref="W124:AC124">W58</f>
        <v>0.01305373084049183</v>
      </c>
      <c r="X124" s="6">
        <f t="shared" si="321"/>
        <v>0.012917023096663816</v>
      </c>
      <c r="Y124" s="6">
        <f t="shared" si="321"/>
        <v>0.013452914798206277</v>
      </c>
      <c r="Z124" s="6">
        <f t="shared" si="321"/>
        <v>0.013684609552691433</v>
      </c>
      <c r="AA124" s="6">
        <f t="shared" si="321"/>
        <v>0.013723662129405182</v>
      </c>
      <c r="AB124" s="6">
        <f t="shared" si="321"/>
        <v>0.011286681715575621</v>
      </c>
      <c r="AC124" s="6">
        <f t="shared" si="321"/>
        <v>0.013264945171559957</v>
      </c>
      <c r="AD124" s="6"/>
      <c r="AE124" s="6"/>
      <c r="AF124" s="6">
        <f t="shared" si="322" ref="AF124:AL124">AF58</f>
        <v>0.01305373084049183</v>
      </c>
      <c r="AG124" s="6">
        <f t="shared" si="322"/>
        <v>0.012917023096663816</v>
      </c>
      <c r="AH124" s="6">
        <f t="shared" si="322"/>
        <v>0.013452914798206277</v>
      </c>
      <c r="AI124" s="6">
        <f t="shared" si="322"/>
        <v>0.013684609552691433</v>
      </c>
      <c r="AJ124" s="6">
        <f t="shared" si="322"/>
        <v>0.013723662129405182</v>
      </c>
      <c r="AK124" s="6">
        <f t="shared" si="322"/>
        <v>0.012979683972911963</v>
      </c>
      <c r="AL124" s="6">
        <f t="shared" si="322"/>
        <v>0.01525468694729395</v>
      </c>
      <c r="AM124" s="6"/>
      <c r="AN124" s="6"/>
      <c r="AO124" s="6">
        <f t="shared" si="323" ref="AO124:AU124">AO58</f>
        <v>0.01305373084049183</v>
      </c>
      <c r="AP124" s="6">
        <f t="shared" si="323"/>
        <v>0.012917023096663816</v>
      </c>
      <c r="AQ124" s="6">
        <f t="shared" si="323"/>
        <v>0.013452914798206277</v>
      </c>
      <c r="AR124" s="6">
        <f t="shared" si="323"/>
        <v>0.013684609552691433</v>
      </c>
      <c r="AS124" s="6">
        <f t="shared" si="323"/>
        <v>0.013723662129405182</v>
      </c>
      <c r="AT124" s="6">
        <f t="shared" si="323"/>
        <v>0.0095936794582392772</v>
      </c>
      <c r="AU124" s="6">
        <f t="shared" si="323"/>
        <v>0.011275203395825963</v>
      </c>
    </row>
    <row r="125" spans="21:47" ht="15.5">
      <c r="U125" s="28" t="s">
        <v>309</v>
      </c>
      <c r="V125" s="20" t="s">
        <v>121</v>
      </c>
      <c r="W125" s="22">
        <f t="shared" si="324" ref="W125:AC125">W113</f>
        <v>0.0078827690752905633</v>
      </c>
      <c r="X125" s="22">
        <f t="shared" si="324"/>
        <v>0.0076475620188194843</v>
      </c>
      <c r="Y125" s="22">
        <f t="shared" si="324"/>
        <v>0.0079461883408071809</v>
      </c>
      <c r="Z125" s="22">
        <f t="shared" si="324"/>
        <v>0.0079416224412433567</v>
      </c>
      <c r="AA125" s="22">
        <f t="shared" si="324"/>
        <v>0.0080179004288644523</v>
      </c>
      <c r="AB125" s="22">
        <f t="shared" si="324"/>
        <v>0.006666666666666668</v>
      </c>
      <c r="AC125" s="22">
        <f t="shared" si="324"/>
        <v>0.0078351609480014073</v>
      </c>
      <c r="AD125" s="6"/>
      <c r="AE125" s="6"/>
      <c r="AF125" s="22">
        <f t="shared" si="325" ref="AF125:AL125">AF113</f>
        <v>0.0078827690752905633</v>
      </c>
      <c r="AG125" s="22">
        <f t="shared" si="325"/>
        <v>0.0076475620188194843</v>
      </c>
      <c r="AH125" s="22">
        <f t="shared" si="325"/>
        <v>0.0079461883408071809</v>
      </c>
      <c r="AI125" s="22">
        <f t="shared" si="325"/>
        <v>0.0079416224412433567</v>
      </c>
      <c r="AJ125" s="22">
        <f t="shared" si="325"/>
        <v>0.0080179004288644523</v>
      </c>
      <c r="AK125" s="22">
        <f t="shared" si="325"/>
        <v>0.0076666666666666689</v>
      </c>
      <c r="AL125" s="22">
        <f t="shared" si="325"/>
        <v>0.0090104350902016211</v>
      </c>
      <c r="AM125" s="6"/>
      <c r="AN125" s="6"/>
      <c r="AO125" s="22">
        <f t="shared" si="326" ref="AO125:AU125">AO113</f>
        <v>0.0078827690752905633</v>
      </c>
      <c r="AP125" s="22">
        <f t="shared" si="326"/>
        <v>0.0076475620188194843</v>
      </c>
      <c r="AQ125" s="22">
        <f t="shared" si="326"/>
        <v>0.0079461883408071809</v>
      </c>
      <c r="AR125" s="22">
        <f t="shared" si="326"/>
        <v>0.0079416224412433567</v>
      </c>
      <c r="AS125" s="22">
        <f t="shared" si="326"/>
        <v>0.0080179004288644523</v>
      </c>
      <c r="AT125" s="22">
        <f t="shared" si="326"/>
        <v>0.0056666666666666671</v>
      </c>
      <c r="AU125" s="22">
        <f t="shared" si="326"/>
        <v>0.0066598868058011934</v>
      </c>
    </row>
    <row r="126" spans="21:47" ht="15.5">
      <c r="U126" s="28"/>
      <c r="V126" s="21" t="s">
        <v>333</v>
      </c>
      <c r="W126" s="22">
        <f t="shared" si="327" ref="W126:AC126">W114</f>
        <v>0.020111167256189996</v>
      </c>
      <c r="X126" s="22">
        <f t="shared" si="327"/>
        <v>0.019503849443969205</v>
      </c>
      <c r="Y126" s="22">
        <f t="shared" si="327"/>
        <v>0.020215246636771302</v>
      </c>
      <c r="Z126" s="22">
        <f t="shared" si="327"/>
        <v>0.020109931766489765</v>
      </c>
      <c r="AA126" s="22">
        <f t="shared" si="327"/>
        <v>0.020399030393436511</v>
      </c>
      <c r="AB126" s="22">
        <f t="shared" si="327"/>
        <v>0.016960120391271635</v>
      </c>
      <c r="AC126" s="22">
        <f t="shared" si="327"/>
        <v>0.0199327909444641</v>
      </c>
      <c r="AD126" s="6"/>
      <c r="AE126" s="6"/>
      <c r="AF126" s="22">
        <f t="shared" si="328" ref="AF126:AL126">AF114</f>
        <v>0.020111167256189996</v>
      </c>
      <c r="AG126" s="22">
        <f t="shared" si="328"/>
        <v>0.019503849443969205</v>
      </c>
      <c r="AH126" s="22">
        <f t="shared" si="328"/>
        <v>0.020215246636771302</v>
      </c>
      <c r="AI126" s="22">
        <f t="shared" si="328"/>
        <v>0.020109931766489765</v>
      </c>
      <c r="AJ126" s="22">
        <f t="shared" si="328"/>
        <v>0.020399030393436511</v>
      </c>
      <c r="AK126" s="22">
        <f t="shared" si="328"/>
        <v>0.019504138449962381</v>
      </c>
      <c r="AL126" s="22">
        <f t="shared" si="328"/>
        <v>0.022922709586133714</v>
      </c>
      <c r="AM126" s="6"/>
      <c r="AN126" s="6"/>
      <c r="AO126" s="22">
        <f t="shared" si="329" ref="AO126:AU126">AO114</f>
        <v>0.020111167256189996</v>
      </c>
      <c r="AP126" s="22">
        <f t="shared" si="329"/>
        <v>0.019503849443969205</v>
      </c>
      <c r="AQ126" s="22">
        <f t="shared" si="329"/>
        <v>0.020215246636771302</v>
      </c>
      <c r="AR126" s="22">
        <f t="shared" si="329"/>
        <v>0.020109931766489765</v>
      </c>
      <c r="AS126" s="22">
        <f t="shared" si="329"/>
        <v>0.020399030393436511</v>
      </c>
      <c r="AT126" s="22">
        <f t="shared" si="329"/>
        <v>0.01441610233258089</v>
      </c>
      <c r="AU126" s="22">
        <f t="shared" si="329"/>
        <v>0.016942872302794485</v>
      </c>
    </row>
    <row r="127" spans="21:47" ht="15.5">
      <c r="U127" s="28"/>
      <c r="V127" s="20" t="s">
        <v>334</v>
      </c>
      <c r="W127" s="22">
        <f t="shared" si="330" ref="W127:AC127">W115</f>
        <v>0.064123294593228894</v>
      </c>
      <c r="X127" s="22">
        <f t="shared" si="330"/>
        <v>0.063353293413173653</v>
      </c>
      <c r="Y127" s="22">
        <f t="shared" si="330"/>
        <v>0.065991031390134527</v>
      </c>
      <c r="Z127" s="22">
        <f t="shared" si="330"/>
        <v>0.06732373009855952</v>
      </c>
      <c r="AA127" s="22">
        <f t="shared" si="330"/>
        <v>0.067369009882528433</v>
      </c>
      <c r="AB127" s="22">
        <f t="shared" si="330"/>
        <v>0.05536493604213695</v>
      </c>
      <c r="AC127" s="22">
        <f t="shared" si="330"/>
        <v>0.065068977714892118</v>
      </c>
      <c r="AD127" s="6"/>
      <c r="AE127" s="6"/>
      <c r="AF127" s="22">
        <f t="shared" si="331" ref="AF127:AL127">AF115</f>
        <v>0.064123294593228894</v>
      </c>
      <c r="AG127" s="22">
        <f t="shared" si="331"/>
        <v>0.063353293413173653</v>
      </c>
      <c r="AH127" s="22">
        <f t="shared" si="331"/>
        <v>0.065991031390134527</v>
      </c>
      <c r="AI127" s="22">
        <f t="shared" si="331"/>
        <v>0.06732373009855952</v>
      </c>
      <c r="AJ127" s="22">
        <f t="shared" si="331"/>
        <v>0.067369009882528433</v>
      </c>
      <c r="AK127" s="22">
        <f t="shared" si="331"/>
        <v>0.063669676448457488</v>
      </c>
      <c r="AL127" s="22">
        <f t="shared" si="331"/>
        <v>0.07482932437212593</v>
      </c>
      <c r="AM127" s="6"/>
      <c r="AN127" s="6"/>
      <c r="AO127" s="22">
        <f t="shared" si="332" ref="AO127:AU127">AO115</f>
        <v>0.064123294593228894</v>
      </c>
      <c r="AP127" s="22">
        <f t="shared" si="332"/>
        <v>0.063353293413173653</v>
      </c>
      <c r="AQ127" s="22">
        <f t="shared" si="332"/>
        <v>0.065991031390134527</v>
      </c>
      <c r="AR127" s="22">
        <f t="shared" si="332"/>
        <v>0.06732373009855952</v>
      </c>
      <c r="AS127" s="22">
        <f t="shared" si="332"/>
        <v>0.067369009882528433</v>
      </c>
      <c r="AT127" s="22">
        <f t="shared" si="332"/>
        <v>0.047060195635816406</v>
      </c>
      <c r="AU127" s="22">
        <f t="shared" si="332"/>
        <v>0.055308631057658299</v>
      </c>
    </row>
    <row r="128" spans="21:47" ht="15.5">
      <c r="U128" s="28"/>
      <c r="V128" s="20" t="s">
        <v>335</v>
      </c>
      <c r="W128" s="22">
        <f t="shared" si="333" ref="W128:AC128">W116</f>
        <v>0.012969513222166076</v>
      </c>
      <c r="X128" s="22">
        <f t="shared" si="333"/>
        <v>0.012814371257485031</v>
      </c>
      <c r="Y128" s="22">
        <f t="shared" si="333"/>
        <v>0.013345291479820628</v>
      </c>
      <c r="Z128" s="22">
        <f t="shared" si="333"/>
        <v>0.013589840788476118</v>
      </c>
      <c r="AA128" s="22">
        <f t="shared" si="333"/>
        <v>0.013630430729069548</v>
      </c>
      <c r="AB128" s="22">
        <f t="shared" si="333"/>
        <v>0.011196388261851018</v>
      </c>
      <c r="AC128" s="22">
        <f t="shared" si="333"/>
        <v>0.013158825610187479</v>
      </c>
      <c r="AD128" s="6"/>
      <c r="AE128" s="6"/>
      <c r="AF128" s="22">
        <f t="shared" si="334" ref="AF128:AL128">AF116</f>
        <v>0.012969513222166076</v>
      </c>
      <c r="AG128" s="22">
        <f t="shared" si="334"/>
        <v>0.012814371257485031</v>
      </c>
      <c r="AH128" s="22">
        <f t="shared" si="334"/>
        <v>0.013345291479820628</v>
      </c>
      <c r="AI128" s="22">
        <f t="shared" si="334"/>
        <v>0.013589840788476118</v>
      </c>
      <c r="AJ128" s="22">
        <f t="shared" si="334"/>
        <v>0.013630430729069548</v>
      </c>
      <c r="AK128" s="22">
        <f t="shared" si="334"/>
        <v>0.01287584650112867</v>
      </c>
      <c r="AL128" s="22">
        <f t="shared" si="334"/>
        <v>0.0151326494517156</v>
      </c>
      <c r="AM128" s="6"/>
      <c r="AN128" s="6"/>
      <c r="AO128" s="22">
        <f t="shared" si="335" ref="AO128:AU128">AO116</f>
        <v>0.012969513222166076</v>
      </c>
      <c r="AP128" s="22">
        <f t="shared" si="335"/>
        <v>0.012814371257485031</v>
      </c>
      <c r="AQ128" s="22">
        <f t="shared" si="335"/>
        <v>0.013345291479820628</v>
      </c>
      <c r="AR128" s="22">
        <f t="shared" si="335"/>
        <v>0.013589840788476118</v>
      </c>
      <c r="AS128" s="22">
        <f t="shared" si="335"/>
        <v>0.013630430729069548</v>
      </c>
      <c r="AT128" s="22">
        <f t="shared" si="335"/>
        <v>0.0095169300225733649</v>
      </c>
      <c r="AU128" s="22">
        <f t="shared" si="335"/>
        <v>0.011185001768659357</v>
      </c>
    </row>
    <row r="160" spans="21:53" ht="15.5">
      <c r="U160" s="23"/>
      <c r="V160" s="24" t="s">
        <v>292</v>
      </c>
      <c r="W160" s="23"/>
      <c r="Y160" s="25"/>
      <c r="Z160" s="23"/>
      <c r="AA160" s="24" t="s">
        <v>292</v>
      </c>
      <c r="AB160" s="23"/>
      <c r="AD160" s="25"/>
      <c r="AE160" s="23"/>
      <c r="AF160" s="24" t="s">
        <v>292</v>
      </c>
      <c r="AG160" s="23"/>
      <c r="AI160" s="25"/>
      <c r="AJ160" s="23"/>
      <c r="AK160" s="24" t="s">
        <v>292</v>
      </c>
      <c r="AL160" s="23"/>
      <c r="AN160" s="25"/>
      <c r="AO160" s="23"/>
      <c r="AP160" s="24" t="s">
        <v>292</v>
      </c>
      <c r="AQ160" s="23"/>
      <c r="AS160" s="25"/>
      <c r="AT160" s="23"/>
      <c r="AU160" s="24" t="s">
        <v>292</v>
      </c>
      <c r="AV160" s="23"/>
      <c r="AW160" s="25"/>
      <c r="AY160" s="23"/>
      <c r="AZ160" s="24" t="s">
        <v>292</v>
      </c>
      <c r="BA160" s="23"/>
    </row>
    <row r="161" spans="21:53" ht="15.5">
      <c r="U161" s="24" t="s">
        <v>65</v>
      </c>
      <c r="V161" s="24" t="s">
        <v>111</v>
      </c>
      <c r="W161" s="24" t="s">
        <v>25</v>
      </c>
      <c r="Y161" s="25"/>
      <c r="Z161" s="24" t="s">
        <v>65</v>
      </c>
      <c r="AA161" s="24" t="s">
        <v>111</v>
      </c>
      <c r="AB161" s="24" t="s">
        <v>25</v>
      </c>
      <c r="AD161" s="25"/>
      <c r="AE161" s="24" t="s">
        <v>65</v>
      </c>
      <c r="AF161" s="24" t="s">
        <v>111</v>
      </c>
      <c r="AG161" s="24" t="s">
        <v>25</v>
      </c>
      <c r="AI161" s="25"/>
      <c r="AJ161" s="24" t="s">
        <v>65</v>
      </c>
      <c r="AK161" s="24" t="s">
        <v>111</v>
      </c>
      <c r="AL161" s="24" t="s">
        <v>25</v>
      </c>
      <c r="AN161" s="25"/>
      <c r="AO161" s="24" t="s">
        <v>65</v>
      </c>
      <c r="AP161" s="24" t="s">
        <v>111</v>
      </c>
      <c r="AQ161" s="24" t="s">
        <v>25</v>
      </c>
      <c r="AS161" s="25"/>
      <c r="AT161" s="24" t="s">
        <v>65</v>
      </c>
      <c r="AU161" s="24" t="s">
        <v>111</v>
      </c>
      <c r="AV161" s="24" t="s">
        <v>25</v>
      </c>
      <c r="AW161" s="25"/>
      <c r="AY161" s="24" t="s">
        <v>65</v>
      </c>
      <c r="AZ161" s="24" t="s">
        <v>111</v>
      </c>
      <c r="BA161" s="24" t="s">
        <v>25</v>
      </c>
    </row>
    <row r="162" spans="21:53" ht="15.5">
      <c r="U162" s="25" t="s">
        <v>242</v>
      </c>
      <c r="V162" s="26" t="s">
        <v>293</v>
      </c>
      <c r="W162" s="25">
        <f t="shared" si="336" ref="W162:W165">W85</f>
        <v>0.010510358767054057</v>
      </c>
      <c r="Y162" s="25"/>
      <c r="Z162" s="25" t="s">
        <v>244</v>
      </c>
      <c r="AA162" s="26" t="s">
        <v>293</v>
      </c>
      <c r="AB162" s="25">
        <f t="shared" si="337" ref="AB162:AB165">X85</f>
        <v>0.010094097519247211</v>
      </c>
      <c r="AD162" s="25"/>
      <c r="AE162" s="25" t="s">
        <v>246</v>
      </c>
      <c r="AF162" s="26" t="s">
        <v>293</v>
      </c>
      <c r="AG162" s="25">
        <f t="shared" si="338" ref="AG162:AG165">Y85</f>
        <v>0.010385650224215226</v>
      </c>
      <c r="AI162" s="25"/>
      <c r="AJ162" s="25" t="s">
        <v>248</v>
      </c>
      <c r="AK162" s="26" t="s">
        <v>293</v>
      </c>
      <c r="AL162" s="25">
        <f t="shared" si="339" ref="AL162:AL165">Z85</f>
        <v>0.011429112964366939</v>
      </c>
      <c r="AN162" s="25"/>
      <c r="AO162" s="25" t="s">
        <v>240</v>
      </c>
      <c r="AP162" s="26" t="s">
        <v>293</v>
      </c>
      <c r="AQ162" s="25">
        <f t="shared" si="340" ref="AQ162:AQ165">AA85</f>
        <v>0.011597986201752758</v>
      </c>
      <c r="AS162" s="25"/>
      <c r="AT162" s="25" t="s">
        <v>238</v>
      </c>
      <c r="AU162" s="26" t="s">
        <v>293</v>
      </c>
      <c r="AV162" s="25">
        <f t="shared" si="341" ref="AV162:AV165">AB85</f>
        <v>0.0087133182844243706</v>
      </c>
      <c r="AW162" s="25"/>
      <c r="AY162" s="25" t="s">
        <v>236</v>
      </c>
      <c r="AZ162" s="26" t="s">
        <v>293</v>
      </c>
      <c r="BA162" s="25">
        <f t="shared" si="342" ref="BA162:BA165">AC85</f>
        <v>0.010240537672444275</v>
      </c>
    </row>
    <row r="163" spans="21:53" ht="15.5">
      <c r="U163" s="25" t="str">
        <f>U162</f>
        <v>PyroRecy-NMC111</v>
      </c>
      <c r="V163" s="26" t="s">
        <v>294</v>
      </c>
      <c r="W163" s="25">
        <f t="shared" si="336"/>
        <v>0.028920330133063835</v>
      </c>
      <c r="Y163" s="25"/>
      <c r="Z163" s="25" t="str">
        <f t="shared" si="343" ref="Z163:Z165">Z162</f>
        <v>PyroRecy-NMC532</v>
      </c>
      <c r="AA163" s="26" t="s">
        <v>294</v>
      </c>
      <c r="AB163" s="25">
        <f t="shared" si="337"/>
        <v>0.027562018819503851</v>
      </c>
      <c r="AD163" s="25"/>
      <c r="AE163" s="25" t="str">
        <f t="shared" si="344" ref="AE163:AE165">AE162</f>
        <v>PyroRecy-NMC622</v>
      </c>
      <c r="AF163" s="26" t="s">
        <v>294</v>
      </c>
      <c r="AG163" s="25">
        <f t="shared" si="338"/>
        <v>0.028322869955156951</v>
      </c>
      <c r="AI163" s="25"/>
      <c r="AJ163" s="25" t="str">
        <f t="shared" si="345" ref="AJ163:AJ165">AJ162</f>
        <v>PyroRecy-NMC811</v>
      </c>
      <c r="AK163" s="26" t="s">
        <v>294</v>
      </c>
      <c r="AL163" s="25">
        <f t="shared" si="339"/>
        <v>0.02882865807429871</v>
      </c>
      <c r="AN163" s="25"/>
      <c r="AO163" s="25" t="str">
        <f t="shared" si="346" ref="AO163:AO165">AO162</f>
        <v>PyroRecy-NCA</v>
      </c>
      <c r="AP163" s="26" t="s">
        <v>294</v>
      </c>
      <c r="AQ163" s="25">
        <f t="shared" si="340"/>
        <v>0.029610292746597055</v>
      </c>
      <c r="AS163" s="25"/>
      <c r="AT163" s="25" t="str">
        <f t="shared" si="347" ref="AT163:AT165">AT162</f>
        <v>PyroRecy-LMO</v>
      </c>
      <c r="AU163" s="26" t="s">
        <v>294</v>
      </c>
      <c r="AV163" s="25">
        <f t="shared" si="341"/>
        <v>0.02376222723852521</v>
      </c>
      <c r="AW163" s="25"/>
      <c r="AY163" s="25" t="str">
        <f t="shared" si="348" ref="AY163:AY165">AY162</f>
        <v>PyroRecy-LFP</v>
      </c>
      <c r="AZ163" s="26" t="s">
        <v>294</v>
      </c>
      <c r="BA163" s="25">
        <f t="shared" si="342"/>
        <v>0.027927131234524234</v>
      </c>
    </row>
    <row r="164" spans="21:53" ht="15.5">
      <c r="U164" s="25" t="str">
        <f>U163</f>
        <v>PyroRecy-NMC111</v>
      </c>
      <c r="V164" s="26" t="s">
        <v>295</v>
      </c>
      <c r="W164" s="25">
        <f t="shared" si="336"/>
        <v>0.083661782044803762</v>
      </c>
      <c r="Y164" s="25"/>
      <c r="Z164" s="25" t="str">
        <f t="shared" si="343"/>
        <v>PyroRecy-NMC532</v>
      </c>
      <c r="AA164" s="26" t="s">
        <v>295</v>
      </c>
      <c r="AB164" s="25">
        <f t="shared" si="337"/>
        <v>0.081402908468776736</v>
      </c>
      <c r="AD164" s="25"/>
      <c r="AE164" s="25" t="str">
        <f t="shared" si="344"/>
        <v>PyroRecy-NMC622</v>
      </c>
      <c r="AF164" s="26" t="s">
        <v>295</v>
      </c>
      <c r="AG164" s="25">
        <f t="shared" si="338"/>
        <v>0.084394618834080712</v>
      </c>
      <c r="AI164" s="25"/>
      <c r="AJ164" s="25" t="str">
        <f t="shared" si="345"/>
        <v>PyroRecy-NMC811</v>
      </c>
      <c r="AK164" s="26" t="s">
        <v>295</v>
      </c>
      <c r="AL164" s="25">
        <f t="shared" si="339"/>
        <v>0.088419257012888566</v>
      </c>
      <c r="AN164" s="25"/>
      <c r="AO164" s="25" t="str">
        <f t="shared" si="346"/>
        <v>PyroRecy-NCA</v>
      </c>
      <c r="AP164" s="26" t="s">
        <v>295</v>
      </c>
      <c r="AQ164" s="25">
        <f t="shared" si="340"/>
        <v>0.092485549132947972</v>
      </c>
      <c r="AS164" s="25"/>
      <c r="AT164" s="25" t="str">
        <f t="shared" si="347"/>
        <v>PyroRecy-LMO</v>
      </c>
      <c r="AU164" s="26" t="s">
        <v>295</v>
      </c>
      <c r="AV164" s="25">
        <f t="shared" si="341"/>
        <v>0.070805116629044401</v>
      </c>
      <c r="AW164" s="25"/>
      <c r="AY164" s="25" t="str">
        <f t="shared" si="348"/>
        <v>PyroRecy-LFP</v>
      </c>
      <c r="AZ164" s="26" t="s">
        <v>295</v>
      </c>
      <c r="BA164" s="25">
        <f t="shared" si="342"/>
        <v>0.083215422709586137</v>
      </c>
    </row>
    <row r="165" spans="21:53" ht="15.5">
      <c r="U165" s="25" t="str">
        <f>U164</f>
        <v>PyroRecy-NMC111</v>
      </c>
      <c r="V165" s="26" t="s">
        <v>296</v>
      </c>
      <c r="W165" s="25">
        <f t="shared" si="336"/>
        <v>0.013020043793161528</v>
      </c>
      <c r="Y165" s="27"/>
      <c r="Z165" s="25" t="str">
        <f t="shared" si="343"/>
        <v>PyroRecy-NMC532</v>
      </c>
      <c r="AA165" s="26" t="s">
        <v>296</v>
      </c>
      <c r="AB165" s="25">
        <f t="shared" si="337"/>
        <v>0.012745936698032506</v>
      </c>
      <c r="AD165" s="27"/>
      <c r="AE165" s="25" t="str">
        <f t="shared" si="344"/>
        <v>PyroRecy-NMC622</v>
      </c>
      <c r="AF165" s="26" t="s">
        <v>296</v>
      </c>
      <c r="AG165" s="25">
        <f t="shared" si="338"/>
        <v>0.013201793721973094</v>
      </c>
      <c r="AI165" s="27"/>
      <c r="AJ165" s="25" t="str">
        <f t="shared" si="345"/>
        <v>PyroRecy-NMC811</v>
      </c>
      <c r="AK165" s="26" t="s">
        <v>296</v>
      </c>
      <c r="AL165" s="25">
        <f t="shared" si="339"/>
        <v>0.014423805913570887</v>
      </c>
      <c r="AN165" s="27"/>
      <c r="AO165" s="25" t="str">
        <f t="shared" si="346"/>
        <v>PyroRecy-NCA</v>
      </c>
      <c r="AP165" s="26" t="s">
        <v>296</v>
      </c>
      <c r="AQ165" s="25">
        <f t="shared" si="340"/>
        <v>0.014711914972962896</v>
      </c>
      <c r="AS165" s="27"/>
      <c r="AT165" s="25" t="str">
        <f t="shared" si="347"/>
        <v>PyroRecy-LMO</v>
      </c>
      <c r="AU165" s="26" t="s">
        <v>296</v>
      </c>
      <c r="AV165" s="25">
        <f t="shared" si="341"/>
        <v>0.011075996990218209</v>
      </c>
      <c r="AW165" s="27"/>
      <c r="AY165" s="25" t="str">
        <f t="shared" si="348"/>
        <v>PyroRecy-LFP</v>
      </c>
      <c r="AZ165" s="26" t="s">
        <v>296</v>
      </c>
      <c r="BA165" s="25">
        <f t="shared" si="342"/>
        <v>0.013017332861690838</v>
      </c>
    </row>
    <row r="166" spans="21:53" ht="15.5">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spans="21:53" ht="15.5">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spans="21:53" ht="15.5">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spans="21:53" ht="15.5">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spans="21:53" ht="15.5">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spans="21:53" ht="15.5">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spans="21:53" ht="15.5">
      <c r="U172" s="23"/>
      <c r="V172" s="24" t="s">
        <v>292</v>
      </c>
      <c r="W172" s="23"/>
      <c r="Y172" s="25"/>
      <c r="Z172" s="23"/>
      <c r="AA172" s="24" t="s">
        <v>292</v>
      </c>
      <c r="AB172" s="23"/>
      <c r="AD172" s="25"/>
      <c r="AE172" s="23"/>
      <c r="AF172" s="24" t="s">
        <v>292</v>
      </c>
      <c r="AG172" s="23"/>
      <c r="AI172" s="25"/>
      <c r="AJ172" s="23"/>
      <c r="AK172" s="24" t="s">
        <v>292</v>
      </c>
      <c r="AL172" s="23"/>
      <c r="AN172" s="25"/>
      <c r="AO172" s="23"/>
      <c r="AP172" s="24" t="s">
        <v>292</v>
      </c>
      <c r="AQ172" s="23"/>
      <c r="AS172" s="25"/>
      <c r="AT172" s="23"/>
      <c r="AU172" s="24" t="s">
        <v>292</v>
      </c>
      <c r="AV172" s="23"/>
      <c r="AW172" s="25"/>
      <c r="AY172" s="23"/>
      <c r="AZ172" s="24" t="s">
        <v>292</v>
      </c>
      <c r="BA172" s="23"/>
    </row>
    <row r="173" spans="21:53" ht="15.5">
      <c r="U173" s="24" t="s">
        <v>65</v>
      </c>
      <c r="V173" s="24" t="s">
        <v>111</v>
      </c>
      <c r="W173" s="24" t="s">
        <v>25</v>
      </c>
      <c r="Y173" s="25"/>
      <c r="Z173" s="24" t="s">
        <v>65</v>
      </c>
      <c r="AA173" s="24" t="s">
        <v>111</v>
      </c>
      <c r="AB173" s="24" t="s">
        <v>25</v>
      </c>
      <c r="AD173" s="25"/>
      <c r="AE173" s="24" t="s">
        <v>65</v>
      </c>
      <c r="AF173" s="24" t="s">
        <v>111</v>
      </c>
      <c r="AG173" s="24" t="s">
        <v>25</v>
      </c>
      <c r="AI173" s="25"/>
      <c r="AJ173" s="24" t="s">
        <v>65</v>
      </c>
      <c r="AK173" s="24" t="s">
        <v>111</v>
      </c>
      <c r="AL173" s="24" t="s">
        <v>25</v>
      </c>
      <c r="AN173" s="25"/>
      <c r="AO173" s="24" t="s">
        <v>65</v>
      </c>
      <c r="AP173" s="24" t="s">
        <v>111</v>
      </c>
      <c r="AQ173" s="24" t="s">
        <v>25</v>
      </c>
      <c r="AS173" s="25"/>
      <c r="AT173" s="24" t="s">
        <v>65</v>
      </c>
      <c r="AU173" s="24" t="s">
        <v>111</v>
      </c>
      <c r="AV173" s="24" t="s">
        <v>25</v>
      </c>
      <c r="AW173" s="25"/>
      <c r="AY173" s="24" t="s">
        <v>65</v>
      </c>
      <c r="AZ173" s="24" t="s">
        <v>111</v>
      </c>
      <c r="BA173" s="24" t="s">
        <v>25</v>
      </c>
    </row>
    <row r="174" spans="21:53" ht="15.5">
      <c r="U174" s="25" t="s">
        <v>255</v>
      </c>
      <c r="V174" s="26" t="s">
        <v>293</v>
      </c>
      <c r="W174" s="25">
        <f t="shared" si="349" ref="W174:W177">W105</f>
        <v>0.011554657234293414</v>
      </c>
      <c r="Y174" s="25"/>
      <c r="Z174" s="25" t="s">
        <v>257</v>
      </c>
      <c r="AA174" s="26" t="s">
        <v>293</v>
      </c>
      <c r="AB174" s="25">
        <f t="shared" si="350" ref="AB174:AB177">X105</f>
        <v>0.011086398631308808</v>
      </c>
      <c r="AD174" s="25"/>
      <c r="AE174" s="25" t="s">
        <v>259</v>
      </c>
      <c r="AF174" s="26" t="s">
        <v>293</v>
      </c>
      <c r="AG174" s="25">
        <f t="shared" si="351" ref="AG174:AG177">Y105</f>
        <v>0.011461883408071721</v>
      </c>
      <c r="AI174" s="25"/>
      <c r="AJ174" s="25" t="s">
        <v>261</v>
      </c>
      <c r="AK174" s="26" t="s">
        <v>293</v>
      </c>
      <c r="AL174" s="25">
        <f t="shared" si="352" ref="AL174:AL177">Z105</f>
        <v>0.011751326762698994</v>
      </c>
      <c r="AN174" s="25"/>
      <c r="AO174" s="25" t="s">
        <v>253</v>
      </c>
      <c r="AP174" s="26" t="s">
        <v>293</v>
      </c>
      <c r="AQ174" s="25">
        <f t="shared" si="353" ref="AQ174:AQ177">AA105</f>
        <v>0.011970911803095285</v>
      </c>
      <c r="AS174" s="25"/>
      <c r="AT174" s="25" t="s">
        <v>252</v>
      </c>
      <c r="AU174" s="26" t="s">
        <v>293</v>
      </c>
      <c r="AV174" s="25">
        <f t="shared" si="354" ref="AV174:AV177">AB105</f>
        <v>0.0096162528216704179</v>
      </c>
      <c r="AW174" s="25"/>
      <c r="AY174" s="25" t="s">
        <v>250</v>
      </c>
      <c r="AZ174" s="26" t="s">
        <v>293</v>
      </c>
      <c r="BA174" s="25">
        <f t="shared" si="355" ref="BA174:BA177">AC105</f>
        <v>0.011301733286169069</v>
      </c>
    </row>
    <row r="175" spans="21:53" ht="15.5">
      <c r="U175" s="25" t="str">
        <f t="shared" si="356" ref="U175:U177">U174</f>
        <v>HydRecy-NMC111</v>
      </c>
      <c r="V175" s="26" t="s">
        <v>294</v>
      </c>
      <c r="W175" s="25">
        <f t="shared" si="349"/>
        <v>0.02521475492673067</v>
      </c>
      <c r="Y175" s="25"/>
      <c r="Z175" s="25" t="str">
        <f t="shared" si="357" ref="Z175:Z177">Z174</f>
        <v>HydRecy-NMC532</v>
      </c>
      <c r="AA175" s="26" t="s">
        <v>294</v>
      </c>
      <c r="AB175" s="25">
        <f t="shared" si="350"/>
        <v>0.024260051325919591</v>
      </c>
      <c r="AD175" s="25"/>
      <c r="AE175" s="25" t="str">
        <f t="shared" si="358" ref="AE175:AE177">AE174</f>
        <v>HydRecy-NMC622</v>
      </c>
      <c r="AF175" s="26" t="s">
        <v>294</v>
      </c>
      <c r="AG175" s="25">
        <f t="shared" si="351"/>
        <v>0.025094170403587444</v>
      </c>
      <c r="AI175" s="25"/>
      <c r="AJ175" s="25" t="str">
        <f t="shared" si="359" ref="AJ175:AJ177">AJ174</f>
        <v>HydRecy-NMC811</v>
      </c>
      <c r="AK175" s="26" t="s">
        <v>294</v>
      </c>
      <c r="AL175" s="25">
        <f t="shared" si="352"/>
        <v>0.025758150113722518</v>
      </c>
      <c r="AN175" s="25"/>
      <c r="AO175" s="25" t="str">
        <f t="shared" si="360" ref="AO175:AO177">AO174</f>
        <v>HydRecy-NCA</v>
      </c>
      <c r="AP175" s="26" t="s">
        <v>294</v>
      </c>
      <c r="AQ175" s="25">
        <f t="shared" si="353"/>
        <v>0.026253962334514262</v>
      </c>
      <c r="AS175" s="25"/>
      <c r="AT175" s="25" t="str">
        <f t="shared" si="361" ref="AT175:AT177">AT174</f>
        <v>HydRecy-LMO</v>
      </c>
      <c r="AU175" s="26" t="s">
        <v>294</v>
      </c>
      <c r="AV175" s="25">
        <f t="shared" si="354"/>
        <v>0.021053423626787058</v>
      </c>
      <c r="AW175" s="25"/>
      <c r="AY175" s="25" t="str">
        <f t="shared" si="362" ref="AY175:AY177">AY174</f>
        <v>HydRecy-LFP</v>
      </c>
      <c r="AZ175" s="26" t="s">
        <v>294</v>
      </c>
      <c r="BA175" s="25">
        <f t="shared" si="355"/>
        <v>0.024743544393349842</v>
      </c>
    </row>
    <row r="176" spans="21:53" ht="15.5">
      <c r="U176" s="25" t="str">
        <f t="shared" si="356"/>
        <v>HydRecy-NMC111</v>
      </c>
      <c r="V176" s="26" t="s">
        <v>295</v>
      </c>
      <c r="W176" s="25">
        <f t="shared" si="349"/>
        <v>0.0978103419235304</v>
      </c>
      <c r="Y176" s="25"/>
      <c r="Z176" s="25" t="str">
        <f t="shared" si="357"/>
        <v>HydRecy-NMC532</v>
      </c>
      <c r="AA176" s="26" t="s">
        <v>295</v>
      </c>
      <c r="AB176" s="25">
        <f t="shared" si="350"/>
        <v>0.094781864841745098</v>
      </c>
      <c r="AD176" s="25"/>
      <c r="AE176" s="25" t="str">
        <f t="shared" si="358"/>
        <v>HydRecy-NMC622</v>
      </c>
      <c r="AF176" s="26" t="s">
        <v>295</v>
      </c>
      <c r="AG176" s="25">
        <f t="shared" si="351"/>
        <v>0.098260089686098645</v>
      </c>
      <c r="AI176" s="25"/>
      <c r="AJ176" s="25" t="str">
        <f t="shared" si="359"/>
        <v>HydRecy-NMC811</v>
      </c>
      <c r="AK176" s="26" t="s">
        <v>295</v>
      </c>
      <c r="AL176" s="25">
        <f t="shared" si="352"/>
        <v>0.099696739954511004</v>
      </c>
      <c r="AN176" s="25"/>
      <c r="AO176" s="25" t="str">
        <f t="shared" si="360"/>
        <v>HydRecy-NCA</v>
      </c>
      <c r="AP176" s="26" t="s">
        <v>295</v>
      </c>
      <c r="AQ176" s="25">
        <f t="shared" si="353"/>
        <v>0.10395301137423082</v>
      </c>
      <c r="AS176" s="25"/>
      <c r="AT176" s="25" t="str">
        <f t="shared" si="361"/>
        <v>HydRecy-LMO</v>
      </c>
      <c r="AU176" s="26" t="s">
        <v>295</v>
      </c>
      <c r="AV176" s="25">
        <f t="shared" si="354"/>
        <v>0.082437923250564329</v>
      </c>
      <c r="AW176" s="25"/>
      <c r="AY176" s="25" t="str">
        <f t="shared" si="362"/>
        <v>HydRecy-LFP</v>
      </c>
      <c r="AZ176" s="26" t="s">
        <v>295</v>
      </c>
      <c r="BA176" s="25">
        <f t="shared" si="355"/>
        <v>0.096887159533073919</v>
      </c>
    </row>
    <row r="177" spans="21:53" ht="15.5">
      <c r="U177" s="25" t="str">
        <f t="shared" si="356"/>
        <v>HydRecy-NMC111</v>
      </c>
      <c r="V177" s="26" t="s">
        <v>296</v>
      </c>
      <c r="W177" s="25">
        <f t="shared" si="349"/>
        <v>0.013239009600808488</v>
      </c>
      <c r="Y177" s="27"/>
      <c r="Z177" s="25" t="str">
        <f t="shared" si="357"/>
        <v>HydRecy-NMC532</v>
      </c>
      <c r="AA177" s="26" t="s">
        <v>296</v>
      </c>
      <c r="AB177" s="25">
        <f t="shared" si="350"/>
        <v>0.013053892215568862</v>
      </c>
      <c r="AD177" s="27"/>
      <c r="AE177" s="25" t="str">
        <f t="shared" si="358"/>
        <v>HydRecy-NMC622</v>
      </c>
      <c r="AF177" s="26" t="s">
        <v>296</v>
      </c>
      <c r="AG177" s="25">
        <f t="shared" si="351"/>
        <v>0.013614349775784755</v>
      </c>
      <c r="AI177" s="27"/>
      <c r="AJ177" s="25" t="str">
        <f t="shared" si="359"/>
        <v>HydRecy-NMC811</v>
      </c>
      <c r="AK177" s="26" t="s">
        <v>296</v>
      </c>
      <c r="AL177" s="25">
        <f t="shared" si="352"/>
        <v>0.013968915845337378</v>
      </c>
      <c r="AN177" s="27"/>
      <c r="AO177" s="25" t="str">
        <f t="shared" si="360"/>
        <v>HydRecy-NCA</v>
      </c>
      <c r="AP177" s="26" t="s">
        <v>296</v>
      </c>
      <c r="AQ177" s="25">
        <f t="shared" si="353"/>
        <v>0.01417117285101622</v>
      </c>
      <c r="AS177" s="27"/>
      <c r="AT177" s="25" t="str">
        <f t="shared" si="361"/>
        <v>HydRecy-LMO</v>
      </c>
      <c r="AU177" s="26" t="s">
        <v>296</v>
      </c>
      <c r="AV177" s="25">
        <f t="shared" si="354"/>
        <v>0.01142212189616253</v>
      </c>
      <c r="AW177" s="27"/>
      <c r="AY177" s="25" t="str">
        <f t="shared" si="362"/>
        <v>HydRecy-LFP</v>
      </c>
      <c r="AZ177" s="26" t="s">
        <v>296</v>
      </c>
      <c r="BA177" s="25">
        <f t="shared" si="355"/>
        <v>0.01342412451361868</v>
      </c>
    </row>
    <row r="178" spans="21:53" ht="15.5">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spans="21:53" ht="15.5">
      <c r="U183" s="23"/>
      <c r="V183" s="24" t="s">
        <v>292</v>
      </c>
      <c r="W183" s="23"/>
      <c r="Y183" s="25"/>
      <c r="Z183" s="23"/>
      <c r="AA183" s="24" t="s">
        <v>292</v>
      </c>
      <c r="AB183" s="23"/>
      <c r="AD183" s="25"/>
      <c r="AE183" s="23"/>
      <c r="AF183" s="24" t="s">
        <v>292</v>
      </c>
      <c r="AG183" s="23"/>
      <c r="AI183" s="25"/>
      <c r="AJ183" s="23"/>
      <c r="AK183" s="24" t="s">
        <v>292</v>
      </c>
      <c r="AL183" s="23"/>
      <c r="AN183" s="25"/>
      <c r="AO183" s="23"/>
      <c r="AP183" s="24" t="s">
        <v>292</v>
      </c>
      <c r="AQ183" s="23"/>
      <c r="AS183" s="25"/>
      <c r="AT183" s="23"/>
      <c r="AU183" s="24" t="s">
        <v>292</v>
      </c>
      <c r="AV183" s="23"/>
      <c r="AW183" s="25"/>
      <c r="AY183" s="23"/>
      <c r="AZ183" s="24" t="s">
        <v>292</v>
      </c>
      <c r="BA183" s="23"/>
    </row>
    <row r="184" spans="21:53" ht="15.5">
      <c r="U184" s="24" t="s">
        <v>65</v>
      </c>
      <c r="V184" s="24" t="s">
        <v>111</v>
      </c>
      <c r="W184" s="24" t="s">
        <v>25</v>
      </c>
      <c r="Y184" s="25"/>
      <c r="Z184" s="24" t="s">
        <v>65</v>
      </c>
      <c r="AA184" s="24" t="s">
        <v>111</v>
      </c>
      <c r="AB184" s="24" t="s">
        <v>25</v>
      </c>
      <c r="AD184" s="25"/>
      <c r="AE184" s="24" t="s">
        <v>65</v>
      </c>
      <c r="AF184" s="24" t="s">
        <v>111</v>
      </c>
      <c r="AG184" s="24" t="s">
        <v>25</v>
      </c>
      <c r="AI184" s="25"/>
      <c r="AJ184" s="24" t="s">
        <v>65</v>
      </c>
      <c r="AK184" s="24" t="s">
        <v>111</v>
      </c>
      <c r="AL184" s="24" t="s">
        <v>25</v>
      </c>
      <c r="AN184" s="25"/>
      <c r="AO184" s="24" t="s">
        <v>65</v>
      </c>
      <c r="AP184" s="24" t="s">
        <v>111</v>
      </c>
      <c r="AQ184" s="24" t="s">
        <v>25</v>
      </c>
      <c r="AS184" s="25"/>
      <c r="AT184" s="24" t="s">
        <v>65</v>
      </c>
      <c r="AU184" s="24" t="s">
        <v>111</v>
      </c>
      <c r="AV184" s="24" t="s">
        <v>25</v>
      </c>
      <c r="AW184" s="25"/>
      <c r="AY184" s="24" t="s">
        <v>65</v>
      </c>
      <c r="AZ184" s="24" t="s">
        <v>111</v>
      </c>
      <c r="BA184" s="24" t="s">
        <v>25</v>
      </c>
    </row>
    <row r="185" spans="21:53" ht="15.5">
      <c r="U185" s="25" t="s">
        <v>268</v>
      </c>
      <c r="V185" s="26" t="s">
        <v>293</v>
      </c>
      <c r="W185" s="25">
        <f t="shared" si="363" ref="W185:W188">W125</f>
        <v>0.0078827690752905633</v>
      </c>
      <c r="Y185" s="25"/>
      <c r="Z185" s="25" t="s">
        <v>270</v>
      </c>
      <c r="AA185" s="26" t="s">
        <v>293</v>
      </c>
      <c r="AB185" s="25">
        <f t="shared" si="364" ref="AB185:AB188">X125</f>
        <v>0.0076475620188194843</v>
      </c>
      <c r="AD185" s="25"/>
      <c r="AE185" s="25" t="s">
        <v>272</v>
      </c>
      <c r="AF185" s="26" t="s">
        <v>293</v>
      </c>
      <c r="AG185" s="25">
        <f t="shared" si="365" ref="AG185:AG188">Y125</f>
        <v>0.0079461883408071809</v>
      </c>
      <c r="AI185" s="25"/>
      <c r="AJ185" s="25" t="s">
        <v>273</v>
      </c>
      <c r="AK185" s="26" t="s">
        <v>293</v>
      </c>
      <c r="AL185" s="25">
        <f t="shared" si="366" ref="AL185:AL188">Z125</f>
        <v>0.0079416224412433567</v>
      </c>
      <c r="AN185" s="25"/>
      <c r="AO185" s="25" t="s">
        <v>267</v>
      </c>
      <c r="AP185" s="26" t="s">
        <v>293</v>
      </c>
      <c r="AQ185" s="25">
        <f t="shared" si="367" ref="AQ185:AQ188">AA125</f>
        <v>0.0080179004288644523</v>
      </c>
      <c r="AS185" s="25"/>
      <c r="AT185" s="25" t="s">
        <v>265</v>
      </c>
      <c r="AU185" s="26" t="s">
        <v>293</v>
      </c>
      <c r="AV185" s="25">
        <f t="shared" si="368" ref="AV185:AV188">AB125</f>
        <v>0.006666666666666668</v>
      </c>
      <c r="AW185" s="25"/>
      <c r="AY185" s="25" t="s">
        <v>263</v>
      </c>
      <c r="AZ185" s="26" t="s">
        <v>293</v>
      </c>
      <c r="BA185" s="25">
        <f t="shared" si="369" ref="BA185:BA188">AC125</f>
        <v>0.0078351609480014073</v>
      </c>
    </row>
    <row r="186" spans="21:53" ht="15.5">
      <c r="U186" s="25" t="str">
        <f t="shared" si="370" ref="U186:U188">U185</f>
        <v>DirRecy-NMC111</v>
      </c>
      <c r="V186" s="26" t="s">
        <v>294</v>
      </c>
      <c r="W186" s="25">
        <f t="shared" si="363"/>
        <v>0.020111167256189996</v>
      </c>
      <c r="Y186" s="25"/>
      <c r="Z186" s="25" t="str">
        <f t="shared" si="371" ref="Z186:Z188">Z185</f>
        <v>DirRecy-NMC532</v>
      </c>
      <c r="AA186" s="26" t="s">
        <v>294</v>
      </c>
      <c r="AB186" s="25">
        <f t="shared" si="364"/>
        <v>0.019503849443969205</v>
      </c>
      <c r="AD186" s="25"/>
      <c r="AE186" s="25" t="str">
        <f t="shared" si="372" ref="AE186:AE188">AE185</f>
        <v>DirRecy-NMC622</v>
      </c>
      <c r="AF186" s="26" t="s">
        <v>294</v>
      </c>
      <c r="AG186" s="25">
        <f t="shared" si="365"/>
        <v>0.020215246636771302</v>
      </c>
      <c r="AI186" s="25"/>
      <c r="AJ186" s="25" t="str">
        <f t="shared" si="373" ref="AJ186:AJ188">AJ185</f>
        <v>DirRecy-NMC811</v>
      </c>
      <c r="AK186" s="26" t="s">
        <v>294</v>
      </c>
      <c r="AL186" s="25">
        <f t="shared" si="366"/>
        <v>0.020109931766489765</v>
      </c>
      <c r="AN186" s="25"/>
      <c r="AO186" s="25" t="str">
        <f t="shared" si="374" ref="AO186:AO188">AO185</f>
        <v>DirRecy-NCA</v>
      </c>
      <c r="AP186" s="26" t="s">
        <v>294</v>
      </c>
      <c r="AQ186" s="25">
        <f t="shared" si="367"/>
        <v>0.020399030393436511</v>
      </c>
      <c r="AS186" s="25"/>
      <c r="AT186" s="25" t="str">
        <f t="shared" si="375" ref="AT186:AT188">AT185</f>
        <v>DirRecy-LMO</v>
      </c>
      <c r="AU186" s="26" t="s">
        <v>294</v>
      </c>
      <c r="AV186" s="25">
        <f t="shared" si="368"/>
        <v>0.016960120391271635</v>
      </c>
      <c r="AW186" s="25"/>
      <c r="AY186" s="25" t="str">
        <f t="shared" si="376" ref="AY186:AY188">AY185</f>
        <v>DirRecy-LFP</v>
      </c>
      <c r="AZ186" s="26" t="s">
        <v>294</v>
      </c>
      <c r="BA186" s="25">
        <f t="shared" si="369"/>
        <v>0.0199327909444641</v>
      </c>
    </row>
    <row r="187" spans="21:53" ht="15.5">
      <c r="U187" s="25" t="str">
        <f t="shared" si="370"/>
        <v>DirRecy-NMC111</v>
      </c>
      <c r="V187" s="26" t="s">
        <v>295</v>
      </c>
      <c r="W187" s="25">
        <f t="shared" si="363"/>
        <v>0.064123294593228894</v>
      </c>
      <c r="Y187" s="25"/>
      <c r="Z187" s="25" t="str">
        <f t="shared" si="371"/>
        <v>DirRecy-NMC532</v>
      </c>
      <c r="AA187" s="26" t="s">
        <v>295</v>
      </c>
      <c r="AB187" s="25">
        <f t="shared" si="364"/>
        <v>0.063353293413173653</v>
      </c>
      <c r="AD187" s="25"/>
      <c r="AE187" s="25" t="str">
        <f t="shared" si="372"/>
        <v>DirRecy-NMC622</v>
      </c>
      <c r="AF187" s="26" t="s">
        <v>295</v>
      </c>
      <c r="AG187" s="25">
        <f t="shared" si="365"/>
        <v>0.065991031390134527</v>
      </c>
      <c r="AI187" s="25"/>
      <c r="AJ187" s="25" t="str">
        <f t="shared" si="373"/>
        <v>DirRecy-NMC811</v>
      </c>
      <c r="AK187" s="26" t="s">
        <v>295</v>
      </c>
      <c r="AL187" s="25">
        <f t="shared" si="366"/>
        <v>0.06732373009855952</v>
      </c>
      <c r="AN187" s="25"/>
      <c r="AO187" s="25" t="str">
        <f t="shared" si="374"/>
        <v>DirRecy-NCA</v>
      </c>
      <c r="AP187" s="26" t="s">
        <v>295</v>
      </c>
      <c r="AQ187" s="25">
        <f t="shared" si="367"/>
        <v>0.067369009882528433</v>
      </c>
      <c r="AS187" s="25"/>
      <c r="AT187" s="25" t="str">
        <f t="shared" si="375"/>
        <v>DirRecy-LMO</v>
      </c>
      <c r="AU187" s="26" t="s">
        <v>295</v>
      </c>
      <c r="AV187" s="25">
        <f t="shared" si="368"/>
        <v>0.05536493604213695</v>
      </c>
      <c r="AW187" s="25"/>
      <c r="AY187" s="25" t="str">
        <f t="shared" si="376"/>
        <v>DirRecy-LFP</v>
      </c>
      <c r="AZ187" s="26" t="s">
        <v>295</v>
      </c>
      <c r="BA187" s="25">
        <f t="shared" si="369"/>
        <v>0.065068977714892118</v>
      </c>
    </row>
    <row r="188" spans="21:53" ht="15.5">
      <c r="U188" s="25" t="str">
        <f t="shared" si="370"/>
        <v>DirRecy-NMC111</v>
      </c>
      <c r="V188" s="26" t="s">
        <v>296</v>
      </c>
      <c r="W188" s="25">
        <f t="shared" si="363"/>
        <v>0.012969513222166076</v>
      </c>
      <c r="Y188" s="27"/>
      <c r="Z188" s="25" t="str">
        <f t="shared" si="371"/>
        <v>DirRecy-NMC532</v>
      </c>
      <c r="AA188" s="26" t="s">
        <v>296</v>
      </c>
      <c r="AB188" s="25">
        <f t="shared" si="364"/>
        <v>0.012814371257485031</v>
      </c>
      <c r="AD188" s="27"/>
      <c r="AE188" s="25" t="str">
        <f t="shared" si="372"/>
        <v>DirRecy-NMC622</v>
      </c>
      <c r="AF188" s="26" t="s">
        <v>296</v>
      </c>
      <c r="AG188" s="25">
        <f t="shared" si="365"/>
        <v>0.013345291479820628</v>
      </c>
      <c r="AI188" s="27"/>
      <c r="AJ188" s="25" t="str">
        <f t="shared" si="373"/>
        <v>DirRecy-NMC811</v>
      </c>
      <c r="AK188" s="26" t="s">
        <v>296</v>
      </c>
      <c r="AL188" s="25">
        <f t="shared" si="366"/>
        <v>0.013589840788476118</v>
      </c>
      <c r="AN188" s="27"/>
      <c r="AO188" s="25" t="str">
        <f t="shared" si="374"/>
        <v>DirRecy-NCA</v>
      </c>
      <c r="AP188" s="26" t="s">
        <v>296</v>
      </c>
      <c r="AQ188" s="25">
        <f t="shared" si="367"/>
        <v>0.013630430729069548</v>
      </c>
      <c r="AS188" s="27"/>
      <c r="AT188" s="25" t="str">
        <f t="shared" si="375"/>
        <v>DirRecy-LMO</v>
      </c>
      <c r="AU188" s="26" t="s">
        <v>296</v>
      </c>
      <c r="AV188" s="25">
        <f t="shared" si="368"/>
        <v>0.011196388261851018</v>
      </c>
      <c r="AW188" s="27"/>
      <c r="AY188" s="25" t="str">
        <f t="shared" si="376"/>
        <v>DirRecy-LFP</v>
      </c>
      <c r="AZ188" s="26" t="s">
        <v>296</v>
      </c>
      <c r="BA188" s="25">
        <f t="shared" si="369"/>
        <v>0.013158825610187479</v>
      </c>
    </row>
    <row r="198" spans="22:52" ht="14.5">
      <c r="V198" s="3" t="s">
        <v>292</v>
      </c>
      <c r="AA198" s="3" t="s">
        <v>292</v>
      </c>
      <c r="AF198" s="3" t="s">
        <v>292</v>
      </c>
      <c r="AK198" s="3" t="s">
        <v>292</v>
      </c>
      <c r="AP198" s="3" t="s">
        <v>292</v>
      </c>
      <c r="AU198" s="3" t="s">
        <v>292</v>
      </c>
      <c r="AZ198" s="3" t="s">
        <v>292</v>
      </c>
    </row>
    <row r="199" spans="21:54" ht="15.5">
      <c r="U199" s="3" t="s">
        <v>65</v>
      </c>
      <c r="V199" s="3" t="s">
        <v>111</v>
      </c>
      <c r="W199" s="3" t="s">
        <v>25</v>
      </c>
      <c r="X199" s="25" t="s">
        <v>41</v>
      </c>
      <c r="Z199" s="3" t="s">
        <v>65</v>
      </c>
      <c r="AA199" s="3" t="s">
        <v>111</v>
      </c>
      <c r="AB199" s="3" t="s">
        <v>25</v>
      </c>
      <c r="AC199" s="25" t="s">
        <v>41</v>
      </c>
      <c r="AE199" s="3" t="s">
        <v>65</v>
      </c>
      <c r="AF199" s="3" t="s">
        <v>111</v>
      </c>
      <c r="AG199" s="3" t="s">
        <v>25</v>
      </c>
      <c r="AH199" s="25" t="s">
        <v>41</v>
      </c>
      <c r="AJ199" s="3" t="s">
        <v>65</v>
      </c>
      <c r="AK199" s="3" t="s">
        <v>111</v>
      </c>
      <c r="AL199" s="3" t="s">
        <v>25</v>
      </c>
      <c r="AM199" s="25" t="s">
        <v>41</v>
      </c>
      <c r="AO199" s="3" t="s">
        <v>65</v>
      </c>
      <c r="AP199" s="3" t="s">
        <v>111</v>
      </c>
      <c r="AQ199" s="3" t="s">
        <v>25</v>
      </c>
      <c r="AR199" s="25" t="s">
        <v>41</v>
      </c>
      <c r="AT199" s="3" t="s">
        <v>65</v>
      </c>
      <c r="AU199" s="3" t="s">
        <v>111</v>
      </c>
      <c r="AV199" s="3" t="s">
        <v>25</v>
      </c>
      <c r="AW199" s="25" t="s">
        <v>41</v>
      </c>
      <c r="AY199" s="3" t="s">
        <v>65</v>
      </c>
      <c r="AZ199" s="3" t="s">
        <v>111</v>
      </c>
      <c r="BA199" s="3" t="s">
        <v>25</v>
      </c>
      <c r="BB199" s="25" t="s">
        <v>41</v>
      </c>
    </row>
    <row r="200" spans="21:54" ht="15.5">
      <c r="U200" s="3" t="s">
        <v>242</v>
      </c>
      <c r="V200" s="3" t="s">
        <v>293</v>
      </c>
      <c r="W200" s="3">
        <f>SUM(W162:W165)</f>
        <v>0.13611251473808317</v>
      </c>
      <c r="X200" s="25" t="s">
        <v>318</v>
      </c>
      <c r="Z200" s="3" t="s">
        <v>244</v>
      </c>
      <c r="AA200" s="3" t="s">
        <v>293</v>
      </c>
      <c r="AB200" s="3">
        <f>SUM(AB162:AB165)</f>
        <v>0.13180496150556031</v>
      </c>
      <c r="AC200" s="25" t="s">
        <v>318</v>
      </c>
      <c r="AE200" s="3" t="s">
        <v>246</v>
      </c>
      <c r="AF200" s="3" t="s">
        <v>293</v>
      </c>
      <c r="AG200" s="3">
        <f>SUM(AG162:AG165)</f>
        <v>0.13630493273542599</v>
      </c>
      <c r="AH200" s="25" t="s">
        <v>318</v>
      </c>
      <c r="AJ200" s="3" t="s">
        <v>248</v>
      </c>
      <c r="AK200" s="3" t="s">
        <v>293</v>
      </c>
      <c r="AL200" s="3">
        <f>SUM(AL162:AL165)</f>
        <v>0.14310083396512513</v>
      </c>
      <c r="AM200" s="25" t="s">
        <v>318</v>
      </c>
      <c r="AO200" s="3" t="s">
        <v>240</v>
      </c>
      <c r="AP200" s="3" t="s">
        <v>293</v>
      </c>
      <c r="AQ200" s="3">
        <f>SUM(AQ162:AQ165)</f>
        <v>0.14840574305426069</v>
      </c>
      <c r="AR200" s="25" t="s">
        <v>318</v>
      </c>
      <c r="AT200" s="3" t="s">
        <v>238</v>
      </c>
      <c r="AU200" s="3" t="s">
        <v>293</v>
      </c>
      <c r="AV200" s="3">
        <f>SUM(AV162:AV165)</f>
        <v>0.11435665914221219</v>
      </c>
      <c r="AW200" s="25" t="s">
        <v>318</v>
      </c>
      <c r="AY200" s="3" t="s">
        <v>236</v>
      </c>
      <c r="AZ200" s="3" t="s">
        <v>293</v>
      </c>
      <c r="BA200" s="3">
        <f>SUM(BA162:BA165)</f>
        <v>0.13440042447824549</v>
      </c>
      <c r="BB200" s="25" t="s">
        <v>318</v>
      </c>
    </row>
    <row r="201" spans="21:54" ht="15.5">
      <c r="U201" s="3" t="s">
        <v>242</v>
      </c>
      <c r="V201" s="3" t="s">
        <v>294</v>
      </c>
      <c r="W201" s="3">
        <v>0</v>
      </c>
      <c r="X201" s="25" t="s">
        <v>318</v>
      </c>
      <c r="Z201" s="3" t="s">
        <v>244</v>
      </c>
      <c r="AA201" s="3" t="s">
        <v>294</v>
      </c>
      <c r="AB201" s="3">
        <v>0</v>
      </c>
      <c r="AC201" s="25" t="s">
        <v>318</v>
      </c>
      <c r="AE201" s="3" t="s">
        <v>246</v>
      </c>
      <c r="AF201" s="3" t="s">
        <v>294</v>
      </c>
      <c r="AG201" s="3">
        <v>0</v>
      </c>
      <c r="AH201" s="25" t="s">
        <v>318</v>
      </c>
      <c r="AJ201" s="3" t="s">
        <v>248</v>
      </c>
      <c r="AK201" s="3" t="s">
        <v>294</v>
      </c>
      <c r="AL201" s="3">
        <v>0</v>
      </c>
      <c r="AM201" s="25" t="s">
        <v>318</v>
      </c>
      <c r="AO201" s="3" t="s">
        <v>240</v>
      </c>
      <c r="AP201" s="3" t="s">
        <v>294</v>
      </c>
      <c r="AQ201" s="3">
        <v>0</v>
      </c>
      <c r="AR201" s="25" t="s">
        <v>318</v>
      </c>
      <c r="AT201" s="3" t="s">
        <v>238</v>
      </c>
      <c r="AU201" s="3" t="s">
        <v>294</v>
      </c>
      <c r="AV201" s="3">
        <v>0</v>
      </c>
      <c r="AW201" s="25" t="s">
        <v>318</v>
      </c>
      <c r="AY201" s="3" t="s">
        <v>236</v>
      </c>
      <c r="AZ201" s="3" t="s">
        <v>294</v>
      </c>
      <c r="BA201" s="3">
        <v>0</v>
      </c>
      <c r="BB201" s="25" t="s">
        <v>318</v>
      </c>
    </row>
    <row r="202" spans="21:54" ht="15.5">
      <c r="U202" s="3" t="s">
        <v>242</v>
      </c>
      <c r="V202" s="3" t="s">
        <v>295</v>
      </c>
      <c r="W202" s="3">
        <v>0</v>
      </c>
      <c r="X202" s="25" t="s">
        <v>318</v>
      </c>
      <c r="Z202" s="3" t="s">
        <v>244</v>
      </c>
      <c r="AA202" s="3" t="s">
        <v>295</v>
      </c>
      <c r="AB202" s="3">
        <v>0</v>
      </c>
      <c r="AC202" s="25" t="s">
        <v>318</v>
      </c>
      <c r="AE202" s="3" t="s">
        <v>246</v>
      </c>
      <c r="AF202" s="3" t="s">
        <v>295</v>
      </c>
      <c r="AG202" s="3">
        <v>0</v>
      </c>
      <c r="AH202" s="25" t="s">
        <v>318</v>
      </c>
      <c r="AJ202" s="3" t="s">
        <v>248</v>
      </c>
      <c r="AK202" s="3" t="s">
        <v>295</v>
      </c>
      <c r="AL202" s="3">
        <v>0</v>
      </c>
      <c r="AM202" s="25" t="s">
        <v>318</v>
      </c>
      <c r="AO202" s="3" t="s">
        <v>240</v>
      </c>
      <c r="AP202" s="3" t="s">
        <v>295</v>
      </c>
      <c r="AQ202" s="3">
        <v>0</v>
      </c>
      <c r="AR202" s="25" t="s">
        <v>318</v>
      </c>
      <c r="AT202" s="3" t="s">
        <v>238</v>
      </c>
      <c r="AU202" s="3" t="s">
        <v>295</v>
      </c>
      <c r="AV202" s="3">
        <v>0</v>
      </c>
      <c r="AW202" s="25" t="s">
        <v>318</v>
      </c>
      <c r="AY202" s="3" t="s">
        <v>236</v>
      </c>
      <c r="AZ202" s="3" t="s">
        <v>295</v>
      </c>
      <c r="BA202" s="3">
        <v>0</v>
      </c>
      <c r="BB202" s="25" t="s">
        <v>318</v>
      </c>
    </row>
    <row r="203" spans="21:54" ht="15.5">
      <c r="U203" s="3" t="s">
        <v>242</v>
      </c>
      <c r="V203" s="3" t="s">
        <v>296</v>
      </c>
      <c r="W203" s="3">
        <v>0</v>
      </c>
      <c r="X203" s="25" t="s">
        <v>318</v>
      </c>
      <c r="Z203" s="3" t="s">
        <v>244</v>
      </c>
      <c r="AA203" s="3" t="s">
        <v>296</v>
      </c>
      <c r="AB203" s="3">
        <v>0</v>
      </c>
      <c r="AC203" s="25" t="s">
        <v>318</v>
      </c>
      <c r="AE203" s="3" t="s">
        <v>246</v>
      </c>
      <c r="AF203" s="3" t="s">
        <v>296</v>
      </c>
      <c r="AG203" s="3">
        <v>0</v>
      </c>
      <c r="AH203" s="25" t="s">
        <v>318</v>
      </c>
      <c r="AJ203" s="3" t="s">
        <v>248</v>
      </c>
      <c r="AK203" s="3" t="s">
        <v>296</v>
      </c>
      <c r="AL203" s="3">
        <v>0</v>
      </c>
      <c r="AM203" s="25" t="s">
        <v>318</v>
      </c>
      <c r="AO203" s="3" t="s">
        <v>240</v>
      </c>
      <c r="AP203" s="3" t="s">
        <v>296</v>
      </c>
      <c r="AQ203" s="3">
        <v>0</v>
      </c>
      <c r="AR203" s="25" t="s">
        <v>318</v>
      </c>
      <c r="AT203" s="3" t="s">
        <v>238</v>
      </c>
      <c r="AU203" s="3" t="s">
        <v>296</v>
      </c>
      <c r="AV203" s="3">
        <v>0</v>
      </c>
      <c r="AW203" s="25" t="s">
        <v>318</v>
      </c>
      <c r="AY203" s="3" t="s">
        <v>236</v>
      </c>
      <c r="AZ203" s="3" t="s">
        <v>296</v>
      </c>
      <c r="BA203" s="3">
        <v>0</v>
      </c>
      <c r="BB203" s="25" t="s">
        <v>318</v>
      </c>
    </row>
    <row r="210" spans="22:52" ht="14.5">
      <c r="V210" s="3" t="s">
        <v>292</v>
      </c>
      <c r="AA210" s="3" t="s">
        <v>292</v>
      </c>
      <c r="AF210" s="3" t="s">
        <v>292</v>
      </c>
      <c r="AK210" s="3" t="s">
        <v>292</v>
      </c>
      <c r="AP210" s="3" t="s">
        <v>292</v>
      </c>
      <c r="AU210" s="3" t="s">
        <v>292</v>
      </c>
      <c r="AZ210" s="3" t="s">
        <v>292</v>
      </c>
    </row>
    <row r="211" spans="21:54" ht="15.5">
      <c r="U211" s="3" t="s">
        <v>65</v>
      </c>
      <c r="V211" s="3" t="s">
        <v>111</v>
      </c>
      <c r="W211" s="3" t="s">
        <v>25</v>
      </c>
      <c r="X211" s="25" t="s">
        <v>41</v>
      </c>
      <c r="Z211" s="3" t="s">
        <v>65</v>
      </c>
      <c r="AA211" s="3" t="s">
        <v>111</v>
      </c>
      <c r="AB211" s="3" t="s">
        <v>25</v>
      </c>
      <c r="AC211" s="25" t="s">
        <v>41</v>
      </c>
      <c r="AE211" s="3" t="s">
        <v>65</v>
      </c>
      <c r="AF211" s="3" t="s">
        <v>111</v>
      </c>
      <c r="AG211" s="3" t="s">
        <v>25</v>
      </c>
      <c r="AH211" s="25" t="s">
        <v>41</v>
      </c>
      <c r="AJ211" s="3" t="s">
        <v>65</v>
      </c>
      <c r="AK211" s="3" t="s">
        <v>111</v>
      </c>
      <c r="AL211" s="3" t="s">
        <v>25</v>
      </c>
      <c r="AM211" s="25" t="s">
        <v>41</v>
      </c>
      <c r="AO211" s="3" t="s">
        <v>65</v>
      </c>
      <c r="AP211" s="3" t="s">
        <v>111</v>
      </c>
      <c r="AQ211" s="3" t="s">
        <v>25</v>
      </c>
      <c r="AR211" s="25" t="s">
        <v>41</v>
      </c>
      <c r="AT211" s="3" t="s">
        <v>65</v>
      </c>
      <c r="AU211" s="3" t="s">
        <v>111</v>
      </c>
      <c r="AV211" s="3" t="s">
        <v>25</v>
      </c>
      <c r="AW211" s="25" t="s">
        <v>41</v>
      </c>
      <c r="AY211" s="3" t="s">
        <v>65</v>
      </c>
      <c r="AZ211" s="3" t="s">
        <v>111</v>
      </c>
      <c r="BA211" s="3" t="s">
        <v>25</v>
      </c>
      <c r="BB211" s="25" t="s">
        <v>41</v>
      </c>
    </row>
    <row r="212" spans="21:54" ht="15.5">
      <c r="U212" s="3" t="s">
        <v>255</v>
      </c>
      <c r="V212" s="3" t="s">
        <v>293</v>
      </c>
      <c r="W212" s="3">
        <f>SUM(W174:W177)</f>
        <v>0.14781876368536295</v>
      </c>
      <c r="X212" s="25" t="s">
        <v>318</v>
      </c>
      <c r="Z212" s="3" t="s">
        <v>257</v>
      </c>
      <c r="AA212" s="3" t="s">
        <v>293</v>
      </c>
      <c r="AB212" s="3">
        <f>SUM(AB174:AB177)</f>
        <v>0.14318220701454235</v>
      </c>
      <c r="AC212" s="25" t="s">
        <v>318</v>
      </c>
      <c r="AE212" s="3" t="s">
        <v>259</v>
      </c>
      <c r="AF212" s="3" t="s">
        <v>293</v>
      </c>
      <c r="AG212" s="3">
        <f>SUM(AG174:AG177)</f>
        <v>0.14843049327354257</v>
      </c>
      <c r="AH212" s="25" t="s">
        <v>318</v>
      </c>
      <c r="AJ212" s="3" t="s">
        <v>261</v>
      </c>
      <c r="AK212" s="3" t="s">
        <v>293</v>
      </c>
      <c r="AL212" s="3">
        <f>SUM(AL174:AL177)</f>
        <v>0.15117513267626989</v>
      </c>
      <c r="AM212" s="25" t="s">
        <v>318</v>
      </c>
      <c r="AO212" s="3" t="s">
        <v>253</v>
      </c>
      <c r="AP212" s="3" t="s">
        <v>293</v>
      </c>
      <c r="AQ212" s="3">
        <f>SUM(AQ174:AQ177)</f>
        <v>0.15634905836285659</v>
      </c>
      <c r="AR212" s="25" t="s">
        <v>318</v>
      </c>
      <c r="AT212" s="3" t="s">
        <v>252</v>
      </c>
      <c r="AU212" s="3" t="s">
        <v>293</v>
      </c>
      <c r="AV212" s="3">
        <f>SUM(AV174:AV177)</f>
        <v>0.12452972159518433</v>
      </c>
      <c r="AW212" s="25" t="s">
        <v>318</v>
      </c>
      <c r="AY212" s="3" t="s">
        <v>250</v>
      </c>
      <c r="AZ212" s="3" t="s">
        <v>293</v>
      </c>
      <c r="BA212" s="3">
        <f>SUM(BA174:BA177)</f>
        <v>0.14635656172621153</v>
      </c>
      <c r="BB212" s="25" t="s">
        <v>318</v>
      </c>
    </row>
    <row r="213" spans="21:54" ht="15.5">
      <c r="U213" s="3" t="s">
        <v>255</v>
      </c>
      <c r="V213" s="3" t="s">
        <v>294</v>
      </c>
      <c r="W213" s="3">
        <v>0</v>
      </c>
      <c r="X213" s="25" t="s">
        <v>318</v>
      </c>
      <c r="Z213" s="3" t="s">
        <v>257</v>
      </c>
      <c r="AA213" s="3" t="s">
        <v>294</v>
      </c>
      <c r="AB213" s="3">
        <v>0</v>
      </c>
      <c r="AC213" s="25" t="s">
        <v>318</v>
      </c>
      <c r="AE213" s="3" t="s">
        <v>259</v>
      </c>
      <c r="AF213" s="3" t="s">
        <v>294</v>
      </c>
      <c r="AG213" s="3">
        <v>0</v>
      </c>
      <c r="AH213" s="25" t="s">
        <v>318</v>
      </c>
      <c r="AJ213" s="3" t="s">
        <v>261</v>
      </c>
      <c r="AK213" s="3" t="s">
        <v>294</v>
      </c>
      <c r="AL213" s="3">
        <v>0</v>
      </c>
      <c r="AM213" s="25" t="s">
        <v>318</v>
      </c>
      <c r="AO213" s="3" t="s">
        <v>253</v>
      </c>
      <c r="AP213" s="3" t="s">
        <v>294</v>
      </c>
      <c r="AQ213" s="3">
        <v>0</v>
      </c>
      <c r="AR213" s="25" t="s">
        <v>318</v>
      </c>
      <c r="AT213" s="3" t="s">
        <v>252</v>
      </c>
      <c r="AU213" s="3" t="s">
        <v>294</v>
      </c>
      <c r="AV213" s="3">
        <v>0</v>
      </c>
      <c r="AW213" s="25" t="s">
        <v>318</v>
      </c>
      <c r="AY213" s="3" t="s">
        <v>250</v>
      </c>
      <c r="AZ213" s="3" t="s">
        <v>294</v>
      </c>
      <c r="BA213" s="3">
        <v>0</v>
      </c>
      <c r="BB213" s="25" t="s">
        <v>318</v>
      </c>
    </row>
    <row r="214" spans="21:54" ht="15.5">
      <c r="U214" s="3" t="s">
        <v>255</v>
      </c>
      <c r="V214" s="3" t="s">
        <v>295</v>
      </c>
      <c r="W214" s="3">
        <v>0</v>
      </c>
      <c r="X214" s="25" t="s">
        <v>318</v>
      </c>
      <c r="Z214" s="3" t="s">
        <v>257</v>
      </c>
      <c r="AA214" s="3" t="s">
        <v>295</v>
      </c>
      <c r="AB214" s="3">
        <v>0</v>
      </c>
      <c r="AC214" s="25" t="s">
        <v>318</v>
      </c>
      <c r="AE214" s="3" t="s">
        <v>259</v>
      </c>
      <c r="AF214" s="3" t="s">
        <v>295</v>
      </c>
      <c r="AG214" s="3">
        <v>0</v>
      </c>
      <c r="AH214" s="25" t="s">
        <v>318</v>
      </c>
      <c r="AJ214" s="3" t="s">
        <v>261</v>
      </c>
      <c r="AK214" s="3" t="s">
        <v>295</v>
      </c>
      <c r="AL214" s="3">
        <v>0</v>
      </c>
      <c r="AM214" s="25" t="s">
        <v>318</v>
      </c>
      <c r="AO214" s="3" t="s">
        <v>253</v>
      </c>
      <c r="AP214" s="3" t="s">
        <v>295</v>
      </c>
      <c r="AQ214" s="3">
        <v>0</v>
      </c>
      <c r="AR214" s="25" t="s">
        <v>318</v>
      </c>
      <c r="AT214" s="3" t="s">
        <v>252</v>
      </c>
      <c r="AU214" s="3" t="s">
        <v>295</v>
      </c>
      <c r="AV214" s="3">
        <v>0</v>
      </c>
      <c r="AW214" s="25" t="s">
        <v>318</v>
      </c>
      <c r="AY214" s="3" t="s">
        <v>250</v>
      </c>
      <c r="AZ214" s="3" t="s">
        <v>295</v>
      </c>
      <c r="BA214" s="3">
        <v>0</v>
      </c>
      <c r="BB214" s="25" t="s">
        <v>318</v>
      </c>
    </row>
    <row r="215" spans="21:54" ht="15.5">
      <c r="U215" s="3" t="s">
        <v>255</v>
      </c>
      <c r="V215" s="3" t="s">
        <v>296</v>
      </c>
      <c r="W215" s="3">
        <v>0</v>
      </c>
      <c r="X215" s="25" t="s">
        <v>318</v>
      </c>
      <c r="Z215" s="3" t="s">
        <v>257</v>
      </c>
      <c r="AA215" s="3" t="s">
        <v>296</v>
      </c>
      <c r="AB215" s="3">
        <v>0</v>
      </c>
      <c r="AC215" s="25" t="s">
        <v>318</v>
      </c>
      <c r="AE215" s="3" t="s">
        <v>259</v>
      </c>
      <c r="AF215" s="3" t="s">
        <v>296</v>
      </c>
      <c r="AG215" s="3">
        <v>0</v>
      </c>
      <c r="AH215" s="25" t="s">
        <v>318</v>
      </c>
      <c r="AJ215" s="3" t="s">
        <v>261</v>
      </c>
      <c r="AK215" s="3" t="s">
        <v>296</v>
      </c>
      <c r="AL215" s="3">
        <v>0</v>
      </c>
      <c r="AM215" s="25" t="s">
        <v>318</v>
      </c>
      <c r="AO215" s="3" t="s">
        <v>253</v>
      </c>
      <c r="AP215" s="3" t="s">
        <v>296</v>
      </c>
      <c r="AQ215" s="3">
        <v>0</v>
      </c>
      <c r="AR215" s="25" t="s">
        <v>318</v>
      </c>
      <c r="AT215" s="3" t="s">
        <v>252</v>
      </c>
      <c r="AU215" s="3" t="s">
        <v>296</v>
      </c>
      <c r="AV215" s="3">
        <v>0</v>
      </c>
      <c r="AW215" s="25" t="s">
        <v>318</v>
      </c>
      <c r="AY215" s="3" t="s">
        <v>250</v>
      </c>
      <c r="AZ215" s="3" t="s">
        <v>296</v>
      </c>
      <c r="BA215" s="3">
        <v>0</v>
      </c>
      <c r="BB215" s="25" t="s">
        <v>318</v>
      </c>
    </row>
    <row r="221" spans="22:52" ht="14.5">
      <c r="V221" s="3" t="s">
        <v>292</v>
      </c>
      <c r="AA221" s="3" t="s">
        <v>292</v>
      </c>
      <c r="AF221" s="3" t="s">
        <v>292</v>
      </c>
      <c r="AK221" s="3" t="s">
        <v>292</v>
      </c>
      <c r="AP221" s="3" t="s">
        <v>292</v>
      </c>
      <c r="AU221" s="3" t="s">
        <v>292</v>
      </c>
      <c r="AZ221" s="3" t="s">
        <v>292</v>
      </c>
    </row>
    <row r="222" spans="21:54" ht="15.5">
      <c r="U222" s="3" t="s">
        <v>65</v>
      </c>
      <c r="V222" s="3" t="s">
        <v>111</v>
      </c>
      <c r="W222" s="3" t="s">
        <v>25</v>
      </c>
      <c r="X222" s="25" t="s">
        <v>41</v>
      </c>
      <c r="Z222" s="3" t="s">
        <v>65</v>
      </c>
      <c r="AA222" s="3" t="s">
        <v>111</v>
      </c>
      <c r="AB222" s="3" t="s">
        <v>25</v>
      </c>
      <c r="AC222" s="25" t="s">
        <v>41</v>
      </c>
      <c r="AE222" s="3" t="s">
        <v>65</v>
      </c>
      <c r="AF222" s="3" t="s">
        <v>111</v>
      </c>
      <c r="AG222" s="3" t="s">
        <v>25</v>
      </c>
      <c r="AH222" s="25" t="s">
        <v>41</v>
      </c>
      <c r="AJ222" s="3" t="s">
        <v>65</v>
      </c>
      <c r="AK222" s="3" t="s">
        <v>111</v>
      </c>
      <c r="AL222" s="3" t="s">
        <v>25</v>
      </c>
      <c r="AM222" s="25" t="s">
        <v>41</v>
      </c>
      <c r="AO222" s="3" t="s">
        <v>65</v>
      </c>
      <c r="AP222" s="3" t="s">
        <v>111</v>
      </c>
      <c r="AQ222" s="3" t="s">
        <v>25</v>
      </c>
      <c r="AR222" s="25" t="s">
        <v>41</v>
      </c>
      <c r="AT222" s="3" t="s">
        <v>65</v>
      </c>
      <c r="AU222" s="3" t="s">
        <v>111</v>
      </c>
      <c r="AV222" s="3" t="s">
        <v>25</v>
      </c>
      <c r="AW222" s="25" t="s">
        <v>41</v>
      </c>
      <c r="AY222" s="3" t="s">
        <v>65</v>
      </c>
      <c r="AZ222" s="3" t="s">
        <v>111</v>
      </c>
      <c r="BA222" s="3" t="s">
        <v>25</v>
      </c>
      <c r="BB222" s="25" t="s">
        <v>41</v>
      </c>
    </row>
    <row r="223" spans="21:54" ht="15.5">
      <c r="U223" s="3" t="s">
        <v>268</v>
      </c>
      <c r="V223" s="3" t="s">
        <v>293</v>
      </c>
      <c r="W223" s="3">
        <f>SUM(W185:W188)</f>
        <v>0.10508674414687554</v>
      </c>
      <c r="X223" s="25" t="s">
        <v>318</v>
      </c>
      <c r="Z223" s="3" t="s">
        <v>270</v>
      </c>
      <c r="AA223" s="3" t="s">
        <v>293</v>
      </c>
      <c r="AB223" s="3">
        <f>SUM(AB185:AB188)</f>
        <v>0.10331907613344737</v>
      </c>
      <c r="AC223" s="25" t="s">
        <v>318</v>
      </c>
      <c r="AE223" s="3" t="s">
        <v>272</v>
      </c>
      <c r="AF223" s="3" t="s">
        <v>293</v>
      </c>
      <c r="AG223" s="3">
        <f>SUM(AG185:AG188)</f>
        <v>0.10749775784753364</v>
      </c>
      <c r="AH223" s="25" t="s">
        <v>318</v>
      </c>
      <c r="AJ223" s="3" t="s">
        <v>273</v>
      </c>
      <c r="AK223" s="3" t="s">
        <v>293</v>
      </c>
      <c r="AL223" s="3">
        <f>SUM(AL185:AL188)</f>
        <v>0.10896512509476876</v>
      </c>
      <c r="AM223" s="25" t="s">
        <v>318</v>
      </c>
      <c r="AO223" s="3" t="s">
        <v>267</v>
      </c>
      <c r="AP223" s="3" t="s">
        <v>293</v>
      </c>
      <c r="AQ223" s="3">
        <f>SUM(AQ185:AQ188)</f>
        <v>0.10941637143389896</v>
      </c>
      <c r="AR223" s="25" t="s">
        <v>318</v>
      </c>
      <c r="AT223" s="3" t="s">
        <v>265</v>
      </c>
      <c r="AU223" s="3" t="s">
        <v>293</v>
      </c>
      <c r="AV223" s="3">
        <f>SUM(AV185:AV188)</f>
        <v>0.090188111361926268</v>
      </c>
      <c r="AW223" s="25" t="s">
        <v>318</v>
      </c>
      <c r="AY223" s="3" t="s">
        <v>263</v>
      </c>
      <c r="AZ223" s="3" t="s">
        <v>293</v>
      </c>
      <c r="BA223" s="3">
        <f>SUM(BA185:BA188)</f>
        <v>0.1059957552175451</v>
      </c>
      <c r="BB223" s="25" t="s">
        <v>318</v>
      </c>
    </row>
    <row r="224" spans="21:54" ht="15.5">
      <c r="U224" s="3" t="s">
        <v>268</v>
      </c>
      <c r="V224" s="3" t="s">
        <v>294</v>
      </c>
      <c r="W224" s="3">
        <v>0</v>
      </c>
      <c r="X224" s="25" t="s">
        <v>318</v>
      </c>
      <c r="Z224" s="3" t="s">
        <v>270</v>
      </c>
      <c r="AA224" s="3" t="s">
        <v>294</v>
      </c>
      <c r="AB224" s="3">
        <v>0</v>
      </c>
      <c r="AC224" s="25" t="s">
        <v>318</v>
      </c>
      <c r="AE224" s="3" t="s">
        <v>272</v>
      </c>
      <c r="AF224" s="3" t="s">
        <v>294</v>
      </c>
      <c r="AG224" s="3">
        <v>0</v>
      </c>
      <c r="AH224" s="25" t="s">
        <v>318</v>
      </c>
      <c r="AJ224" s="3" t="s">
        <v>273</v>
      </c>
      <c r="AK224" s="3" t="s">
        <v>294</v>
      </c>
      <c r="AL224" s="3">
        <v>0</v>
      </c>
      <c r="AM224" s="25" t="s">
        <v>318</v>
      </c>
      <c r="AO224" s="3" t="s">
        <v>267</v>
      </c>
      <c r="AP224" s="3" t="s">
        <v>294</v>
      </c>
      <c r="AQ224" s="3">
        <v>0</v>
      </c>
      <c r="AR224" s="25" t="s">
        <v>318</v>
      </c>
      <c r="AT224" s="3" t="s">
        <v>265</v>
      </c>
      <c r="AU224" s="3" t="s">
        <v>294</v>
      </c>
      <c r="AV224" s="3">
        <v>0</v>
      </c>
      <c r="AW224" s="25" t="s">
        <v>318</v>
      </c>
      <c r="AY224" s="3" t="s">
        <v>263</v>
      </c>
      <c r="AZ224" s="3" t="s">
        <v>294</v>
      </c>
      <c r="BA224" s="3">
        <v>0</v>
      </c>
      <c r="BB224" s="25" t="s">
        <v>318</v>
      </c>
    </row>
    <row r="225" spans="21:54" ht="15.5">
      <c r="U225" s="3" t="s">
        <v>268</v>
      </c>
      <c r="V225" s="3" t="s">
        <v>295</v>
      </c>
      <c r="W225" s="3">
        <v>0</v>
      </c>
      <c r="X225" s="25" t="s">
        <v>318</v>
      </c>
      <c r="Z225" s="3" t="s">
        <v>270</v>
      </c>
      <c r="AA225" s="3" t="s">
        <v>295</v>
      </c>
      <c r="AB225" s="3">
        <v>0</v>
      </c>
      <c r="AC225" s="25" t="s">
        <v>318</v>
      </c>
      <c r="AE225" s="3" t="s">
        <v>272</v>
      </c>
      <c r="AF225" s="3" t="s">
        <v>295</v>
      </c>
      <c r="AG225" s="3">
        <v>0</v>
      </c>
      <c r="AH225" s="25" t="s">
        <v>318</v>
      </c>
      <c r="AJ225" s="3" t="s">
        <v>273</v>
      </c>
      <c r="AK225" s="3" t="s">
        <v>295</v>
      </c>
      <c r="AL225" s="3">
        <v>0</v>
      </c>
      <c r="AM225" s="25" t="s">
        <v>318</v>
      </c>
      <c r="AO225" s="3" t="s">
        <v>267</v>
      </c>
      <c r="AP225" s="3" t="s">
        <v>295</v>
      </c>
      <c r="AQ225" s="3">
        <v>0</v>
      </c>
      <c r="AR225" s="25" t="s">
        <v>318</v>
      </c>
      <c r="AT225" s="3" t="s">
        <v>265</v>
      </c>
      <c r="AU225" s="3" t="s">
        <v>295</v>
      </c>
      <c r="AV225" s="3">
        <v>0</v>
      </c>
      <c r="AW225" s="25" t="s">
        <v>318</v>
      </c>
      <c r="AY225" s="3" t="s">
        <v>263</v>
      </c>
      <c r="AZ225" s="3" t="s">
        <v>295</v>
      </c>
      <c r="BA225" s="3">
        <v>0</v>
      </c>
      <c r="BB225" s="25" t="s">
        <v>318</v>
      </c>
    </row>
    <row r="226" spans="21:54" ht="15.5">
      <c r="U226" s="3" t="s">
        <v>268</v>
      </c>
      <c r="V226" s="3" t="s">
        <v>296</v>
      </c>
      <c r="W226" s="3">
        <v>0</v>
      </c>
      <c r="X226" s="25" t="s">
        <v>318</v>
      </c>
      <c r="Z226" s="3" t="s">
        <v>270</v>
      </c>
      <c r="AA226" s="3" t="s">
        <v>296</v>
      </c>
      <c r="AB226" s="3">
        <v>0</v>
      </c>
      <c r="AC226" s="25" t="s">
        <v>318</v>
      </c>
      <c r="AE226" s="3" t="s">
        <v>272</v>
      </c>
      <c r="AF226" s="3" t="s">
        <v>296</v>
      </c>
      <c r="AG226" s="3">
        <v>0</v>
      </c>
      <c r="AH226" s="25" t="s">
        <v>318</v>
      </c>
      <c r="AJ226" s="3" t="s">
        <v>273</v>
      </c>
      <c r="AK226" s="3" t="s">
        <v>296</v>
      </c>
      <c r="AL226" s="3">
        <v>0</v>
      </c>
      <c r="AM226" s="25" t="s">
        <v>318</v>
      </c>
      <c r="AO226" s="3" t="s">
        <v>267</v>
      </c>
      <c r="AP226" s="3" t="s">
        <v>296</v>
      </c>
      <c r="AQ226" s="3">
        <v>0</v>
      </c>
      <c r="AR226" s="25" t="s">
        <v>318</v>
      </c>
      <c r="AT226" s="3" t="s">
        <v>265</v>
      </c>
      <c r="AU226" s="3" t="s">
        <v>296</v>
      </c>
      <c r="AV226" s="3">
        <v>0</v>
      </c>
      <c r="AW226" s="25" t="s">
        <v>318</v>
      </c>
      <c r="AY226" s="3" t="s">
        <v>263</v>
      </c>
      <c r="AZ226" s="3" t="s">
        <v>296</v>
      </c>
      <c r="BA226" s="3">
        <v>0</v>
      </c>
      <c r="BB226" s="25" t="s">
        <v>318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600-000000000000}">
  <dimension ref="A1:BO226"/>
  <sheetViews>
    <sheetView zoomScale="35" zoomScaleNormal="35" workbookViewId="0" topLeftCell="AH153">
      <selection pane="topLeft" activeCell="BJ207" sqref="BJ207"/>
    </sheetView>
  </sheetViews>
  <sheetFormatPr defaultColWidth="8.72428571428571" defaultRowHeight="14.5"/>
  <cols>
    <col min="1" max="1" width="8.71428571428571" style="3"/>
    <col min="2" max="2" width="43.8571428571429" style="3" customWidth="1"/>
    <col min="3" max="20" width="8.71428571428571" style="3"/>
    <col min="21" max="21" width="19.2857142857143" style="3" customWidth="1"/>
    <col min="22" max="22" width="25.5714285714286" style="3" customWidth="1"/>
    <col min="23" max="23" width="19.8571428571429" style="3" customWidth="1"/>
    <col min="24" max="29" width="15.2857142857143" style="3"/>
    <col min="30" max="30" width="8.71428571428571" style="3"/>
    <col min="31" max="31" width="14" style="3"/>
    <col min="32" max="38" width="15.2857142857143" style="3"/>
    <col min="39" max="40" width="14" style="3"/>
    <col min="41" max="47" width="15.2857142857143" style="3"/>
    <col min="48" max="53" width="14" style="3"/>
    <col min="54" max="67" width="8.71428571428571" style="3"/>
    <col min="68" max="16384" width="8.71428571428571" style="4"/>
  </cols>
  <sheetData>
    <row r="1" spans="1:67" ht="15.5">
      <c r="A1" s="5" t="s">
        <v>319</v>
      </c>
      <c r="B1" s="5"/>
      <c r="C1" s="5"/>
      <c r="D1" s="5"/>
      <c r="E1" s="5"/>
      <c r="F1" s="5"/>
      <c r="G1" s="5"/>
      <c r="H1" s="5"/>
      <c r="I1" s="5"/>
      <c r="J1" s="5"/>
      <c r="K1" s="6"/>
      <c r="L1" s="6" t="s">
        <v>320</v>
      </c>
      <c r="M1" s="6"/>
      <c r="N1" s="6"/>
      <c r="O1" s="6"/>
      <c r="P1" s="6"/>
      <c r="Q1" s="6"/>
      <c r="R1" s="6"/>
      <c r="S1" s="6"/>
      <c r="T1" s="6"/>
      <c r="U1" s="6"/>
      <c r="V1" s="6"/>
      <c r="W1" s="6" t="s">
        <v>321</v>
      </c>
      <c r="X1" s="6"/>
      <c r="Y1" s="6"/>
      <c r="Z1" s="6"/>
      <c r="AA1" s="6"/>
      <c r="AB1" s="7" t="s">
        <v>322</v>
      </c>
      <c r="AC1" s="7"/>
      <c r="AD1" s="6"/>
      <c r="AE1" s="6"/>
      <c r="AF1" s="6" t="s">
        <v>323</v>
      </c>
      <c r="AG1" s="6"/>
      <c r="AH1" s="6"/>
      <c r="AI1" s="6"/>
      <c r="AJ1" s="6"/>
      <c r="AK1" s="6"/>
      <c r="AL1" s="6"/>
      <c r="AM1" s="6"/>
      <c r="AN1" s="6"/>
      <c r="AO1" s="6" t="s">
        <v>324</v>
      </c>
      <c r="AP1" s="6"/>
      <c r="AQ1" s="6"/>
      <c r="AR1" s="6"/>
      <c r="AS1" s="6"/>
      <c r="AT1" s="6"/>
      <c r="AU1" s="6"/>
      <c r="AZ1" s="5" t="s">
        <v>319</v>
      </c>
      <c r="BA1" s="5"/>
      <c r="BB1" s="5"/>
      <c r="BC1" s="5"/>
      <c r="BD1" s="5"/>
      <c r="BE1" s="5"/>
      <c r="BF1" s="5"/>
      <c r="BG1" s="5"/>
      <c r="BH1" s="5"/>
      <c r="BI1" s="5"/>
      <c r="BJ1" s="6"/>
      <c r="BK1" s="6"/>
      <c r="BL1" s="6"/>
      <c r="BM1" s="6"/>
      <c r="BN1" s="6"/>
      <c r="BO1" s="6"/>
    </row>
    <row r="2" spans="1:67" ht="30">
      <c r="A2" s="5" t="s">
        <v>298</v>
      </c>
      <c r="B2" s="5" t="s">
        <v>325</v>
      </c>
      <c r="C2" s="5" t="s">
        <v>300</v>
      </c>
      <c r="D2" s="5"/>
      <c r="E2" s="5"/>
      <c r="F2" s="5"/>
      <c r="G2" s="5"/>
      <c r="H2" s="5"/>
      <c r="I2" s="5"/>
      <c r="J2" s="5"/>
      <c r="K2" s="6"/>
      <c r="L2" s="6"/>
      <c r="M2" s="6"/>
      <c r="N2" s="6"/>
      <c r="O2" s="6"/>
      <c r="P2" s="6"/>
      <c r="Q2" s="6"/>
      <c r="R2" s="6"/>
      <c r="S2" s="6"/>
      <c r="T2" s="6"/>
      <c r="U2" s="6"/>
      <c r="V2" s="8" t="s">
        <v>326</v>
      </c>
      <c r="W2" s="6"/>
      <c r="X2" s="6"/>
      <c r="Y2" s="6"/>
      <c r="Z2" s="6"/>
      <c r="AA2" s="6"/>
      <c r="AB2" s="6"/>
      <c r="AC2" s="6"/>
      <c r="AD2" s="6"/>
      <c r="AE2" s="6"/>
      <c r="AF2" s="6"/>
      <c r="AG2" s="6"/>
      <c r="AH2" s="6"/>
      <c r="AI2" s="6"/>
      <c r="AJ2" s="6"/>
      <c r="AK2" s="6"/>
      <c r="AL2" s="6"/>
      <c r="AM2" s="6"/>
      <c r="AN2" s="6"/>
      <c r="AO2" s="6"/>
      <c r="AP2" s="6"/>
      <c r="AQ2" s="6"/>
      <c r="AR2" s="6"/>
      <c r="AS2" s="6"/>
      <c r="AT2" s="6"/>
      <c r="AU2" s="6"/>
      <c r="AZ2" s="5" t="s">
        <v>298</v>
      </c>
      <c r="BA2" s="5" t="s">
        <v>325</v>
      </c>
      <c r="BB2" s="5" t="s">
        <v>300</v>
      </c>
      <c r="BC2" s="5"/>
      <c r="BD2" s="5"/>
      <c r="BE2" s="5"/>
      <c r="BF2" s="5"/>
      <c r="BG2" s="5"/>
      <c r="BH2" s="5"/>
      <c r="BI2" s="5"/>
      <c r="BJ2" s="6"/>
      <c r="BK2" s="6"/>
      <c r="BL2" s="6"/>
      <c r="BM2" s="6"/>
      <c r="BN2" s="6"/>
      <c r="BO2" s="6"/>
    </row>
    <row r="3" spans="1:67" ht="30">
      <c r="A3" s="5"/>
      <c r="B3" s="5"/>
      <c r="C3" s="9" t="s">
        <v>301</v>
      </c>
      <c r="D3" s="6" t="s">
        <v>302</v>
      </c>
      <c r="E3" s="6" t="s">
        <v>303</v>
      </c>
      <c r="F3" s="10" t="s">
        <v>304</v>
      </c>
      <c r="G3" s="6" t="s">
        <v>305</v>
      </c>
      <c r="H3" s="6" t="s">
        <v>306</v>
      </c>
      <c r="I3" s="6" t="s">
        <v>307</v>
      </c>
      <c r="J3" s="6" t="s">
        <v>308</v>
      </c>
      <c r="K3" s="6"/>
      <c r="L3" s="11" t="s">
        <v>301</v>
      </c>
      <c r="M3" s="6" t="s">
        <v>302</v>
      </c>
      <c r="N3" s="6" t="s">
        <v>303</v>
      </c>
      <c r="O3" s="6" t="s">
        <v>304</v>
      </c>
      <c r="P3" s="6" t="s">
        <v>305</v>
      </c>
      <c r="Q3" s="6" t="s">
        <v>306</v>
      </c>
      <c r="R3" s="6" t="s">
        <v>307</v>
      </c>
      <c r="S3" s="6" t="s">
        <v>308</v>
      </c>
      <c r="T3" s="6"/>
      <c r="U3" s="6"/>
      <c r="V3" s="8" t="s">
        <v>327</v>
      </c>
      <c r="W3" s="6" t="s">
        <v>302</v>
      </c>
      <c r="X3" s="6" t="s">
        <v>303</v>
      </c>
      <c r="Y3" s="10" t="s">
        <v>304</v>
      </c>
      <c r="Z3" s="6" t="s">
        <v>305</v>
      </c>
      <c r="AA3" s="6" t="s">
        <v>306</v>
      </c>
      <c r="AB3" s="12" t="s">
        <v>307</v>
      </c>
      <c r="AC3" s="12" t="s">
        <v>308</v>
      </c>
      <c r="AD3" s="6"/>
      <c r="AE3" s="6"/>
      <c r="AF3" s="6" t="s">
        <v>302</v>
      </c>
      <c r="AG3" s="6" t="s">
        <v>303</v>
      </c>
      <c r="AH3" s="10" t="s">
        <v>304</v>
      </c>
      <c r="AI3" s="6" t="s">
        <v>305</v>
      </c>
      <c r="AJ3" s="6" t="s">
        <v>306</v>
      </c>
      <c r="AK3" s="12" t="s">
        <v>307</v>
      </c>
      <c r="AL3" s="12" t="s">
        <v>308</v>
      </c>
      <c r="AM3" s="6"/>
      <c r="AN3" s="6"/>
      <c r="AO3" s="6" t="s">
        <v>302</v>
      </c>
      <c r="AP3" s="6" t="s">
        <v>303</v>
      </c>
      <c r="AQ3" s="10" t="s">
        <v>304</v>
      </c>
      <c r="AR3" s="6" t="s">
        <v>305</v>
      </c>
      <c r="AS3" s="6" t="s">
        <v>306</v>
      </c>
      <c r="AT3" s="12" t="s">
        <v>307</v>
      </c>
      <c r="AU3" s="12" t="s">
        <v>308</v>
      </c>
      <c r="AZ3" s="5"/>
      <c r="BA3" s="5"/>
      <c r="BB3" s="9" t="s">
        <v>301</v>
      </c>
      <c r="BC3" s="6" t="s">
        <v>302</v>
      </c>
      <c r="BD3" s="6" t="s">
        <v>303</v>
      </c>
      <c r="BE3" s="10" t="s">
        <v>304</v>
      </c>
      <c r="BF3" s="6" t="s">
        <v>305</v>
      </c>
      <c r="BG3" s="6" t="s">
        <v>306</v>
      </c>
      <c r="BH3" s="6" t="s">
        <v>307</v>
      </c>
      <c r="BI3" s="6" t="s">
        <v>308</v>
      </c>
      <c r="BJ3" s="6"/>
      <c r="BK3" s="11"/>
      <c r="BL3" s="6"/>
      <c r="BM3" s="6"/>
      <c r="BN3" s="6"/>
      <c r="BO3" s="6"/>
    </row>
    <row r="4" spans="1:67" ht="15.5">
      <c r="A4" s="5" t="s">
        <v>309</v>
      </c>
      <c r="B4" s="13" t="s">
        <v>310</v>
      </c>
      <c r="C4" s="14">
        <f t="shared" si="0" ref="C4:J4">BB4/1000</f>
        <v>0.83739999999999992</v>
      </c>
      <c r="D4" s="14">
        <f t="shared" si="0"/>
        <v>0.80810000000000004</v>
      </c>
      <c r="E4" s="14">
        <f t="shared" si="0"/>
        <v>0.77049999999999996</v>
      </c>
      <c r="F4" s="14">
        <f t="shared" si="0"/>
        <v>0.76000000000000001</v>
      </c>
      <c r="G4" s="14">
        <f t="shared" si="0"/>
        <v>0.75509999999999999</v>
      </c>
      <c r="H4" s="14">
        <f t="shared" si="0"/>
        <v>0.79600000000000004</v>
      </c>
      <c r="I4" s="14">
        <f t="shared" si="0"/>
        <v>0.76000000000000001</v>
      </c>
      <c r="J4" s="14">
        <f t="shared" si="0"/>
        <v>0.76000000000000001</v>
      </c>
      <c r="K4" s="6"/>
      <c r="L4" s="11"/>
      <c r="M4" s="15">
        <v>5.9370000000000003</v>
      </c>
      <c r="N4" s="15">
        <v>5.845</v>
      </c>
      <c r="O4" s="15">
        <v>5.575</v>
      </c>
      <c r="P4" s="15">
        <v>5.2759999999999998</v>
      </c>
      <c r="Q4" s="15">
        <v>5.3630000000000004</v>
      </c>
      <c r="R4" s="15">
        <v>6.645</v>
      </c>
      <c r="S4" s="15">
        <v>5.6539999999999999</v>
      </c>
      <c r="T4" s="15"/>
      <c r="U4" s="5" t="s">
        <v>309</v>
      </c>
      <c r="V4" s="13" t="s">
        <v>310</v>
      </c>
      <c r="W4" s="16">
        <f t="shared" si="1" ref="W4:AC4">D4/M4</f>
        <v>0.1361125147380832</v>
      </c>
      <c r="X4" s="16">
        <f t="shared" si="1"/>
        <v>0.13182207014542344</v>
      </c>
      <c r="Y4" s="16">
        <f t="shared" si="1"/>
        <v>0.13632286995515694</v>
      </c>
      <c r="Z4" s="16">
        <f t="shared" si="1"/>
        <v>0.14311978771796816</v>
      </c>
      <c r="AA4" s="16">
        <f t="shared" si="1"/>
        <v>0.14842438933432781</v>
      </c>
      <c r="AB4" s="17">
        <f t="shared" si="1"/>
        <v>0.1143717080511663</v>
      </c>
      <c r="AC4" s="17">
        <f t="shared" si="1"/>
        <v>0.13441811107180757</v>
      </c>
      <c r="AD4" s="6"/>
      <c r="AE4" s="6"/>
      <c r="AF4" s="16">
        <f t="shared" si="2" ref="AF4:AF12">W4</f>
        <v>0.1361125147380832</v>
      </c>
      <c r="AG4" s="16">
        <f t="shared" si="3" ref="AG4:AG12">X4</f>
        <v>0.13182207014542344</v>
      </c>
      <c r="AH4" s="16">
        <f t="shared" si="4" ref="AH4:AH12">Y4</f>
        <v>0.13632286995515694</v>
      </c>
      <c r="AI4" s="16">
        <f t="shared" si="5" ref="AI4:AI12">Z4</f>
        <v>0.14311978771796816</v>
      </c>
      <c r="AJ4" s="16">
        <f t="shared" si="6" ref="AJ4:AJ12">AA4</f>
        <v>0.14842438933432781</v>
      </c>
      <c r="AK4" s="18">
        <f t="shared" si="7" ref="AK4:AK12">AB4*1.15</f>
        <v>0.13152746425884124</v>
      </c>
      <c r="AL4" s="18">
        <f t="shared" si="8" ref="AL4:AL12">AC4*1.15</f>
        <v>0.1545808277325787</v>
      </c>
      <c r="AM4" s="6"/>
      <c r="AN4" s="6"/>
      <c r="AO4" s="16">
        <f t="shared" si="9" ref="AO4:AO12">W4</f>
        <v>0.1361125147380832</v>
      </c>
      <c r="AP4" s="16">
        <f t="shared" si="10" ref="AP4:AP12">X4</f>
        <v>0.13182207014542344</v>
      </c>
      <c r="AQ4" s="16">
        <f t="shared" si="11" ref="AQ4:AQ12">Y4</f>
        <v>0.13632286995515694</v>
      </c>
      <c r="AR4" s="16">
        <f t="shared" si="12" ref="AR4:AR12">Z4</f>
        <v>0.14311978771796816</v>
      </c>
      <c r="AS4" s="16">
        <f t="shared" si="13" ref="AS4:AS12">AA4</f>
        <v>0.14842438933432781</v>
      </c>
      <c r="AT4" s="18">
        <f t="shared" si="14" ref="AT4:AT12">AB4*0.85</f>
        <v>0.097215951843491355</v>
      </c>
      <c r="AU4" s="18">
        <f t="shared" si="15" ref="AU4:AU12">AC4*0.85</f>
        <v>0.11425539441103642</v>
      </c>
      <c r="AZ4" s="5" t="s">
        <v>309</v>
      </c>
      <c r="BA4" s="13" t="s">
        <v>310</v>
      </c>
      <c r="BB4" s="14">
        <v>837.40</v>
      </c>
      <c r="BC4" s="16">
        <v>808.10</v>
      </c>
      <c r="BD4" s="16">
        <v>770.50</v>
      </c>
      <c r="BE4" s="16">
        <v>760</v>
      </c>
      <c r="BF4" s="16">
        <v>755.10</v>
      </c>
      <c r="BG4" s="16">
        <v>796</v>
      </c>
      <c r="BH4" s="16">
        <v>760</v>
      </c>
      <c r="BI4" s="16">
        <v>760</v>
      </c>
      <c r="BJ4" s="6"/>
      <c r="BK4" s="11"/>
      <c r="BL4" s="15"/>
      <c r="BM4" s="15"/>
      <c r="BN4" s="15"/>
      <c r="BO4" s="15"/>
    </row>
    <row r="5" spans="1:67" ht="15.5">
      <c r="A5" s="5"/>
      <c r="B5" s="13" t="s">
        <v>311</v>
      </c>
      <c r="C5" s="14">
        <f t="shared" si="16" ref="C5:J5">BB5/1000</f>
        <v>0.77010000000000001</v>
      </c>
      <c r="D5" s="14">
        <f t="shared" si="16"/>
        <v>0.74570000000000003</v>
      </c>
      <c r="E5" s="14">
        <f t="shared" si="16"/>
        <v>0.71150000000000002</v>
      </c>
      <c r="F5" s="14">
        <f t="shared" si="16"/>
        <v>0.70210000000000006</v>
      </c>
      <c r="G5" s="14">
        <f t="shared" si="16"/>
        <v>0.69479999999999997</v>
      </c>
      <c r="H5" s="14">
        <f t="shared" si="16"/>
        <v>0.73380000000000001</v>
      </c>
      <c r="I5" s="14">
        <f t="shared" si="16"/>
        <v>0.70210000000000006</v>
      </c>
      <c r="J5" s="14">
        <f t="shared" si="16"/>
        <v>0.70210000000000006</v>
      </c>
      <c r="K5" s="6"/>
      <c r="L5" s="6"/>
      <c r="M5" s="19">
        <v>5.9370000000000003</v>
      </c>
      <c r="N5" s="19">
        <v>5.845</v>
      </c>
      <c r="O5" s="19">
        <v>5.575</v>
      </c>
      <c r="P5" s="19">
        <v>5.2759999999999998</v>
      </c>
      <c r="Q5" s="19">
        <v>5.3630000000000004</v>
      </c>
      <c r="R5" s="19">
        <v>6.645</v>
      </c>
      <c r="S5" s="19">
        <v>5.6539999999999999</v>
      </c>
      <c r="T5" s="19"/>
      <c r="U5" s="5"/>
      <c r="V5" s="13" t="s">
        <v>311</v>
      </c>
      <c r="W5" s="16">
        <f t="shared" si="17" ref="W5:AC5">D5/M5</f>
        <v>0.12560215597102914</v>
      </c>
      <c r="X5" s="16">
        <f t="shared" si="17"/>
        <v>0.12172797262617623</v>
      </c>
      <c r="Y5" s="16">
        <f t="shared" si="17"/>
        <v>0.12593721973094171</v>
      </c>
      <c r="Z5" s="16">
        <f t="shared" si="17"/>
        <v>0.13169067475360122</v>
      </c>
      <c r="AA5" s="16">
        <f t="shared" si="17"/>
        <v>0.13682640313257505</v>
      </c>
      <c r="AB5" s="17">
        <f t="shared" si="17"/>
        <v>0.10565838976674193</v>
      </c>
      <c r="AC5" s="17">
        <f t="shared" si="17"/>
        <v>0.12417757339936329</v>
      </c>
      <c r="AD5" s="6"/>
      <c r="AE5" s="6"/>
      <c r="AF5" s="16">
        <f t="shared" si="2"/>
        <v>0.12560215597102914</v>
      </c>
      <c r="AG5" s="16">
        <f t="shared" si="3"/>
        <v>0.12172797262617623</v>
      </c>
      <c r="AH5" s="16">
        <f t="shared" si="4"/>
        <v>0.12593721973094171</v>
      </c>
      <c r="AI5" s="16">
        <f t="shared" si="5"/>
        <v>0.13169067475360122</v>
      </c>
      <c r="AJ5" s="16">
        <f t="shared" si="6"/>
        <v>0.13682640313257505</v>
      </c>
      <c r="AK5" s="18">
        <f t="shared" si="7"/>
        <v>0.12150714823175321</v>
      </c>
      <c r="AL5" s="18">
        <f t="shared" si="8"/>
        <v>0.14280420940926777</v>
      </c>
      <c r="AM5" s="6"/>
      <c r="AN5" s="6"/>
      <c r="AO5" s="16">
        <f t="shared" si="9"/>
        <v>0.12560215597102914</v>
      </c>
      <c r="AP5" s="16">
        <f t="shared" si="10"/>
        <v>0.12172797262617623</v>
      </c>
      <c r="AQ5" s="16">
        <f t="shared" si="11"/>
        <v>0.12593721973094171</v>
      </c>
      <c r="AR5" s="16">
        <f t="shared" si="12"/>
        <v>0.13169067475360122</v>
      </c>
      <c r="AS5" s="16">
        <f t="shared" si="13"/>
        <v>0.13682640313257505</v>
      </c>
      <c r="AT5" s="18">
        <f t="shared" si="14"/>
        <v>0.089809631301730627</v>
      </c>
      <c r="AU5" s="18">
        <f t="shared" si="15"/>
        <v>0.1055509373894588</v>
      </c>
      <c r="AZ5" s="5"/>
      <c r="BA5" s="13" t="s">
        <v>311</v>
      </c>
      <c r="BB5" s="14">
        <v>770.10</v>
      </c>
      <c r="BC5" s="16">
        <v>745.70</v>
      </c>
      <c r="BD5" s="16">
        <v>711.50</v>
      </c>
      <c r="BE5" s="16">
        <v>702.10</v>
      </c>
      <c r="BF5" s="16">
        <v>694.80</v>
      </c>
      <c r="BG5" s="16">
        <v>733.80</v>
      </c>
      <c r="BH5" s="16">
        <v>702.10</v>
      </c>
      <c r="BI5" s="16">
        <v>702.10</v>
      </c>
      <c r="BJ5" s="6"/>
      <c r="BK5" s="6"/>
      <c r="BL5" s="19"/>
      <c r="BM5" s="19"/>
      <c r="BN5" s="19"/>
      <c r="BO5" s="19"/>
    </row>
    <row r="6" spans="1:67" ht="15.5">
      <c r="A6" s="5"/>
      <c r="B6" s="13" t="s">
        <v>312</v>
      </c>
      <c r="C6" s="14">
        <f t="shared" si="18" ref="C6:J6">BB6/1000</f>
        <v>0.1986</v>
      </c>
      <c r="D6" s="14">
        <f t="shared" si="18"/>
        <v>0.17169999999999999</v>
      </c>
      <c r="E6" s="14">
        <f t="shared" si="18"/>
        <v>0.16109999999999999</v>
      </c>
      <c r="F6" s="14">
        <f t="shared" si="18"/>
        <v>0.15790000000000001</v>
      </c>
      <c r="G6" s="14">
        <f t="shared" si="18"/>
        <v>0.15209999999999999</v>
      </c>
      <c r="H6" s="14">
        <f t="shared" si="18"/>
        <v>0.15880000000000002</v>
      </c>
      <c r="I6" s="14">
        <f t="shared" si="18"/>
        <v>0.15790000000000001</v>
      </c>
      <c r="J6" s="14">
        <f t="shared" si="18"/>
        <v>0.15790000000000001</v>
      </c>
      <c r="K6" s="6"/>
      <c r="L6" s="6"/>
      <c r="M6" s="19">
        <v>5.9370000000000003</v>
      </c>
      <c r="N6" s="19">
        <v>5.845</v>
      </c>
      <c r="O6" s="19">
        <v>5.575</v>
      </c>
      <c r="P6" s="19">
        <v>5.2759999999999998</v>
      </c>
      <c r="Q6" s="19">
        <v>5.3630000000000004</v>
      </c>
      <c r="R6" s="19">
        <v>6.645</v>
      </c>
      <c r="S6" s="19">
        <v>5.6539999999999999</v>
      </c>
      <c r="T6" s="19"/>
      <c r="U6" s="5"/>
      <c r="V6" s="13" t="s">
        <v>312</v>
      </c>
      <c r="W6" s="16">
        <f t="shared" si="19" ref="W6:AC6">D6/M6</f>
        <v>0.028920330133063835</v>
      </c>
      <c r="X6" s="16">
        <f t="shared" si="19"/>
        <v>0.027562018819503851</v>
      </c>
      <c r="Y6" s="16">
        <f t="shared" si="19"/>
        <v>0.028322869955156951</v>
      </c>
      <c r="Z6" s="16">
        <f t="shared" si="19"/>
        <v>0.02882865807429871</v>
      </c>
      <c r="AA6" s="16">
        <f t="shared" si="19"/>
        <v>0.029610292746597055</v>
      </c>
      <c r="AB6" s="17">
        <f t="shared" si="19"/>
        <v>0.02376222723852521</v>
      </c>
      <c r="AC6" s="17">
        <f t="shared" si="19"/>
        <v>0.027927131234524234</v>
      </c>
      <c r="AD6" s="6"/>
      <c r="AE6" s="6"/>
      <c r="AF6" s="16">
        <f t="shared" si="2"/>
        <v>0.028920330133063835</v>
      </c>
      <c r="AG6" s="16">
        <f t="shared" si="3"/>
        <v>0.027562018819503851</v>
      </c>
      <c r="AH6" s="16">
        <f t="shared" si="4"/>
        <v>0.028322869955156951</v>
      </c>
      <c r="AI6" s="16">
        <f t="shared" si="5"/>
        <v>0.02882865807429871</v>
      </c>
      <c r="AJ6" s="16">
        <f t="shared" si="6"/>
        <v>0.029610292746597055</v>
      </c>
      <c r="AK6" s="18">
        <f t="shared" si="7"/>
        <v>0.027326561324303989</v>
      </c>
      <c r="AL6" s="18">
        <f t="shared" si="8"/>
        <v>0.032116200919702867</v>
      </c>
      <c r="AM6" s="6"/>
      <c r="AN6" s="6"/>
      <c r="AO6" s="16">
        <f t="shared" si="9"/>
        <v>0.028920330133063835</v>
      </c>
      <c r="AP6" s="16">
        <f t="shared" si="10"/>
        <v>0.027562018819503851</v>
      </c>
      <c r="AQ6" s="16">
        <f t="shared" si="11"/>
        <v>0.028322869955156951</v>
      </c>
      <c r="AR6" s="16">
        <f t="shared" si="12"/>
        <v>0.02882865807429871</v>
      </c>
      <c r="AS6" s="16">
        <f t="shared" si="13"/>
        <v>0.029610292746597055</v>
      </c>
      <c r="AT6" s="18">
        <f t="shared" si="14"/>
        <v>0.020197893152746428</v>
      </c>
      <c r="AU6" s="18">
        <f t="shared" si="15"/>
        <v>0.023738061549345598</v>
      </c>
      <c r="AZ6" s="5"/>
      <c r="BA6" s="13" t="s">
        <v>312</v>
      </c>
      <c r="BB6" s="14">
        <v>198.60</v>
      </c>
      <c r="BC6" s="16">
        <v>171.70</v>
      </c>
      <c r="BD6" s="16">
        <v>161.10</v>
      </c>
      <c r="BE6" s="16">
        <v>157.90</v>
      </c>
      <c r="BF6" s="16">
        <v>152.10</v>
      </c>
      <c r="BG6" s="16">
        <v>158.80</v>
      </c>
      <c r="BH6" s="16">
        <v>157.90</v>
      </c>
      <c r="BI6" s="16">
        <v>157.90</v>
      </c>
      <c r="BJ6" s="6"/>
      <c r="BK6" s="6"/>
      <c r="BL6" s="19"/>
      <c r="BM6" s="19"/>
      <c r="BN6" s="19"/>
      <c r="BO6" s="19"/>
    </row>
    <row r="7" spans="1:67" ht="15.5">
      <c r="A7" s="5"/>
      <c r="B7" s="13" t="s">
        <v>313</v>
      </c>
      <c r="C7" s="14">
        <f t="shared" si="20" ref="C7:J7">BB7/1000</f>
        <v>0.48699999999999999</v>
      </c>
      <c r="D7" s="14">
        <f t="shared" si="20"/>
        <v>0.49669999999999997</v>
      </c>
      <c r="E7" s="14">
        <f t="shared" si="20"/>
        <v>0.4758</v>
      </c>
      <c r="F7" s="14">
        <f t="shared" si="20"/>
        <v>0.47049999999999997</v>
      </c>
      <c r="G7" s="14">
        <f t="shared" si="20"/>
        <v>0.46650000000000003</v>
      </c>
      <c r="H7" s="14">
        <f t="shared" si="20"/>
        <v>0.496</v>
      </c>
      <c r="I7" s="14">
        <f t="shared" si="20"/>
        <v>0.47049999999999997</v>
      </c>
      <c r="J7" s="14">
        <f t="shared" si="20"/>
        <v>0.47049999999999997</v>
      </c>
      <c r="K7" s="6"/>
      <c r="L7" s="6"/>
      <c r="M7" s="19">
        <v>5.9370000000000003</v>
      </c>
      <c r="N7" s="19">
        <v>5.845</v>
      </c>
      <c r="O7" s="19">
        <v>5.575</v>
      </c>
      <c r="P7" s="19">
        <v>5.2759999999999998</v>
      </c>
      <c r="Q7" s="19">
        <v>5.3630000000000004</v>
      </c>
      <c r="R7" s="19">
        <v>6.645</v>
      </c>
      <c r="S7" s="19">
        <v>5.6539999999999999</v>
      </c>
      <c r="T7" s="19"/>
      <c r="U7" s="5"/>
      <c r="V7" s="13" t="s">
        <v>313</v>
      </c>
      <c r="W7" s="16">
        <f t="shared" si="21" ref="W7:AC7">D7/M7</f>
        <v>0.083661782044803762</v>
      </c>
      <c r="X7" s="16">
        <f t="shared" si="21"/>
        <v>0.081402908468776736</v>
      </c>
      <c r="Y7" s="16">
        <f t="shared" si="21"/>
        <v>0.084394618834080712</v>
      </c>
      <c r="Z7" s="16">
        <f t="shared" si="21"/>
        <v>0.088419257012888566</v>
      </c>
      <c r="AA7" s="16">
        <f t="shared" si="21"/>
        <v>0.092485549132947972</v>
      </c>
      <c r="AB7" s="17">
        <f t="shared" si="21"/>
        <v>0.070805116629044401</v>
      </c>
      <c r="AC7" s="17">
        <f t="shared" si="21"/>
        <v>0.083215422709586137</v>
      </c>
      <c r="AD7" s="6"/>
      <c r="AE7" s="6"/>
      <c r="AF7" s="16">
        <f t="shared" si="2"/>
        <v>0.083661782044803762</v>
      </c>
      <c r="AG7" s="16">
        <f t="shared" si="3"/>
        <v>0.081402908468776736</v>
      </c>
      <c r="AH7" s="16">
        <f t="shared" si="4"/>
        <v>0.084394618834080712</v>
      </c>
      <c r="AI7" s="16">
        <f t="shared" si="5"/>
        <v>0.088419257012888566</v>
      </c>
      <c r="AJ7" s="16">
        <f t="shared" si="6"/>
        <v>0.092485549132947972</v>
      </c>
      <c r="AK7" s="18">
        <f t="shared" si="7"/>
        <v>0.081425884123401057</v>
      </c>
      <c r="AL7" s="18">
        <f t="shared" si="8"/>
        <v>0.095697736116024057</v>
      </c>
      <c r="AM7" s="6"/>
      <c r="AN7" s="6"/>
      <c r="AO7" s="16">
        <f t="shared" si="9"/>
        <v>0.083661782044803762</v>
      </c>
      <c r="AP7" s="16">
        <f t="shared" si="10"/>
        <v>0.081402908468776736</v>
      </c>
      <c r="AQ7" s="16">
        <f t="shared" si="11"/>
        <v>0.084394618834080712</v>
      </c>
      <c r="AR7" s="16">
        <f t="shared" si="12"/>
        <v>0.088419257012888566</v>
      </c>
      <c r="AS7" s="16">
        <f t="shared" si="13"/>
        <v>0.092485549132947972</v>
      </c>
      <c r="AT7" s="18">
        <f t="shared" si="14"/>
        <v>0.060184349134687738</v>
      </c>
      <c r="AU7" s="18">
        <f t="shared" si="15"/>
        <v>0.070733109303148217</v>
      </c>
      <c r="AZ7" s="5"/>
      <c r="BA7" s="13" t="s">
        <v>313</v>
      </c>
      <c r="BB7" s="14">
        <v>487</v>
      </c>
      <c r="BC7" s="16">
        <v>496.70</v>
      </c>
      <c r="BD7" s="16">
        <v>475.80</v>
      </c>
      <c r="BE7" s="16">
        <v>470.50</v>
      </c>
      <c r="BF7" s="16">
        <v>466.50</v>
      </c>
      <c r="BG7" s="16">
        <v>496</v>
      </c>
      <c r="BH7" s="16">
        <v>470.50</v>
      </c>
      <c r="BI7" s="16">
        <v>470.50</v>
      </c>
      <c r="BJ7" s="6"/>
      <c r="BK7" s="6"/>
      <c r="BL7" s="19"/>
      <c r="BM7" s="19"/>
      <c r="BN7" s="19"/>
      <c r="BO7" s="19"/>
    </row>
    <row r="8" spans="1:67" ht="15.5">
      <c r="A8" s="5"/>
      <c r="B8" s="13" t="s">
        <v>314</v>
      </c>
      <c r="C8" s="14">
        <f t="shared" si="22" ref="C8:J8">BB8/1000</f>
        <v>0.084500000000000006</v>
      </c>
      <c r="D8" s="14">
        <f t="shared" si="22"/>
        <v>0.077299999999999994</v>
      </c>
      <c r="E8" s="14">
        <f t="shared" si="22"/>
        <v>0.074499999999999997</v>
      </c>
      <c r="F8" s="14">
        <f t="shared" si="22"/>
        <v>0.073599999999999999</v>
      </c>
      <c r="G8" s="14">
        <f t="shared" si="22"/>
        <v>0.076100000000000001</v>
      </c>
      <c r="H8" s="14">
        <f t="shared" si="22"/>
        <v>0.078900000000000012</v>
      </c>
      <c r="I8" s="14">
        <f t="shared" si="22"/>
        <v>0.073599999999999999</v>
      </c>
      <c r="J8" s="14">
        <f t="shared" si="22"/>
        <v>0.073599999999999999</v>
      </c>
      <c r="K8" s="6"/>
      <c r="L8" s="6"/>
      <c r="M8" s="19">
        <v>5.9370000000000003</v>
      </c>
      <c r="N8" s="19">
        <v>5.845</v>
      </c>
      <c r="O8" s="19">
        <v>5.575</v>
      </c>
      <c r="P8" s="19">
        <v>5.2759999999999998</v>
      </c>
      <c r="Q8" s="19">
        <v>5.3630000000000004</v>
      </c>
      <c r="R8" s="19">
        <v>6.645</v>
      </c>
      <c r="S8" s="19">
        <v>5.6539999999999999</v>
      </c>
      <c r="T8" s="19"/>
      <c r="U8" s="5"/>
      <c r="V8" s="13" t="s">
        <v>314</v>
      </c>
      <c r="W8" s="16">
        <f t="shared" si="23" ref="W8:AC8">D8/M8</f>
        <v>0.013020043793161528</v>
      </c>
      <c r="X8" s="16">
        <f t="shared" si="23"/>
        <v>0.012745936698032506</v>
      </c>
      <c r="Y8" s="16">
        <f t="shared" si="23"/>
        <v>0.013201793721973094</v>
      </c>
      <c r="Z8" s="16">
        <f t="shared" si="23"/>
        <v>0.014423805913570887</v>
      </c>
      <c r="AA8" s="16">
        <f t="shared" si="23"/>
        <v>0.014711914972962896</v>
      </c>
      <c r="AB8" s="17">
        <f t="shared" si="23"/>
        <v>0.011075996990218209</v>
      </c>
      <c r="AC8" s="17">
        <f t="shared" si="23"/>
        <v>0.013017332861690838</v>
      </c>
      <c r="AD8" s="6"/>
      <c r="AE8" s="6"/>
      <c r="AF8" s="16">
        <f t="shared" si="2"/>
        <v>0.013020043793161528</v>
      </c>
      <c r="AG8" s="16">
        <f t="shared" si="3"/>
        <v>0.012745936698032506</v>
      </c>
      <c r="AH8" s="16">
        <f t="shared" si="4"/>
        <v>0.013201793721973094</v>
      </c>
      <c r="AI8" s="16">
        <f t="shared" si="5"/>
        <v>0.014423805913570887</v>
      </c>
      <c r="AJ8" s="16">
        <f t="shared" si="6"/>
        <v>0.014711914972962896</v>
      </c>
      <c r="AK8" s="18">
        <f t="shared" si="7"/>
        <v>0.012737396538750939</v>
      </c>
      <c r="AL8" s="18">
        <f t="shared" si="8"/>
        <v>0.014969932790944463</v>
      </c>
      <c r="AM8" s="6"/>
      <c r="AN8" s="6"/>
      <c r="AO8" s="16">
        <f t="shared" si="9"/>
        <v>0.013020043793161528</v>
      </c>
      <c r="AP8" s="16">
        <f t="shared" si="10"/>
        <v>0.012745936698032506</v>
      </c>
      <c r="AQ8" s="16">
        <f t="shared" si="11"/>
        <v>0.013201793721973094</v>
      </c>
      <c r="AR8" s="16">
        <f t="shared" si="12"/>
        <v>0.014423805913570887</v>
      </c>
      <c r="AS8" s="16">
        <f t="shared" si="13"/>
        <v>0.014711914972962896</v>
      </c>
      <c r="AT8" s="18">
        <f t="shared" si="14"/>
        <v>0.0094145974416854766</v>
      </c>
      <c r="AU8" s="18">
        <f t="shared" si="15"/>
        <v>0.011064732932437212</v>
      </c>
      <c r="AZ8" s="5"/>
      <c r="BA8" s="13" t="s">
        <v>314</v>
      </c>
      <c r="BB8" s="14">
        <v>84.50</v>
      </c>
      <c r="BC8" s="16">
        <v>77.30</v>
      </c>
      <c r="BD8" s="16">
        <v>74.50</v>
      </c>
      <c r="BE8" s="16">
        <v>73.60</v>
      </c>
      <c r="BF8" s="16">
        <v>76.10</v>
      </c>
      <c r="BG8" s="16">
        <v>78.90</v>
      </c>
      <c r="BH8" s="16">
        <v>73.60</v>
      </c>
      <c r="BI8" s="16">
        <v>73.60</v>
      </c>
      <c r="BJ8" s="6"/>
      <c r="BK8" s="6"/>
      <c r="BL8" s="19"/>
      <c r="BM8" s="19"/>
      <c r="BN8" s="19"/>
      <c r="BO8" s="19"/>
    </row>
    <row r="9" spans="1:67" ht="15.5">
      <c r="A9" s="5" t="s">
        <v>315</v>
      </c>
      <c r="B9" s="13" t="s">
        <v>310</v>
      </c>
      <c r="C9" s="14">
        <f t="shared" si="24" ref="C9:J9">BB9/1000</f>
        <v>0.85499999999999998</v>
      </c>
      <c r="D9" s="14">
        <f t="shared" si="24"/>
        <v>0.82410000000000005</v>
      </c>
      <c r="E9" s="14">
        <f t="shared" si="24"/>
        <v>0.78570000000000007</v>
      </c>
      <c r="F9" s="14">
        <f t="shared" si="24"/>
        <v>0.77500000000000002</v>
      </c>
      <c r="G9" s="14">
        <f t="shared" si="24"/>
        <v>0.7702</v>
      </c>
      <c r="H9" s="14">
        <f t="shared" si="24"/>
        <v>0.81159999999999999</v>
      </c>
      <c r="I9" s="14">
        <f t="shared" si="24"/>
        <v>0.77500000000000002</v>
      </c>
      <c r="J9" s="14">
        <f t="shared" si="24"/>
        <v>0.77500000000000002</v>
      </c>
      <c r="K9" s="6"/>
      <c r="L9" s="6"/>
      <c r="M9" s="19">
        <v>5.9370000000000003</v>
      </c>
      <c r="N9" s="19">
        <v>5.845</v>
      </c>
      <c r="O9" s="19">
        <v>5.575</v>
      </c>
      <c r="P9" s="19">
        <v>5.2759999999999998</v>
      </c>
      <c r="Q9" s="19">
        <v>5.3630000000000004</v>
      </c>
      <c r="R9" s="19">
        <v>6.645</v>
      </c>
      <c r="S9" s="19">
        <v>5.6539999999999999</v>
      </c>
      <c r="T9" s="19"/>
      <c r="U9" s="5" t="s">
        <v>315</v>
      </c>
      <c r="V9" s="13" t="s">
        <v>310</v>
      </c>
      <c r="W9" s="16">
        <f t="shared" si="25" ref="W9:AC9">D9/M9</f>
        <v>0.13880747852450734</v>
      </c>
      <c r="X9" s="16">
        <f t="shared" si="25"/>
        <v>0.13442258340461935</v>
      </c>
      <c r="Y9" s="16">
        <f t="shared" si="25"/>
        <v>0.13901345291479822</v>
      </c>
      <c r="Z9" s="16">
        <f t="shared" si="25"/>
        <v>0.14598180439727065</v>
      </c>
      <c r="AA9" s="16">
        <f t="shared" si="25"/>
        <v>0.15133320902479955</v>
      </c>
      <c r="AB9" s="17">
        <f t="shared" si="25"/>
        <v>0.11662904439428143</v>
      </c>
      <c r="AC9" s="17">
        <f t="shared" si="25"/>
        <v>0.13707110010611956</v>
      </c>
      <c r="AD9" s="6"/>
      <c r="AE9" s="6"/>
      <c r="AF9" s="16">
        <f t="shared" si="2"/>
        <v>0.13880747852450734</v>
      </c>
      <c r="AG9" s="16">
        <f t="shared" si="3"/>
        <v>0.13442258340461935</v>
      </c>
      <c r="AH9" s="16">
        <f t="shared" si="4"/>
        <v>0.13901345291479822</v>
      </c>
      <c r="AI9" s="16">
        <f t="shared" si="5"/>
        <v>0.14598180439727065</v>
      </c>
      <c r="AJ9" s="16">
        <f t="shared" si="6"/>
        <v>0.15133320902479955</v>
      </c>
      <c r="AK9" s="18">
        <f t="shared" si="7"/>
        <v>0.13412340105342363</v>
      </c>
      <c r="AL9" s="18">
        <f t="shared" si="8"/>
        <v>0.15763176512203747</v>
      </c>
      <c r="AM9" s="6"/>
      <c r="AN9" s="6"/>
      <c r="AO9" s="16">
        <f t="shared" si="9"/>
        <v>0.13880747852450734</v>
      </c>
      <c r="AP9" s="16">
        <f t="shared" si="10"/>
        <v>0.13442258340461935</v>
      </c>
      <c r="AQ9" s="16">
        <f t="shared" si="11"/>
        <v>0.13901345291479822</v>
      </c>
      <c r="AR9" s="16">
        <f t="shared" si="12"/>
        <v>0.14598180439727065</v>
      </c>
      <c r="AS9" s="16">
        <f t="shared" si="13"/>
        <v>0.15133320902479955</v>
      </c>
      <c r="AT9" s="18">
        <f t="shared" si="14"/>
        <v>0.099134687735139213</v>
      </c>
      <c r="AU9" s="18">
        <f t="shared" si="15"/>
        <v>0.11651043509020162</v>
      </c>
      <c r="AZ9" s="5" t="s">
        <v>315</v>
      </c>
      <c r="BA9" s="13" t="s">
        <v>310</v>
      </c>
      <c r="BB9" s="14">
        <v>855</v>
      </c>
      <c r="BC9" s="16">
        <v>824.10</v>
      </c>
      <c r="BD9" s="16">
        <v>785.70</v>
      </c>
      <c r="BE9" s="16">
        <v>775</v>
      </c>
      <c r="BF9" s="16">
        <v>770.20</v>
      </c>
      <c r="BG9" s="16">
        <v>811.60</v>
      </c>
      <c r="BH9" s="16">
        <v>775</v>
      </c>
      <c r="BI9" s="16">
        <v>775</v>
      </c>
      <c r="BJ9" s="6"/>
      <c r="BK9" s="6"/>
      <c r="BL9" s="19"/>
      <c r="BM9" s="19"/>
      <c r="BN9" s="19"/>
      <c r="BO9" s="19"/>
    </row>
    <row r="10" spans="1:67" ht="15.5">
      <c r="A10" s="5"/>
      <c r="B10" s="13" t="s">
        <v>311</v>
      </c>
      <c r="C10" s="14">
        <f t="shared" si="26" ref="C10:J10">BB10/1000</f>
        <v>0.78879999999999995</v>
      </c>
      <c r="D10" s="14">
        <f t="shared" si="26"/>
        <v>0.76260000000000006</v>
      </c>
      <c r="E10" s="14">
        <f t="shared" si="26"/>
        <v>0.72750000000000004</v>
      </c>
      <c r="F10" s="14">
        <f t="shared" si="26"/>
        <v>0.71789999999999998</v>
      </c>
      <c r="G10" s="14">
        <f t="shared" si="26"/>
        <v>0.7107</v>
      </c>
      <c r="H10" s="14">
        <f t="shared" si="26"/>
        <v>0.75029999999999997</v>
      </c>
      <c r="I10" s="14">
        <f t="shared" si="26"/>
        <v>0.71789999999999998</v>
      </c>
      <c r="J10" s="14">
        <f t="shared" si="26"/>
        <v>0.71789999999999998</v>
      </c>
      <c r="K10" s="6"/>
      <c r="L10" s="6"/>
      <c r="M10" s="19">
        <v>5.9370000000000003</v>
      </c>
      <c r="N10" s="19">
        <v>5.845</v>
      </c>
      <c r="O10" s="19">
        <v>5.575</v>
      </c>
      <c r="P10" s="19">
        <v>5.2759999999999998</v>
      </c>
      <c r="Q10" s="19">
        <v>5.3630000000000004</v>
      </c>
      <c r="R10" s="19">
        <v>6.645</v>
      </c>
      <c r="S10" s="19">
        <v>5.6539999999999999</v>
      </c>
      <c r="T10" s="19"/>
      <c r="U10" s="5"/>
      <c r="V10" s="13" t="s">
        <v>311</v>
      </c>
      <c r="W10" s="16">
        <f t="shared" si="27" ref="W10:AC10">D10/M10</f>
        <v>0.12844871147043962</v>
      </c>
      <c r="X10" s="16">
        <f t="shared" si="27"/>
        <v>0.12446535500427718</v>
      </c>
      <c r="Y10" s="16">
        <f t="shared" si="27"/>
        <v>0.12877130044843049</v>
      </c>
      <c r="Z10" s="16">
        <f t="shared" si="27"/>
        <v>0.13470432145564823</v>
      </c>
      <c r="AA10" s="16">
        <f t="shared" si="27"/>
        <v>0.13990303934365092</v>
      </c>
      <c r="AB10" s="17">
        <f t="shared" si="27"/>
        <v>0.10803611738148984</v>
      </c>
      <c r="AC10" s="17">
        <f t="shared" si="27"/>
        <v>0.12697205518217192</v>
      </c>
      <c r="AD10" s="6"/>
      <c r="AE10" s="6"/>
      <c r="AF10" s="16">
        <f t="shared" si="2"/>
        <v>0.12844871147043962</v>
      </c>
      <c r="AG10" s="16">
        <f t="shared" si="3"/>
        <v>0.12446535500427718</v>
      </c>
      <c r="AH10" s="16">
        <f t="shared" si="4"/>
        <v>0.12877130044843049</v>
      </c>
      <c r="AI10" s="16">
        <f t="shared" si="5"/>
        <v>0.13470432145564823</v>
      </c>
      <c r="AJ10" s="16">
        <f t="shared" si="6"/>
        <v>0.13990303934365092</v>
      </c>
      <c r="AK10" s="18">
        <f t="shared" si="7"/>
        <v>0.12424153498871331</v>
      </c>
      <c r="AL10" s="18">
        <f t="shared" si="8"/>
        <v>0.14601786345949769</v>
      </c>
      <c r="AM10" s="6"/>
      <c r="AN10" s="6"/>
      <c r="AO10" s="16">
        <f t="shared" si="9"/>
        <v>0.12844871147043962</v>
      </c>
      <c r="AP10" s="16">
        <f t="shared" si="10"/>
        <v>0.12446535500427718</v>
      </c>
      <c r="AQ10" s="16">
        <f t="shared" si="11"/>
        <v>0.12877130044843049</v>
      </c>
      <c r="AR10" s="16">
        <f t="shared" si="12"/>
        <v>0.13470432145564823</v>
      </c>
      <c r="AS10" s="16">
        <f t="shared" si="13"/>
        <v>0.13990303934365092</v>
      </c>
      <c r="AT10" s="18">
        <f t="shared" si="14"/>
        <v>0.091830699774266361</v>
      </c>
      <c r="AU10" s="18">
        <f t="shared" si="15"/>
        <v>0.10792624690484613</v>
      </c>
      <c r="AZ10" s="5"/>
      <c r="BA10" s="13" t="s">
        <v>311</v>
      </c>
      <c r="BB10" s="14">
        <v>788.80</v>
      </c>
      <c r="BC10" s="16">
        <v>762.60</v>
      </c>
      <c r="BD10" s="16">
        <v>727.50</v>
      </c>
      <c r="BE10" s="16">
        <v>717.90</v>
      </c>
      <c r="BF10" s="16">
        <v>710.70</v>
      </c>
      <c r="BG10" s="16">
        <v>750.30</v>
      </c>
      <c r="BH10" s="16">
        <v>717.90</v>
      </c>
      <c r="BI10" s="16">
        <v>717.90</v>
      </c>
      <c r="BJ10" s="6"/>
      <c r="BK10" s="6"/>
      <c r="BL10" s="19"/>
      <c r="BM10" s="19"/>
      <c r="BN10" s="19"/>
      <c r="BO10" s="19"/>
    </row>
    <row r="11" spans="1:67" ht="15.5">
      <c r="A11" s="5"/>
      <c r="B11" s="13" t="s">
        <v>312</v>
      </c>
      <c r="C11" s="14">
        <f t="shared" si="28" ref="C11:J11">BB11/1000</f>
        <v>0.23810000000000001</v>
      </c>
      <c r="D11" s="14">
        <f t="shared" si="28"/>
        <v>0.20749999999999999</v>
      </c>
      <c r="E11" s="14">
        <f t="shared" si="28"/>
        <v>0.1951</v>
      </c>
      <c r="F11" s="14">
        <f t="shared" si="28"/>
        <v>0.19159999999999999</v>
      </c>
      <c r="G11" s="14">
        <f t="shared" si="28"/>
        <v>0.186</v>
      </c>
      <c r="H11" s="14">
        <f t="shared" si="28"/>
        <v>0.1938</v>
      </c>
      <c r="I11" s="14">
        <f t="shared" si="28"/>
        <v>0.19159999999999999</v>
      </c>
      <c r="J11" s="14">
        <f t="shared" si="28"/>
        <v>0.19159999999999999</v>
      </c>
      <c r="K11" s="6"/>
      <c r="L11" s="6"/>
      <c r="M11" s="19">
        <v>5.9370000000000003</v>
      </c>
      <c r="N11" s="19">
        <v>5.845</v>
      </c>
      <c r="O11" s="19">
        <v>5.575</v>
      </c>
      <c r="P11" s="19">
        <v>5.2759999999999998</v>
      </c>
      <c r="Q11" s="19">
        <v>5.3630000000000004</v>
      </c>
      <c r="R11" s="19">
        <v>6.645</v>
      </c>
      <c r="S11" s="19">
        <v>5.6539999999999999</v>
      </c>
      <c r="T11" s="19"/>
      <c r="U11" s="5"/>
      <c r="V11" s="13" t="s">
        <v>312</v>
      </c>
      <c r="W11" s="16">
        <f t="shared" si="29" ref="W11:AC11">D11/M11</f>
        <v>0.0349503116051878</v>
      </c>
      <c r="X11" s="16">
        <f t="shared" si="29"/>
        <v>0.033378956372968352</v>
      </c>
      <c r="Y11" s="16">
        <f t="shared" si="29"/>
        <v>0.034367713004484303</v>
      </c>
      <c r="Z11" s="16">
        <f t="shared" si="29"/>
        <v>0.035253980288097043</v>
      </c>
      <c r="AA11" s="16">
        <f t="shared" si="29"/>
        <v>0.036136490770091366</v>
      </c>
      <c r="AB11" s="17">
        <f t="shared" si="29"/>
        <v>0.028833709556057185</v>
      </c>
      <c r="AC11" s="17">
        <f t="shared" si="29"/>
        <v>0.033887513264945171</v>
      </c>
      <c r="AD11" s="6"/>
      <c r="AE11" s="6"/>
      <c r="AF11" s="16">
        <f t="shared" si="2"/>
        <v>0.0349503116051878</v>
      </c>
      <c r="AG11" s="16">
        <f t="shared" si="3"/>
        <v>0.033378956372968352</v>
      </c>
      <c r="AH11" s="16">
        <f t="shared" si="4"/>
        <v>0.034367713004484303</v>
      </c>
      <c r="AI11" s="16">
        <f t="shared" si="5"/>
        <v>0.035253980288097043</v>
      </c>
      <c r="AJ11" s="16">
        <f t="shared" si="6"/>
        <v>0.036136490770091366</v>
      </c>
      <c r="AK11" s="18">
        <f t="shared" si="7"/>
        <v>0.033158765989465759</v>
      </c>
      <c r="AL11" s="18">
        <f t="shared" si="8"/>
        <v>0.038970640254686946</v>
      </c>
      <c r="AM11" s="6"/>
      <c r="AN11" s="6"/>
      <c r="AO11" s="16">
        <f t="shared" si="9"/>
        <v>0.0349503116051878</v>
      </c>
      <c r="AP11" s="16">
        <f t="shared" si="10"/>
        <v>0.033378956372968352</v>
      </c>
      <c r="AQ11" s="16">
        <f t="shared" si="11"/>
        <v>0.034367713004484303</v>
      </c>
      <c r="AR11" s="16">
        <f t="shared" si="12"/>
        <v>0.035253980288097043</v>
      </c>
      <c r="AS11" s="16">
        <f t="shared" si="13"/>
        <v>0.036136490770091366</v>
      </c>
      <c r="AT11" s="18">
        <f t="shared" si="14"/>
        <v>0.024508653122648608</v>
      </c>
      <c r="AU11" s="18">
        <f t="shared" si="15"/>
        <v>0.028804386275203396</v>
      </c>
      <c r="AZ11" s="5"/>
      <c r="BA11" s="13" t="s">
        <v>312</v>
      </c>
      <c r="BB11" s="14">
        <v>238.10</v>
      </c>
      <c r="BC11" s="16">
        <v>207.50</v>
      </c>
      <c r="BD11" s="16">
        <v>195.10</v>
      </c>
      <c r="BE11" s="16">
        <v>191.60</v>
      </c>
      <c r="BF11" s="16">
        <v>186</v>
      </c>
      <c r="BG11" s="16">
        <v>193.80</v>
      </c>
      <c r="BH11" s="16">
        <v>191.60</v>
      </c>
      <c r="BI11" s="16">
        <v>191.60</v>
      </c>
      <c r="BJ11" s="6"/>
      <c r="BK11" s="6"/>
      <c r="BL11" s="19"/>
      <c r="BM11" s="19"/>
      <c r="BN11" s="19"/>
      <c r="BO11" s="19"/>
    </row>
    <row r="12" spans="1:67" ht="15.5">
      <c r="A12" s="5"/>
      <c r="B12" s="13" t="s">
        <v>313</v>
      </c>
      <c r="C12" s="14">
        <f t="shared" si="30" ref="C12:J12">BB12/1000</f>
        <v>0.46289999999999998</v>
      </c>
      <c r="D12" s="14">
        <f t="shared" si="30"/>
        <v>0.47489999999999999</v>
      </c>
      <c r="E12" s="14">
        <f t="shared" si="30"/>
        <v>0.4551</v>
      </c>
      <c r="F12" s="14">
        <f t="shared" si="30"/>
        <v>0.45000000000000001</v>
      </c>
      <c r="G12" s="14">
        <f t="shared" si="30"/>
        <v>0.44589999999999996</v>
      </c>
      <c r="H12" s="14">
        <f t="shared" si="30"/>
        <v>0.47470000000000001</v>
      </c>
      <c r="I12" s="14">
        <f t="shared" si="30"/>
        <v>0.45000000000000001</v>
      </c>
      <c r="J12" s="14">
        <f t="shared" si="30"/>
        <v>0.45000000000000001</v>
      </c>
      <c r="K12" s="6"/>
      <c r="L12" s="6"/>
      <c r="M12" s="19">
        <v>5.9370000000000003</v>
      </c>
      <c r="N12" s="19">
        <v>5.845</v>
      </c>
      <c r="O12" s="19">
        <v>5.575</v>
      </c>
      <c r="P12" s="19">
        <v>5.2759999999999998</v>
      </c>
      <c r="Q12" s="19">
        <v>5.3630000000000004</v>
      </c>
      <c r="R12" s="19">
        <v>6.645</v>
      </c>
      <c r="S12" s="19">
        <v>5.6539999999999999</v>
      </c>
      <c r="T12" s="19"/>
      <c r="U12" s="5"/>
      <c r="V12" s="13" t="s">
        <v>313</v>
      </c>
      <c r="W12" s="16">
        <f t="shared" si="31" ref="W12:AC12">D12/M12</f>
        <v>0.079989893885800897</v>
      </c>
      <c r="X12" s="16">
        <f t="shared" si="31"/>
        <v>0.077861420017108648</v>
      </c>
      <c r="Y12" s="16">
        <f t="shared" si="31"/>
        <v>0.080717488789237665</v>
      </c>
      <c r="Z12" s="16">
        <f t="shared" si="31"/>
        <v>0.08451478392721759</v>
      </c>
      <c r="AA12" s="16">
        <f t="shared" si="31"/>
        <v>0.088513891478650006</v>
      </c>
      <c r="AB12" s="17">
        <f t="shared" si="31"/>
        <v>0.06772009029345373</v>
      </c>
      <c r="AC12" s="17">
        <f t="shared" si="31"/>
        <v>0.079589671029359751</v>
      </c>
      <c r="AD12" s="6"/>
      <c r="AE12" s="6"/>
      <c r="AF12" s="16">
        <f t="shared" si="2"/>
        <v>0.079989893885800897</v>
      </c>
      <c r="AG12" s="16">
        <f t="shared" si="3"/>
        <v>0.077861420017108648</v>
      </c>
      <c r="AH12" s="16">
        <f t="shared" si="4"/>
        <v>0.080717488789237665</v>
      </c>
      <c r="AI12" s="16">
        <f t="shared" si="5"/>
        <v>0.08451478392721759</v>
      </c>
      <c r="AJ12" s="16">
        <f t="shared" si="6"/>
        <v>0.088513891478650006</v>
      </c>
      <c r="AK12" s="18">
        <f t="shared" si="7"/>
        <v>0.07787810383747179</v>
      </c>
      <c r="AL12" s="18">
        <f t="shared" si="8"/>
        <v>0.091528121683763702</v>
      </c>
      <c r="AM12" s="6"/>
      <c r="AN12" s="6"/>
      <c r="AO12" s="16">
        <f t="shared" si="9"/>
        <v>0.079989893885800897</v>
      </c>
      <c r="AP12" s="16">
        <f t="shared" si="10"/>
        <v>0.077861420017108648</v>
      </c>
      <c r="AQ12" s="16">
        <f t="shared" si="11"/>
        <v>0.080717488789237665</v>
      </c>
      <c r="AR12" s="16">
        <f t="shared" si="12"/>
        <v>0.08451478392721759</v>
      </c>
      <c r="AS12" s="16">
        <f t="shared" si="13"/>
        <v>0.088513891478650006</v>
      </c>
      <c r="AT12" s="18">
        <f t="shared" si="14"/>
        <v>0.05756207674943567</v>
      </c>
      <c r="AU12" s="18">
        <f t="shared" si="15"/>
        <v>0.067651220374955787</v>
      </c>
      <c r="AZ12" s="5"/>
      <c r="BA12" s="13" t="s">
        <v>313</v>
      </c>
      <c r="BB12" s="14">
        <v>462.90</v>
      </c>
      <c r="BC12" s="16">
        <v>474.90</v>
      </c>
      <c r="BD12" s="16">
        <v>455.10</v>
      </c>
      <c r="BE12" s="16">
        <v>450</v>
      </c>
      <c r="BF12" s="16">
        <v>445.90</v>
      </c>
      <c r="BG12" s="16">
        <v>474.70</v>
      </c>
      <c r="BH12" s="16">
        <v>450</v>
      </c>
      <c r="BI12" s="16">
        <v>450</v>
      </c>
      <c r="BJ12" s="6"/>
      <c r="BK12" s="6"/>
      <c r="BL12" s="19"/>
      <c r="BM12" s="19"/>
      <c r="BN12" s="19"/>
      <c r="BO12" s="19"/>
    </row>
    <row r="13" spans="1:67" ht="15.5">
      <c r="A13" s="5"/>
      <c r="B13" s="13" t="s">
        <v>314</v>
      </c>
      <c r="C13" s="14">
        <f t="shared" si="32" ref="C13:J13">BB13/1000</f>
        <v>0.0877</v>
      </c>
      <c r="D13" s="14">
        <f t="shared" si="32"/>
        <v>0.080200000000000007</v>
      </c>
      <c r="E13" s="14">
        <f t="shared" si="32"/>
        <v>0.077200000000000005</v>
      </c>
      <c r="F13" s="14">
        <f t="shared" si="32"/>
        <v>0.076299999999999993</v>
      </c>
      <c r="G13" s="14">
        <f t="shared" si="32"/>
        <v>0.078900000000000012</v>
      </c>
      <c r="H13" s="14">
        <f t="shared" si="32"/>
        <v>0.081700000000000009</v>
      </c>
      <c r="I13" s="14">
        <f t="shared" si="32"/>
        <v>0.076299999999999993</v>
      </c>
      <c r="J13" s="14">
        <f t="shared" si="32"/>
        <v>0.076299999999999993</v>
      </c>
      <c r="K13" s="6"/>
      <c r="L13" s="6"/>
      <c r="M13" s="19">
        <v>5.9370000000000003</v>
      </c>
      <c r="N13" s="19">
        <v>5.845</v>
      </c>
      <c r="O13" s="19">
        <v>5.575</v>
      </c>
      <c r="P13" s="19">
        <v>5.2759999999999998</v>
      </c>
      <c r="Q13" s="19">
        <v>5.3630000000000004</v>
      </c>
      <c r="R13" s="19">
        <v>6.645</v>
      </c>
      <c r="S13" s="19">
        <v>5.6539999999999999</v>
      </c>
      <c r="T13" s="19"/>
      <c r="U13" s="5"/>
      <c r="V13" s="13" t="s">
        <v>314</v>
      </c>
      <c r="W13" s="16">
        <f t="shared" si="33" ref="W13:AC13">D13/M13</f>
        <v>0.013508505979450901</v>
      </c>
      <c r="X13" s="16">
        <f t="shared" si="33"/>
        <v>0.013207869974337042</v>
      </c>
      <c r="Y13" s="16">
        <f t="shared" si="33"/>
        <v>0.013686098654708519</v>
      </c>
      <c r="Z13" s="16">
        <f t="shared" si="33"/>
        <v>0.014954510993176651</v>
      </c>
      <c r="AA13" s="16">
        <f t="shared" si="33"/>
        <v>0.015234010814842439</v>
      </c>
      <c r="AB13" s="17">
        <f t="shared" si="33"/>
        <v>0.011482317531978932</v>
      </c>
      <c r="AC13" s="17">
        <f t="shared" si="33"/>
        <v>0.013494870887866996</v>
      </c>
      <c r="AD13" s="6"/>
      <c r="AE13" s="6"/>
      <c r="AF13" s="16">
        <f t="shared" si="34" ref="AF13:AJ13">W13</f>
        <v>0.013508505979450901</v>
      </c>
      <c r="AG13" s="16">
        <f t="shared" si="34"/>
        <v>0.013207869974337042</v>
      </c>
      <c r="AH13" s="16">
        <f t="shared" si="34"/>
        <v>0.013686098654708519</v>
      </c>
      <c r="AI13" s="16">
        <f t="shared" si="34"/>
        <v>0.014954510993176651</v>
      </c>
      <c r="AJ13" s="16">
        <f t="shared" si="34"/>
        <v>0.015234010814842439</v>
      </c>
      <c r="AK13" s="18">
        <f t="shared" si="35" ref="AK13:AK18">AB13*1.15</f>
        <v>0.013204665161775771</v>
      </c>
      <c r="AL13" s="18">
        <f t="shared" si="36" ref="AL13:AL18">AC13*1.15</f>
        <v>0.015519101521047044</v>
      </c>
      <c r="AM13" s="6"/>
      <c r="AN13" s="6"/>
      <c r="AO13" s="16">
        <f t="shared" si="37" ref="AO13:AS13">W13</f>
        <v>0.013508505979450901</v>
      </c>
      <c r="AP13" s="16">
        <f t="shared" si="37"/>
        <v>0.013207869974337042</v>
      </c>
      <c r="AQ13" s="16">
        <f t="shared" si="37"/>
        <v>0.013686098654708519</v>
      </c>
      <c r="AR13" s="16">
        <f t="shared" si="37"/>
        <v>0.014954510993176651</v>
      </c>
      <c r="AS13" s="16">
        <f t="shared" si="37"/>
        <v>0.015234010814842439</v>
      </c>
      <c r="AT13" s="18">
        <f t="shared" si="38" ref="AT13:AT18">AB13*0.85</f>
        <v>0.0097599699021820915</v>
      </c>
      <c r="AU13" s="18">
        <f t="shared" si="39" ref="AU13:AU18">AC13*0.85</f>
        <v>0.011470640254686946</v>
      </c>
      <c r="AZ13" s="5"/>
      <c r="BA13" s="13" t="s">
        <v>314</v>
      </c>
      <c r="BB13" s="14">
        <v>87.70</v>
      </c>
      <c r="BC13" s="16">
        <v>80.20</v>
      </c>
      <c r="BD13" s="16">
        <v>77.20</v>
      </c>
      <c r="BE13" s="16">
        <v>76.30</v>
      </c>
      <c r="BF13" s="16">
        <v>78.90</v>
      </c>
      <c r="BG13" s="16">
        <v>81.70</v>
      </c>
      <c r="BH13" s="16">
        <v>76.30</v>
      </c>
      <c r="BI13" s="16">
        <v>76.30</v>
      </c>
      <c r="BJ13" s="6"/>
      <c r="BK13" s="6"/>
      <c r="BL13" s="19"/>
      <c r="BM13" s="19"/>
      <c r="BN13" s="19"/>
      <c r="BO13" s="19"/>
    </row>
    <row r="14" spans="1:67" ht="15.5">
      <c r="A14" s="5" t="s">
        <v>11</v>
      </c>
      <c r="B14" s="13" t="s">
        <v>310</v>
      </c>
      <c r="C14" s="14">
        <f t="shared" si="40" ref="C14:J14">BB14/1000</f>
        <v>0.87050000000000005</v>
      </c>
      <c r="D14" s="14">
        <f t="shared" si="40"/>
        <v>0.83810000000000007</v>
      </c>
      <c r="E14" s="14">
        <f t="shared" si="40"/>
        <v>0.79900000000000004</v>
      </c>
      <c r="F14" s="14">
        <f t="shared" si="40"/>
        <v>0.78820000000000001</v>
      </c>
      <c r="G14" s="14">
        <f t="shared" si="40"/>
        <v>0.78349999999999997</v>
      </c>
      <c r="H14" s="14">
        <f t="shared" si="40"/>
        <v>0.82529999999999992</v>
      </c>
      <c r="I14" s="14">
        <f t="shared" si="40"/>
        <v>0.78820000000000001</v>
      </c>
      <c r="J14" s="14">
        <f t="shared" si="40"/>
        <v>0.78820000000000001</v>
      </c>
      <c r="K14" s="6"/>
      <c r="L14" s="6"/>
      <c r="M14" s="19">
        <v>5.9370000000000003</v>
      </c>
      <c r="N14" s="19">
        <v>5.845</v>
      </c>
      <c r="O14" s="19">
        <v>5.575</v>
      </c>
      <c r="P14" s="19">
        <v>5.2759999999999998</v>
      </c>
      <c r="Q14" s="19">
        <v>5.3630000000000004</v>
      </c>
      <c r="R14" s="19">
        <v>6.645</v>
      </c>
      <c r="S14" s="19">
        <v>5.6539999999999999</v>
      </c>
      <c r="T14" s="19"/>
      <c r="U14" s="5" t="s">
        <v>11</v>
      </c>
      <c r="V14" s="13" t="s">
        <v>310</v>
      </c>
      <c r="W14" s="16">
        <f t="shared" si="41" ref="W14:AC14">D14/M14</f>
        <v>0.14116557183762843</v>
      </c>
      <c r="X14" s="16">
        <f t="shared" si="41"/>
        <v>0.13669803250641574</v>
      </c>
      <c r="Y14" s="16">
        <f t="shared" si="41"/>
        <v>0.14138116591928251</v>
      </c>
      <c r="Z14" s="16">
        <f t="shared" si="41"/>
        <v>0.14850265352539804</v>
      </c>
      <c r="AA14" s="16">
        <f t="shared" si="41"/>
        <v>0.15388774939399588</v>
      </c>
      <c r="AB14" s="17">
        <f t="shared" si="41"/>
        <v>0.11861550037622273</v>
      </c>
      <c r="AC14" s="17">
        <f t="shared" si="41"/>
        <v>0.13940573045631413</v>
      </c>
      <c r="AD14" s="6"/>
      <c r="AE14" s="6"/>
      <c r="AF14" s="16">
        <f t="shared" si="42" ref="AF14:AJ14">W14</f>
        <v>0.14116557183762843</v>
      </c>
      <c r="AG14" s="16">
        <f t="shared" si="42"/>
        <v>0.13669803250641574</v>
      </c>
      <c r="AH14" s="16">
        <f t="shared" si="42"/>
        <v>0.14138116591928251</v>
      </c>
      <c r="AI14" s="16">
        <f t="shared" si="42"/>
        <v>0.14850265352539804</v>
      </c>
      <c r="AJ14" s="16">
        <f t="shared" si="42"/>
        <v>0.15388774939399588</v>
      </c>
      <c r="AK14" s="18">
        <f t="shared" si="35"/>
        <v>0.13640782543265614</v>
      </c>
      <c r="AL14" s="18">
        <f t="shared" si="36"/>
        <v>0.16031659002476123</v>
      </c>
      <c r="AM14" s="6"/>
      <c r="AN14" s="6"/>
      <c r="AO14" s="16">
        <f t="shared" si="43" ref="AO14:AS14">W14</f>
        <v>0.14116557183762843</v>
      </c>
      <c r="AP14" s="16">
        <f t="shared" si="43"/>
        <v>0.13669803250641574</v>
      </c>
      <c r="AQ14" s="16">
        <f t="shared" si="43"/>
        <v>0.14138116591928251</v>
      </c>
      <c r="AR14" s="16">
        <f t="shared" si="43"/>
        <v>0.14850265352539804</v>
      </c>
      <c r="AS14" s="16">
        <f t="shared" si="43"/>
        <v>0.15388774939399588</v>
      </c>
      <c r="AT14" s="18">
        <f t="shared" si="38"/>
        <v>0.10082317531978932</v>
      </c>
      <c r="AU14" s="18">
        <f t="shared" si="39"/>
        <v>0.118494870887867</v>
      </c>
      <c r="AZ14" s="5" t="s">
        <v>11</v>
      </c>
      <c r="BA14" s="13" t="s">
        <v>310</v>
      </c>
      <c r="BB14" s="14">
        <v>870.50</v>
      </c>
      <c r="BC14" s="16">
        <v>838.10</v>
      </c>
      <c r="BD14" s="16">
        <v>799</v>
      </c>
      <c r="BE14" s="16">
        <v>788.20</v>
      </c>
      <c r="BF14" s="16">
        <v>783.50</v>
      </c>
      <c r="BG14" s="16">
        <v>825.30</v>
      </c>
      <c r="BH14" s="16">
        <v>788.20</v>
      </c>
      <c r="BI14" s="16">
        <v>788.20</v>
      </c>
      <c r="BJ14" s="6"/>
      <c r="BK14" s="6"/>
      <c r="BL14" s="19"/>
      <c r="BM14" s="19"/>
      <c r="BN14" s="19"/>
      <c r="BO14" s="19"/>
    </row>
    <row r="15" spans="1:67" ht="15.5">
      <c r="A15" s="5"/>
      <c r="B15" s="13" t="s">
        <v>311</v>
      </c>
      <c r="C15" s="14">
        <f t="shared" si="44" ref="C15:J15">BB15/1000</f>
        <v>0.80120000000000002</v>
      </c>
      <c r="D15" s="14">
        <f t="shared" si="44"/>
        <v>0.77379999999999993</v>
      </c>
      <c r="E15" s="14">
        <f t="shared" si="44"/>
        <v>0.73820000000000008</v>
      </c>
      <c r="F15" s="14">
        <f t="shared" si="44"/>
        <v>0.72850000000000004</v>
      </c>
      <c r="G15" s="14">
        <f t="shared" si="44"/>
        <v>0.72139999999999993</v>
      </c>
      <c r="H15" s="14">
        <f t="shared" si="44"/>
        <v>0.76129999999999998</v>
      </c>
      <c r="I15" s="14">
        <f t="shared" si="44"/>
        <v>0.72850000000000004</v>
      </c>
      <c r="J15" s="14">
        <f t="shared" si="44"/>
        <v>0.72850000000000004</v>
      </c>
      <c r="K15" s="6"/>
      <c r="L15" s="6"/>
      <c r="M15" s="19">
        <v>5.9370000000000003</v>
      </c>
      <c r="N15" s="19">
        <v>5.845</v>
      </c>
      <c r="O15" s="19">
        <v>5.575</v>
      </c>
      <c r="P15" s="19">
        <v>5.2759999999999998</v>
      </c>
      <c r="Q15" s="19">
        <v>5.3630000000000004</v>
      </c>
      <c r="R15" s="19">
        <v>6.645</v>
      </c>
      <c r="S15" s="19">
        <v>5.6539999999999999</v>
      </c>
      <c r="T15" s="19"/>
      <c r="U15" s="5"/>
      <c r="V15" s="13" t="s">
        <v>311</v>
      </c>
      <c r="W15" s="16">
        <f t="shared" si="45" ref="W15:AC15">D15/M15</f>
        <v>0.13033518612093647</v>
      </c>
      <c r="X15" s="16">
        <f t="shared" si="45"/>
        <v>0.12629597946963217</v>
      </c>
      <c r="Y15" s="16">
        <f t="shared" si="45"/>
        <v>0.1306726457399103</v>
      </c>
      <c r="Z15" s="16">
        <f t="shared" si="45"/>
        <v>0.13673237300985594</v>
      </c>
      <c r="AA15" s="16">
        <f t="shared" si="45"/>
        <v>0.14195413015103486</v>
      </c>
      <c r="AB15" s="17">
        <f t="shared" si="45"/>
        <v>0.10963130173062455</v>
      </c>
      <c r="AC15" s="17">
        <f t="shared" si="45"/>
        <v>0.12884683409975239</v>
      </c>
      <c r="AD15" s="6"/>
      <c r="AE15" s="6"/>
      <c r="AF15" s="16">
        <f t="shared" si="46" ref="AF15:AJ15">W15</f>
        <v>0.13033518612093647</v>
      </c>
      <c r="AG15" s="16">
        <f t="shared" si="46"/>
        <v>0.12629597946963217</v>
      </c>
      <c r="AH15" s="16">
        <f t="shared" si="46"/>
        <v>0.1306726457399103</v>
      </c>
      <c r="AI15" s="16">
        <f t="shared" si="46"/>
        <v>0.13673237300985594</v>
      </c>
      <c r="AJ15" s="16">
        <f t="shared" si="46"/>
        <v>0.14195413015103486</v>
      </c>
      <c r="AK15" s="18">
        <f t="shared" si="35"/>
        <v>0.12607599699021821</v>
      </c>
      <c r="AL15" s="18">
        <f t="shared" si="36"/>
        <v>0.14817385921471524</v>
      </c>
      <c r="AM15" s="6"/>
      <c r="AN15" s="6"/>
      <c r="AO15" s="16">
        <f t="shared" si="47" ref="AO15:AS15">W15</f>
        <v>0.13033518612093647</v>
      </c>
      <c r="AP15" s="16">
        <f t="shared" si="47"/>
        <v>0.12629597946963217</v>
      </c>
      <c r="AQ15" s="16">
        <f t="shared" si="47"/>
        <v>0.1306726457399103</v>
      </c>
      <c r="AR15" s="16">
        <f t="shared" si="47"/>
        <v>0.13673237300985594</v>
      </c>
      <c r="AS15" s="16">
        <f t="shared" si="47"/>
        <v>0.14195413015103486</v>
      </c>
      <c r="AT15" s="18">
        <f t="shared" si="38"/>
        <v>0.093186606471030858</v>
      </c>
      <c r="AU15" s="18">
        <f t="shared" si="39"/>
        <v>0.10951980898478954</v>
      </c>
      <c r="AZ15" s="5"/>
      <c r="BA15" s="13" t="s">
        <v>311</v>
      </c>
      <c r="BB15" s="14">
        <v>801.20</v>
      </c>
      <c r="BC15" s="16">
        <v>773.80</v>
      </c>
      <c r="BD15" s="16">
        <v>738.20</v>
      </c>
      <c r="BE15" s="16">
        <v>728.50</v>
      </c>
      <c r="BF15" s="16">
        <v>721.40</v>
      </c>
      <c r="BG15" s="16">
        <v>761.30</v>
      </c>
      <c r="BH15" s="16">
        <v>728.50</v>
      </c>
      <c r="BI15" s="16">
        <v>728.50</v>
      </c>
      <c r="BJ15" s="6"/>
      <c r="BK15" s="6"/>
      <c r="BL15" s="19"/>
      <c r="BM15" s="19"/>
      <c r="BN15" s="19"/>
      <c r="BO15" s="19"/>
    </row>
    <row r="16" spans="1:67" ht="15.5">
      <c r="A16" s="5"/>
      <c r="B16" s="13" t="s">
        <v>312</v>
      </c>
      <c r="C16" s="14">
        <f t="shared" si="48" ref="C16:J16">BB16/1000</f>
        <v>0.30210000000000004</v>
      </c>
      <c r="D16" s="14">
        <f t="shared" si="48"/>
        <v>0.26539999999999997</v>
      </c>
      <c r="E16" s="14">
        <f t="shared" si="48"/>
        <v>0.25019999999999998</v>
      </c>
      <c r="F16" s="14">
        <f t="shared" si="48"/>
        <v>0.246</v>
      </c>
      <c r="G16" s="14">
        <f t="shared" si="48"/>
        <v>0.24080000000000001</v>
      </c>
      <c r="H16" s="14">
        <f t="shared" si="48"/>
        <v>0.25059999999999999</v>
      </c>
      <c r="I16" s="14">
        <f t="shared" si="48"/>
        <v>0.246</v>
      </c>
      <c r="J16" s="14">
        <f t="shared" si="48"/>
        <v>0.246</v>
      </c>
      <c r="K16" s="6"/>
      <c r="L16" s="6"/>
      <c r="M16" s="19">
        <v>5.9370000000000003</v>
      </c>
      <c r="N16" s="19">
        <v>5.845</v>
      </c>
      <c r="O16" s="19">
        <v>5.575</v>
      </c>
      <c r="P16" s="19">
        <v>5.2759999999999998</v>
      </c>
      <c r="Q16" s="19">
        <v>5.3630000000000004</v>
      </c>
      <c r="R16" s="19">
        <v>6.645</v>
      </c>
      <c r="S16" s="19">
        <v>5.6539999999999999</v>
      </c>
      <c r="T16" s="19"/>
      <c r="U16" s="5"/>
      <c r="V16" s="13" t="s">
        <v>312</v>
      </c>
      <c r="W16" s="16">
        <f t="shared" si="49" ref="W16:AC16">D16/M16</f>
        <v>0.044702711807310079</v>
      </c>
      <c r="X16" s="16">
        <f t="shared" si="49"/>
        <v>0.042805816937553462</v>
      </c>
      <c r="Y16" s="16">
        <f t="shared" si="49"/>
        <v>0.044125560538116587</v>
      </c>
      <c r="Z16" s="16">
        <f t="shared" si="49"/>
        <v>0.045640636846095532</v>
      </c>
      <c r="AA16" s="16">
        <f t="shared" si="49"/>
        <v>0.046727577848219272</v>
      </c>
      <c r="AB16" s="17">
        <f t="shared" si="49"/>
        <v>0.037020316027088038</v>
      </c>
      <c r="AC16" s="17">
        <f t="shared" si="49"/>
        <v>0.043509020162716662</v>
      </c>
      <c r="AD16" s="6"/>
      <c r="AE16" s="6"/>
      <c r="AF16" s="16">
        <f t="shared" si="50" ref="AF16:AJ16">W16</f>
        <v>0.044702711807310079</v>
      </c>
      <c r="AG16" s="16">
        <f t="shared" si="50"/>
        <v>0.042805816937553462</v>
      </c>
      <c r="AH16" s="16">
        <f t="shared" si="50"/>
        <v>0.044125560538116587</v>
      </c>
      <c r="AI16" s="16">
        <f t="shared" si="50"/>
        <v>0.045640636846095532</v>
      </c>
      <c r="AJ16" s="16">
        <f t="shared" si="50"/>
        <v>0.046727577848219272</v>
      </c>
      <c r="AK16" s="18">
        <f t="shared" si="35"/>
        <v>0.042573363431151243</v>
      </c>
      <c r="AL16" s="18">
        <f t="shared" si="36"/>
        <v>0.050035373187124157</v>
      </c>
      <c r="AM16" s="6"/>
      <c r="AN16" s="6"/>
      <c r="AO16" s="16">
        <f t="shared" si="51" ref="AO16:AS16">W16</f>
        <v>0.044702711807310079</v>
      </c>
      <c r="AP16" s="16">
        <f t="shared" si="51"/>
        <v>0.042805816937553462</v>
      </c>
      <c r="AQ16" s="16">
        <f t="shared" si="51"/>
        <v>0.044125560538116587</v>
      </c>
      <c r="AR16" s="16">
        <f t="shared" si="51"/>
        <v>0.045640636846095532</v>
      </c>
      <c r="AS16" s="16">
        <f t="shared" si="51"/>
        <v>0.046727577848219272</v>
      </c>
      <c r="AT16" s="18">
        <f t="shared" si="38"/>
        <v>0.031467268623024833</v>
      </c>
      <c r="AU16" s="18">
        <f t="shared" si="39"/>
        <v>0.03698266713830916</v>
      </c>
      <c r="AZ16" s="5"/>
      <c r="BA16" s="13" t="s">
        <v>312</v>
      </c>
      <c r="BB16" s="14">
        <v>302.10</v>
      </c>
      <c r="BC16" s="16">
        <v>265.40</v>
      </c>
      <c r="BD16" s="16">
        <v>250.20</v>
      </c>
      <c r="BE16" s="16">
        <v>246</v>
      </c>
      <c r="BF16" s="16">
        <v>240.80</v>
      </c>
      <c r="BG16" s="16">
        <v>250.60</v>
      </c>
      <c r="BH16" s="16">
        <v>246</v>
      </c>
      <c r="BI16" s="16">
        <v>246</v>
      </c>
      <c r="BJ16" s="6"/>
      <c r="BK16" s="6"/>
      <c r="BL16" s="19"/>
      <c r="BM16" s="19"/>
      <c r="BN16" s="19"/>
      <c r="BO16" s="19"/>
    </row>
    <row r="17" spans="1:67" ht="15.5">
      <c r="A17" s="5"/>
      <c r="B17" s="13" t="s">
        <v>313</v>
      </c>
      <c r="C17" s="14">
        <f t="shared" si="52" ref="C17:J17">BB17/1000</f>
        <v>0.41370000000000001</v>
      </c>
      <c r="D17" s="14">
        <f t="shared" si="52"/>
        <v>0.4304</v>
      </c>
      <c r="E17" s="14">
        <f t="shared" si="52"/>
        <v>0.41270000000000001</v>
      </c>
      <c r="F17" s="14">
        <f t="shared" si="52"/>
        <v>0.40810000000000002</v>
      </c>
      <c r="G17" s="14">
        <f t="shared" si="52"/>
        <v>0.4037</v>
      </c>
      <c r="H17" s="14">
        <f t="shared" si="52"/>
        <v>0.43110000000000004</v>
      </c>
      <c r="I17" s="14">
        <f t="shared" si="52"/>
        <v>0.40810000000000002</v>
      </c>
      <c r="J17" s="14">
        <f t="shared" si="52"/>
        <v>0.40810000000000002</v>
      </c>
      <c r="K17" s="6"/>
      <c r="L17" s="6"/>
      <c r="M17" s="19">
        <v>5.9370000000000003</v>
      </c>
      <c r="N17" s="19">
        <v>5.845</v>
      </c>
      <c r="O17" s="19">
        <v>5.575</v>
      </c>
      <c r="P17" s="19">
        <v>5.2759999999999998</v>
      </c>
      <c r="Q17" s="19">
        <v>5.3630000000000004</v>
      </c>
      <c r="R17" s="19">
        <v>6.645</v>
      </c>
      <c r="S17" s="19">
        <v>5.6539999999999999</v>
      </c>
      <c r="T17" s="19"/>
      <c r="U17" s="5"/>
      <c r="V17" s="13" t="s">
        <v>313</v>
      </c>
      <c r="W17" s="16">
        <f t="shared" si="53" ref="W17:AC17">D17/M17</f>
        <v>0.072494525854808825</v>
      </c>
      <c r="X17" s="16">
        <f t="shared" si="53"/>
        <v>0.070607356715141151</v>
      </c>
      <c r="Y17" s="16">
        <f t="shared" si="53"/>
        <v>0.073201793721973094</v>
      </c>
      <c r="Z17" s="16">
        <f t="shared" si="53"/>
        <v>0.076516300227445044</v>
      </c>
      <c r="AA17" s="16">
        <f t="shared" si="53"/>
        <v>0.080384113369382809</v>
      </c>
      <c r="AB17" s="17">
        <f t="shared" si="53"/>
        <v>0.061414597441685481</v>
      </c>
      <c r="AC17" s="17">
        <f t="shared" si="53"/>
        <v>0.072178988326848256</v>
      </c>
      <c r="AD17" s="6"/>
      <c r="AE17" s="6"/>
      <c r="AF17" s="16">
        <f t="shared" si="54" ref="AF17:AJ17">W17</f>
        <v>0.072494525854808825</v>
      </c>
      <c r="AG17" s="16">
        <f t="shared" si="54"/>
        <v>0.070607356715141151</v>
      </c>
      <c r="AH17" s="16">
        <f t="shared" si="54"/>
        <v>0.073201793721973094</v>
      </c>
      <c r="AI17" s="16">
        <f t="shared" si="54"/>
        <v>0.076516300227445044</v>
      </c>
      <c r="AJ17" s="16">
        <f t="shared" si="54"/>
        <v>0.080384113369382809</v>
      </c>
      <c r="AK17" s="18">
        <f t="shared" si="35"/>
        <v>0.070626787057938303</v>
      </c>
      <c r="AL17" s="18">
        <f t="shared" si="36"/>
        <v>0.083005836575875486</v>
      </c>
      <c r="AM17" s="6"/>
      <c r="AN17" s="6"/>
      <c r="AO17" s="16">
        <f t="shared" si="55" ref="AO17:AS17">W17</f>
        <v>0.072494525854808825</v>
      </c>
      <c r="AP17" s="16">
        <f t="shared" si="55"/>
        <v>0.070607356715141151</v>
      </c>
      <c r="AQ17" s="16">
        <f t="shared" si="55"/>
        <v>0.073201793721973094</v>
      </c>
      <c r="AR17" s="16">
        <f t="shared" si="55"/>
        <v>0.076516300227445044</v>
      </c>
      <c r="AS17" s="16">
        <f t="shared" si="55"/>
        <v>0.080384113369382809</v>
      </c>
      <c r="AT17" s="18">
        <f t="shared" si="38"/>
        <v>0.052202407825432659</v>
      </c>
      <c r="AU17" s="18">
        <f t="shared" si="39"/>
        <v>0.061352140077821013</v>
      </c>
      <c r="AZ17" s="5"/>
      <c r="BA17" s="13" t="s">
        <v>313</v>
      </c>
      <c r="BB17" s="14">
        <v>413.70</v>
      </c>
      <c r="BC17" s="16">
        <v>430.40</v>
      </c>
      <c r="BD17" s="16">
        <v>412.70</v>
      </c>
      <c r="BE17" s="16">
        <v>408.10</v>
      </c>
      <c r="BF17" s="16">
        <v>403.70</v>
      </c>
      <c r="BG17" s="16">
        <v>431.10</v>
      </c>
      <c r="BH17" s="16">
        <v>408.10</v>
      </c>
      <c r="BI17" s="16">
        <v>408.10</v>
      </c>
      <c r="BJ17" s="6"/>
      <c r="BK17" s="6"/>
      <c r="BL17" s="19"/>
      <c r="BM17" s="19"/>
      <c r="BN17" s="19"/>
      <c r="BO17" s="19"/>
    </row>
    <row r="18" spans="1:67" ht="15.5">
      <c r="A18" s="5"/>
      <c r="B18" s="13" t="s">
        <v>314</v>
      </c>
      <c r="C18" s="14">
        <f t="shared" si="56" ref="C18:J18">BB18/1000</f>
        <v>0.085300000000000001</v>
      </c>
      <c r="D18" s="14">
        <f t="shared" si="56"/>
        <v>0.078099999999999989</v>
      </c>
      <c r="E18" s="14">
        <f t="shared" si="56"/>
        <v>0.075200000000000003</v>
      </c>
      <c r="F18" s="14">
        <f t="shared" si="56"/>
        <v>0.074299999999999991</v>
      </c>
      <c r="G18" s="14">
        <f t="shared" si="56"/>
        <v>0.076799999999999993</v>
      </c>
      <c r="H18" s="14">
        <f t="shared" si="56"/>
        <v>0.079700000000000007</v>
      </c>
      <c r="I18" s="14">
        <f t="shared" si="56"/>
        <v>0.074299999999999991</v>
      </c>
      <c r="J18" s="14">
        <f t="shared" si="56"/>
        <v>0.074299999999999991</v>
      </c>
      <c r="K18" s="6"/>
      <c r="L18" s="6"/>
      <c r="M18" s="19">
        <v>5.9370000000000003</v>
      </c>
      <c r="N18" s="19">
        <v>5.845</v>
      </c>
      <c r="O18" s="19">
        <v>5.575</v>
      </c>
      <c r="P18" s="19">
        <v>5.2759999999999998</v>
      </c>
      <c r="Q18" s="19">
        <v>5.3630000000000004</v>
      </c>
      <c r="R18" s="19">
        <v>6.645</v>
      </c>
      <c r="S18" s="19">
        <v>5.6539999999999999</v>
      </c>
      <c r="T18" s="19"/>
      <c r="U18" s="5"/>
      <c r="V18" s="13" t="s">
        <v>314</v>
      </c>
      <c r="W18" s="16">
        <f t="shared" si="57" ref="W18:AC18">D18/M18</f>
        <v>0.013154791982482733</v>
      </c>
      <c r="X18" s="16">
        <f t="shared" si="57"/>
        <v>0.012865697177074423</v>
      </c>
      <c r="Y18" s="16">
        <f t="shared" si="57"/>
        <v>0.013327354260089684</v>
      </c>
      <c r="Z18" s="16">
        <f t="shared" si="57"/>
        <v>0.014556482183472327</v>
      </c>
      <c r="AA18" s="16">
        <f t="shared" si="57"/>
        <v>0.014861085213499907</v>
      </c>
      <c r="AB18" s="17">
        <f t="shared" si="57"/>
        <v>0.011181339352896915</v>
      </c>
      <c r="AC18" s="17">
        <f t="shared" si="57"/>
        <v>0.013141139016625397</v>
      </c>
      <c r="AD18" s="6"/>
      <c r="AE18" s="6"/>
      <c r="AF18" s="16">
        <f t="shared" si="58" ref="AF18:AJ18">W18</f>
        <v>0.013154791982482733</v>
      </c>
      <c r="AG18" s="16">
        <f t="shared" si="58"/>
        <v>0.012865697177074423</v>
      </c>
      <c r="AH18" s="16">
        <f t="shared" si="58"/>
        <v>0.013327354260089684</v>
      </c>
      <c r="AI18" s="16">
        <f t="shared" si="58"/>
        <v>0.014556482183472327</v>
      </c>
      <c r="AJ18" s="16">
        <f t="shared" si="58"/>
        <v>0.014861085213499907</v>
      </c>
      <c r="AK18" s="18">
        <f t="shared" si="35"/>
        <v>0.012858540255831451</v>
      </c>
      <c r="AL18" s="18">
        <f t="shared" si="36"/>
        <v>0.015112309869119205</v>
      </c>
      <c r="AM18" s="6"/>
      <c r="AN18" s="6"/>
      <c r="AO18" s="16">
        <f t="shared" si="59" ref="AO18:AS18">W18</f>
        <v>0.013154791982482733</v>
      </c>
      <c r="AP18" s="16">
        <f t="shared" si="59"/>
        <v>0.012865697177074423</v>
      </c>
      <c r="AQ18" s="16">
        <f t="shared" si="59"/>
        <v>0.013327354260089684</v>
      </c>
      <c r="AR18" s="16">
        <f t="shared" si="59"/>
        <v>0.014556482183472327</v>
      </c>
      <c r="AS18" s="16">
        <f t="shared" si="59"/>
        <v>0.014861085213499907</v>
      </c>
      <c r="AT18" s="18">
        <f t="shared" si="38"/>
        <v>0.0095041384499623769</v>
      </c>
      <c r="AU18" s="18">
        <f t="shared" si="39"/>
        <v>0.011169968164131587</v>
      </c>
      <c r="AZ18" s="5"/>
      <c r="BA18" s="13" t="s">
        <v>314</v>
      </c>
      <c r="BB18" s="14">
        <v>85.30</v>
      </c>
      <c r="BC18" s="16">
        <v>78.10</v>
      </c>
      <c r="BD18" s="16">
        <v>75.20</v>
      </c>
      <c r="BE18" s="16">
        <v>74.30</v>
      </c>
      <c r="BF18" s="16">
        <v>76.80</v>
      </c>
      <c r="BG18" s="16">
        <v>79.70</v>
      </c>
      <c r="BH18" s="16">
        <v>74.30</v>
      </c>
      <c r="BI18" s="16">
        <v>74.30</v>
      </c>
      <c r="BJ18" s="6"/>
      <c r="BK18" s="6"/>
      <c r="BL18" s="19"/>
      <c r="BM18" s="19"/>
      <c r="BN18" s="19"/>
      <c r="BO18" s="19"/>
    </row>
    <row r="19" spans="1:67" ht="15.5">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spans="1:67" ht="15.5">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spans="1:67" ht="15.5">
      <c r="A21" s="5" t="s">
        <v>328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328</v>
      </c>
      <c r="BA21" s="5"/>
      <c r="BB21" s="5"/>
      <c r="BC21" s="5"/>
      <c r="BD21" s="5"/>
      <c r="BE21" s="5"/>
      <c r="BF21" s="5"/>
      <c r="BG21" s="5"/>
      <c r="BH21" s="5"/>
      <c r="BI21" s="5"/>
      <c r="BJ21" s="6"/>
      <c r="BK21" s="6"/>
      <c r="BL21" s="6"/>
      <c r="BM21" s="6"/>
      <c r="BN21" s="6"/>
      <c r="BO21" s="6"/>
    </row>
    <row r="22" spans="1:67" ht="15.5">
      <c r="A22" s="5" t="s">
        <v>298</v>
      </c>
      <c r="B22" s="5" t="s">
        <v>329</v>
      </c>
      <c r="C22" s="5" t="s">
        <v>300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298</v>
      </c>
      <c r="BA22" s="5" t="s">
        <v>329</v>
      </c>
      <c r="BB22" s="5" t="s">
        <v>300</v>
      </c>
      <c r="BC22" s="5"/>
      <c r="BD22" s="5"/>
      <c r="BE22" s="5"/>
      <c r="BF22" s="5"/>
      <c r="BG22" s="5"/>
      <c r="BH22" s="5"/>
      <c r="BI22" s="5"/>
      <c r="BJ22" s="6"/>
      <c r="BK22" s="6"/>
      <c r="BL22" s="6"/>
      <c r="BM22" s="6"/>
      <c r="BN22" s="6"/>
      <c r="BO22" s="6"/>
    </row>
    <row r="23" spans="1:67" ht="30">
      <c r="A23" s="5"/>
      <c r="B23" s="5"/>
      <c r="C23" s="9" t="s">
        <v>301</v>
      </c>
      <c r="D23" s="6" t="s">
        <v>302</v>
      </c>
      <c r="E23" s="6" t="s">
        <v>303</v>
      </c>
      <c r="F23" s="10" t="s">
        <v>304</v>
      </c>
      <c r="G23" s="6" t="s">
        <v>305</v>
      </c>
      <c r="H23" s="6" t="s">
        <v>306</v>
      </c>
      <c r="I23" s="6" t="s">
        <v>307</v>
      </c>
      <c r="J23" s="6" t="s">
        <v>308</v>
      </c>
      <c r="K23" s="6"/>
      <c r="L23" s="6"/>
      <c r="M23" s="6" t="s">
        <v>302</v>
      </c>
      <c r="N23" s="6" t="s">
        <v>303</v>
      </c>
      <c r="O23" s="6" t="s">
        <v>304</v>
      </c>
      <c r="P23" s="6" t="s">
        <v>305</v>
      </c>
      <c r="Q23" s="6" t="s">
        <v>306</v>
      </c>
      <c r="R23" s="6" t="s">
        <v>307</v>
      </c>
      <c r="S23" s="6" t="s">
        <v>308</v>
      </c>
      <c r="T23" s="6"/>
      <c r="U23" s="6"/>
      <c r="V23" s="8" t="s">
        <v>327</v>
      </c>
      <c r="W23" s="6" t="s">
        <v>302</v>
      </c>
      <c r="X23" s="6" t="s">
        <v>303</v>
      </c>
      <c r="Y23" s="10" t="s">
        <v>304</v>
      </c>
      <c r="Z23" s="6" t="s">
        <v>305</v>
      </c>
      <c r="AA23" s="6" t="s">
        <v>306</v>
      </c>
      <c r="AB23" s="12" t="s">
        <v>307</v>
      </c>
      <c r="AC23" s="12" t="s">
        <v>308</v>
      </c>
      <c r="AD23" s="6"/>
      <c r="AE23" s="6"/>
      <c r="AF23" s="6" t="s">
        <v>302</v>
      </c>
      <c r="AG23" s="6" t="s">
        <v>303</v>
      </c>
      <c r="AH23" s="10" t="s">
        <v>304</v>
      </c>
      <c r="AI23" s="6" t="s">
        <v>305</v>
      </c>
      <c r="AJ23" s="6" t="s">
        <v>306</v>
      </c>
      <c r="AK23" s="12" t="s">
        <v>307</v>
      </c>
      <c r="AL23" s="12" t="s">
        <v>308</v>
      </c>
      <c r="AM23" s="6"/>
      <c r="AN23" s="6"/>
      <c r="AO23" s="6" t="s">
        <v>302</v>
      </c>
      <c r="AP23" s="6" t="s">
        <v>303</v>
      </c>
      <c r="AQ23" s="10" t="s">
        <v>304</v>
      </c>
      <c r="AR23" s="6" t="s">
        <v>305</v>
      </c>
      <c r="AS23" s="6" t="s">
        <v>306</v>
      </c>
      <c r="AT23" s="12" t="s">
        <v>307</v>
      </c>
      <c r="AU23" s="12" t="s">
        <v>308</v>
      </c>
      <c r="AZ23" s="5"/>
      <c r="BA23" s="5"/>
      <c r="BB23" s="9" t="s">
        <v>301</v>
      </c>
      <c r="BC23" s="6" t="s">
        <v>302</v>
      </c>
      <c r="BD23" s="6" t="s">
        <v>303</v>
      </c>
      <c r="BE23" s="10" t="s">
        <v>304</v>
      </c>
      <c r="BF23" s="6" t="s">
        <v>305</v>
      </c>
      <c r="BG23" s="6" t="s">
        <v>306</v>
      </c>
      <c r="BH23" s="6" t="s">
        <v>307</v>
      </c>
      <c r="BI23" s="6" t="s">
        <v>308</v>
      </c>
      <c r="BJ23" s="6"/>
      <c r="BK23" s="6"/>
      <c r="BL23" s="6"/>
      <c r="BM23" s="6"/>
      <c r="BN23" s="6"/>
      <c r="BO23" s="6"/>
    </row>
    <row r="24" spans="1:67" ht="15.5">
      <c r="A24" s="5" t="s">
        <v>309</v>
      </c>
      <c r="B24" s="13" t="s">
        <v>310</v>
      </c>
      <c r="C24" s="14">
        <f t="shared" si="60" ref="C24:J24">BB24/1000</f>
        <v>0.88979999999999992</v>
      </c>
      <c r="D24" s="14">
        <f t="shared" si="60"/>
        <v>0.84320000000000006</v>
      </c>
      <c r="E24" s="14">
        <f t="shared" si="60"/>
        <v>0.80379999999999996</v>
      </c>
      <c r="F24" s="14">
        <f t="shared" si="60"/>
        <v>0.79459999999999997</v>
      </c>
      <c r="G24" s="14">
        <f t="shared" si="60"/>
        <v>0.76649999999999996</v>
      </c>
      <c r="H24" s="14">
        <f t="shared" si="60"/>
        <v>0.80659999999999998</v>
      </c>
      <c r="I24" s="14">
        <f t="shared" si="60"/>
        <v>0.79459999999999997</v>
      </c>
      <c r="J24" s="14">
        <f t="shared" si="60"/>
        <v>0.79459999999999997</v>
      </c>
      <c r="K24" s="6"/>
      <c r="L24" s="6"/>
      <c r="M24" s="15">
        <v>5.9370000000000003</v>
      </c>
      <c r="N24" s="15">
        <v>5.845</v>
      </c>
      <c r="O24" s="15">
        <v>5.575</v>
      </c>
      <c r="P24" s="15">
        <v>5.2759999999999998</v>
      </c>
      <c r="Q24" s="15">
        <v>5.3630000000000004</v>
      </c>
      <c r="R24" s="15">
        <v>6.645</v>
      </c>
      <c r="S24" s="15">
        <v>5.6539999999999999</v>
      </c>
      <c r="T24" s="15"/>
      <c r="U24" s="5" t="s">
        <v>309</v>
      </c>
      <c r="V24" s="13" t="s">
        <v>310</v>
      </c>
      <c r="W24" s="16">
        <f t="shared" si="61" ref="W24:AC24">D24/M24</f>
        <v>0.14202459154455113</v>
      </c>
      <c r="X24" s="16">
        <f t="shared" si="61"/>
        <v>0.13751924721984601</v>
      </c>
      <c r="Y24" s="16">
        <f t="shared" si="61"/>
        <v>0.14252914798206276</v>
      </c>
      <c r="Z24" s="16">
        <f t="shared" si="61"/>
        <v>0.14528051554207733</v>
      </c>
      <c r="AA24" s="16">
        <f t="shared" si="61"/>
        <v>0.15040089502144321</v>
      </c>
      <c r="AB24" s="17">
        <f t="shared" si="61"/>
        <v>0.11957863054928518</v>
      </c>
      <c r="AC24" s="17">
        <f t="shared" si="61"/>
        <v>0.14053767244428722</v>
      </c>
      <c r="AD24" s="6"/>
      <c r="AE24" s="6"/>
      <c r="AF24" s="16">
        <f t="shared" si="62" ref="AF24:AJ24">W24</f>
        <v>0.14202459154455113</v>
      </c>
      <c r="AG24" s="16">
        <f t="shared" si="62"/>
        <v>0.13751924721984601</v>
      </c>
      <c r="AH24" s="16">
        <f t="shared" si="62"/>
        <v>0.14252914798206276</v>
      </c>
      <c r="AI24" s="16">
        <f t="shared" si="62"/>
        <v>0.14528051554207733</v>
      </c>
      <c r="AJ24" s="16">
        <f t="shared" si="62"/>
        <v>0.15040089502144321</v>
      </c>
      <c r="AK24" s="18">
        <f t="shared" si="63" ref="AK24:AK38">AB24*1.15</f>
        <v>0.13751542513167794</v>
      </c>
      <c r="AL24" s="18">
        <f t="shared" si="64" ref="AL24:AL38">AC24*1.15</f>
        <v>0.16161832331093029</v>
      </c>
      <c r="AM24" s="6"/>
      <c r="AN24" s="6"/>
      <c r="AO24" s="16">
        <f t="shared" si="65" ref="AO24:AS24">W24</f>
        <v>0.14202459154455113</v>
      </c>
      <c r="AP24" s="16">
        <f t="shared" si="65"/>
        <v>0.13751924721984601</v>
      </c>
      <c r="AQ24" s="16">
        <f t="shared" si="65"/>
        <v>0.14252914798206276</v>
      </c>
      <c r="AR24" s="16">
        <f t="shared" si="65"/>
        <v>0.14528051554207733</v>
      </c>
      <c r="AS24" s="16">
        <f t="shared" si="65"/>
        <v>0.15040089502144321</v>
      </c>
      <c r="AT24" s="18">
        <f t="shared" si="66" ref="AT24:AT38">AB24*0.85</f>
        <v>0.1016418359668924</v>
      </c>
      <c r="AU24" s="18">
        <f t="shared" si="67" ref="AU24:AU38">AC24*0.85</f>
        <v>0.11945702157764414</v>
      </c>
      <c r="AZ24" s="5" t="s">
        <v>309</v>
      </c>
      <c r="BA24" s="13" t="s">
        <v>310</v>
      </c>
      <c r="BB24" s="14">
        <v>889.80</v>
      </c>
      <c r="BC24" s="16">
        <v>843.20</v>
      </c>
      <c r="BD24" s="16">
        <v>803.80</v>
      </c>
      <c r="BE24" s="16">
        <v>794.60</v>
      </c>
      <c r="BF24" s="16">
        <v>766.50</v>
      </c>
      <c r="BG24" s="16">
        <v>806.60</v>
      </c>
      <c r="BH24" s="16">
        <v>794.60</v>
      </c>
      <c r="BI24" s="16">
        <v>794.60</v>
      </c>
      <c r="BJ24" s="6"/>
      <c r="BK24" s="6"/>
      <c r="BL24" s="15"/>
      <c r="BM24" s="15"/>
      <c r="BN24" s="15"/>
      <c r="BO24" s="15"/>
    </row>
    <row r="25" spans="1:67" ht="15.5">
      <c r="A25" s="5"/>
      <c r="B25" s="13" t="s">
        <v>311</v>
      </c>
      <c r="C25" s="14">
        <f t="shared" si="68" ref="C25:J25">BB25/1000</f>
        <v>0.81240000000000001</v>
      </c>
      <c r="D25" s="14">
        <f t="shared" si="68"/>
        <v>0.77460000000000007</v>
      </c>
      <c r="E25" s="14">
        <f t="shared" si="68"/>
        <v>0.73899999999999999</v>
      </c>
      <c r="F25" s="14">
        <f t="shared" si="68"/>
        <v>0.73070000000000002</v>
      </c>
      <c r="G25" s="14">
        <f t="shared" si="68"/>
        <v>0.70450000000000002</v>
      </c>
      <c r="H25" s="14">
        <f t="shared" si="68"/>
        <v>0.74239999999999995</v>
      </c>
      <c r="I25" s="14">
        <f t="shared" si="68"/>
        <v>0.73070000000000002</v>
      </c>
      <c r="J25" s="14">
        <f t="shared" si="68"/>
        <v>0.73070000000000002</v>
      </c>
      <c r="K25" s="6"/>
      <c r="L25" s="6"/>
      <c r="M25" s="19">
        <v>5.9370000000000003</v>
      </c>
      <c r="N25" s="19">
        <v>5.845</v>
      </c>
      <c r="O25" s="19">
        <v>5.575</v>
      </c>
      <c r="P25" s="19">
        <v>5.2759999999999998</v>
      </c>
      <c r="Q25" s="19">
        <v>5.3630000000000004</v>
      </c>
      <c r="R25" s="19">
        <v>6.645</v>
      </c>
      <c r="S25" s="19">
        <v>5.6539999999999999</v>
      </c>
      <c r="T25" s="19"/>
      <c r="U25" s="5"/>
      <c r="V25" s="13" t="s">
        <v>311</v>
      </c>
      <c r="W25" s="16">
        <f t="shared" si="69" ref="W25:AC25">D25/M25</f>
        <v>0.13046993431025772</v>
      </c>
      <c r="X25" s="16">
        <f t="shared" si="69"/>
        <v>0.12643284858853721</v>
      </c>
      <c r="Y25" s="16">
        <f t="shared" si="69"/>
        <v>0.13106726457399104</v>
      </c>
      <c r="Z25" s="16">
        <f t="shared" si="69"/>
        <v>0.13352918877937833</v>
      </c>
      <c r="AA25" s="16">
        <f t="shared" si="69"/>
        <v>0.13842998321834793</v>
      </c>
      <c r="AB25" s="17">
        <f t="shared" si="69"/>
        <v>0.10996237772761476</v>
      </c>
      <c r="AC25" s="17">
        <f t="shared" si="69"/>
        <v>0.12923593915811815</v>
      </c>
      <c r="AD25" s="6"/>
      <c r="AE25" s="6"/>
      <c r="AF25" s="16">
        <f t="shared" si="70" ref="AF25:AJ25">W25</f>
        <v>0.13046993431025772</v>
      </c>
      <c r="AG25" s="16">
        <f t="shared" si="70"/>
        <v>0.12643284858853721</v>
      </c>
      <c r="AH25" s="16">
        <f t="shared" si="70"/>
        <v>0.13106726457399104</v>
      </c>
      <c r="AI25" s="16">
        <f t="shared" si="70"/>
        <v>0.13352918877937833</v>
      </c>
      <c r="AJ25" s="16">
        <f t="shared" si="70"/>
        <v>0.13842998321834793</v>
      </c>
      <c r="AK25" s="18">
        <f t="shared" si="63"/>
        <v>0.12645673438675697</v>
      </c>
      <c r="AL25" s="18">
        <f t="shared" si="64"/>
        <v>0.14862133003183586</v>
      </c>
      <c r="AM25" s="6"/>
      <c r="AN25" s="6"/>
      <c r="AO25" s="16">
        <f t="shared" si="71" ref="AO25:AS25">W25</f>
        <v>0.13046993431025772</v>
      </c>
      <c r="AP25" s="16">
        <f t="shared" si="71"/>
        <v>0.12643284858853721</v>
      </c>
      <c r="AQ25" s="16">
        <f t="shared" si="71"/>
        <v>0.13106726457399104</v>
      </c>
      <c r="AR25" s="16">
        <f t="shared" si="71"/>
        <v>0.13352918877937833</v>
      </c>
      <c r="AS25" s="16">
        <f t="shared" si="71"/>
        <v>0.13842998321834793</v>
      </c>
      <c r="AT25" s="18">
        <f t="shared" si="66"/>
        <v>0.093468021068472545</v>
      </c>
      <c r="AU25" s="18">
        <f t="shared" si="67"/>
        <v>0.10985054828440043</v>
      </c>
      <c r="AZ25" s="5"/>
      <c r="BA25" s="13" t="s">
        <v>311</v>
      </c>
      <c r="BB25" s="14">
        <v>812.40</v>
      </c>
      <c r="BC25" s="16">
        <v>774.60</v>
      </c>
      <c r="BD25" s="16">
        <v>739</v>
      </c>
      <c r="BE25" s="16">
        <v>730.70</v>
      </c>
      <c r="BF25" s="16">
        <v>704.50</v>
      </c>
      <c r="BG25" s="16">
        <v>742.40</v>
      </c>
      <c r="BH25" s="16">
        <v>730.70</v>
      </c>
      <c r="BI25" s="16">
        <v>730.70</v>
      </c>
      <c r="BJ25" s="6"/>
      <c r="BK25" s="6"/>
      <c r="BL25" s="19"/>
      <c r="BM25" s="19"/>
      <c r="BN25" s="19"/>
      <c r="BO25" s="19"/>
    </row>
    <row r="26" spans="1:67" ht="15.5">
      <c r="A26" s="5"/>
      <c r="B26" s="13" t="s">
        <v>312</v>
      </c>
      <c r="C26" s="14">
        <f t="shared" si="72" ref="C26:J26">BB26/1000</f>
        <v>0.1699</v>
      </c>
      <c r="D26" s="14">
        <f t="shared" si="72"/>
        <v>0.1497</v>
      </c>
      <c r="E26" s="14">
        <f t="shared" si="72"/>
        <v>0.14180000000000001</v>
      </c>
      <c r="F26" s="14">
        <f t="shared" si="72"/>
        <v>0.1399</v>
      </c>
      <c r="G26" s="14">
        <f t="shared" si="72"/>
        <v>0.13589999999999999</v>
      </c>
      <c r="H26" s="14">
        <f t="shared" si="72"/>
        <v>0.14080000000000001</v>
      </c>
      <c r="I26" s="14">
        <f t="shared" si="72"/>
        <v>0.1399</v>
      </c>
      <c r="J26" s="14">
        <f t="shared" si="72"/>
        <v>0.1399</v>
      </c>
      <c r="K26" s="6"/>
      <c r="L26" s="6"/>
      <c r="M26" s="19">
        <v>5.9370000000000003</v>
      </c>
      <c r="N26" s="19">
        <v>5.845</v>
      </c>
      <c r="O26" s="19">
        <v>5.575</v>
      </c>
      <c r="P26" s="19">
        <v>5.2759999999999998</v>
      </c>
      <c r="Q26" s="19">
        <v>5.3630000000000004</v>
      </c>
      <c r="R26" s="19">
        <v>6.645</v>
      </c>
      <c r="S26" s="19">
        <v>5.6539999999999999</v>
      </c>
      <c r="T26" s="19"/>
      <c r="U26" s="5"/>
      <c r="V26" s="13" t="s">
        <v>312</v>
      </c>
      <c r="W26" s="16">
        <f t="shared" si="73" ref="W26:AC26">D26/M26</f>
        <v>0.02521475492673067</v>
      </c>
      <c r="X26" s="16">
        <f t="shared" si="73"/>
        <v>0.024260051325919591</v>
      </c>
      <c r="Y26" s="16">
        <f t="shared" si="73"/>
        <v>0.025094170403587444</v>
      </c>
      <c r="Z26" s="16">
        <f t="shared" si="73"/>
        <v>0.025758150113722518</v>
      </c>
      <c r="AA26" s="16">
        <f t="shared" si="73"/>
        <v>0.026253962334514262</v>
      </c>
      <c r="AB26" s="17">
        <f t="shared" si="73"/>
        <v>0.021053423626787058</v>
      </c>
      <c r="AC26" s="17">
        <f t="shared" si="73"/>
        <v>0.024743544393349842</v>
      </c>
      <c r="AD26" s="6"/>
      <c r="AE26" s="6"/>
      <c r="AF26" s="16">
        <f t="shared" si="74" ref="AF26:AJ26">W26</f>
        <v>0.02521475492673067</v>
      </c>
      <c r="AG26" s="16">
        <f t="shared" si="74"/>
        <v>0.024260051325919591</v>
      </c>
      <c r="AH26" s="16">
        <f t="shared" si="74"/>
        <v>0.025094170403587444</v>
      </c>
      <c r="AI26" s="16">
        <f t="shared" si="74"/>
        <v>0.025758150113722518</v>
      </c>
      <c r="AJ26" s="16">
        <f t="shared" si="74"/>
        <v>0.026253962334514262</v>
      </c>
      <c r="AK26" s="18">
        <f t="shared" si="63"/>
        <v>0.024211437170805115</v>
      </c>
      <c r="AL26" s="18">
        <f t="shared" si="64"/>
        <v>0.028455076052352316</v>
      </c>
      <c r="AM26" s="6"/>
      <c r="AN26" s="6"/>
      <c r="AO26" s="16">
        <f t="shared" si="75" ref="AO26:AS26">W26</f>
        <v>0.02521475492673067</v>
      </c>
      <c r="AP26" s="16">
        <f t="shared" si="75"/>
        <v>0.024260051325919591</v>
      </c>
      <c r="AQ26" s="16">
        <f t="shared" si="75"/>
        <v>0.025094170403587444</v>
      </c>
      <c r="AR26" s="16">
        <f t="shared" si="75"/>
        <v>0.025758150113722518</v>
      </c>
      <c r="AS26" s="16">
        <f t="shared" si="75"/>
        <v>0.026253962334514262</v>
      </c>
      <c r="AT26" s="18">
        <f t="shared" si="66"/>
        <v>0.017895410082769</v>
      </c>
      <c r="AU26" s="18">
        <f t="shared" si="67"/>
        <v>0.021032012734347363</v>
      </c>
      <c r="AZ26" s="5"/>
      <c r="BA26" s="13" t="s">
        <v>312</v>
      </c>
      <c r="BB26" s="14">
        <v>169.90</v>
      </c>
      <c r="BC26" s="16">
        <v>149.70</v>
      </c>
      <c r="BD26" s="16">
        <v>141.80</v>
      </c>
      <c r="BE26" s="16">
        <v>139.90</v>
      </c>
      <c r="BF26" s="16">
        <v>135.90</v>
      </c>
      <c r="BG26" s="16">
        <v>140.80</v>
      </c>
      <c r="BH26" s="16">
        <v>139.90</v>
      </c>
      <c r="BI26" s="16">
        <v>139.90</v>
      </c>
      <c r="BJ26" s="6"/>
      <c r="BK26" s="6"/>
      <c r="BL26" s="19"/>
      <c r="BM26" s="19"/>
      <c r="BN26" s="19"/>
      <c r="BO26" s="19"/>
    </row>
    <row r="27" spans="1:67" ht="15.5">
      <c r="A27" s="5"/>
      <c r="B27" s="13" t="s">
        <v>313</v>
      </c>
      <c r="C27" s="14">
        <f t="shared" si="76" ref="C27:J27">BB27/1000</f>
        <v>0.5978</v>
      </c>
      <c r="D27" s="14">
        <f t="shared" si="76"/>
        <v>0.58069999999999999</v>
      </c>
      <c r="E27" s="14">
        <f t="shared" si="76"/>
        <v>0.55400000000000005</v>
      </c>
      <c r="F27" s="14">
        <f t="shared" si="76"/>
        <v>0.54779999999999995</v>
      </c>
      <c r="G27" s="14">
        <f t="shared" si="76"/>
        <v>0.52600000000000002</v>
      </c>
      <c r="H27" s="14">
        <f t="shared" si="76"/>
        <v>0.5575</v>
      </c>
      <c r="I27" s="14">
        <f t="shared" si="76"/>
        <v>0.54779999999999995</v>
      </c>
      <c r="J27" s="14">
        <f t="shared" si="76"/>
        <v>0.54779999999999995</v>
      </c>
      <c r="K27" s="6"/>
      <c r="L27" s="6"/>
      <c r="M27" s="19">
        <v>5.9370000000000003</v>
      </c>
      <c r="N27" s="19">
        <v>5.845</v>
      </c>
      <c r="O27" s="19">
        <v>5.575</v>
      </c>
      <c r="P27" s="19">
        <v>5.2759999999999998</v>
      </c>
      <c r="Q27" s="19">
        <v>5.3630000000000004</v>
      </c>
      <c r="R27" s="19">
        <v>6.645</v>
      </c>
      <c r="S27" s="19">
        <v>5.6539999999999999</v>
      </c>
      <c r="T27" s="19"/>
      <c r="U27" s="5"/>
      <c r="V27" s="13" t="s">
        <v>313</v>
      </c>
      <c r="W27" s="16">
        <f t="shared" si="77" ref="W27:AC27">D27/M27</f>
        <v>0.0978103419235304</v>
      </c>
      <c r="X27" s="16">
        <f t="shared" si="77"/>
        <v>0.094781864841745098</v>
      </c>
      <c r="Y27" s="16">
        <f t="shared" si="77"/>
        <v>0.098260089686098645</v>
      </c>
      <c r="Z27" s="16">
        <f t="shared" si="77"/>
        <v>0.099696739954511004</v>
      </c>
      <c r="AA27" s="16">
        <f t="shared" si="77"/>
        <v>0.10395301137423082</v>
      </c>
      <c r="AB27" s="17">
        <f t="shared" si="77"/>
        <v>0.082437923250564329</v>
      </c>
      <c r="AC27" s="17">
        <f t="shared" si="77"/>
        <v>0.096887159533073919</v>
      </c>
      <c r="AD27" s="6"/>
      <c r="AE27" s="6"/>
      <c r="AF27" s="16">
        <f t="shared" si="78" ref="AF27:AJ27">W27</f>
        <v>0.0978103419235304</v>
      </c>
      <c r="AG27" s="16">
        <f t="shared" si="78"/>
        <v>0.094781864841745098</v>
      </c>
      <c r="AH27" s="16">
        <f t="shared" si="78"/>
        <v>0.098260089686098645</v>
      </c>
      <c r="AI27" s="16">
        <f t="shared" si="78"/>
        <v>0.099696739954511004</v>
      </c>
      <c r="AJ27" s="16">
        <f t="shared" si="78"/>
        <v>0.10395301137423082</v>
      </c>
      <c r="AK27" s="18">
        <f t="shared" si="63"/>
        <v>0.094803611738148968</v>
      </c>
      <c r="AL27" s="18">
        <f t="shared" si="64"/>
        <v>0.11142023346303499</v>
      </c>
      <c r="AM27" s="6"/>
      <c r="AN27" s="6"/>
      <c r="AO27" s="16">
        <f t="shared" si="79" ref="AO27:AS27">W27</f>
        <v>0.0978103419235304</v>
      </c>
      <c r="AP27" s="16">
        <f t="shared" si="79"/>
        <v>0.094781864841745098</v>
      </c>
      <c r="AQ27" s="16">
        <f t="shared" si="79"/>
        <v>0.098260089686098645</v>
      </c>
      <c r="AR27" s="16">
        <f t="shared" si="79"/>
        <v>0.099696739954511004</v>
      </c>
      <c r="AS27" s="16">
        <f t="shared" si="79"/>
        <v>0.10395301137423082</v>
      </c>
      <c r="AT27" s="18">
        <f t="shared" si="66"/>
        <v>0.070072234762979677</v>
      </c>
      <c r="AU27" s="18">
        <f t="shared" si="67"/>
        <v>0.082354085603112831</v>
      </c>
      <c r="AZ27" s="5"/>
      <c r="BA27" s="13" t="s">
        <v>313</v>
      </c>
      <c r="BB27" s="14">
        <v>597.80</v>
      </c>
      <c r="BC27" s="16">
        <v>580.70</v>
      </c>
      <c r="BD27" s="16">
        <v>554</v>
      </c>
      <c r="BE27" s="16">
        <v>547.80</v>
      </c>
      <c r="BF27" s="16">
        <v>526</v>
      </c>
      <c r="BG27" s="16">
        <v>557.50</v>
      </c>
      <c r="BH27" s="16">
        <v>547.80</v>
      </c>
      <c r="BI27" s="16">
        <v>547.80</v>
      </c>
      <c r="BJ27" s="6"/>
      <c r="BK27" s="6"/>
      <c r="BL27" s="19"/>
      <c r="BM27" s="19"/>
      <c r="BN27" s="19"/>
      <c r="BO27" s="19"/>
    </row>
    <row r="28" spans="1:67" ht="15.5">
      <c r="A28" s="5"/>
      <c r="B28" s="13" t="s">
        <v>314</v>
      </c>
      <c r="C28" s="14">
        <f t="shared" si="80" ref="C28:J28">BB28/1000</f>
        <v>0.085000000000000006</v>
      </c>
      <c r="D28" s="14">
        <f t="shared" si="80"/>
        <v>0.078599999999999989</v>
      </c>
      <c r="E28" s="14">
        <f t="shared" si="80"/>
        <v>0.076299999999999993</v>
      </c>
      <c r="F28" s="14">
        <f t="shared" si="80"/>
        <v>0.075900000000000009</v>
      </c>
      <c r="G28" s="14">
        <f t="shared" si="80"/>
        <v>0.073700000000000002</v>
      </c>
      <c r="H28" s="14">
        <f t="shared" si="80"/>
        <v>0.075999999999999998</v>
      </c>
      <c r="I28" s="14">
        <f t="shared" si="80"/>
        <v>0.075900000000000009</v>
      </c>
      <c r="J28" s="14">
        <f t="shared" si="80"/>
        <v>0.075900000000000009</v>
      </c>
      <c r="K28" s="6"/>
      <c r="L28" s="6"/>
      <c r="M28" s="19">
        <v>5.9370000000000003</v>
      </c>
      <c r="N28" s="19">
        <v>5.845</v>
      </c>
      <c r="O28" s="19">
        <v>5.575</v>
      </c>
      <c r="P28" s="19">
        <v>5.2759999999999998</v>
      </c>
      <c r="Q28" s="19">
        <v>5.3630000000000004</v>
      </c>
      <c r="R28" s="19">
        <v>6.645</v>
      </c>
      <c r="S28" s="19">
        <v>5.6539999999999999</v>
      </c>
      <c r="T28" s="19"/>
      <c r="U28" s="5"/>
      <c r="V28" s="13" t="s">
        <v>314</v>
      </c>
      <c r="W28" s="16">
        <f t="shared" si="81" ref="W28:AC28">D28/M28</f>
        <v>0.013239009600808488</v>
      </c>
      <c r="X28" s="16">
        <f t="shared" si="81"/>
        <v>0.013053892215568862</v>
      </c>
      <c r="Y28" s="16">
        <f t="shared" si="81"/>
        <v>0.013614349775784755</v>
      </c>
      <c r="Z28" s="16">
        <f t="shared" si="81"/>
        <v>0.013968915845337378</v>
      </c>
      <c r="AA28" s="16">
        <f t="shared" si="81"/>
        <v>0.01417117285101622</v>
      </c>
      <c r="AB28" s="17">
        <f t="shared" si="81"/>
        <v>0.01142212189616253</v>
      </c>
      <c r="AC28" s="17">
        <f t="shared" si="81"/>
        <v>0.01342412451361868</v>
      </c>
      <c r="AD28" s="6"/>
      <c r="AE28" s="6"/>
      <c r="AF28" s="16">
        <f t="shared" si="82" ref="AF28:AJ28">W28</f>
        <v>0.013239009600808488</v>
      </c>
      <c r="AG28" s="16">
        <f t="shared" si="82"/>
        <v>0.013053892215568862</v>
      </c>
      <c r="AH28" s="16">
        <f t="shared" si="82"/>
        <v>0.013614349775784755</v>
      </c>
      <c r="AI28" s="16">
        <f t="shared" si="82"/>
        <v>0.013968915845337378</v>
      </c>
      <c r="AJ28" s="16">
        <f t="shared" si="82"/>
        <v>0.01417117285101622</v>
      </c>
      <c r="AK28" s="18">
        <f t="shared" si="63"/>
        <v>0.013135440180586908</v>
      </c>
      <c r="AL28" s="18">
        <f t="shared" si="64"/>
        <v>0.01543774319066148</v>
      </c>
      <c r="AM28" s="6"/>
      <c r="AN28" s="6"/>
      <c r="AO28" s="16">
        <f t="shared" si="83" ref="AO28:AS28">W28</f>
        <v>0.013239009600808488</v>
      </c>
      <c r="AP28" s="16">
        <f t="shared" si="83"/>
        <v>0.013053892215568862</v>
      </c>
      <c r="AQ28" s="16">
        <f t="shared" si="83"/>
        <v>0.013614349775784755</v>
      </c>
      <c r="AR28" s="16">
        <f t="shared" si="83"/>
        <v>0.013968915845337378</v>
      </c>
      <c r="AS28" s="16">
        <f t="shared" si="83"/>
        <v>0.01417117285101622</v>
      </c>
      <c r="AT28" s="18">
        <f t="shared" si="66"/>
        <v>0.0097088036117381499</v>
      </c>
      <c r="AU28" s="18">
        <f t="shared" si="67"/>
        <v>0.011410505836575878</v>
      </c>
      <c r="AZ28" s="5"/>
      <c r="BA28" s="13" t="s">
        <v>314</v>
      </c>
      <c r="BB28" s="14">
        <v>85</v>
      </c>
      <c r="BC28" s="16">
        <v>78.60</v>
      </c>
      <c r="BD28" s="16">
        <v>76.30</v>
      </c>
      <c r="BE28" s="16">
        <v>75.90</v>
      </c>
      <c r="BF28" s="16">
        <v>73.70</v>
      </c>
      <c r="BG28" s="16">
        <v>76</v>
      </c>
      <c r="BH28" s="16">
        <v>75.90</v>
      </c>
      <c r="BI28" s="16">
        <v>75.90</v>
      </c>
      <c r="BJ28" s="6"/>
      <c r="BK28" s="6"/>
      <c r="BL28" s="19"/>
      <c r="BM28" s="19"/>
      <c r="BN28" s="19"/>
      <c r="BO28" s="19"/>
    </row>
    <row r="29" spans="1:67" ht="15.5">
      <c r="A29" s="5" t="s">
        <v>315</v>
      </c>
      <c r="B29" s="13" t="s">
        <v>310</v>
      </c>
      <c r="C29" s="14">
        <f t="shared" si="84" ref="C29:J29">BB29/1000</f>
        <v>0.90679999999999994</v>
      </c>
      <c r="D29" s="14">
        <f t="shared" si="84"/>
        <v>0.85860000000000003</v>
      </c>
      <c r="E29" s="14">
        <f t="shared" si="84"/>
        <v>0.81840000000000002</v>
      </c>
      <c r="F29" s="14">
        <f t="shared" si="84"/>
        <v>0.80910000000000004</v>
      </c>
      <c r="G29" s="14">
        <f t="shared" si="84"/>
        <v>0.78110000000000002</v>
      </c>
      <c r="H29" s="14">
        <f t="shared" si="84"/>
        <v>0.8217000000000001</v>
      </c>
      <c r="I29" s="14">
        <f t="shared" si="84"/>
        <v>0.80910000000000004</v>
      </c>
      <c r="J29" s="14">
        <f t="shared" si="84"/>
        <v>0.80910000000000004</v>
      </c>
      <c r="K29" s="6"/>
      <c r="L29" s="6"/>
      <c r="M29" s="19">
        <v>5.9370000000000003</v>
      </c>
      <c r="N29" s="19">
        <v>5.845</v>
      </c>
      <c r="O29" s="19">
        <v>5.575</v>
      </c>
      <c r="P29" s="19">
        <v>5.2759999999999998</v>
      </c>
      <c r="Q29" s="19">
        <v>5.3630000000000004</v>
      </c>
      <c r="R29" s="19">
        <v>6.645</v>
      </c>
      <c r="S29" s="19">
        <v>5.6539999999999999</v>
      </c>
      <c r="T29" s="19"/>
      <c r="U29" s="5" t="s">
        <v>315</v>
      </c>
      <c r="V29" s="13" t="s">
        <v>310</v>
      </c>
      <c r="W29" s="16">
        <f t="shared" si="85" ref="W29:AC29">D29/M29</f>
        <v>0.14461849418898434</v>
      </c>
      <c r="X29" s="16">
        <f t="shared" si="85"/>
        <v>0.14001710863986314</v>
      </c>
      <c r="Y29" s="16">
        <f t="shared" si="85"/>
        <v>0.14513004484304934</v>
      </c>
      <c r="Z29" s="16">
        <f t="shared" si="85"/>
        <v>0.14804776345716453</v>
      </c>
      <c r="AA29" s="16">
        <f t="shared" si="85"/>
        <v>0.15321648331157933</v>
      </c>
      <c r="AB29" s="17">
        <f t="shared" si="85"/>
        <v>0.12176072234762982</v>
      </c>
      <c r="AC29" s="17">
        <f t="shared" si="85"/>
        <v>0.14310222851078883</v>
      </c>
      <c r="AD29" s="6"/>
      <c r="AE29" s="6"/>
      <c r="AF29" s="16">
        <f t="shared" si="86" ref="AF29:AJ29">W29</f>
        <v>0.14461849418898434</v>
      </c>
      <c r="AG29" s="16">
        <f t="shared" si="86"/>
        <v>0.14001710863986314</v>
      </c>
      <c r="AH29" s="16">
        <f t="shared" si="86"/>
        <v>0.14513004484304934</v>
      </c>
      <c r="AI29" s="16">
        <f t="shared" si="86"/>
        <v>0.14804776345716453</v>
      </c>
      <c r="AJ29" s="16">
        <f t="shared" si="86"/>
        <v>0.15321648331157933</v>
      </c>
      <c r="AK29" s="18">
        <f t="shared" si="63"/>
        <v>0.14002483069977428</v>
      </c>
      <c r="AL29" s="18">
        <f t="shared" si="64"/>
        <v>0.16456756278740714</v>
      </c>
      <c r="AM29" s="6"/>
      <c r="AN29" s="6"/>
      <c r="AO29" s="16">
        <f t="shared" si="87" ref="AO29:AS29">W29</f>
        <v>0.14461849418898434</v>
      </c>
      <c r="AP29" s="16">
        <f t="shared" si="87"/>
        <v>0.14001710863986314</v>
      </c>
      <c r="AQ29" s="16">
        <f t="shared" si="87"/>
        <v>0.14513004484304934</v>
      </c>
      <c r="AR29" s="16">
        <f t="shared" si="87"/>
        <v>0.14804776345716453</v>
      </c>
      <c r="AS29" s="16">
        <f t="shared" si="87"/>
        <v>0.15321648331157933</v>
      </c>
      <c r="AT29" s="18">
        <f t="shared" si="66"/>
        <v>0.10349661399548533</v>
      </c>
      <c r="AU29" s="18">
        <f t="shared" si="67"/>
        <v>0.1216368942341705</v>
      </c>
      <c r="AZ29" s="5" t="s">
        <v>315</v>
      </c>
      <c r="BA29" s="13" t="s">
        <v>310</v>
      </c>
      <c r="BB29" s="14">
        <v>906.80</v>
      </c>
      <c r="BC29" s="16">
        <v>858.60</v>
      </c>
      <c r="BD29" s="16">
        <v>818.40</v>
      </c>
      <c r="BE29" s="16">
        <v>809.10</v>
      </c>
      <c r="BF29" s="16">
        <v>781.10</v>
      </c>
      <c r="BG29" s="16">
        <v>821.70</v>
      </c>
      <c r="BH29" s="16">
        <v>809.10</v>
      </c>
      <c r="BI29" s="16">
        <v>809.10</v>
      </c>
      <c r="BJ29" s="6"/>
      <c r="BK29" s="6"/>
      <c r="BL29" s="19"/>
      <c r="BM29" s="19"/>
      <c r="BN29" s="19"/>
      <c r="BO29" s="19"/>
    </row>
    <row r="30" spans="1:67" ht="15.5">
      <c r="A30" s="5"/>
      <c r="B30" s="13" t="s">
        <v>311</v>
      </c>
      <c r="C30" s="14">
        <f t="shared" si="88" ref="C30:J30">BB30/1000</f>
        <v>0.83029999999999993</v>
      </c>
      <c r="D30" s="14">
        <f t="shared" si="88"/>
        <v>0.79089999999999994</v>
      </c>
      <c r="E30" s="14">
        <f t="shared" si="88"/>
        <v>0.75449999999999995</v>
      </c>
      <c r="F30" s="14">
        <f t="shared" si="88"/>
        <v>0.746</v>
      </c>
      <c r="G30" s="14">
        <f t="shared" si="88"/>
        <v>0.71989999999999998</v>
      </c>
      <c r="H30" s="14">
        <f t="shared" si="88"/>
        <v>0.75839999999999996</v>
      </c>
      <c r="I30" s="14">
        <f t="shared" si="88"/>
        <v>0.746</v>
      </c>
      <c r="J30" s="14">
        <f t="shared" si="88"/>
        <v>0.746</v>
      </c>
      <c r="K30" s="6"/>
      <c r="L30" s="6"/>
      <c r="M30" s="19">
        <v>5.9370000000000003</v>
      </c>
      <c r="N30" s="19">
        <v>5.845</v>
      </c>
      <c r="O30" s="19">
        <v>5.575</v>
      </c>
      <c r="P30" s="19">
        <v>5.2759999999999998</v>
      </c>
      <c r="Q30" s="19">
        <v>5.3630000000000004</v>
      </c>
      <c r="R30" s="19">
        <v>6.645</v>
      </c>
      <c r="S30" s="19">
        <v>5.6539999999999999</v>
      </c>
      <c r="T30" s="19"/>
      <c r="U30" s="5"/>
      <c r="V30" s="13" t="s">
        <v>311</v>
      </c>
      <c r="W30" s="16">
        <f t="shared" si="89" ref="W30:AC30">D30/M30</f>
        <v>0.13321542866767727</v>
      </c>
      <c r="X30" s="16">
        <f t="shared" si="89"/>
        <v>0.12908468776732249</v>
      </c>
      <c r="Y30" s="16">
        <f t="shared" si="89"/>
        <v>0.13381165919282512</v>
      </c>
      <c r="Z30" s="16">
        <f t="shared" si="89"/>
        <v>0.13644806671721002</v>
      </c>
      <c r="AA30" s="16">
        <f t="shared" si="89"/>
        <v>0.14141338802908818</v>
      </c>
      <c r="AB30" s="17">
        <f t="shared" si="89"/>
        <v>0.11226486079759218</v>
      </c>
      <c r="AC30" s="17">
        <f t="shared" si="89"/>
        <v>0.13194198797311638</v>
      </c>
      <c r="AD30" s="6"/>
      <c r="AE30" s="6"/>
      <c r="AF30" s="16">
        <f t="shared" si="90" ref="AF30:AJ30">W30</f>
        <v>0.13321542866767727</v>
      </c>
      <c r="AG30" s="16">
        <f t="shared" si="90"/>
        <v>0.12908468776732249</v>
      </c>
      <c r="AH30" s="16">
        <f t="shared" si="90"/>
        <v>0.13381165919282512</v>
      </c>
      <c r="AI30" s="16">
        <f t="shared" si="90"/>
        <v>0.13644806671721002</v>
      </c>
      <c r="AJ30" s="16">
        <f t="shared" si="90"/>
        <v>0.14141338802908818</v>
      </c>
      <c r="AK30" s="18">
        <f t="shared" si="63"/>
        <v>0.12910458991723101</v>
      </c>
      <c r="AL30" s="18">
        <f t="shared" si="64"/>
        <v>0.15173328616908383</v>
      </c>
      <c r="AM30" s="6"/>
      <c r="AN30" s="6"/>
      <c r="AO30" s="16">
        <f t="shared" si="91" ref="AO30:AS30">W30</f>
        <v>0.13321542866767727</v>
      </c>
      <c r="AP30" s="16">
        <f t="shared" si="91"/>
        <v>0.12908468776732249</v>
      </c>
      <c r="AQ30" s="16">
        <f t="shared" si="91"/>
        <v>0.13381165919282512</v>
      </c>
      <c r="AR30" s="16">
        <f t="shared" si="91"/>
        <v>0.13644806671721002</v>
      </c>
      <c r="AS30" s="16">
        <f t="shared" si="91"/>
        <v>0.14141338802908818</v>
      </c>
      <c r="AT30" s="18">
        <f t="shared" si="66"/>
        <v>0.095425131677953356</v>
      </c>
      <c r="AU30" s="18">
        <f t="shared" si="67"/>
        <v>0.11215068977714891</v>
      </c>
      <c r="AZ30" s="5"/>
      <c r="BA30" s="13" t="s">
        <v>311</v>
      </c>
      <c r="BB30" s="14">
        <v>830.30</v>
      </c>
      <c r="BC30" s="16">
        <v>790.90</v>
      </c>
      <c r="BD30" s="16">
        <v>754.50</v>
      </c>
      <c r="BE30" s="16">
        <v>746</v>
      </c>
      <c r="BF30" s="16">
        <v>719.90</v>
      </c>
      <c r="BG30" s="16">
        <v>758.40</v>
      </c>
      <c r="BH30" s="16">
        <v>746</v>
      </c>
      <c r="BI30" s="16">
        <v>746</v>
      </c>
      <c r="BJ30" s="6"/>
      <c r="BK30" s="6"/>
      <c r="BL30" s="19"/>
      <c r="BM30" s="19"/>
      <c r="BN30" s="19"/>
      <c r="BO30" s="19"/>
    </row>
    <row r="31" spans="1:67" ht="15.5">
      <c r="A31" s="5"/>
      <c r="B31" s="13" t="s">
        <v>312</v>
      </c>
      <c r="C31" s="14">
        <f t="shared" si="92" ref="C31:J31">BB31/1000</f>
        <v>0.2079</v>
      </c>
      <c r="D31" s="14">
        <f t="shared" si="92"/>
        <v>0.18419999999999997</v>
      </c>
      <c r="E31" s="14">
        <f t="shared" si="92"/>
        <v>0.17460000000000001</v>
      </c>
      <c r="F31" s="14">
        <f t="shared" si="92"/>
        <v>0.1724</v>
      </c>
      <c r="G31" s="14">
        <f t="shared" si="92"/>
        <v>0.16869999999999999</v>
      </c>
      <c r="H31" s="14">
        <f t="shared" si="92"/>
        <v>0.17469999999999999</v>
      </c>
      <c r="I31" s="14">
        <f t="shared" si="92"/>
        <v>0.1724</v>
      </c>
      <c r="J31" s="14">
        <f t="shared" si="92"/>
        <v>0.1724</v>
      </c>
      <c r="K31" s="6"/>
      <c r="L31" s="6"/>
      <c r="M31" s="19">
        <v>5.9370000000000003</v>
      </c>
      <c r="N31" s="19">
        <v>5.845</v>
      </c>
      <c r="O31" s="19">
        <v>5.575</v>
      </c>
      <c r="P31" s="19">
        <v>5.2759999999999998</v>
      </c>
      <c r="Q31" s="19">
        <v>5.3630000000000004</v>
      </c>
      <c r="R31" s="19">
        <v>6.645</v>
      </c>
      <c r="S31" s="19">
        <v>5.6539999999999999</v>
      </c>
      <c r="T31" s="19"/>
      <c r="U31" s="5"/>
      <c r="V31" s="13" t="s">
        <v>312</v>
      </c>
      <c r="W31" s="16">
        <f t="shared" si="93" ref="W31:AC31">D31/M31</f>
        <v>0.031025770591207674</v>
      </c>
      <c r="X31" s="16">
        <f t="shared" si="93"/>
        <v>0.02987168520102652</v>
      </c>
      <c r="Y31" s="16">
        <f t="shared" si="93"/>
        <v>0.030923766816143495</v>
      </c>
      <c r="Z31" s="16">
        <f t="shared" si="93"/>
        <v>0.031974981046247158</v>
      </c>
      <c r="AA31" s="16">
        <f t="shared" si="93"/>
        <v>0.03257505127727018</v>
      </c>
      <c r="AB31" s="17">
        <f t="shared" si="93"/>
        <v>0.025944319036869827</v>
      </c>
      <c r="AC31" s="17">
        <f t="shared" si="93"/>
        <v>0.030491687301025822</v>
      </c>
      <c r="AD31" s="6"/>
      <c r="AE31" s="6"/>
      <c r="AF31" s="16">
        <f t="shared" si="94" ref="AF31:AJ31">W31</f>
        <v>0.031025770591207674</v>
      </c>
      <c r="AG31" s="16">
        <f t="shared" si="94"/>
        <v>0.02987168520102652</v>
      </c>
      <c r="AH31" s="16">
        <f t="shared" si="94"/>
        <v>0.030923766816143495</v>
      </c>
      <c r="AI31" s="16">
        <f t="shared" si="94"/>
        <v>0.031974981046247158</v>
      </c>
      <c r="AJ31" s="16">
        <f t="shared" si="94"/>
        <v>0.03257505127727018</v>
      </c>
      <c r="AK31" s="18">
        <f t="shared" si="63"/>
        <v>0.029835966892400298</v>
      </c>
      <c r="AL31" s="18">
        <f t="shared" si="64"/>
        <v>0.03506544039617969</v>
      </c>
      <c r="AM31" s="6"/>
      <c r="AN31" s="6"/>
      <c r="AO31" s="16">
        <f t="shared" si="95" ref="AO31:AS31">W31</f>
        <v>0.031025770591207674</v>
      </c>
      <c r="AP31" s="16">
        <f t="shared" si="95"/>
        <v>0.02987168520102652</v>
      </c>
      <c r="AQ31" s="16">
        <f t="shared" si="95"/>
        <v>0.030923766816143495</v>
      </c>
      <c r="AR31" s="16">
        <f t="shared" si="95"/>
        <v>0.031974981046247158</v>
      </c>
      <c r="AS31" s="16">
        <f t="shared" si="95"/>
        <v>0.03257505127727018</v>
      </c>
      <c r="AT31" s="18">
        <f t="shared" si="66"/>
        <v>0.022052671181339353</v>
      </c>
      <c r="AU31" s="18">
        <f t="shared" si="67"/>
        <v>0.025917934205871948</v>
      </c>
      <c r="AZ31" s="5"/>
      <c r="BA31" s="13" t="s">
        <v>312</v>
      </c>
      <c r="BB31" s="14">
        <v>207.90</v>
      </c>
      <c r="BC31" s="16">
        <v>184.20</v>
      </c>
      <c r="BD31" s="16">
        <v>174.60</v>
      </c>
      <c r="BE31" s="16">
        <v>172.40</v>
      </c>
      <c r="BF31" s="16">
        <v>168.70</v>
      </c>
      <c r="BG31" s="16">
        <v>174.70</v>
      </c>
      <c r="BH31" s="16">
        <v>172.40</v>
      </c>
      <c r="BI31" s="16">
        <v>172.40</v>
      </c>
      <c r="BJ31" s="6"/>
      <c r="BK31" s="6"/>
      <c r="BL31" s="19"/>
      <c r="BM31" s="19"/>
      <c r="BN31" s="19"/>
      <c r="BO31" s="19"/>
    </row>
    <row r="32" spans="1:67" ht="15.5">
      <c r="A32" s="5"/>
      <c r="B32" s="13" t="s">
        <v>313</v>
      </c>
      <c r="C32" s="14">
        <f t="shared" si="96" ref="C32:J32">BB32/1000</f>
        <v>0.5747000000000001</v>
      </c>
      <c r="D32" s="14">
        <f t="shared" si="96"/>
        <v>0.55970000000000009</v>
      </c>
      <c r="E32" s="14">
        <f t="shared" si="96"/>
        <v>0.53400000000000003</v>
      </c>
      <c r="F32" s="14">
        <f t="shared" si="96"/>
        <v>0.52800000000000002</v>
      </c>
      <c r="G32" s="14">
        <f t="shared" si="96"/>
        <v>0.50609999999999999</v>
      </c>
      <c r="H32" s="14">
        <f t="shared" si="96"/>
        <v>0.53689999999999993</v>
      </c>
      <c r="I32" s="14">
        <f t="shared" si="96"/>
        <v>0.52800000000000002</v>
      </c>
      <c r="J32" s="14">
        <f t="shared" si="96"/>
        <v>0.52800000000000002</v>
      </c>
      <c r="K32" s="6"/>
      <c r="L32" s="6"/>
      <c r="M32" s="19">
        <v>5.9370000000000003</v>
      </c>
      <c r="N32" s="19">
        <v>5.845</v>
      </c>
      <c r="O32" s="19">
        <v>5.575</v>
      </c>
      <c r="P32" s="19">
        <v>5.2759999999999998</v>
      </c>
      <c r="Q32" s="19">
        <v>5.3630000000000004</v>
      </c>
      <c r="R32" s="19">
        <v>6.645</v>
      </c>
      <c r="S32" s="19">
        <v>5.6539999999999999</v>
      </c>
      <c r="T32" s="19"/>
      <c r="U32" s="5"/>
      <c r="V32" s="13" t="s">
        <v>313</v>
      </c>
      <c r="W32" s="16">
        <f t="shared" si="97" ref="W32:AC32">D32/M32</f>
        <v>0.094273201953848751</v>
      </c>
      <c r="X32" s="16">
        <f t="shared" si="97"/>
        <v>0.09136013686911891</v>
      </c>
      <c r="Y32" s="16">
        <f t="shared" si="97"/>
        <v>0.094708520179372202</v>
      </c>
      <c r="Z32" s="16">
        <f t="shared" si="97"/>
        <v>0.095924943138741475</v>
      </c>
      <c r="AA32" s="16">
        <f t="shared" si="97"/>
        <v>0.10011187768040274</v>
      </c>
      <c r="AB32" s="17">
        <f t="shared" si="97"/>
        <v>0.079458239277652373</v>
      </c>
      <c r="AC32" s="17">
        <f t="shared" si="97"/>
        <v>0.093385214007782102</v>
      </c>
      <c r="AD32" s="6"/>
      <c r="AE32" s="6"/>
      <c r="AF32" s="16">
        <f t="shared" si="98" ref="AF32:AJ32">W32</f>
        <v>0.094273201953848751</v>
      </c>
      <c r="AG32" s="16">
        <f t="shared" si="98"/>
        <v>0.09136013686911891</v>
      </c>
      <c r="AH32" s="16">
        <f t="shared" si="98"/>
        <v>0.094708520179372202</v>
      </c>
      <c r="AI32" s="16">
        <f t="shared" si="98"/>
        <v>0.095924943138741475</v>
      </c>
      <c r="AJ32" s="16">
        <f t="shared" si="98"/>
        <v>0.10011187768040274</v>
      </c>
      <c r="AK32" s="18">
        <f t="shared" si="63"/>
        <v>0.091376975169300226</v>
      </c>
      <c r="AL32" s="18">
        <f t="shared" si="64"/>
        <v>0.10739299610894941</v>
      </c>
      <c r="AM32" s="6"/>
      <c r="AN32" s="6"/>
      <c r="AO32" s="16">
        <f t="shared" si="99" ref="AO32:AS32">W32</f>
        <v>0.094273201953848751</v>
      </c>
      <c r="AP32" s="16">
        <f t="shared" si="99"/>
        <v>0.09136013686911891</v>
      </c>
      <c r="AQ32" s="16">
        <f t="shared" si="99"/>
        <v>0.094708520179372202</v>
      </c>
      <c r="AR32" s="16">
        <f t="shared" si="99"/>
        <v>0.095924943138741475</v>
      </c>
      <c r="AS32" s="16">
        <f t="shared" si="99"/>
        <v>0.10011187768040274</v>
      </c>
      <c r="AT32" s="18">
        <f t="shared" si="66"/>
        <v>0.067539503386004521</v>
      </c>
      <c r="AU32" s="18">
        <f t="shared" si="67"/>
        <v>0.079377431906614782</v>
      </c>
      <c r="AZ32" s="5"/>
      <c r="BA32" s="13" t="s">
        <v>313</v>
      </c>
      <c r="BB32" s="14">
        <v>574.70</v>
      </c>
      <c r="BC32" s="16">
        <v>559.70</v>
      </c>
      <c r="BD32" s="16">
        <v>534</v>
      </c>
      <c r="BE32" s="16">
        <v>528</v>
      </c>
      <c r="BF32" s="16">
        <v>506.10</v>
      </c>
      <c r="BG32" s="16">
        <v>536.90</v>
      </c>
      <c r="BH32" s="16">
        <v>528</v>
      </c>
      <c r="BI32" s="16">
        <v>528</v>
      </c>
      <c r="BJ32" s="6"/>
      <c r="BK32" s="6"/>
      <c r="BL32" s="19"/>
      <c r="BM32" s="19"/>
      <c r="BN32" s="19"/>
      <c r="BO32" s="19"/>
    </row>
    <row r="33" spans="1:67" ht="15.5">
      <c r="A33" s="5"/>
      <c r="B33" s="13" t="s">
        <v>314</v>
      </c>
      <c r="C33" s="14">
        <f t="shared" si="100" ref="C33:J33">BB33/1000</f>
        <v>0.087999999999999995</v>
      </c>
      <c r="D33" s="14">
        <f t="shared" si="100"/>
        <v>0.0814</v>
      </c>
      <c r="E33" s="14">
        <f t="shared" si="100"/>
        <v>0.079000000000000001</v>
      </c>
      <c r="F33" s="14">
        <f t="shared" si="100"/>
        <v>0.0785</v>
      </c>
      <c r="G33" s="14">
        <f t="shared" si="100"/>
        <v>0.07640000000000001</v>
      </c>
      <c r="H33" s="14">
        <f t="shared" si="100"/>
        <v>0.078700000000000006</v>
      </c>
      <c r="I33" s="14">
        <f t="shared" si="100"/>
        <v>0.0785</v>
      </c>
      <c r="J33" s="14">
        <f t="shared" si="100"/>
        <v>0.0785</v>
      </c>
      <c r="K33" s="6"/>
      <c r="L33" s="6"/>
      <c r="M33" s="19">
        <v>5.9370000000000003</v>
      </c>
      <c r="N33" s="19">
        <v>5.845</v>
      </c>
      <c r="O33" s="19">
        <v>5.575</v>
      </c>
      <c r="P33" s="19">
        <v>5.2759999999999998</v>
      </c>
      <c r="Q33" s="19">
        <v>5.3630000000000004</v>
      </c>
      <c r="R33" s="19">
        <v>6.645</v>
      </c>
      <c r="S33" s="19">
        <v>5.6539999999999999</v>
      </c>
      <c r="T33" s="19"/>
      <c r="U33" s="5"/>
      <c r="V33" s="13" t="s">
        <v>314</v>
      </c>
      <c r="W33" s="16">
        <f t="shared" si="101" ref="W33:AC33">D33/M33</f>
        <v>0.013710628263432709</v>
      </c>
      <c r="X33" s="16">
        <f t="shared" si="101"/>
        <v>0.013515825491873397</v>
      </c>
      <c r="Y33" s="16">
        <f t="shared" si="101"/>
        <v>0.014080717488789238</v>
      </c>
      <c r="Z33" s="16">
        <f t="shared" si="101"/>
        <v>0.014480667172100078</v>
      </c>
      <c r="AA33" s="16">
        <f t="shared" si="101"/>
        <v>0.014674622412828641</v>
      </c>
      <c r="AB33" s="17">
        <f t="shared" si="101"/>
        <v>0.01181339352896915</v>
      </c>
      <c r="AC33" s="17">
        <f t="shared" si="101"/>
        <v>0.013883975946232755</v>
      </c>
      <c r="AD33" s="6"/>
      <c r="AE33" s="6"/>
      <c r="AF33" s="16">
        <f t="shared" si="102" ref="AF33:AJ33">W33</f>
        <v>0.013710628263432709</v>
      </c>
      <c r="AG33" s="16">
        <f t="shared" si="102"/>
        <v>0.013515825491873397</v>
      </c>
      <c r="AH33" s="16">
        <f t="shared" si="102"/>
        <v>0.014080717488789238</v>
      </c>
      <c r="AI33" s="16">
        <f t="shared" si="102"/>
        <v>0.014480667172100078</v>
      </c>
      <c r="AJ33" s="16">
        <f t="shared" si="102"/>
        <v>0.014674622412828641</v>
      </c>
      <c r="AK33" s="18">
        <f t="shared" si="63"/>
        <v>0.013585402558314521</v>
      </c>
      <c r="AL33" s="18">
        <f t="shared" si="64"/>
        <v>0.015966572338167666</v>
      </c>
      <c r="AM33" s="6"/>
      <c r="AN33" s="6"/>
      <c r="AO33" s="16">
        <f t="shared" si="103" ref="AO33:AS33">W33</f>
        <v>0.013710628263432709</v>
      </c>
      <c r="AP33" s="16">
        <f t="shared" si="103"/>
        <v>0.013515825491873397</v>
      </c>
      <c r="AQ33" s="16">
        <f t="shared" si="103"/>
        <v>0.014080717488789238</v>
      </c>
      <c r="AR33" s="16">
        <f t="shared" si="103"/>
        <v>0.014480667172100078</v>
      </c>
      <c r="AS33" s="16">
        <f t="shared" si="103"/>
        <v>0.014674622412828641</v>
      </c>
      <c r="AT33" s="18">
        <f t="shared" si="66"/>
        <v>0.010041384499623777</v>
      </c>
      <c r="AU33" s="18">
        <f t="shared" si="67"/>
        <v>0.011801379554297841</v>
      </c>
      <c r="AZ33" s="5"/>
      <c r="BA33" s="13" t="s">
        <v>314</v>
      </c>
      <c r="BB33" s="14">
        <v>88</v>
      </c>
      <c r="BC33" s="16">
        <v>81.40</v>
      </c>
      <c r="BD33" s="16">
        <v>79</v>
      </c>
      <c r="BE33" s="16">
        <v>78.50</v>
      </c>
      <c r="BF33" s="16">
        <v>76.40</v>
      </c>
      <c r="BG33" s="16">
        <v>78.70</v>
      </c>
      <c r="BH33" s="16">
        <v>78.50</v>
      </c>
      <c r="BI33" s="16">
        <v>78.50</v>
      </c>
      <c r="BJ33" s="6"/>
      <c r="BK33" s="6"/>
      <c r="BL33" s="19"/>
      <c r="BM33" s="19"/>
      <c r="BN33" s="19"/>
      <c r="BO33" s="19"/>
    </row>
    <row r="34" spans="1:67" ht="15.5">
      <c r="A34" s="5" t="s">
        <v>11</v>
      </c>
      <c r="B34" s="13" t="s">
        <v>310</v>
      </c>
      <c r="C34" s="14">
        <f t="shared" si="104" ref="C34:J34">BB34/1000</f>
        <v>0.92170000000000007</v>
      </c>
      <c r="D34" s="14">
        <f t="shared" si="104"/>
        <v>0.87209999999999999</v>
      </c>
      <c r="E34" s="14">
        <f t="shared" si="104"/>
        <v>0.83129999999999993</v>
      </c>
      <c r="F34" s="14">
        <f t="shared" si="104"/>
        <v>0.82179999999999997</v>
      </c>
      <c r="G34" s="14">
        <f t="shared" si="104"/>
        <v>0.79400000000000004</v>
      </c>
      <c r="H34" s="14">
        <f t="shared" si="104"/>
        <v>0.83499999999999996</v>
      </c>
      <c r="I34" s="14">
        <f t="shared" si="104"/>
        <v>0.82179999999999997</v>
      </c>
      <c r="J34" s="14">
        <f t="shared" si="104"/>
        <v>0.82179999999999997</v>
      </c>
      <c r="K34" s="6"/>
      <c r="L34" s="6"/>
      <c r="M34" s="19">
        <v>5.9370000000000003</v>
      </c>
      <c r="N34" s="19">
        <v>5.845</v>
      </c>
      <c r="O34" s="19">
        <v>5.575</v>
      </c>
      <c r="P34" s="19">
        <v>5.2759999999999998</v>
      </c>
      <c r="Q34" s="19">
        <v>5.3630000000000004</v>
      </c>
      <c r="R34" s="19">
        <v>6.645</v>
      </c>
      <c r="S34" s="19">
        <v>5.6539999999999999</v>
      </c>
      <c r="T34" s="19"/>
      <c r="U34" s="5" t="s">
        <v>11</v>
      </c>
      <c r="V34" s="13" t="s">
        <v>310</v>
      </c>
      <c r="W34" s="16">
        <f t="shared" si="105" ref="W34:AC34">D34/M34</f>
        <v>0.14689236988377968</v>
      </c>
      <c r="X34" s="16">
        <f t="shared" si="105"/>
        <v>0.14222412318220701</v>
      </c>
      <c r="Y34" s="16">
        <f t="shared" si="105"/>
        <v>0.1474080717488789</v>
      </c>
      <c r="Z34" s="16">
        <f t="shared" si="105"/>
        <v>0.15049279757391965</v>
      </c>
      <c r="AA34" s="16">
        <f t="shared" si="105"/>
        <v>0.15569643856050716</v>
      </c>
      <c r="AB34" s="17">
        <f t="shared" si="105"/>
        <v>0.12367193378480061</v>
      </c>
      <c r="AC34" s="17">
        <f t="shared" si="105"/>
        <v>0.14534842589317298</v>
      </c>
      <c r="AD34" s="6"/>
      <c r="AE34" s="6"/>
      <c r="AF34" s="16">
        <f t="shared" si="106" ref="AF34:AJ34">W34</f>
        <v>0.14689236988377968</v>
      </c>
      <c r="AG34" s="16">
        <f t="shared" si="106"/>
        <v>0.14222412318220701</v>
      </c>
      <c r="AH34" s="16">
        <f t="shared" si="106"/>
        <v>0.1474080717488789</v>
      </c>
      <c r="AI34" s="16">
        <f t="shared" si="106"/>
        <v>0.15049279757391965</v>
      </c>
      <c r="AJ34" s="16">
        <f t="shared" si="106"/>
        <v>0.15569643856050716</v>
      </c>
      <c r="AK34" s="18">
        <f t="shared" si="63"/>
        <v>0.14222272385252069</v>
      </c>
      <c r="AL34" s="18">
        <f t="shared" si="64"/>
        <v>0.16715068977714892</v>
      </c>
      <c r="AM34" s="6"/>
      <c r="AN34" s="6"/>
      <c r="AO34" s="16">
        <f t="shared" si="107" ref="AO34:AS34">W34</f>
        <v>0.14689236988377968</v>
      </c>
      <c r="AP34" s="16">
        <f t="shared" si="107"/>
        <v>0.14222412318220701</v>
      </c>
      <c r="AQ34" s="16">
        <f t="shared" si="107"/>
        <v>0.1474080717488789</v>
      </c>
      <c r="AR34" s="16">
        <f t="shared" si="107"/>
        <v>0.15049279757391965</v>
      </c>
      <c r="AS34" s="16">
        <f t="shared" si="107"/>
        <v>0.15569643856050716</v>
      </c>
      <c r="AT34" s="18">
        <f t="shared" si="66"/>
        <v>0.10512114371708052</v>
      </c>
      <c r="AU34" s="18">
        <f t="shared" si="67"/>
        <v>0.12354616200919703</v>
      </c>
      <c r="AZ34" s="5" t="s">
        <v>11</v>
      </c>
      <c r="BA34" s="13" t="s">
        <v>310</v>
      </c>
      <c r="BB34" s="14">
        <v>921.70</v>
      </c>
      <c r="BC34" s="16">
        <v>872.10</v>
      </c>
      <c r="BD34" s="16">
        <v>831.30</v>
      </c>
      <c r="BE34" s="16">
        <v>821.80</v>
      </c>
      <c r="BF34" s="16">
        <v>794</v>
      </c>
      <c r="BG34" s="16">
        <v>835</v>
      </c>
      <c r="BH34" s="16">
        <v>821.80</v>
      </c>
      <c r="BI34" s="16">
        <v>821.80</v>
      </c>
      <c r="BJ34" s="6"/>
      <c r="BK34" s="6"/>
      <c r="BL34" s="19"/>
      <c r="BM34" s="19"/>
      <c r="BN34" s="19"/>
      <c r="BO34" s="19"/>
    </row>
    <row r="35" spans="1:67" ht="15.5">
      <c r="A35" s="5"/>
      <c r="B35" s="13" t="s">
        <v>311</v>
      </c>
      <c r="C35" s="14">
        <f t="shared" si="108" ref="C35:J35">BB35/1000</f>
        <v>0.84220000000000006</v>
      </c>
      <c r="D35" s="14">
        <f t="shared" si="108"/>
        <v>0.80179999999999996</v>
      </c>
      <c r="E35" s="14">
        <f t="shared" si="108"/>
        <v>0.76479999999999992</v>
      </c>
      <c r="F35" s="14">
        <f t="shared" si="108"/>
        <v>0.75620000000000009</v>
      </c>
      <c r="G35" s="14">
        <f t="shared" si="108"/>
        <v>0.73020000000000007</v>
      </c>
      <c r="H35" s="14">
        <f t="shared" si="108"/>
        <v>0.76910000000000001</v>
      </c>
      <c r="I35" s="14">
        <f t="shared" si="108"/>
        <v>0.75620000000000009</v>
      </c>
      <c r="J35" s="14">
        <f t="shared" si="108"/>
        <v>0.75620000000000009</v>
      </c>
      <c r="K35" s="6"/>
      <c r="L35" s="6"/>
      <c r="M35" s="19">
        <v>5.9370000000000003</v>
      </c>
      <c r="N35" s="19">
        <v>5.845</v>
      </c>
      <c r="O35" s="19">
        <v>5.575</v>
      </c>
      <c r="P35" s="19">
        <v>5.2759999999999998</v>
      </c>
      <c r="Q35" s="19">
        <v>5.3630000000000004</v>
      </c>
      <c r="R35" s="19">
        <v>6.645</v>
      </c>
      <c r="S35" s="19">
        <v>5.6539999999999999</v>
      </c>
      <c r="T35" s="19"/>
      <c r="U35" s="5"/>
      <c r="V35" s="13" t="s">
        <v>311</v>
      </c>
      <c r="W35" s="16">
        <f t="shared" si="109" ref="W35:AC35">D35/M35</f>
        <v>0.13505137274717868</v>
      </c>
      <c r="X35" s="16">
        <f t="shared" si="109"/>
        <v>0.13084687767322498</v>
      </c>
      <c r="Y35" s="16">
        <f t="shared" si="109"/>
        <v>0.13564125560538118</v>
      </c>
      <c r="Z35" s="16">
        <f t="shared" si="109"/>
        <v>0.13840030326004552</v>
      </c>
      <c r="AA35" s="16">
        <f t="shared" si="109"/>
        <v>0.14340853999627073</v>
      </c>
      <c r="AB35" s="17">
        <f t="shared" si="109"/>
        <v>0.11379984951091048</v>
      </c>
      <c r="AC35" s="17">
        <f t="shared" si="109"/>
        <v>0.13374602051644854</v>
      </c>
      <c r="AD35" s="6"/>
      <c r="AE35" s="6"/>
      <c r="AF35" s="16">
        <f t="shared" si="110" ref="AF35:AJ35">W35</f>
        <v>0.13505137274717868</v>
      </c>
      <c r="AG35" s="16">
        <f t="shared" si="110"/>
        <v>0.13084687767322498</v>
      </c>
      <c r="AH35" s="16">
        <f t="shared" si="110"/>
        <v>0.13564125560538118</v>
      </c>
      <c r="AI35" s="16">
        <f t="shared" si="110"/>
        <v>0.13840030326004552</v>
      </c>
      <c r="AJ35" s="16">
        <f t="shared" si="110"/>
        <v>0.14340853999627073</v>
      </c>
      <c r="AK35" s="18">
        <f t="shared" si="63"/>
        <v>0.13086982693754703</v>
      </c>
      <c r="AL35" s="18">
        <f t="shared" si="64"/>
        <v>0.15380792359391582</v>
      </c>
      <c r="AM35" s="6"/>
      <c r="AN35" s="6"/>
      <c r="AO35" s="16">
        <f t="shared" si="111" ref="AO35:AS35">W35</f>
        <v>0.13505137274717868</v>
      </c>
      <c r="AP35" s="16">
        <f t="shared" si="111"/>
        <v>0.13084687767322498</v>
      </c>
      <c r="AQ35" s="16">
        <f t="shared" si="111"/>
        <v>0.13564125560538118</v>
      </c>
      <c r="AR35" s="16">
        <f t="shared" si="111"/>
        <v>0.13840030326004552</v>
      </c>
      <c r="AS35" s="16">
        <f t="shared" si="111"/>
        <v>0.14340853999627073</v>
      </c>
      <c r="AT35" s="18">
        <f t="shared" si="66"/>
        <v>0.096729872084273902</v>
      </c>
      <c r="AU35" s="18">
        <f t="shared" si="67"/>
        <v>0.11368411743898126</v>
      </c>
      <c r="AZ35" s="5"/>
      <c r="BA35" s="13" t="s">
        <v>311</v>
      </c>
      <c r="BB35" s="14">
        <v>842.20</v>
      </c>
      <c r="BC35" s="16">
        <v>801.80</v>
      </c>
      <c r="BD35" s="16">
        <v>764.80</v>
      </c>
      <c r="BE35" s="16">
        <v>756.20</v>
      </c>
      <c r="BF35" s="16">
        <v>730.20</v>
      </c>
      <c r="BG35" s="16">
        <v>769.10</v>
      </c>
      <c r="BH35" s="16">
        <v>756.20</v>
      </c>
      <c r="BI35" s="16">
        <v>756.20</v>
      </c>
      <c r="BJ35" s="6"/>
      <c r="BK35" s="6"/>
      <c r="BL35" s="19"/>
      <c r="BM35" s="19"/>
      <c r="BN35" s="19"/>
      <c r="BO35" s="19"/>
    </row>
    <row r="36" spans="1:67" ht="15.5">
      <c r="A36" s="5"/>
      <c r="B36" s="13" t="s">
        <v>312</v>
      </c>
      <c r="C36" s="14">
        <f t="shared" si="112" ref="C36:J36">BB36/1000</f>
        <v>0.26939999999999997</v>
      </c>
      <c r="D36" s="14">
        <f t="shared" si="112"/>
        <v>0.24010000000000001</v>
      </c>
      <c r="E36" s="14">
        <f t="shared" si="112"/>
        <v>0.2278</v>
      </c>
      <c r="F36" s="14">
        <f t="shared" si="112"/>
        <v>0.22490000000000002</v>
      </c>
      <c r="G36" s="14">
        <f t="shared" si="112"/>
        <v>0.22169999999999998</v>
      </c>
      <c r="H36" s="14">
        <f t="shared" si="112"/>
        <v>0.2296</v>
      </c>
      <c r="I36" s="14">
        <f t="shared" si="112"/>
        <v>0.22490000000000002</v>
      </c>
      <c r="J36" s="14">
        <f t="shared" si="112"/>
        <v>0.22490000000000002</v>
      </c>
      <c r="K36" s="6"/>
      <c r="L36" s="6"/>
      <c r="M36" s="19">
        <v>5.9370000000000003</v>
      </c>
      <c r="N36" s="19">
        <v>5.845</v>
      </c>
      <c r="O36" s="19">
        <v>5.575</v>
      </c>
      <c r="P36" s="19">
        <v>5.2759999999999998</v>
      </c>
      <c r="Q36" s="19">
        <v>5.3630000000000004</v>
      </c>
      <c r="R36" s="19">
        <v>6.645</v>
      </c>
      <c r="S36" s="19">
        <v>5.6539999999999999</v>
      </c>
      <c r="T36" s="19"/>
      <c r="U36" s="5"/>
      <c r="V36" s="13" t="s">
        <v>312</v>
      </c>
      <c r="W36" s="16">
        <f t="shared" si="113" ref="W36:AC36">D36/M36</f>
        <v>0.040441300320026949</v>
      </c>
      <c r="X36" s="16">
        <f t="shared" si="113"/>
        <v>0.038973481608212152</v>
      </c>
      <c r="Y36" s="16">
        <f t="shared" si="113"/>
        <v>0.040340807174887895</v>
      </c>
      <c r="Z36" s="16">
        <f t="shared" si="113"/>
        <v>0.042020470053070504</v>
      </c>
      <c r="AA36" s="16">
        <f t="shared" si="113"/>
        <v>0.042811859034122692</v>
      </c>
      <c r="AB36" s="17">
        <f t="shared" si="113"/>
        <v>0.033844996237772769</v>
      </c>
      <c r="AC36" s="17">
        <f t="shared" si="113"/>
        <v>0.039777148921117798</v>
      </c>
      <c r="AD36" s="6"/>
      <c r="AE36" s="6"/>
      <c r="AF36" s="16">
        <f t="shared" si="114" ref="AF36:AJ36">W36</f>
        <v>0.040441300320026949</v>
      </c>
      <c r="AG36" s="16">
        <f t="shared" si="114"/>
        <v>0.038973481608212152</v>
      </c>
      <c r="AH36" s="16">
        <f t="shared" si="114"/>
        <v>0.040340807174887895</v>
      </c>
      <c r="AI36" s="16">
        <f t="shared" si="114"/>
        <v>0.042020470053070504</v>
      </c>
      <c r="AJ36" s="16">
        <f t="shared" si="114"/>
        <v>0.042811859034122692</v>
      </c>
      <c r="AK36" s="18">
        <f t="shared" si="63"/>
        <v>0.03892174567343868</v>
      </c>
      <c r="AL36" s="18">
        <f t="shared" si="64"/>
        <v>0.045743721259285462</v>
      </c>
      <c r="AM36" s="6"/>
      <c r="AN36" s="6"/>
      <c r="AO36" s="16">
        <f t="shared" si="115" ref="AO36:AS36">W36</f>
        <v>0.040441300320026949</v>
      </c>
      <c r="AP36" s="16">
        <f t="shared" si="115"/>
        <v>0.038973481608212152</v>
      </c>
      <c r="AQ36" s="16">
        <f t="shared" si="115"/>
        <v>0.040340807174887895</v>
      </c>
      <c r="AR36" s="16">
        <f t="shared" si="115"/>
        <v>0.042020470053070504</v>
      </c>
      <c r="AS36" s="16">
        <f t="shared" si="115"/>
        <v>0.042811859034122692</v>
      </c>
      <c r="AT36" s="18">
        <f t="shared" si="66"/>
        <v>0.028768246802106854</v>
      </c>
      <c r="AU36" s="18">
        <f t="shared" si="67"/>
        <v>0.033810576582950128</v>
      </c>
      <c r="AZ36" s="5"/>
      <c r="BA36" s="13" t="s">
        <v>312</v>
      </c>
      <c r="BB36" s="14">
        <v>269.40</v>
      </c>
      <c r="BC36" s="16">
        <v>240.10</v>
      </c>
      <c r="BD36" s="16">
        <v>227.80</v>
      </c>
      <c r="BE36" s="16">
        <v>224.90</v>
      </c>
      <c r="BF36" s="16">
        <v>221.70</v>
      </c>
      <c r="BG36" s="16">
        <v>229.60</v>
      </c>
      <c r="BH36" s="16">
        <v>224.90</v>
      </c>
      <c r="BI36" s="16">
        <v>224.90</v>
      </c>
      <c r="BJ36" s="6"/>
      <c r="BK36" s="6"/>
      <c r="BL36" s="19"/>
      <c r="BM36" s="19"/>
      <c r="BN36" s="19"/>
      <c r="BO36" s="19"/>
    </row>
    <row r="37" spans="1:67" ht="15.5">
      <c r="A37" s="5"/>
      <c r="B37" s="13" t="s">
        <v>313</v>
      </c>
      <c r="C37" s="14">
        <f t="shared" si="116" ref="C37:J37">BB37/1000</f>
        <v>0.52729999999999999</v>
      </c>
      <c r="D37" s="14">
        <f t="shared" si="116"/>
        <v>0.51670000000000005</v>
      </c>
      <c r="E37" s="14">
        <f t="shared" si="116"/>
        <v>0.49310000000000004</v>
      </c>
      <c r="F37" s="14">
        <f t="shared" si="116"/>
        <v>0.48749999999999999</v>
      </c>
      <c r="G37" s="14">
        <f t="shared" si="116"/>
        <v>0.46529999999999999</v>
      </c>
      <c r="H37" s="14">
        <f t="shared" si="116"/>
        <v>0.49460000000000004</v>
      </c>
      <c r="I37" s="14">
        <f t="shared" si="116"/>
        <v>0.48749999999999999</v>
      </c>
      <c r="J37" s="14">
        <f t="shared" si="116"/>
        <v>0.48749999999999999</v>
      </c>
      <c r="K37" s="6"/>
      <c r="L37" s="6"/>
      <c r="M37" s="19">
        <v>5.9370000000000003</v>
      </c>
      <c r="N37" s="19">
        <v>5.845</v>
      </c>
      <c r="O37" s="19">
        <v>5.575</v>
      </c>
      <c r="P37" s="19">
        <v>5.2759999999999998</v>
      </c>
      <c r="Q37" s="19">
        <v>5.3630000000000004</v>
      </c>
      <c r="R37" s="19">
        <v>6.645</v>
      </c>
      <c r="S37" s="19">
        <v>5.6539999999999999</v>
      </c>
      <c r="T37" s="19"/>
      <c r="U37" s="5"/>
      <c r="V37" s="13" t="s">
        <v>313</v>
      </c>
      <c r="W37" s="16">
        <f t="shared" si="117" ref="W37:AC37">D37/M37</f>
        <v>0.087030486777833926</v>
      </c>
      <c r="X37" s="16">
        <f t="shared" si="117"/>
        <v>0.084362703165098391</v>
      </c>
      <c r="Y37" s="16">
        <f t="shared" si="117"/>
        <v>0.087443946188340796</v>
      </c>
      <c r="Z37" s="16">
        <f t="shared" si="117"/>
        <v>0.088191811978771795</v>
      </c>
      <c r="AA37" s="16">
        <f t="shared" si="117"/>
        <v>0.092224501212008203</v>
      </c>
      <c r="AB37" s="17">
        <f t="shared" si="117"/>
        <v>0.07336343115124154</v>
      </c>
      <c r="AC37" s="17">
        <f t="shared" si="117"/>
        <v>0.086222143615139718</v>
      </c>
      <c r="AD37" s="6"/>
      <c r="AE37" s="6"/>
      <c r="AF37" s="16">
        <f t="shared" si="118" ref="AF37:AJ37">W37</f>
        <v>0.087030486777833926</v>
      </c>
      <c r="AG37" s="16">
        <f t="shared" si="118"/>
        <v>0.084362703165098391</v>
      </c>
      <c r="AH37" s="16">
        <f t="shared" si="118"/>
        <v>0.087443946188340796</v>
      </c>
      <c r="AI37" s="16">
        <f t="shared" si="118"/>
        <v>0.088191811978771795</v>
      </c>
      <c r="AJ37" s="16">
        <f t="shared" si="118"/>
        <v>0.092224501212008203</v>
      </c>
      <c r="AK37" s="18">
        <f t="shared" si="63"/>
        <v>0.084367945823927759</v>
      </c>
      <c r="AL37" s="18">
        <f t="shared" si="64"/>
        <v>0.099155465157410666</v>
      </c>
      <c r="AM37" s="6"/>
      <c r="AN37" s="6"/>
      <c r="AO37" s="16">
        <f t="shared" si="119" ref="AO37:AS37">W37</f>
        <v>0.087030486777833926</v>
      </c>
      <c r="AP37" s="16">
        <f t="shared" si="119"/>
        <v>0.084362703165098391</v>
      </c>
      <c r="AQ37" s="16">
        <f t="shared" si="119"/>
        <v>0.087443946188340796</v>
      </c>
      <c r="AR37" s="16">
        <f t="shared" si="119"/>
        <v>0.088191811978771795</v>
      </c>
      <c r="AS37" s="16">
        <f t="shared" si="119"/>
        <v>0.092224501212008203</v>
      </c>
      <c r="AT37" s="18">
        <f t="shared" si="66"/>
        <v>0.062358916478555307</v>
      </c>
      <c r="AU37" s="18">
        <f t="shared" si="67"/>
        <v>0.073288822072868756</v>
      </c>
      <c r="AZ37" s="5"/>
      <c r="BA37" s="13" t="s">
        <v>313</v>
      </c>
      <c r="BB37" s="14">
        <v>527.30</v>
      </c>
      <c r="BC37" s="16">
        <v>516.70</v>
      </c>
      <c r="BD37" s="16">
        <v>493.10</v>
      </c>
      <c r="BE37" s="16">
        <v>487.50</v>
      </c>
      <c r="BF37" s="16">
        <v>465.30</v>
      </c>
      <c r="BG37" s="16">
        <v>494.60</v>
      </c>
      <c r="BH37" s="16">
        <v>487.50</v>
      </c>
      <c r="BI37" s="16">
        <v>487.50</v>
      </c>
      <c r="BJ37" s="6"/>
      <c r="BK37" s="6"/>
      <c r="BL37" s="19"/>
      <c r="BM37" s="19"/>
      <c r="BN37" s="19"/>
      <c r="BO37" s="19"/>
    </row>
    <row r="38" spans="1:67" ht="15.5">
      <c r="A38" s="5"/>
      <c r="B38" s="13" t="s">
        <v>314</v>
      </c>
      <c r="C38" s="14">
        <f t="shared" si="120" ref="C38:J38">BB38/1000</f>
        <v>0.085800000000000001</v>
      </c>
      <c r="D38" s="14">
        <f t="shared" si="120"/>
        <v>0.079299999999999995</v>
      </c>
      <c r="E38" s="14">
        <f t="shared" si="120"/>
        <v>0.077099999999999988</v>
      </c>
      <c r="F38" s="14">
        <f t="shared" si="120"/>
        <v>0.076599999999999988</v>
      </c>
      <c r="G38" s="14">
        <f t="shared" si="120"/>
        <v>0.074400000000000008</v>
      </c>
      <c r="H38" s="14">
        <f t="shared" si="120"/>
        <v>0.076700000000000004</v>
      </c>
      <c r="I38" s="14">
        <f t="shared" si="120"/>
        <v>0.076599999999999988</v>
      </c>
      <c r="J38" s="14">
        <f t="shared" si="120"/>
        <v>0.076599999999999988</v>
      </c>
      <c r="K38" s="6"/>
      <c r="L38" s="6"/>
      <c r="M38" s="19">
        <v>5.9370000000000003</v>
      </c>
      <c r="N38" s="19">
        <v>5.845</v>
      </c>
      <c r="O38" s="19">
        <v>5.575</v>
      </c>
      <c r="P38" s="19">
        <v>5.2759999999999998</v>
      </c>
      <c r="Q38" s="19">
        <v>5.3630000000000004</v>
      </c>
      <c r="R38" s="19">
        <v>6.645</v>
      </c>
      <c r="S38" s="19">
        <v>5.6539999999999999</v>
      </c>
      <c r="T38" s="19"/>
      <c r="U38" s="5"/>
      <c r="V38" s="13" t="s">
        <v>314</v>
      </c>
      <c r="W38" s="16">
        <f t="shared" si="121" ref="W38:AC38">D38/M38</f>
        <v>0.013356914266464542</v>
      </c>
      <c r="X38" s="16">
        <f t="shared" si="121"/>
        <v>0.013190761334473907</v>
      </c>
      <c r="Y38" s="16">
        <f t="shared" si="121"/>
        <v>0.013739910313901343</v>
      </c>
      <c r="Z38" s="16">
        <f t="shared" si="121"/>
        <v>0.01410159211523882</v>
      </c>
      <c r="AA38" s="16">
        <f t="shared" si="121"/>
        <v>0.014301696811486108</v>
      </c>
      <c r="AB38" s="17">
        <f t="shared" si="121"/>
        <v>0.011527464258841233</v>
      </c>
      <c r="AC38" s="17">
        <f t="shared" si="121"/>
        <v>0.013547930668553235</v>
      </c>
      <c r="AD38" s="6"/>
      <c r="AE38" s="6"/>
      <c r="AF38" s="16">
        <f t="shared" si="122" ref="AF38:AJ38">W38</f>
        <v>0.013356914266464542</v>
      </c>
      <c r="AG38" s="16">
        <f t="shared" si="122"/>
        <v>0.013190761334473907</v>
      </c>
      <c r="AH38" s="16">
        <f t="shared" si="122"/>
        <v>0.013739910313901343</v>
      </c>
      <c r="AI38" s="16">
        <f t="shared" si="122"/>
        <v>0.01410159211523882</v>
      </c>
      <c r="AJ38" s="16">
        <f t="shared" si="122"/>
        <v>0.014301696811486108</v>
      </c>
      <c r="AK38" s="18">
        <f t="shared" si="63"/>
        <v>0.013256583897667417</v>
      </c>
      <c r="AL38" s="18">
        <f t="shared" si="64"/>
        <v>0.015580120268836218</v>
      </c>
      <c r="AM38" s="6"/>
      <c r="AN38" s="6"/>
      <c r="AO38" s="16">
        <f t="shared" si="123" ref="AO38:AS38">W38</f>
        <v>0.013356914266464542</v>
      </c>
      <c r="AP38" s="16">
        <f t="shared" si="123"/>
        <v>0.013190761334473907</v>
      </c>
      <c r="AQ38" s="16">
        <f t="shared" si="123"/>
        <v>0.013739910313901343</v>
      </c>
      <c r="AR38" s="16">
        <f t="shared" si="123"/>
        <v>0.01410159211523882</v>
      </c>
      <c r="AS38" s="16">
        <f t="shared" si="123"/>
        <v>0.014301696811486108</v>
      </c>
      <c r="AT38" s="18">
        <f t="shared" si="66"/>
        <v>0.0097983446200150467</v>
      </c>
      <c r="AU38" s="18">
        <f t="shared" si="67"/>
        <v>0.01151574106827025</v>
      </c>
      <c r="AZ38" s="5"/>
      <c r="BA38" s="13" t="s">
        <v>314</v>
      </c>
      <c r="BB38" s="14">
        <v>85.80</v>
      </c>
      <c r="BC38" s="16">
        <v>79.30</v>
      </c>
      <c r="BD38" s="16">
        <v>77.10</v>
      </c>
      <c r="BE38" s="16">
        <v>76.60</v>
      </c>
      <c r="BF38" s="16">
        <v>74.40</v>
      </c>
      <c r="BG38" s="16">
        <v>76.70</v>
      </c>
      <c r="BH38" s="16">
        <v>76.60</v>
      </c>
      <c r="BI38" s="16">
        <v>76.60</v>
      </c>
      <c r="BJ38" s="6"/>
      <c r="BK38" s="6"/>
      <c r="BL38" s="19"/>
      <c r="BM38" s="19"/>
      <c r="BN38" s="19"/>
      <c r="BO38" s="19"/>
    </row>
    <row r="39" spans="1:67" ht="15.5">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spans="1:67" ht="15.5">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spans="1:67" ht="15.5">
      <c r="A41" s="5" t="s">
        <v>330</v>
      </c>
      <c r="B41" s="5"/>
      <c r="C41" s="5"/>
      <c r="D41" s="5"/>
      <c r="E41" s="5"/>
      <c r="F41" s="5"/>
      <c r="G41" s="5"/>
      <c r="H41" s="5"/>
      <c r="I41" s="5"/>
      <c r="J41" s="5"/>
      <c r="K41" s="6"/>
      <c r="L41" s="6"/>
      <c r="M41" s="6"/>
      <c r="N41" s="6"/>
      <c r="O41" s="6"/>
      <c r="P41" s="6"/>
      <c r="Q41" s="6"/>
      <c r="R41" s="6"/>
      <c r="S41" s="6"/>
      <c r="T41" s="6"/>
      <c r="AZ41" s="5" t="s">
        <v>330</v>
      </c>
      <c r="BA41" s="5"/>
      <c r="BB41" s="5"/>
      <c r="BC41" s="5"/>
      <c r="BD41" s="5"/>
      <c r="BE41" s="5"/>
      <c r="BF41" s="5"/>
      <c r="BG41" s="5"/>
      <c r="BH41" s="5"/>
      <c r="BI41" s="5"/>
      <c r="BJ41" s="6"/>
      <c r="BK41" s="6"/>
      <c r="BL41" s="6"/>
      <c r="BM41" s="6"/>
      <c r="BN41" s="6"/>
      <c r="BO41" s="6"/>
    </row>
    <row r="42" spans="1:67" ht="15.5">
      <c r="A42" s="5" t="s">
        <v>298</v>
      </c>
      <c r="B42" s="5" t="s">
        <v>329</v>
      </c>
      <c r="C42" s="5" t="s">
        <v>300</v>
      </c>
      <c r="D42" s="5"/>
      <c r="E42" s="5"/>
      <c r="F42" s="5"/>
      <c r="G42" s="5"/>
      <c r="H42" s="5"/>
      <c r="I42" s="5"/>
      <c r="J42" s="5"/>
      <c r="K42" s="6"/>
      <c r="L42" s="6"/>
      <c r="M42" s="6"/>
      <c r="N42" s="6"/>
      <c r="O42" s="6"/>
      <c r="P42" s="6"/>
      <c r="Q42" s="6"/>
      <c r="R42" s="6"/>
      <c r="S42" s="6"/>
      <c r="T42" s="6"/>
      <c r="AZ42" s="5" t="s">
        <v>298</v>
      </c>
      <c r="BA42" s="5" t="s">
        <v>329</v>
      </c>
      <c r="BB42" s="5" t="s">
        <v>300</v>
      </c>
      <c r="BC42" s="5"/>
      <c r="BD42" s="5"/>
      <c r="BE42" s="5"/>
      <c r="BF42" s="5"/>
      <c r="BG42" s="5"/>
      <c r="BH42" s="5"/>
      <c r="BI42" s="5"/>
      <c r="BJ42" s="6"/>
      <c r="BK42" s="6"/>
      <c r="BL42" s="6"/>
      <c r="BM42" s="6"/>
      <c r="BN42" s="6"/>
      <c r="BO42" s="6"/>
    </row>
    <row r="43" spans="1:67" ht="30">
      <c r="A43" s="5"/>
      <c r="B43" s="5"/>
      <c r="C43" s="9" t="s">
        <v>301</v>
      </c>
      <c r="D43" s="6" t="s">
        <v>302</v>
      </c>
      <c r="E43" s="6" t="s">
        <v>303</v>
      </c>
      <c r="F43" s="10" t="s">
        <v>304</v>
      </c>
      <c r="G43" s="6" t="s">
        <v>305</v>
      </c>
      <c r="H43" s="6" t="s">
        <v>306</v>
      </c>
      <c r="I43" s="6" t="s">
        <v>307</v>
      </c>
      <c r="J43" s="6" t="s">
        <v>308</v>
      </c>
      <c r="K43" s="6"/>
      <c r="L43" s="6"/>
      <c r="M43" s="6" t="s">
        <v>302</v>
      </c>
      <c r="N43" s="6" t="s">
        <v>303</v>
      </c>
      <c r="O43" s="6" t="s">
        <v>304</v>
      </c>
      <c r="P43" s="6" t="s">
        <v>305</v>
      </c>
      <c r="Q43" s="6" t="s">
        <v>306</v>
      </c>
      <c r="R43" s="6" t="s">
        <v>307</v>
      </c>
      <c r="S43" s="6" t="s">
        <v>308</v>
      </c>
      <c r="T43" s="6"/>
      <c r="U43" s="6"/>
      <c r="V43" s="8" t="s">
        <v>327</v>
      </c>
      <c r="W43" s="6" t="s">
        <v>302</v>
      </c>
      <c r="X43" s="6" t="s">
        <v>303</v>
      </c>
      <c r="Y43" s="10" t="s">
        <v>304</v>
      </c>
      <c r="Z43" s="6" t="s">
        <v>305</v>
      </c>
      <c r="AA43" s="6" t="s">
        <v>306</v>
      </c>
      <c r="AB43" s="12" t="s">
        <v>307</v>
      </c>
      <c r="AC43" s="12" t="s">
        <v>308</v>
      </c>
      <c r="AD43" s="6"/>
      <c r="AE43" s="6"/>
      <c r="AF43" s="6" t="s">
        <v>302</v>
      </c>
      <c r="AG43" s="6" t="s">
        <v>303</v>
      </c>
      <c r="AH43" s="10" t="s">
        <v>304</v>
      </c>
      <c r="AI43" s="6" t="s">
        <v>305</v>
      </c>
      <c r="AJ43" s="6" t="s">
        <v>306</v>
      </c>
      <c r="AK43" s="12" t="s">
        <v>307</v>
      </c>
      <c r="AL43" s="12" t="s">
        <v>308</v>
      </c>
      <c r="AO43" s="6" t="s">
        <v>302</v>
      </c>
      <c r="AP43" s="6" t="s">
        <v>303</v>
      </c>
      <c r="AQ43" s="10" t="s">
        <v>304</v>
      </c>
      <c r="AR43" s="6" t="s">
        <v>305</v>
      </c>
      <c r="AS43" s="6" t="s">
        <v>306</v>
      </c>
      <c r="AT43" s="12" t="s">
        <v>307</v>
      </c>
      <c r="AU43" s="12" t="s">
        <v>308</v>
      </c>
      <c r="AZ43" s="5"/>
      <c r="BA43" s="5"/>
      <c r="BB43" s="9" t="s">
        <v>301</v>
      </c>
      <c r="BC43" s="6" t="s">
        <v>302</v>
      </c>
      <c r="BD43" s="6" t="s">
        <v>303</v>
      </c>
      <c r="BE43" s="10" t="s">
        <v>304</v>
      </c>
      <c r="BF43" s="6" t="s">
        <v>305</v>
      </c>
      <c r="BG43" s="6" t="s">
        <v>306</v>
      </c>
      <c r="BH43" s="6" t="s">
        <v>307</v>
      </c>
      <c r="BI43" s="6" t="s">
        <v>308</v>
      </c>
      <c r="BJ43" s="6"/>
      <c r="BK43" s="6"/>
      <c r="BL43" s="6"/>
      <c r="BM43" s="6"/>
      <c r="BN43" s="6"/>
      <c r="BO43" s="6"/>
    </row>
    <row r="44" spans="1:67" ht="15.5">
      <c r="A44" s="5" t="s">
        <v>309</v>
      </c>
      <c r="B44" s="13" t="s">
        <v>310</v>
      </c>
      <c r="C44" s="14">
        <f t="shared" si="124" ref="C44:J44">BB44/1000</f>
        <v>0.66520000000000001</v>
      </c>
      <c r="D44" s="14">
        <f t="shared" si="124"/>
        <v>0.58640000000000003</v>
      </c>
      <c r="E44" s="14">
        <f t="shared" si="124"/>
        <v>0.56789999999999996</v>
      </c>
      <c r="F44" s="14">
        <f t="shared" si="124"/>
        <v>0.56359999999999999</v>
      </c>
      <c r="G44" s="14">
        <f t="shared" si="124"/>
        <v>0.54089999999999994</v>
      </c>
      <c r="H44" s="14">
        <f t="shared" si="124"/>
        <v>0.55210000000000004</v>
      </c>
      <c r="I44" s="14">
        <f t="shared" si="124"/>
        <v>0.56359999999999999</v>
      </c>
      <c r="J44" s="14">
        <f t="shared" si="124"/>
        <v>0.56359999999999999</v>
      </c>
      <c r="K44" s="6"/>
      <c r="L44" s="6"/>
      <c r="M44" s="15">
        <v>5.9370000000000003</v>
      </c>
      <c r="N44" s="15">
        <v>5.845</v>
      </c>
      <c r="O44" s="15">
        <v>5.575</v>
      </c>
      <c r="P44" s="15">
        <v>5.2759999999999998</v>
      </c>
      <c r="Q44" s="15">
        <v>5.3630000000000004</v>
      </c>
      <c r="R44" s="15">
        <v>6.645</v>
      </c>
      <c r="S44" s="15">
        <v>5.6539999999999999</v>
      </c>
      <c r="T44" s="15"/>
      <c r="U44" s="5" t="s">
        <v>309</v>
      </c>
      <c r="V44" s="13" t="s">
        <v>310</v>
      </c>
      <c r="W44" s="16">
        <f t="shared" si="125" ref="W44:AC44">D44/M44</f>
        <v>0.098770422772443994</v>
      </c>
      <c r="X44" s="16">
        <f t="shared" si="125"/>
        <v>0.097159965782720265</v>
      </c>
      <c r="Y44" s="16">
        <f t="shared" si="125"/>
        <v>0.10109417040358744</v>
      </c>
      <c r="Z44" s="16">
        <f t="shared" si="125"/>
        <v>0.10252084912812737</v>
      </c>
      <c r="AA44" s="16">
        <f t="shared" si="125"/>
        <v>0.102946112250606</v>
      </c>
      <c r="AB44" s="17">
        <f t="shared" si="125"/>
        <v>0.084815650865312273</v>
      </c>
      <c r="AC44" s="17">
        <f t="shared" si="125"/>
        <v>0.099681641315882558</v>
      </c>
      <c r="AD44" s="6"/>
      <c r="AE44" s="6"/>
      <c r="AF44" s="16">
        <f t="shared" si="126" ref="AF44:AJ44">W44</f>
        <v>0.098770422772443994</v>
      </c>
      <c r="AG44" s="16">
        <f t="shared" si="126"/>
        <v>0.097159965782720265</v>
      </c>
      <c r="AH44" s="16">
        <f t="shared" si="126"/>
        <v>0.10109417040358744</v>
      </c>
      <c r="AI44" s="16">
        <f t="shared" si="126"/>
        <v>0.10252084912812737</v>
      </c>
      <c r="AJ44" s="16">
        <f t="shared" si="126"/>
        <v>0.102946112250606</v>
      </c>
      <c r="AK44" s="18">
        <f t="shared" si="127" ref="AK44:AK58">AB44*1.15</f>
        <v>0.097537998495109107</v>
      </c>
      <c r="AL44" s="18">
        <f t="shared" si="128" ref="AL44:AL58">AC44*1.15</f>
        <v>0.11463388751326493</v>
      </c>
      <c r="AO44" s="16">
        <f t="shared" si="129" ref="AO44:AS44">W44</f>
        <v>0.098770422772443994</v>
      </c>
      <c r="AP44" s="16">
        <f t="shared" si="129"/>
        <v>0.097159965782720265</v>
      </c>
      <c r="AQ44" s="16">
        <f t="shared" si="129"/>
        <v>0.10109417040358744</v>
      </c>
      <c r="AR44" s="16">
        <f t="shared" si="129"/>
        <v>0.10252084912812737</v>
      </c>
      <c r="AS44" s="16">
        <f t="shared" si="129"/>
        <v>0.102946112250606</v>
      </c>
      <c r="AT44" s="18">
        <f t="shared" si="130" ref="AT44:AT58">AB44*0.85</f>
        <v>0.072093303235515424</v>
      </c>
      <c r="AU44" s="18">
        <f t="shared" si="131" ref="AU44:AU58">AC44*0.85</f>
        <v>0.084729395118500167</v>
      </c>
      <c r="AZ44" s="5" t="s">
        <v>309</v>
      </c>
      <c r="BA44" s="13" t="s">
        <v>310</v>
      </c>
      <c r="BB44" s="14">
        <v>665.20</v>
      </c>
      <c r="BC44" s="16">
        <v>586.40</v>
      </c>
      <c r="BD44" s="16">
        <v>567.90</v>
      </c>
      <c r="BE44" s="16">
        <v>563.60</v>
      </c>
      <c r="BF44" s="16">
        <v>540.90</v>
      </c>
      <c r="BG44" s="16">
        <v>552.10</v>
      </c>
      <c r="BH44" s="16">
        <v>563.60</v>
      </c>
      <c r="BI44" s="16">
        <v>563.60</v>
      </c>
      <c r="BJ44" s="6"/>
      <c r="BK44" s="6"/>
      <c r="BL44" s="15"/>
      <c r="BM44" s="15"/>
      <c r="BN44" s="15"/>
      <c r="BO44" s="15"/>
    </row>
    <row r="45" spans="1:67" ht="15.5">
      <c r="A45" s="5"/>
      <c r="B45" s="13" t="s">
        <v>311</v>
      </c>
      <c r="C45" s="14">
        <f t="shared" si="132" ref="C45:J45">BB45/1000</f>
        <v>0.60920000000000007</v>
      </c>
      <c r="D45" s="14">
        <f t="shared" si="132"/>
        <v>0.53959999999999997</v>
      </c>
      <c r="E45" s="14">
        <f t="shared" si="132"/>
        <v>0.5232</v>
      </c>
      <c r="F45" s="14">
        <f t="shared" si="132"/>
        <v>0.51929999999999998</v>
      </c>
      <c r="G45" s="14">
        <f t="shared" si="132"/>
        <v>0.499</v>
      </c>
      <c r="H45" s="14">
        <f t="shared" si="132"/>
        <v>0.5091</v>
      </c>
      <c r="I45" s="14">
        <f t="shared" si="132"/>
        <v>0.51929999999999998</v>
      </c>
      <c r="J45" s="14">
        <f t="shared" si="132"/>
        <v>0.51929999999999998</v>
      </c>
      <c r="K45" s="6"/>
      <c r="L45" s="6"/>
      <c r="M45" s="19">
        <v>5.9370000000000003</v>
      </c>
      <c r="N45" s="19">
        <v>5.845</v>
      </c>
      <c r="O45" s="19">
        <v>5.575</v>
      </c>
      <c r="P45" s="19">
        <v>5.2759999999999998</v>
      </c>
      <c r="Q45" s="19">
        <v>5.3630000000000004</v>
      </c>
      <c r="R45" s="19">
        <v>6.645</v>
      </c>
      <c r="S45" s="19">
        <v>5.6539999999999999</v>
      </c>
      <c r="T45" s="19"/>
      <c r="U45" s="5"/>
      <c r="V45" s="13" t="s">
        <v>311</v>
      </c>
      <c r="W45" s="16">
        <f t="shared" si="133" ref="W45:AC45">D45/M45</f>
        <v>0.090887653697153431</v>
      </c>
      <c r="X45" s="16">
        <f t="shared" si="133"/>
        <v>0.08951240376390078</v>
      </c>
      <c r="Y45" s="16">
        <f t="shared" si="133"/>
        <v>0.093147982062780257</v>
      </c>
      <c r="Z45" s="16">
        <f t="shared" si="133"/>
        <v>0.09457922668688401</v>
      </c>
      <c r="AA45" s="16">
        <f t="shared" si="133"/>
        <v>0.094928211821741548</v>
      </c>
      <c r="AB45" s="17">
        <f t="shared" si="133"/>
        <v>0.078148984198645605</v>
      </c>
      <c r="AC45" s="17">
        <f t="shared" si="133"/>
        <v>0.09184648036788115</v>
      </c>
      <c r="AD45" s="6"/>
      <c r="AE45" s="6"/>
      <c r="AF45" s="16">
        <f t="shared" si="134" ref="AF45:AJ45">W45</f>
        <v>0.090887653697153431</v>
      </c>
      <c r="AG45" s="16">
        <f t="shared" si="134"/>
        <v>0.08951240376390078</v>
      </c>
      <c r="AH45" s="16">
        <f t="shared" si="134"/>
        <v>0.093147982062780257</v>
      </c>
      <c r="AI45" s="16">
        <f t="shared" si="134"/>
        <v>0.09457922668688401</v>
      </c>
      <c r="AJ45" s="16">
        <f t="shared" si="134"/>
        <v>0.094928211821741548</v>
      </c>
      <c r="AK45" s="18">
        <f t="shared" si="127"/>
        <v>0.089871331828442438</v>
      </c>
      <c r="AL45" s="18">
        <f t="shared" si="128"/>
        <v>0.10562345242306331</v>
      </c>
      <c r="AO45" s="16">
        <f t="shared" si="135" ref="AO45:AS45">W45</f>
        <v>0.090887653697153431</v>
      </c>
      <c r="AP45" s="16">
        <f t="shared" si="135"/>
        <v>0.08951240376390078</v>
      </c>
      <c r="AQ45" s="16">
        <f t="shared" si="135"/>
        <v>0.093147982062780257</v>
      </c>
      <c r="AR45" s="16">
        <f t="shared" si="135"/>
        <v>0.09457922668688401</v>
      </c>
      <c r="AS45" s="16">
        <f t="shared" si="135"/>
        <v>0.094928211821741548</v>
      </c>
      <c r="AT45" s="18">
        <f t="shared" si="130"/>
        <v>0.066426636568848757</v>
      </c>
      <c r="AU45" s="18">
        <f t="shared" si="131"/>
        <v>0.078069508312698974</v>
      </c>
      <c r="AZ45" s="5"/>
      <c r="BA45" s="13" t="s">
        <v>311</v>
      </c>
      <c r="BB45" s="14">
        <v>609.20</v>
      </c>
      <c r="BC45" s="16">
        <v>539.60</v>
      </c>
      <c r="BD45" s="16">
        <v>523.20</v>
      </c>
      <c r="BE45" s="16">
        <v>519.30</v>
      </c>
      <c r="BF45" s="16">
        <v>499</v>
      </c>
      <c r="BG45" s="16">
        <v>509.10</v>
      </c>
      <c r="BH45" s="16">
        <v>519.30</v>
      </c>
      <c r="BI45" s="16">
        <v>519.30</v>
      </c>
      <c r="BJ45" s="6"/>
      <c r="BK45" s="6"/>
      <c r="BL45" s="19"/>
      <c r="BM45" s="19"/>
      <c r="BN45" s="19"/>
      <c r="BO45" s="19"/>
    </row>
    <row r="46" spans="1:67" ht="15.5">
      <c r="A46" s="5"/>
      <c r="B46" s="13" t="s">
        <v>312</v>
      </c>
      <c r="C46" s="14">
        <f t="shared" si="136" ref="C46:J46">BB46/1000</f>
        <v>0.1429</v>
      </c>
      <c r="D46" s="14">
        <f t="shared" si="136"/>
        <v>0.11940000000000001</v>
      </c>
      <c r="E46" s="14">
        <f t="shared" si="136"/>
        <v>0.114</v>
      </c>
      <c r="F46" s="14">
        <f t="shared" si="136"/>
        <v>0.11270000000000001</v>
      </c>
      <c r="G46" s="14">
        <f t="shared" si="136"/>
        <v>0.1061</v>
      </c>
      <c r="H46" s="14">
        <f t="shared" si="136"/>
        <v>0.10940000000000001</v>
      </c>
      <c r="I46" s="14">
        <f t="shared" si="136"/>
        <v>0.11270000000000001</v>
      </c>
      <c r="J46" s="14">
        <f t="shared" si="136"/>
        <v>0.11270000000000001</v>
      </c>
      <c r="K46" s="6"/>
      <c r="L46" s="6"/>
      <c r="M46" s="19">
        <v>5.9370000000000003</v>
      </c>
      <c r="N46" s="19">
        <v>5.845</v>
      </c>
      <c r="O46" s="19">
        <v>5.575</v>
      </c>
      <c r="P46" s="19">
        <v>5.2759999999999998</v>
      </c>
      <c r="Q46" s="19">
        <v>5.3630000000000004</v>
      </c>
      <c r="R46" s="19">
        <v>6.645</v>
      </c>
      <c r="S46" s="19">
        <v>5.6539999999999999</v>
      </c>
      <c r="T46" s="19"/>
      <c r="U46" s="5"/>
      <c r="V46" s="13" t="s">
        <v>312</v>
      </c>
      <c r="W46" s="16">
        <f t="shared" si="137" ref="W46:AC46">D46/M46</f>
        <v>0.020111167256189996</v>
      </c>
      <c r="X46" s="16">
        <f t="shared" si="137"/>
        <v>0.019503849443969205</v>
      </c>
      <c r="Y46" s="16">
        <f t="shared" si="137"/>
        <v>0.020215246636771302</v>
      </c>
      <c r="Z46" s="16">
        <f t="shared" si="137"/>
        <v>0.020109931766489765</v>
      </c>
      <c r="AA46" s="16">
        <f t="shared" si="137"/>
        <v>0.020399030393436511</v>
      </c>
      <c r="AB46" s="17">
        <f t="shared" si="137"/>
        <v>0.016960120391271635</v>
      </c>
      <c r="AC46" s="17">
        <f t="shared" si="137"/>
        <v>0.0199327909444641</v>
      </c>
      <c r="AD46" s="6"/>
      <c r="AE46" s="6"/>
      <c r="AF46" s="16">
        <f t="shared" si="138" ref="AF46:AJ46">W46</f>
        <v>0.020111167256189996</v>
      </c>
      <c r="AG46" s="16">
        <f t="shared" si="138"/>
        <v>0.019503849443969205</v>
      </c>
      <c r="AH46" s="16">
        <f t="shared" si="138"/>
        <v>0.020215246636771302</v>
      </c>
      <c r="AI46" s="16">
        <f t="shared" si="138"/>
        <v>0.020109931766489765</v>
      </c>
      <c r="AJ46" s="16">
        <f t="shared" si="138"/>
        <v>0.020399030393436511</v>
      </c>
      <c r="AK46" s="18">
        <f t="shared" si="127"/>
        <v>0.019504138449962381</v>
      </c>
      <c r="AL46" s="18">
        <f t="shared" si="128"/>
        <v>0.022922709586133714</v>
      </c>
      <c r="AO46" s="16">
        <f t="shared" si="139" ref="AO46:AS46">W46</f>
        <v>0.020111167256189996</v>
      </c>
      <c r="AP46" s="16">
        <f t="shared" si="139"/>
        <v>0.019503849443969205</v>
      </c>
      <c r="AQ46" s="16">
        <f t="shared" si="139"/>
        <v>0.020215246636771302</v>
      </c>
      <c r="AR46" s="16">
        <f t="shared" si="139"/>
        <v>0.020109931766489765</v>
      </c>
      <c r="AS46" s="16">
        <f t="shared" si="139"/>
        <v>0.020399030393436511</v>
      </c>
      <c r="AT46" s="18">
        <f t="shared" si="130"/>
        <v>0.01441610233258089</v>
      </c>
      <c r="AU46" s="18">
        <f t="shared" si="131"/>
        <v>0.016942872302794485</v>
      </c>
      <c r="AZ46" s="5"/>
      <c r="BA46" s="13" t="s">
        <v>312</v>
      </c>
      <c r="BB46" s="14">
        <v>142.90</v>
      </c>
      <c r="BC46" s="16">
        <v>119.40</v>
      </c>
      <c r="BD46" s="16">
        <v>114</v>
      </c>
      <c r="BE46" s="16">
        <v>112.70</v>
      </c>
      <c r="BF46" s="16">
        <v>106.10</v>
      </c>
      <c r="BG46" s="16">
        <v>109.40</v>
      </c>
      <c r="BH46" s="16">
        <v>112.70</v>
      </c>
      <c r="BI46" s="16">
        <v>112.70</v>
      </c>
      <c r="BJ46" s="6"/>
      <c r="BK46" s="6"/>
      <c r="BL46" s="19"/>
      <c r="BM46" s="19"/>
      <c r="BN46" s="19"/>
      <c r="BO46" s="19"/>
    </row>
    <row r="47" spans="1:67" ht="15.5">
      <c r="A47" s="5"/>
      <c r="B47" s="13" t="s">
        <v>313</v>
      </c>
      <c r="C47" s="14">
        <f t="shared" si="140" ref="C47:J47">BB47/1000</f>
        <v>0.42560000000000003</v>
      </c>
      <c r="D47" s="14">
        <f t="shared" si="140"/>
        <v>0.38069999999999998</v>
      </c>
      <c r="E47" s="14">
        <f t="shared" si="140"/>
        <v>0.37030000000000002</v>
      </c>
      <c r="F47" s="14">
        <f t="shared" si="140"/>
        <v>0.3679</v>
      </c>
      <c r="G47" s="14">
        <f t="shared" si="140"/>
        <v>0.35520000000000002</v>
      </c>
      <c r="H47" s="14">
        <f t="shared" si="140"/>
        <v>0.36130000000000001</v>
      </c>
      <c r="I47" s="14">
        <f t="shared" si="140"/>
        <v>0.3679</v>
      </c>
      <c r="J47" s="14">
        <f t="shared" si="140"/>
        <v>0.3679</v>
      </c>
      <c r="K47" s="6"/>
      <c r="L47" s="6"/>
      <c r="M47" s="19">
        <v>5.9370000000000003</v>
      </c>
      <c r="N47" s="19">
        <v>5.845</v>
      </c>
      <c r="O47" s="19">
        <v>5.575</v>
      </c>
      <c r="P47" s="19">
        <v>5.2759999999999998</v>
      </c>
      <c r="Q47" s="19">
        <v>5.3630000000000004</v>
      </c>
      <c r="R47" s="19">
        <v>6.645</v>
      </c>
      <c r="S47" s="19">
        <v>5.6539999999999999</v>
      </c>
      <c r="T47" s="19"/>
      <c r="U47" s="5"/>
      <c r="V47" s="13" t="s">
        <v>313</v>
      </c>
      <c r="W47" s="16">
        <f t="shared" si="141" ref="W47:AC47">D47/M47</f>
        <v>0.064123294593228894</v>
      </c>
      <c r="X47" s="16">
        <f t="shared" si="141"/>
        <v>0.063353293413173653</v>
      </c>
      <c r="Y47" s="16">
        <f t="shared" si="141"/>
        <v>0.065991031390134527</v>
      </c>
      <c r="Z47" s="16">
        <f t="shared" si="141"/>
        <v>0.06732373009855952</v>
      </c>
      <c r="AA47" s="16">
        <f t="shared" si="141"/>
        <v>0.067369009882528433</v>
      </c>
      <c r="AB47" s="17">
        <f t="shared" si="141"/>
        <v>0.05536493604213695</v>
      </c>
      <c r="AC47" s="17">
        <f t="shared" si="141"/>
        <v>0.065068977714892118</v>
      </c>
      <c r="AD47" s="6"/>
      <c r="AE47" s="6"/>
      <c r="AF47" s="16">
        <f t="shared" si="142" ref="AF47:AJ47">W47</f>
        <v>0.064123294593228894</v>
      </c>
      <c r="AG47" s="16">
        <f t="shared" si="142"/>
        <v>0.063353293413173653</v>
      </c>
      <c r="AH47" s="16">
        <f t="shared" si="142"/>
        <v>0.065991031390134527</v>
      </c>
      <c r="AI47" s="16">
        <f t="shared" si="142"/>
        <v>0.06732373009855952</v>
      </c>
      <c r="AJ47" s="16">
        <f t="shared" si="142"/>
        <v>0.067369009882528433</v>
      </c>
      <c r="AK47" s="18">
        <f t="shared" si="127"/>
        <v>0.063669676448457488</v>
      </c>
      <c r="AL47" s="18">
        <f t="shared" si="128"/>
        <v>0.07482932437212593</v>
      </c>
      <c r="AO47" s="16">
        <f t="shared" si="143" ref="AO47:AS47">W47</f>
        <v>0.064123294593228894</v>
      </c>
      <c r="AP47" s="16">
        <f t="shared" si="143"/>
        <v>0.063353293413173653</v>
      </c>
      <c r="AQ47" s="16">
        <f t="shared" si="143"/>
        <v>0.065991031390134527</v>
      </c>
      <c r="AR47" s="16">
        <f t="shared" si="143"/>
        <v>0.06732373009855952</v>
      </c>
      <c r="AS47" s="16">
        <f t="shared" si="143"/>
        <v>0.067369009882528433</v>
      </c>
      <c r="AT47" s="18">
        <f t="shared" si="130"/>
        <v>0.047060195635816406</v>
      </c>
      <c r="AU47" s="18">
        <f t="shared" si="131"/>
        <v>0.055308631057658299</v>
      </c>
      <c r="AZ47" s="5"/>
      <c r="BA47" s="13" t="s">
        <v>313</v>
      </c>
      <c r="BB47" s="14">
        <v>425.60</v>
      </c>
      <c r="BC47" s="16">
        <v>380.70</v>
      </c>
      <c r="BD47" s="16">
        <v>370.30</v>
      </c>
      <c r="BE47" s="16">
        <v>367.90</v>
      </c>
      <c r="BF47" s="16">
        <v>355.20</v>
      </c>
      <c r="BG47" s="16">
        <v>361.30</v>
      </c>
      <c r="BH47" s="16">
        <v>367.90</v>
      </c>
      <c r="BI47" s="16">
        <v>367.90</v>
      </c>
      <c r="BJ47" s="6"/>
      <c r="BK47" s="6"/>
      <c r="BL47" s="19"/>
      <c r="BM47" s="19"/>
      <c r="BN47" s="19"/>
      <c r="BO47" s="19"/>
    </row>
    <row r="48" spans="1:67" ht="15.5">
      <c r="A48" s="5"/>
      <c r="B48" s="13" t="s">
        <v>314</v>
      </c>
      <c r="C48" s="14">
        <f t="shared" si="144" ref="C48:J48">BB48/1000</f>
        <v>0.084599999999999995</v>
      </c>
      <c r="D48" s="14">
        <f t="shared" si="144"/>
        <v>0.076999999999999999</v>
      </c>
      <c r="E48" s="14">
        <f t="shared" si="144"/>
        <v>0.074900000000000008</v>
      </c>
      <c r="F48" s="14">
        <f t="shared" si="144"/>
        <v>0.074400000000000008</v>
      </c>
      <c r="G48" s="14">
        <f t="shared" si="144"/>
        <v>0.0717</v>
      </c>
      <c r="H48" s="14">
        <f t="shared" si="144"/>
        <v>0.073099999999999998</v>
      </c>
      <c r="I48" s="14">
        <f t="shared" si="144"/>
        <v>0.074400000000000008</v>
      </c>
      <c r="J48" s="14">
        <f t="shared" si="144"/>
        <v>0.074400000000000008</v>
      </c>
      <c r="K48" s="6"/>
      <c r="L48" s="6"/>
      <c r="M48" s="19">
        <v>5.9370000000000003</v>
      </c>
      <c r="N48" s="19">
        <v>5.845</v>
      </c>
      <c r="O48" s="19">
        <v>5.575</v>
      </c>
      <c r="P48" s="19">
        <v>5.2759999999999998</v>
      </c>
      <c r="Q48" s="19">
        <v>5.3630000000000004</v>
      </c>
      <c r="R48" s="19">
        <v>6.645</v>
      </c>
      <c r="S48" s="19">
        <v>5.6539999999999999</v>
      </c>
      <c r="T48" s="19"/>
      <c r="U48" s="5"/>
      <c r="V48" s="13" t="s">
        <v>314</v>
      </c>
      <c r="W48" s="16">
        <f t="shared" si="145" ref="W48:AC48">D48/M48</f>
        <v>0.012969513222166076</v>
      </c>
      <c r="X48" s="16">
        <f t="shared" si="145"/>
        <v>0.012814371257485031</v>
      </c>
      <c r="Y48" s="16">
        <f t="shared" si="145"/>
        <v>0.013345291479820628</v>
      </c>
      <c r="Z48" s="16">
        <f t="shared" si="145"/>
        <v>0.013589840788476118</v>
      </c>
      <c r="AA48" s="16">
        <f t="shared" si="145"/>
        <v>0.013630430729069548</v>
      </c>
      <c r="AB48" s="17">
        <f t="shared" si="145"/>
        <v>0.011196388261851018</v>
      </c>
      <c r="AC48" s="17">
        <f t="shared" si="145"/>
        <v>0.013158825610187479</v>
      </c>
      <c r="AD48" s="6"/>
      <c r="AE48" s="6"/>
      <c r="AF48" s="16">
        <f t="shared" si="146" ref="AF48:AJ48">W48</f>
        <v>0.012969513222166076</v>
      </c>
      <c r="AG48" s="16">
        <f t="shared" si="146"/>
        <v>0.012814371257485031</v>
      </c>
      <c r="AH48" s="16">
        <f t="shared" si="146"/>
        <v>0.013345291479820628</v>
      </c>
      <c r="AI48" s="16">
        <f t="shared" si="146"/>
        <v>0.013589840788476118</v>
      </c>
      <c r="AJ48" s="16">
        <f t="shared" si="146"/>
        <v>0.013630430729069548</v>
      </c>
      <c r="AK48" s="18">
        <f t="shared" si="127"/>
        <v>0.01287584650112867</v>
      </c>
      <c r="AL48" s="18">
        <f t="shared" si="128"/>
        <v>0.0151326494517156</v>
      </c>
      <c r="AO48" s="16">
        <f t="shared" si="147" ref="AO48:AS48">W48</f>
        <v>0.012969513222166076</v>
      </c>
      <c r="AP48" s="16">
        <f t="shared" si="147"/>
        <v>0.012814371257485031</v>
      </c>
      <c r="AQ48" s="16">
        <f t="shared" si="147"/>
        <v>0.013345291479820628</v>
      </c>
      <c r="AR48" s="16">
        <f t="shared" si="147"/>
        <v>0.013589840788476118</v>
      </c>
      <c r="AS48" s="16">
        <f t="shared" si="147"/>
        <v>0.013630430729069548</v>
      </c>
      <c r="AT48" s="18">
        <f t="shared" si="130"/>
        <v>0.0095169300225733649</v>
      </c>
      <c r="AU48" s="18">
        <f t="shared" si="131"/>
        <v>0.011185001768659357</v>
      </c>
      <c r="AZ48" s="5"/>
      <c r="BA48" s="13" t="s">
        <v>314</v>
      </c>
      <c r="BB48" s="14">
        <v>84.60</v>
      </c>
      <c r="BC48" s="16">
        <v>77</v>
      </c>
      <c r="BD48" s="16">
        <v>74.90</v>
      </c>
      <c r="BE48" s="16">
        <v>74.40</v>
      </c>
      <c r="BF48" s="16">
        <v>71.70</v>
      </c>
      <c r="BG48" s="16">
        <v>73.10</v>
      </c>
      <c r="BH48" s="16">
        <v>74.40</v>
      </c>
      <c r="BI48" s="16">
        <v>74.40</v>
      </c>
      <c r="BJ48" s="6"/>
      <c r="BK48" s="6"/>
      <c r="BL48" s="19"/>
      <c r="BM48" s="19"/>
      <c r="BN48" s="19"/>
      <c r="BO48" s="19"/>
    </row>
    <row r="49" spans="1:67" ht="15.5">
      <c r="A49" s="5" t="s">
        <v>315</v>
      </c>
      <c r="B49" s="13" t="s">
        <v>310</v>
      </c>
      <c r="C49" s="14">
        <f t="shared" si="148" ref="C49:J49">BB49/1000</f>
        <v>0.67920000000000003</v>
      </c>
      <c r="D49" s="14">
        <f t="shared" si="148"/>
        <v>0.59839999999999993</v>
      </c>
      <c r="E49" s="14">
        <f t="shared" si="148"/>
        <v>0.57940000000000003</v>
      </c>
      <c r="F49" s="14">
        <f t="shared" si="148"/>
        <v>0.57499999999999996</v>
      </c>
      <c r="G49" s="14">
        <f t="shared" si="148"/>
        <v>0.55170000000000008</v>
      </c>
      <c r="H49" s="14">
        <f t="shared" si="148"/>
        <v>0.56320000000000003</v>
      </c>
      <c r="I49" s="14">
        <f t="shared" si="148"/>
        <v>0.57499999999999996</v>
      </c>
      <c r="J49" s="14">
        <f t="shared" si="148"/>
        <v>0.57499999999999996</v>
      </c>
      <c r="K49" s="6"/>
      <c r="L49" s="6"/>
      <c r="M49" s="19">
        <v>5.9370000000000003</v>
      </c>
      <c r="N49" s="19">
        <v>5.845</v>
      </c>
      <c r="O49" s="19">
        <v>5.575</v>
      </c>
      <c r="P49" s="19">
        <v>5.2759999999999998</v>
      </c>
      <c r="Q49" s="19">
        <v>5.3630000000000004</v>
      </c>
      <c r="R49" s="19">
        <v>6.645</v>
      </c>
      <c r="S49" s="19">
        <v>5.6539999999999999</v>
      </c>
      <c r="T49" s="19"/>
      <c r="U49" s="5" t="s">
        <v>315</v>
      </c>
      <c r="V49" s="13" t="s">
        <v>310</v>
      </c>
      <c r="W49" s="16">
        <f t="shared" si="149" ref="W49:AC49">D49/M49</f>
        <v>0.10079164561226207</v>
      </c>
      <c r="X49" s="16">
        <f t="shared" si="149"/>
        <v>0.099127459366980336</v>
      </c>
      <c r="Y49" s="16">
        <f t="shared" si="149"/>
        <v>0.10313901345291479</v>
      </c>
      <c r="Z49" s="16">
        <f t="shared" si="149"/>
        <v>0.10456785443517819</v>
      </c>
      <c r="AA49" s="16">
        <f t="shared" si="149"/>
        <v>0.10501584933805705</v>
      </c>
      <c r="AB49" s="17">
        <f t="shared" si="149"/>
        <v>0.086531226486079763</v>
      </c>
      <c r="AC49" s="17">
        <f t="shared" si="149"/>
        <v>0.10169791298195967</v>
      </c>
      <c r="AD49" s="6"/>
      <c r="AE49" s="6"/>
      <c r="AF49" s="16">
        <f t="shared" si="150" ref="AF49:AJ49">W49</f>
        <v>0.10079164561226207</v>
      </c>
      <c r="AG49" s="16">
        <f t="shared" si="150"/>
        <v>0.099127459366980336</v>
      </c>
      <c r="AH49" s="16">
        <f t="shared" si="150"/>
        <v>0.10313901345291479</v>
      </c>
      <c r="AI49" s="16">
        <f t="shared" si="150"/>
        <v>0.10456785443517819</v>
      </c>
      <c r="AJ49" s="16">
        <f t="shared" si="150"/>
        <v>0.10501584933805705</v>
      </c>
      <c r="AK49" s="18">
        <f t="shared" si="127"/>
        <v>0.099510910458991714</v>
      </c>
      <c r="AL49" s="18">
        <f t="shared" si="128"/>
        <v>0.11695259992925361</v>
      </c>
      <c r="AO49" s="16">
        <f t="shared" si="151" ref="AO49:AS49">W49</f>
        <v>0.10079164561226207</v>
      </c>
      <c r="AP49" s="16">
        <f t="shared" si="151"/>
        <v>0.099127459366980336</v>
      </c>
      <c r="AQ49" s="16">
        <f t="shared" si="151"/>
        <v>0.10313901345291479</v>
      </c>
      <c r="AR49" s="16">
        <f t="shared" si="151"/>
        <v>0.10456785443517819</v>
      </c>
      <c r="AS49" s="16">
        <f t="shared" si="151"/>
        <v>0.10501584933805705</v>
      </c>
      <c r="AT49" s="18">
        <f t="shared" si="130"/>
        <v>0.073551542513167797</v>
      </c>
      <c r="AU49" s="18">
        <f t="shared" si="131"/>
        <v>0.086443226034665713</v>
      </c>
      <c r="AZ49" s="5" t="s">
        <v>315</v>
      </c>
      <c r="BA49" s="13" t="s">
        <v>310</v>
      </c>
      <c r="BB49" s="14">
        <v>679.20</v>
      </c>
      <c r="BC49" s="16">
        <v>598.40</v>
      </c>
      <c r="BD49" s="16">
        <v>579.40</v>
      </c>
      <c r="BE49" s="16">
        <v>575</v>
      </c>
      <c r="BF49" s="16">
        <v>551.70</v>
      </c>
      <c r="BG49" s="16">
        <v>563.20</v>
      </c>
      <c r="BH49" s="16">
        <v>575</v>
      </c>
      <c r="BI49" s="16">
        <v>575</v>
      </c>
      <c r="BJ49" s="6"/>
      <c r="BK49" s="6"/>
      <c r="BL49" s="19"/>
      <c r="BM49" s="19"/>
      <c r="BN49" s="19"/>
      <c r="BO49" s="19"/>
    </row>
    <row r="50" spans="1:67" ht="15.5">
      <c r="A50" s="5"/>
      <c r="B50" s="13" t="s">
        <v>311</v>
      </c>
      <c r="C50" s="14">
        <f t="shared" si="152" ref="C50:J50">BB50/1000</f>
        <v>0.62409999999999999</v>
      </c>
      <c r="D50" s="14">
        <f t="shared" si="152"/>
        <v>0.5522999999999999</v>
      </c>
      <c r="E50" s="14">
        <f t="shared" si="152"/>
        <v>0.5353</v>
      </c>
      <c r="F50" s="14">
        <f t="shared" si="152"/>
        <v>0.53139999999999998</v>
      </c>
      <c r="G50" s="14">
        <f t="shared" si="152"/>
        <v>0.51049999999999995</v>
      </c>
      <c r="H50" s="14">
        <f t="shared" si="152"/>
        <v>0.52090000000000003</v>
      </c>
      <c r="I50" s="14">
        <f t="shared" si="152"/>
        <v>0.53139999999999998</v>
      </c>
      <c r="J50" s="14">
        <f t="shared" si="152"/>
        <v>0.53139999999999998</v>
      </c>
      <c r="K50" s="6"/>
      <c r="L50" s="6"/>
      <c r="M50" s="19">
        <v>5.9370000000000003</v>
      </c>
      <c r="N50" s="19">
        <v>5.845</v>
      </c>
      <c r="O50" s="19">
        <v>5.575</v>
      </c>
      <c r="P50" s="19">
        <v>5.2759999999999998</v>
      </c>
      <c r="Q50" s="19">
        <v>5.3630000000000004</v>
      </c>
      <c r="R50" s="19">
        <v>6.645</v>
      </c>
      <c r="S50" s="19">
        <v>5.6539999999999999</v>
      </c>
      <c r="T50" s="19"/>
      <c r="U50" s="5"/>
      <c r="V50" s="13" t="s">
        <v>311</v>
      </c>
      <c r="W50" s="16">
        <f t="shared" si="153" ref="W50:AC50">D50/M50</f>
        <v>0.09302678120262757</v>
      </c>
      <c r="X50" s="16">
        <f t="shared" si="153"/>
        <v>0.091582549187339615</v>
      </c>
      <c r="Y50" s="16">
        <f t="shared" si="153"/>
        <v>0.095318385650224213</v>
      </c>
      <c r="Z50" s="16">
        <f t="shared" si="153"/>
        <v>0.096758908263836235</v>
      </c>
      <c r="AA50" s="16">
        <f t="shared" si="153"/>
        <v>0.097128472869662502</v>
      </c>
      <c r="AB50" s="17">
        <f t="shared" si="153"/>
        <v>0.079969902182091795</v>
      </c>
      <c r="AC50" s="17">
        <f t="shared" si="153"/>
        <v>0.093986558188892816</v>
      </c>
      <c r="AD50" s="6"/>
      <c r="AE50" s="6"/>
      <c r="AF50" s="16">
        <f t="shared" si="154" ref="AF50:AJ50">W50</f>
        <v>0.09302678120262757</v>
      </c>
      <c r="AG50" s="16">
        <f t="shared" si="154"/>
        <v>0.091582549187339615</v>
      </c>
      <c r="AH50" s="16">
        <f t="shared" si="154"/>
        <v>0.095318385650224213</v>
      </c>
      <c r="AI50" s="16">
        <f t="shared" si="154"/>
        <v>0.096758908263836235</v>
      </c>
      <c r="AJ50" s="16">
        <f t="shared" si="154"/>
        <v>0.097128472869662502</v>
      </c>
      <c r="AK50" s="18">
        <f t="shared" si="127"/>
        <v>0.091965387509405555</v>
      </c>
      <c r="AL50" s="18">
        <f t="shared" si="128"/>
        <v>0.10808454191722673</v>
      </c>
      <c r="AO50" s="16">
        <f t="shared" si="155" ref="AO50:AS50">W50</f>
        <v>0.09302678120262757</v>
      </c>
      <c r="AP50" s="16">
        <f t="shared" si="155"/>
        <v>0.091582549187339615</v>
      </c>
      <c r="AQ50" s="16">
        <f t="shared" si="155"/>
        <v>0.095318385650224213</v>
      </c>
      <c r="AR50" s="16">
        <f t="shared" si="155"/>
        <v>0.096758908263836235</v>
      </c>
      <c r="AS50" s="16">
        <f t="shared" si="155"/>
        <v>0.097128472869662502</v>
      </c>
      <c r="AT50" s="18">
        <f t="shared" si="130"/>
        <v>0.067974416854778022</v>
      </c>
      <c r="AU50" s="18">
        <f t="shared" si="131"/>
        <v>0.079888574460558887</v>
      </c>
      <c r="AZ50" s="5"/>
      <c r="BA50" s="13" t="s">
        <v>311</v>
      </c>
      <c r="BB50" s="14">
        <v>624.10</v>
      </c>
      <c r="BC50" s="16">
        <v>552.30</v>
      </c>
      <c r="BD50" s="16">
        <v>535.30</v>
      </c>
      <c r="BE50" s="16">
        <v>531.40</v>
      </c>
      <c r="BF50" s="16">
        <v>510.50</v>
      </c>
      <c r="BG50" s="16">
        <v>520.90</v>
      </c>
      <c r="BH50" s="16">
        <v>531.40</v>
      </c>
      <c r="BI50" s="16">
        <v>531.40</v>
      </c>
      <c r="BJ50" s="6"/>
      <c r="BK50" s="6"/>
      <c r="BL50" s="19"/>
      <c r="BM50" s="19"/>
      <c r="BN50" s="19"/>
      <c r="BO50" s="19"/>
    </row>
    <row r="51" spans="1:67" ht="15.5">
      <c r="A51" s="5"/>
      <c r="B51" s="13" t="s">
        <v>312</v>
      </c>
      <c r="C51" s="14">
        <f t="shared" si="156" ref="C51:J51">BB51/1000</f>
        <v>0.17449999999999999</v>
      </c>
      <c r="D51" s="14">
        <f t="shared" si="156"/>
        <v>0.14630000000000001</v>
      </c>
      <c r="E51" s="14">
        <f t="shared" si="156"/>
        <v>0.13980000000000001</v>
      </c>
      <c r="F51" s="14">
        <f t="shared" si="156"/>
        <v>0.13830000000000001</v>
      </c>
      <c r="G51" s="14">
        <f t="shared" si="156"/>
        <v>0.13040000000000002</v>
      </c>
      <c r="H51" s="14">
        <f t="shared" si="156"/>
        <v>0.1343</v>
      </c>
      <c r="I51" s="14">
        <f t="shared" si="156"/>
        <v>0.13830000000000001</v>
      </c>
      <c r="J51" s="14">
        <f t="shared" si="156"/>
        <v>0.13830000000000001</v>
      </c>
      <c r="K51" s="6"/>
      <c r="L51" s="6"/>
      <c r="M51" s="19">
        <v>5.9370000000000003</v>
      </c>
      <c r="N51" s="19">
        <v>5.845</v>
      </c>
      <c r="O51" s="19">
        <v>5.575</v>
      </c>
      <c r="P51" s="19">
        <v>5.2759999999999998</v>
      </c>
      <c r="Q51" s="19">
        <v>5.3630000000000004</v>
      </c>
      <c r="R51" s="19">
        <v>6.645</v>
      </c>
      <c r="S51" s="19">
        <v>5.6539999999999999</v>
      </c>
      <c r="T51" s="19"/>
      <c r="U51" s="5"/>
      <c r="V51" s="13" t="s">
        <v>312</v>
      </c>
      <c r="W51" s="16">
        <f t="shared" si="157" ref="W51:AC51">D51/M51</f>
        <v>0.024642075122115546</v>
      </c>
      <c r="X51" s="16">
        <f t="shared" si="157"/>
        <v>0.023917878528656972</v>
      </c>
      <c r="Y51" s="16">
        <f t="shared" si="157"/>
        <v>0.024807174887892375</v>
      </c>
      <c r="Z51" s="16">
        <f t="shared" si="157"/>
        <v>0.024715693707354061</v>
      </c>
      <c r="AA51" s="16">
        <f t="shared" si="157"/>
        <v>0.025041954130151034</v>
      </c>
      <c r="AB51" s="17">
        <f t="shared" si="157"/>
        <v>0.020812641083521446</v>
      </c>
      <c r="AC51" s="17">
        <f t="shared" si="157"/>
        <v>0.024460558896356562</v>
      </c>
      <c r="AD51" s="6"/>
      <c r="AE51" s="6"/>
      <c r="AF51" s="16">
        <f t="shared" si="158" ref="AF51:AJ51">W51</f>
        <v>0.024642075122115546</v>
      </c>
      <c r="AG51" s="16">
        <f t="shared" si="158"/>
        <v>0.023917878528656972</v>
      </c>
      <c r="AH51" s="16">
        <f t="shared" si="158"/>
        <v>0.024807174887892375</v>
      </c>
      <c r="AI51" s="16">
        <f t="shared" si="158"/>
        <v>0.024715693707354061</v>
      </c>
      <c r="AJ51" s="16">
        <f t="shared" si="158"/>
        <v>0.025041954130151034</v>
      </c>
      <c r="AK51" s="18">
        <f t="shared" si="127"/>
        <v>0.023934537246049662</v>
      </c>
      <c r="AL51" s="18">
        <f t="shared" si="128"/>
        <v>0.028129642730810044</v>
      </c>
      <c r="AO51" s="16">
        <f t="shared" si="159" ref="AO51:AS51">W51</f>
        <v>0.024642075122115546</v>
      </c>
      <c r="AP51" s="16">
        <f t="shared" si="159"/>
        <v>0.023917878528656972</v>
      </c>
      <c r="AQ51" s="16">
        <f t="shared" si="159"/>
        <v>0.024807174887892375</v>
      </c>
      <c r="AR51" s="16">
        <f t="shared" si="159"/>
        <v>0.024715693707354061</v>
      </c>
      <c r="AS51" s="16">
        <f t="shared" si="159"/>
        <v>0.025041954130151034</v>
      </c>
      <c r="AT51" s="18">
        <f t="shared" si="130"/>
        <v>0.017690744920993227</v>
      </c>
      <c r="AU51" s="18">
        <f t="shared" si="131"/>
        <v>0.020791475061903077</v>
      </c>
      <c r="AZ51" s="5"/>
      <c r="BA51" s="13" t="s">
        <v>312</v>
      </c>
      <c r="BB51" s="14">
        <v>174.50</v>
      </c>
      <c r="BC51" s="16">
        <v>146.30</v>
      </c>
      <c r="BD51" s="16">
        <v>139.80</v>
      </c>
      <c r="BE51" s="16">
        <v>138.30</v>
      </c>
      <c r="BF51" s="16">
        <v>130.40</v>
      </c>
      <c r="BG51" s="16">
        <v>134.30</v>
      </c>
      <c r="BH51" s="16">
        <v>138.30</v>
      </c>
      <c r="BI51" s="16">
        <v>138.30</v>
      </c>
      <c r="BJ51" s="6"/>
      <c r="BK51" s="6"/>
      <c r="BL51" s="19"/>
      <c r="BM51" s="19"/>
      <c r="BN51" s="19"/>
      <c r="BO51" s="19"/>
    </row>
    <row r="52" spans="1:67" ht="15.5">
      <c r="A52" s="5"/>
      <c r="B52" s="13" t="s">
        <v>313</v>
      </c>
      <c r="C52" s="14">
        <f t="shared" si="160" ref="C52:J52">BB52/1000</f>
        <v>0.40639999999999998</v>
      </c>
      <c r="D52" s="14">
        <f t="shared" si="160"/>
        <v>0.36430000000000001</v>
      </c>
      <c r="E52" s="14">
        <f t="shared" si="160"/>
        <v>0.35460000000000003</v>
      </c>
      <c r="F52" s="14">
        <f t="shared" si="160"/>
        <v>0.3523</v>
      </c>
      <c r="G52" s="14">
        <f t="shared" si="160"/>
        <v>0.34039999999999998</v>
      </c>
      <c r="H52" s="14">
        <f t="shared" si="160"/>
        <v>0.34620000000000001</v>
      </c>
      <c r="I52" s="14">
        <f t="shared" si="160"/>
        <v>0.3523</v>
      </c>
      <c r="J52" s="14">
        <f t="shared" si="160"/>
        <v>0.3523</v>
      </c>
      <c r="K52" s="6"/>
      <c r="L52" s="6"/>
      <c r="M52" s="19">
        <v>5.9370000000000003</v>
      </c>
      <c r="N52" s="19">
        <v>5.845</v>
      </c>
      <c r="O52" s="19">
        <v>5.575</v>
      </c>
      <c r="P52" s="19">
        <v>5.2759999999999998</v>
      </c>
      <c r="Q52" s="19">
        <v>5.3630000000000004</v>
      </c>
      <c r="R52" s="19">
        <v>6.645</v>
      </c>
      <c r="S52" s="19">
        <v>5.6539999999999999</v>
      </c>
      <c r="T52" s="19"/>
      <c r="U52" s="5"/>
      <c r="V52" s="13" t="s">
        <v>313</v>
      </c>
      <c r="W52" s="16">
        <f t="shared" si="161" ref="W52:AC52">D52/M52</f>
        <v>0.061360956712144178</v>
      </c>
      <c r="X52" s="16">
        <f t="shared" si="161"/>
        <v>0.060667236954662113</v>
      </c>
      <c r="Y52" s="16">
        <f t="shared" si="161"/>
        <v>0.063192825112107623</v>
      </c>
      <c r="Z52" s="16">
        <f t="shared" si="161"/>
        <v>0.064518574677786197</v>
      </c>
      <c r="AA52" s="16">
        <f t="shared" si="161"/>
        <v>0.064553421592392315</v>
      </c>
      <c r="AB52" s="17">
        <f t="shared" si="161"/>
        <v>0.05301730624529722</v>
      </c>
      <c r="AC52" s="17">
        <f t="shared" si="161"/>
        <v>0.062309869119207641</v>
      </c>
      <c r="AD52" s="6"/>
      <c r="AE52" s="6"/>
      <c r="AF52" s="16">
        <f t="shared" si="162" ref="AF52:AJ52">W52</f>
        <v>0.061360956712144178</v>
      </c>
      <c r="AG52" s="16">
        <f t="shared" si="162"/>
        <v>0.060667236954662113</v>
      </c>
      <c r="AH52" s="16">
        <f t="shared" si="162"/>
        <v>0.063192825112107623</v>
      </c>
      <c r="AI52" s="16">
        <f t="shared" si="162"/>
        <v>0.064518574677786197</v>
      </c>
      <c r="AJ52" s="16">
        <f t="shared" si="162"/>
        <v>0.064553421592392315</v>
      </c>
      <c r="AK52" s="18">
        <f t="shared" si="127"/>
        <v>0.060969902182091799</v>
      </c>
      <c r="AL52" s="18">
        <f t="shared" si="128"/>
        <v>0.07165634948708878</v>
      </c>
      <c r="AO52" s="16">
        <f t="shared" si="163" ref="AO52:AS52">W52</f>
        <v>0.061360956712144178</v>
      </c>
      <c r="AP52" s="16">
        <f t="shared" si="163"/>
        <v>0.060667236954662113</v>
      </c>
      <c r="AQ52" s="16">
        <f t="shared" si="163"/>
        <v>0.063192825112107623</v>
      </c>
      <c r="AR52" s="16">
        <f t="shared" si="163"/>
        <v>0.064518574677786197</v>
      </c>
      <c r="AS52" s="16">
        <f t="shared" si="163"/>
        <v>0.064553421592392315</v>
      </c>
      <c r="AT52" s="18">
        <f t="shared" si="130"/>
        <v>0.045064710308502634</v>
      </c>
      <c r="AU52" s="18">
        <f t="shared" si="131"/>
        <v>0.052963388751326494</v>
      </c>
      <c r="AZ52" s="5"/>
      <c r="BA52" s="13" t="s">
        <v>313</v>
      </c>
      <c r="BB52" s="14">
        <v>406.40</v>
      </c>
      <c r="BC52" s="16">
        <v>364.30</v>
      </c>
      <c r="BD52" s="16">
        <v>354.60</v>
      </c>
      <c r="BE52" s="16">
        <v>352.30</v>
      </c>
      <c r="BF52" s="16">
        <v>340.40</v>
      </c>
      <c r="BG52" s="16">
        <v>346.20</v>
      </c>
      <c r="BH52" s="16">
        <v>352.30</v>
      </c>
      <c r="BI52" s="16">
        <v>352.30</v>
      </c>
      <c r="BJ52" s="6"/>
      <c r="BK52" s="6"/>
      <c r="BL52" s="19"/>
      <c r="BM52" s="19"/>
      <c r="BN52" s="19"/>
      <c r="BO52" s="19"/>
    </row>
    <row r="53" spans="1:67" ht="15.5">
      <c r="A53" s="5"/>
      <c r="B53" s="13" t="s">
        <v>314</v>
      </c>
      <c r="C53" s="14">
        <f t="shared" si="164" ref="C53:J53">BB53/1000</f>
        <v>0.0872</v>
      </c>
      <c r="D53" s="14">
        <f t="shared" si="164"/>
        <v>0.07909999999999999</v>
      </c>
      <c r="E53" s="14">
        <f t="shared" si="164"/>
        <v>0.076999999999999999</v>
      </c>
      <c r="F53" s="14">
        <f t="shared" si="164"/>
        <v>0.076499999999999999</v>
      </c>
      <c r="G53" s="14">
        <f t="shared" si="164"/>
        <v>0.073700000000000002</v>
      </c>
      <c r="H53" s="14">
        <f t="shared" si="164"/>
        <v>0.0751</v>
      </c>
      <c r="I53" s="14">
        <f t="shared" si="164"/>
        <v>0.076499999999999999</v>
      </c>
      <c r="J53" s="14">
        <f t="shared" si="164"/>
        <v>0.076499999999999999</v>
      </c>
      <c r="K53" s="6"/>
      <c r="L53" s="6"/>
      <c r="M53" s="19">
        <v>5.9370000000000003</v>
      </c>
      <c r="N53" s="19">
        <v>5.845</v>
      </c>
      <c r="O53" s="19">
        <v>5.575</v>
      </c>
      <c r="P53" s="19">
        <v>5.2759999999999998</v>
      </c>
      <c r="Q53" s="19">
        <v>5.3630000000000004</v>
      </c>
      <c r="R53" s="19">
        <v>6.645</v>
      </c>
      <c r="S53" s="19">
        <v>5.6539999999999999</v>
      </c>
      <c r="T53" s="19"/>
      <c r="U53" s="5"/>
      <c r="V53" s="13" t="s">
        <v>314</v>
      </c>
      <c r="W53" s="16">
        <f t="shared" si="165" ref="W53:AC53">D53/M53</f>
        <v>0.01332322721913424</v>
      </c>
      <c r="X53" s="16">
        <f t="shared" si="165"/>
        <v>0.01317365269461078</v>
      </c>
      <c r="Y53" s="16">
        <f t="shared" si="165"/>
        <v>0.013721973094170403</v>
      </c>
      <c r="Z53" s="16">
        <f t="shared" si="165"/>
        <v>0.013968915845337378</v>
      </c>
      <c r="AA53" s="16">
        <f t="shared" si="165"/>
        <v>0.014003356330412081</v>
      </c>
      <c r="AB53" s="17">
        <f t="shared" si="165"/>
        <v>0.011512415349887133</v>
      </c>
      <c r="AC53" s="17">
        <f t="shared" si="165"/>
        <v>0.013530244074991156</v>
      </c>
      <c r="AD53" s="6"/>
      <c r="AE53" s="6"/>
      <c r="AF53" s="16">
        <f t="shared" si="166" ref="AF53:AJ53">W53</f>
        <v>0.01332322721913424</v>
      </c>
      <c r="AG53" s="16">
        <f t="shared" si="166"/>
        <v>0.01317365269461078</v>
      </c>
      <c r="AH53" s="16">
        <f t="shared" si="166"/>
        <v>0.013721973094170403</v>
      </c>
      <c r="AI53" s="16">
        <f t="shared" si="166"/>
        <v>0.013968915845337378</v>
      </c>
      <c r="AJ53" s="16">
        <f t="shared" si="166"/>
        <v>0.014003356330412081</v>
      </c>
      <c r="AK53" s="18">
        <f t="shared" si="127"/>
        <v>0.013239277652370202</v>
      </c>
      <c r="AL53" s="18">
        <f t="shared" si="128"/>
        <v>0.015559780686239828</v>
      </c>
      <c r="AO53" s="16">
        <f t="shared" si="167" ref="AO53:AS53">W53</f>
        <v>0.01332322721913424</v>
      </c>
      <c r="AP53" s="16">
        <f t="shared" si="167"/>
        <v>0.01317365269461078</v>
      </c>
      <c r="AQ53" s="16">
        <f t="shared" si="167"/>
        <v>0.013721973094170403</v>
      </c>
      <c r="AR53" s="16">
        <f t="shared" si="167"/>
        <v>0.013968915845337378</v>
      </c>
      <c r="AS53" s="16">
        <f t="shared" si="167"/>
        <v>0.014003356330412081</v>
      </c>
      <c r="AT53" s="18">
        <f t="shared" si="130"/>
        <v>0.0097855530474040622</v>
      </c>
      <c r="AU53" s="18">
        <f t="shared" si="131"/>
        <v>0.011500707463742483</v>
      </c>
      <c r="AZ53" s="5"/>
      <c r="BA53" s="13" t="s">
        <v>314</v>
      </c>
      <c r="BB53" s="14">
        <v>87.20</v>
      </c>
      <c r="BC53" s="16">
        <v>79.10</v>
      </c>
      <c r="BD53" s="16">
        <v>77</v>
      </c>
      <c r="BE53" s="16">
        <v>76.50</v>
      </c>
      <c r="BF53" s="16">
        <v>73.70</v>
      </c>
      <c r="BG53" s="16">
        <v>75.10</v>
      </c>
      <c r="BH53" s="16">
        <v>76.50</v>
      </c>
      <c r="BI53" s="16">
        <v>76.50</v>
      </c>
      <c r="BJ53" s="6"/>
      <c r="BK53" s="6"/>
      <c r="BL53" s="19"/>
      <c r="BM53" s="19"/>
      <c r="BN53" s="19"/>
      <c r="BO53" s="19"/>
    </row>
    <row r="54" spans="1:67" ht="15.5">
      <c r="A54" s="5" t="s">
        <v>11</v>
      </c>
      <c r="B54" s="13" t="s">
        <v>310</v>
      </c>
      <c r="C54" s="14">
        <f t="shared" si="168" ref="C54:J54">BB54/1000</f>
        <v>0.69159999999999999</v>
      </c>
      <c r="D54" s="14">
        <f t="shared" si="168"/>
        <v>0.6089</v>
      </c>
      <c r="E54" s="14">
        <f t="shared" si="168"/>
        <v>0.58950000000000002</v>
      </c>
      <c r="F54" s="14">
        <f t="shared" si="168"/>
        <v>0.58499999999999996</v>
      </c>
      <c r="G54" s="14">
        <f t="shared" si="168"/>
        <v>0.56120000000000003</v>
      </c>
      <c r="H54" s="14">
        <f t="shared" si="168"/>
        <v>0.57299999999999995</v>
      </c>
      <c r="I54" s="14">
        <f t="shared" si="168"/>
        <v>0.58499999999999996</v>
      </c>
      <c r="J54" s="14">
        <f t="shared" si="168"/>
        <v>0.58499999999999996</v>
      </c>
      <c r="K54" s="6"/>
      <c r="L54" s="6"/>
      <c r="M54" s="19">
        <v>5.9370000000000003</v>
      </c>
      <c r="N54" s="19">
        <v>5.845</v>
      </c>
      <c r="O54" s="19">
        <v>5.575</v>
      </c>
      <c r="P54" s="19">
        <v>5.2759999999999998</v>
      </c>
      <c r="Q54" s="19">
        <v>5.3630000000000004</v>
      </c>
      <c r="R54" s="19">
        <v>6.645</v>
      </c>
      <c r="S54" s="19">
        <v>5.6539999999999999</v>
      </c>
      <c r="T54" s="19"/>
      <c r="U54" s="5" t="s">
        <v>11</v>
      </c>
      <c r="V54" s="13" t="s">
        <v>310</v>
      </c>
      <c r="W54" s="16">
        <f t="shared" si="169" ref="W54:AC54">D54/M54</f>
        <v>0.10256021559710291</v>
      </c>
      <c r="X54" s="16">
        <f t="shared" si="169"/>
        <v>0.10085543199315655</v>
      </c>
      <c r="Y54" s="16">
        <f t="shared" si="169"/>
        <v>0.10493273542600896</v>
      </c>
      <c r="Z54" s="16">
        <f t="shared" si="169"/>
        <v>0.10636846095526915</v>
      </c>
      <c r="AA54" s="16">
        <f t="shared" si="169"/>
        <v>0.10684318478463545</v>
      </c>
      <c r="AB54" s="17">
        <f t="shared" si="169"/>
        <v>0.088036117381489837</v>
      </c>
      <c r="AC54" s="17">
        <f t="shared" si="169"/>
        <v>0.10346657233816767</v>
      </c>
      <c r="AD54" s="6"/>
      <c r="AE54" s="6"/>
      <c r="AF54" s="16">
        <f t="shared" si="170" ref="AF54:AJ54">W54</f>
        <v>0.10256021559710291</v>
      </c>
      <c r="AG54" s="16">
        <f t="shared" si="170"/>
        <v>0.10085543199315655</v>
      </c>
      <c r="AH54" s="16">
        <f t="shared" si="170"/>
        <v>0.10493273542600896</v>
      </c>
      <c r="AI54" s="16">
        <f t="shared" si="170"/>
        <v>0.10636846095526915</v>
      </c>
      <c r="AJ54" s="16">
        <f t="shared" si="170"/>
        <v>0.10684318478463545</v>
      </c>
      <c r="AK54" s="18">
        <f t="shared" si="127"/>
        <v>0.1012415349887133</v>
      </c>
      <c r="AL54" s="18">
        <f t="shared" si="128"/>
        <v>0.11898655818889281</v>
      </c>
      <c r="AO54" s="16">
        <f t="shared" si="171" ref="AO54:AS54">W54</f>
        <v>0.10256021559710291</v>
      </c>
      <c r="AP54" s="16">
        <f t="shared" si="171"/>
        <v>0.10085543199315655</v>
      </c>
      <c r="AQ54" s="16">
        <f t="shared" si="171"/>
        <v>0.10493273542600896</v>
      </c>
      <c r="AR54" s="16">
        <f t="shared" si="171"/>
        <v>0.10636846095526915</v>
      </c>
      <c r="AS54" s="16">
        <f t="shared" si="171"/>
        <v>0.10684318478463545</v>
      </c>
      <c r="AT54" s="18">
        <f t="shared" si="130"/>
        <v>0.07483069977426636</v>
      </c>
      <c r="AU54" s="18">
        <f t="shared" si="131"/>
        <v>0.08794658648744251</v>
      </c>
      <c r="AZ54" s="5" t="s">
        <v>11</v>
      </c>
      <c r="BA54" s="13" t="s">
        <v>310</v>
      </c>
      <c r="BB54" s="14">
        <v>691.60</v>
      </c>
      <c r="BC54" s="16">
        <v>608.90</v>
      </c>
      <c r="BD54" s="16">
        <v>589.50</v>
      </c>
      <c r="BE54" s="16">
        <v>585</v>
      </c>
      <c r="BF54" s="16">
        <v>561.20</v>
      </c>
      <c r="BG54" s="16">
        <v>573</v>
      </c>
      <c r="BH54" s="16">
        <v>585</v>
      </c>
      <c r="BI54" s="16">
        <v>585</v>
      </c>
      <c r="BJ54" s="6"/>
      <c r="BK54" s="6"/>
      <c r="BL54" s="19"/>
      <c r="BM54" s="19"/>
      <c r="BN54" s="19"/>
      <c r="BO54" s="19"/>
    </row>
    <row r="55" spans="1:67" ht="15.5">
      <c r="A55" s="5"/>
      <c r="B55" s="13" t="s">
        <v>311</v>
      </c>
      <c r="C55" s="14">
        <f t="shared" si="172" ref="C55:J55">BB55/1000</f>
        <v>0.63400000000000001</v>
      </c>
      <c r="D55" s="14">
        <f t="shared" si="172"/>
        <v>0.56079999999999997</v>
      </c>
      <c r="E55" s="14">
        <f t="shared" si="172"/>
        <v>0.54349999999999998</v>
      </c>
      <c r="F55" s="14">
        <f t="shared" si="172"/>
        <v>0.53939999999999999</v>
      </c>
      <c r="G55" s="14">
        <f t="shared" si="172"/>
        <v>0.5181</v>
      </c>
      <c r="H55" s="14">
        <f t="shared" si="172"/>
        <v>0.52870000000000006</v>
      </c>
      <c r="I55" s="14">
        <f t="shared" si="172"/>
        <v>0.53939999999999999</v>
      </c>
      <c r="J55" s="14">
        <f t="shared" si="172"/>
        <v>0.53939999999999999</v>
      </c>
      <c r="K55" s="6"/>
      <c r="L55" s="6"/>
      <c r="M55" s="19">
        <v>5.9370000000000003</v>
      </c>
      <c r="N55" s="19">
        <v>5.845</v>
      </c>
      <c r="O55" s="19">
        <v>5.575</v>
      </c>
      <c r="P55" s="19">
        <v>5.2759999999999998</v>
      </c>
      <c r="Q55" s="19">
        <v>5.3630000000000004</v>
      </c>
      <c r="R55" s="19">
        <v>6.645</v>
      </c>
      <c r="S55" s="19">
        <v>5.6539999999999999</v>
      </c>
      <c r="T55" s="19"/>
      <c r="U55" s="5"/>
      <c r="V55" s="13" t="s">
        <v>311</v>
      </c>
      <c r="W55" s="16">
        <f t="shared" si="173" ref="W55:AC55">D55/M55</f>
        <v>0.094458480714165391</v>
      </c>
      <c r="X55" s="16">
        <f t="shared" si="173"/>
        <v>0.092985457656116335</v>
      </c>
      <c r="Y55" s="16">
        <f t="shared" si="173"/>
        <v>0.09675336322869954</v>
      </c>
      <c r="Z55" s="16">
        <f t="shared" si="173"/>
        <v>0.098199393479909025</v>
      </c>
      <c r="AA55" s="16">
        <f t="shared" si="173"/>
        <v>0.098582882714898387</v>
      </c>
      <c r="AB55" s="17">
        <f t="shared" si="173"/>
        <v>0.081173814898419863</v>
      </c>
      <c r="AC55" s="17">
        <f t="shared" si="173"/>
        <v>0.095401485673859213</v>
      </c>
      <c r="AD55" s="6"/>
      <c r="AE55" s="6"/>
      <c r="AF55" s="16">
        <f t="shared" si="174" ref="AF55:AJ55">W55</f>
        <v>0.094458480714165391</v>
      </c>
      <c r="AG55" s="16">
        <f t="shared" si="174"/>
        <v>0.092985457656116335</v>
      </c>
      <c r="AH55" s="16">
        <f t="shared" si="174"/>
        <v>0.09675336322869954</v>
      </c>
      <c r="AI55" s="16">
        <f t="shared" si="174"/>
        <v>0.098199393479909025</v>
      </c>
      <c r="AJ55" s="16">
        <f t="shared" si="174"/>
        <v>0.098582882714898387</v>
      </c>
      <c r="AK55" s="18">
        <f t="shared" si="127"/>
        <v>0.093349887133182832</v>
      </c>
      <c r="AL55" s="18">
        <f t="shared" si="128"/>
        <v>0.10971170852493808</v>
      </c>
      <c r="AO55" s="16">
        <f t="shared" si="175" ref="AO55:AS55">W55</f>
        <v>0.094458480714165391</v>
      </c>
      <c r="AP55" s="16">
        <f t="shared" si="175"/>
        <v>0.092985457656116335</v>
      </c>
      <c r="AQ55" s="16">
        <f t="shared" si="175"/>
        <v>0.09675336322869954</v>
      </c>
      <c r="AR55" s="16">
        <f t="shared" si="175"/>
        <v>0.098199393479909025</v>
      </c>
      <c r="AS55" s="16">
        <f t="shared" si="175"/>
        <v>0.098582882714898387</v>
      </c>
      <c r="AT55" s="18">
        <f t="shared" si="130"/>
        <v>0.06899774266365688</v>
      </c>
      <c r="AU55" s="18">
        <f t="shared" si="131"/>
        <v>0.081091262822780327</v>
      </c>
      <c r="AZ55" s="5"/>
      <c r="BA55" s="13" t="s">
        <v>311</v>
      </c>
      <c r="BB55" s="14">
        <v>634</v>
      </c>
      <c r="BC55" s="16">
        <v>560.80</v>
      </c>
      <c r="BD55" s="16">
        <v>543.50</v>
      </c>
      <c r="BE55" s="16">
        <v>539.40</v>
      </c>
      <c r="BF55" s="16">
        <v>518.10</v>
      </c>
      <c r="BG55" s="16">
        <v>528.70</v>
      </c>
      <c r="BH55" s="16">
        <v>539.40</v>
      </c>
      <c r="BI55" s="16">
        <v>539.40</v>
      </c>
      <c r="BJ55" s="6"/>
      <c r="BK55" s="6"/>
      <c r="BL55" s="19"/>
      <c r="BM55" s="19"/>
      <c r="BN55" s="19"/>
      <c r="BO55" s="19"/>
    </row>
    <row r="56" spans="1:67" ht="15.5">
      <c r="A56" s="5"/>
      <c r="B56" s="13" t="s">
        <v>312</v>
      </c>
      <c r="C56" s="14">
        <f t="shared" si="176" ref="C56:J56">BB56/1000</f>
        <v>0.22559999999999999</v>
      </c>
      <c r="D56" s="14">
        <f t="shared" si="176"/>
        <v>0.18980000000000002</v>
      </c>
      <c r="E56" s="14">
        <f t="shared" si="176"/>
        <v>0.18159999999999998</v>
      </c>
      <c r="F56" s="14">
        <f t="shared" si="176"/>
        <v>0.1797</v>
      </c>
      <c r="G56" s="14">
        <f t="shared" si="176"/>
        <v>0.16969999999999999</v>
      </c>
      <c r="H56" s="14">
        <f t="shared" si="176"/>
        <v>0.17469999999999999</v>
      </c>
      <c r="I56" s="14">
        <f t="shared" si="176"/>
        <v>0.1797</v>
      </c>
      <c r="J56" s="14">
        <f t="shared" si="176"/>
        <v>0.1797</v>
      </c>
      <c r="K56" s="6"/>
      <c r="L56" s="6"/>
      <c r="M56" s="19">
        <v>5.9370000000000003</v>
      </c>
      <c r="N56" s="19">
        <v>5.845</v>
      </c>
      <c r="O56" s="19">
        <v>5.575</v>
      </c>
      <c r="P56" s="19">
        <v>5.2759999999999998</v>
      </c>
      <c r="Q56" s="19">
        <v>5.3630000000000004</v>
      </c>
      <c r="R56" s="19">
        <v>6.645</v>
      </c>
      <c r="S56" s="19">
        <v>5.6539999999999999</v>
      </c>
      <c r="T56" s="19"/>
      <c r="U56" s="5"/>
      <c r="V56" s="13" t="s">
        <v>312</v>
      </c>
      <c r="W56" s="16">
        <f t="shared" si="177" ref="W56:AC56">D56/M56</f>
        <v>0.031969007916456127</v>
      </c>
      <c r="X56" s="16">
        <f t="shared" si="177"/>
        <v>0.031069289991445679</v>
      </c>
      <c r="Y56" s="16">
        <f t="shared" si="177"/>
        <v>0.032233183856502243</v>
      </c>
      <c r="Z56" s="16">
        <f t="shared" si="177"/>
        <v>0.032164518574677788</v>
      </c>
      <c r="AA56" s="16">
        <f t="shared" si="177"/>
        <v>0.03257505127727018</v>
      </c>
      <c r="AB56" s="17">
        <f t="shared" si="177"/>
        <v>0.02704288939051919</v>
      </c>
      <c r="AC56" s="17">
        <f t="shared" si="177"/>
        <v>0.03178280863105766</v>
      </c>
      <c r="AD56" s="6"/>
      <c r="AE56" s="6"/>
      <c r="AF56" s="16">
        <f t="shared" si="178" ref="AF56:AJ56">W56</f>
        <v>0.031969007916456127</v>
      </c>
      <c r="AG56" s="16">
        <f t="shared" si="178"/>
        <v>0.031069289991445679</v>
      </c>
      <c r="AH56" s="16">
        <f t="shared" si="178"/>
        <v>0.032233183856502243</v>
      </c>
      <c r="AI56" s="16">
        <f t="shared" si="178"/>
        <v>0.032164518574677788</v>
      </c>
      <c r="AJ56" s="16">
        <f t="shared" si="178"/>
        <v>0.03257505127727018</v>
      </c>
      <c r="AK56" s="18">
        <f t="shared" si="127"/>
        <v>0.031099322799097065</v>
      </c>
      <c r="AL56" s="18">
        <f t="shared" si="128"/>
        <v>0.036550229925716306</v>
      </c>
      <c r="AO56" s="16">
        <f t="shared" si="179" ref="AO56:AS56">W56</f>
        <v>0.031969007916456127</v>
      </c>
      <c r="AP56" s="16">
        <f t="shared" si="179"/>
        <v>0.031069289991445679</v>
      </c>
      <c r="AQ56" s="16">
        <f t="shared" si="179"/>
        <v>0.032233183856502243</v>
      </c>
      <c r="AR56" s="16">
        <f t="shared" si="179"/>
        <v>0.032164518574677788</v>
      </c>
      <c r="AS56" s="16">
        <f t="shared" si="179"/>
        <v>0.03257505127727018</v>
      </c>
      <c r="AT56" s="18">
        <f t="shared" si="130"/>
        <v>0.022986455981941312</v>
      </c>
      <c r="AU56" s="18">
        <f t="shared" si="131"/>
        <v>0.027015387336399011</v>
      </c>
      <c r="AZ56" s="5"/>
      <c r="BA56" s="13" t="s">
        <v>312</v>
      </c>
      <c r="BB56" s="14">
        <v>225.60</v>
      </c>
      <c r="BC56" s="16">
        <v>189.80</v>
      </c>
      <c r="BD56" s="16">
        <v>181.60</v>
      </c>
      <c r="BE56" s="16">
        <v>179.70</v>
      </c>
      <c r="BF56" s="16">
        <v>169.70</v>
      </c>
      <c r="BG56" s="16">
        <v>174.70</v>
      </c>
      <c r="BH56" s="16">
        <v>179.70</v>
      </c>
      <c r="BI56" s="16">
        <v>179.70</v>
      </c>
      <c r="BJ56" s="6"/>
      <c r="BK56" s="6"/>
      <c r="BL56" s="19"/>
      <c r="BM56" s="19"/>
      <c r="BN56" s="19"/>
      <c r="BO56" s="19"/>
    </row>
    <row r="57" spans="1:67" ht="15.5">
      <c r="A57" s="5"/>
      <c r="B57" s="13" t="s">
        <v>313</v>
      </c>
      <c r="C57" s="14">
        <f t="shared" si="180" ref="C57:J57">BB57/1000</f>
        <v>0.36710000000000004</v>
      </c>
      <c r="D57" s="14">
        <f t="shared" si="180"/>
        <v>0.33080000000000004</v>
      </c>
      <c r="E57" s="14">
        <f t="shared" si="180"/>
        <v>0.32239999999999996</v>
      </c>
      <c r="F57" s="14">
        <f t="shared" si="180"/>
        <v>0.32050000000000001</v>
      </c>
      <c r="G57" s="14">
        <f t="shared" si="180"/>
        <v>0.31010000000000004</v>
      </c>
      <c r="H57" s="14">
        <f t="shared" si="180"/>
        <v>0.31510000000000005</v>
      </c>
      <c r="I57" s="14">
        <f t="shared" si="180"/>
        <v>0.32050000000000001</v>
      </c>
      <c r="J57" s="14">
        <f t="shared" si="180"/>
        <v>0.32050000000000001</v>
      </c>
      <c r="K57" s="6"/>
      <c r="L57" s="6"/>
      <c r="M57" s="19">
        <v>5.9370000000000003</v>
      </c>
      <c r="N57" s="19">
        <v>5.845</v>
      </c>
      <c r="O57" s="19">
        <v>5.575</v>
      </c>
      <c r="P57" s="19">
        <v>5.2759999999999998</v>
      </c>
      <c r="Q57" s="19">
        <v>5.3630000000000004</v>
      </c>
      <c r="R57" s="19">
        <v>6.645</v>
      </c>
      <c r="S57" s="19">
        <v>5.6539999999999999</v>
      </c>
      <c r="T57" s="19"/>
      <c r="U57" s="5"/>
      <c r="V57" s="13" t="s">
        <v>313</v>
      </c>
      <c r="W57" s="16">
        <f t="shared" si="181" ref="W57:AC57">D57/M57</f>
        <v>0.055718376284318687</v>
      </c>
      <c r="X57" s="16">
        <f t="shared" si="181"/>
        <v>0.055158254918733954</v>
      </c>
      <c r="Y57" s="16">
        <f t="shared" si="181"/>
        <v>0.057488789237668161</v>
      </c>
      <c r="Z57" s="16">
        <f t="shared" si="181"/>
        <v>0.058775587566338147</v>
      </c>
      <c r="AA57" s="16">
        <f t="shared" si="181"/>
        <v>0.058754428491515943</v>
      </c>
      <c r="AB57" s="17">
        <f t="shared" si="181"/>
        <v>0.048231753197893155</v>
      </c>
      <c r="AC57" s="17">
        <f t="shared" si="181"/>
        <v>0.056685532366466222</v>
      </c>
      <c r="AD57" s="6"/>
      <c r="AE57" s="6"/>
      <c r="AF57" s="16">
        <f t="shared" si="182" ref="AF57:AJ57">W57</f>
        <v>0.055718376284318687</v>
      </c>
      <c r="AG57" s="16">
        <f t="shared" si="182"/>
        <v>0.055158254918733954</v>
      </c>
      <c r="AH57" s="16">
        <f t="shared" si="182"/>
        <v>0.057488789237668161</v>
      </c>
      <c r="AI57" s="16">
        <f t="shared" si="182"/>
        <v>0.058775587566338147</v>
      </c>
      <c r="AJ57" s="16">
        <f t="shared" si="182"/>
        <v>0.058754428491515943</v>
      </c>
      <c r="AK57" s="18">
        <f t="shared" si="127"/>
        <v>0.055466516177577127</v>
      </c>
      <c r="AL57" s="18">
        <f t="shared" si="128"/>
        <v>0.065188362221436147</v>
      </c>
      <c r="AO57" s="16">
        <f t="shared" si="183" ref="AO57:AS57">W57</f>
        <v>0.055718376284318687</v>
      </c>
      <c r="AP57" s="16">
        <f t="shared" si="183"/>
        <v>0.055158254918733954</v>
      </c>
      <c r="AQ57" s="16">
        <f t="shared" si="183"/>
        <v>0.057488789237668161</v>
      </c>
      <c r="AR57" s="16">
        <f t="shared" si="183"/>
        <v>0.058775587566338147</v>
      </c>
      <c r="AS57" s="16">
        <f t="shared" si="183"/>
        <v>0.058754428491515943</v>
      </c>
      <c r="AT57" s="18">
        <f t="shared" si="130"/>
        <v>0.040996990218209184</v>
      </c>
      <c r="AU57" s="18">
        <f t="shared" si="131"/>
        <v>0.048182702511496291</v>
      </c>
      <c r="AZ57" s="5"/>
      <c r="BA57" s="13" t="s">
        <v>313</v>
      </c>
      <c r="BB57" s="14">
        <v>367.10</v>
      </c>
      <c r="BC57" s="16">
        <v>330.80</v>
      </c>
      <c r="BD57" s="16">
        <v>322.40</v>
      </c>
      <c r="BE57" s="16">
        <v>320.50</v>
      </c>
      <c r="BF57" s="16">
        <v>310.10</v>
      </c>
      <c r="BG57" s="16">
        <v>315.10</v>
      </c>
      <c r="BH57" s="16">
        <v>320.50</v>
      </c>
      <c r="BI57" s="16">
        <v>320.50</v>
      </c>
      <c r="BJ57" s="6"/>
      <c r="BK57" s="6"/>
      <c r="BL57" s="19"/>
      <c r="BM57" s="19"/>
      <c r="BN57" s="19"/>
      <c r="BO57" s="19"/>
    </row>
    <row r="58" spans="1:67" ht="15.5">
      <c r="A58" s="5"/>
      <c r="B58" s="13" t="s">
        <v>314</v>
      </c>
      <c r="C58" s="14">
        <f t="shared" si="184" ref="C58:J58">BB58/1000</f>
        <v>0.085300000000000001</v>
      </c>
      <c r="D58" s="14">
        <f t="shared" si="184"/>
        <v>0.077499999999999999</v>
      </c>
      <c r="E58" s="14">
        <f t="shared" si="184"/>
        <v>0.075499999999999998</v>
      </c>
      <c r="F58" s="14">
        <f t="shared" si="184"/>
        <v>0.074999999999999997</v>
      </c>
      <c r="G58" s="14">
        <f t="shared" si="184"/>
        <v>0.0722</v>
      </c>
      <c r="H58" s="14">
        <f t="shared" si="184"/>
        <v>0.073599999999999999</v>
      </c>
      <c r="I58" s="14">
        <f t="shared" si="184"/>
        <v>0.074999999999999997</v>
      </c>
      <c r="J58" s="14">
        <f t="shared" si="184"/>
        <v>0.074999999999999997</v>
      </c>
      <c r="K58" s="6"/>
      <c r="L58" s="6"/>
      <c r="M58" s="19">
        <v>5.9370000000000003</v>
      </c>
      <c r="N58" s="19">
        <v>5.845</v>
      </c>
      <c r="O58" s="19">
        <v>5.575</v>
      </c>
      <c r="P58" s="19">
        <v>5.2759999999999998</v>
      </c>
      <c r="Q58" s="19">
        <v>5.3630000000000004</v>
      </c>
      <c r="R58" s="19">
        <v>6.645</v>
      </c>
      <c r="S58" s="19">
        <v>5.6539999999999999</v>
      </c>
      <c r="T58" s="19"/>
      <c r="U58" s="5"/>
      <c r="V58" s="13" t="s">
        <v>314</v>
      </c>
      <c r="W58" s="16">
        <f t="shared" si="185" ref="W58:AC58">D58/M58</f>
        <v>0.01305373084049183</v>
      </c>
      <c r="X58" s="16">
        <f t="shared" si="185"/>
        <v>0.012917023096663816</v>
      </c>
      <c r="Y58" s="16">
        <f t="shared" si="185"/>
        <v>0.013452914798206277</v>
      </c>
      <c r="Z58" s="16">
        <f t="shared" si="185"/>
        <v>0.013684609552691433</v>
      </c>
      <c r="AA58" s="16">
        <f t="shared" si="185"/>
        <v>0.013723662129405182</v>
      </c>
      <c r="AB58" s="17">
        <f t="shared" si="185"/>
        <v>0.011286681715575621</v>
      </c>
      <c r="AC58" s="17">
        <f t="shared" si="185"/>
        <v>0.013264945171559957</v>
      </c>
      <c r="AD58" s="6"/>
      <c r="AE58" s="6"/>
      <c r="AF58" s="16">
        <f t="shared" si="186" ref="AF58:AJ58">W58</f>
        <v>0.01305373084049183</v>
      </c>
      <c r="AG58" s="16">
        <f t="shared" si="186"/>
        <v>0.012917023096663816</v>
      </c>
      <c r="AH58" s="16">
        <f t="shared" si="186"/>
        <v>0.013452914798206277</v>
      </c>
      <c r="AI58" s="16">
        <f t="shared" si="186"/>
        <v>0.013684609552691433</v>
      </c>
      <c r="AJ58" s="16">
        <f t="shared" si="186"/>
        <v>0.013723662129405182</v>
      </c>
      <c r="AK58" s="18">
        <f t="shared" si="127"/>
        <v>0.012979683972911963</v>
      </c>
      <c r="AL58" s="18">
        <f t="shared" si="128"/>
        <v>0.01525468694729395</v>
      </c>
      <c r="AO58" s="16">
        <f t="shared" si="187" ref="AO58:AS58">W58</f>
        <v>0.01305373084049183</v>
      </c>
      <c r="AP58" s="16">
        <f t="shared" si="187"/>
        <v>0.012917023096663816</v>
      </c>
      <c r="AQ58" s="16">
        <f t="shared" si="187"/>
        <v>0.013452914798206277</v>
      </c>
      <c r="AR58" s="16">
        <f t="shared" si="187"/>
        <v>0.013684609552691433</v>
      </c>
      <c r="AS58" s="16">
        <f t="shared" si="187"/>
        <v>0.013723662129405182</v>
      </c>
      <c r="AT58" s="18">
        <f t="shared" si="130"/>
        <v>0.0095936794582392772</v>
      </c>
      <c r="AU58" s="18">
        <f t="shared" si="131"/>
        <v>0.011275203395825963</v>
      </c>
      <c r="AZ58" s="5"/>
      <c r="BA58" s="13" t="s">
        <v>314</v>
      </c>
      <c r="BB58" s="14">
        <v>85.30</v>
      </c>
      <c r="BC58" s="16">
        <v>77.50</v>
      </c>
      <c r="BD58" s="16">
        <v>75.50</v>
      </c>
      <c r="BE58" s="16">
        <v>75</v>
      </c>
      <c r="BF58" s="16">
        <v>72.20</v>
      </c>
      <c r="BG58" s="16">
        <v>73.60</v>
      </c>
      <c r="BH58" s="16">
        <v>75</v>
      </c>
      <c r="BI58" s="16">
        <v>75</v>
      </c>
      <c r="BJ58" s="6"/>
      <c r="BK58" s="6"/>
      <c r="BL58" s="19"/>
      <c r="BM58" s="19"/>
      <c r="BN58" s="19"/>
      <c r="BO58" s="19"/>
    </row>
    <row r="59" spans="1:67" ht="15.5">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spans="1:67" ht="15.5">
      <c r="A60" s="6" t="s">
        <v>316</v>
      </c>
      <c r="B60" s="6"/>
      <c r="C60" s="9"/>
      <c r="D60" s="6"/>
      <c r="E60" s="6"/>
      <c r="F60" s="6"/>
      <c r="G60" s="6"/>
      <c r="H60" s="6"/>
      <c r="I60" s="6"/>
      <c r="J60" s="6"/>
      <c r="K60" s="6"/>
      <c r="L60" s="6"/>
      <c r="M60" s="6"/>
      <c r="N60" s="6"/>
      <c r="O60" s="6"/>
      <c r="P60" s="6"/>
      <c r="Q60" s="6"/>
      <c r="R60" s="6"/>
      <c r="S60" s="6"/>
      <c r="T60" s="6"/>
      <c r="AZ60" s="6" t="s">
        <v>316</v>
      </c>
      <c r="BA60" s="6"/>
      <c r="BB60" s="9"/>
      <c r="BC60" s="6"/>
      <c r="BD60" s="6"/>
      <c r="BE60" s="6"/>
      <c r="BF60" s="6"/>
      <c r="BG60" s="6"/>
      <c r="BH60" s="6"/>
      <c r="BI60" s="6"/>
      <c r="BJ60" s="6"/>
      <c r="BK60" s="6"/>
      <c r="BL60" s="6"/>
      <c r="BM60" s="6"/>
      <c r="BN60" s="6"/>
      <c r="BO60" s="6"/>
    </row>
    <row r="61" spans="1:67" ht="15.5">
      <c r="A61" s="6" t="s">
        <v>331</v>
      </c>
      <c r="B61" s="6"/>
      <c r="C61" s="9"/>
      <c r="D61" s="6"/>
      <c r="E61" s="6"/>
      <c r="F61" s="6"/>
      <c r="G61" s="6"/>
      <c r="H61" s="6"/>
      <c r="I61" s="6"/>
      <c r="J61" s="6"/>
      <c r="K61" s="6"/>
      <c r="L61" s="6"/>
      <c r="M61" s="6"/>
      <c r="N61" s="6"/>
      <c r="O61" s="6"/>
      <c r="P61" s="6"/>
      <c r="Q61" s="6"/>
      <c r="R61" s="6"/>
      <c r="S61" s="6"/>
      <c r="T61" s="6"/>
      <c r="AZ61" s="6" t="s">
        <v>331</v>
      </c>
      <c r="BA61" s="6"/>
      <c r="BB61" s="9"/>
      <c r="BC61" s="6"/>
      <c r="BD61" s="6"/>
      <c r="BE61" s="6"/>
      <c r="BF61" s="6"/>
      <c r="BG61" s="6"/>
      <c r="BH61" s="6"/>
      <c r="BI61" s="6"/>
      <c r="BJ61" s="6"/>
      <c r="BK61" s="6"/>
      <c r="BL61" s="6"/>
      <c r="BM61" s="6"/>
      <c r="BN61" s="6"/>
      <c r="BO61" s="6"/>
    </row>
    <row r="62" spans="1:67" ht="15.5">
      <c r="A62" s="6" t="s">
        <v>332</v>
      </c>
      <c r="B62" s="6"/>
      <c r="C62" s="9"/>
      <c r="D62" s="6"/>
      <c r="E62" s="6"/>
      <c r="F62" s="6"/>
      <c r="G62" s="6"/>
      <c r="H62" s="6"/>
      <c r="I62" s="6"/>
      <c r="J62" s="6"/>
      <c r="K62" s="6"/>
      <c r="L62" s="6"/>
      <c r="M62" s="6"/>
      <c r="N62" s="6"/>
      <c r="O62" s="6"/>
      <c r="P62" s="6"/>
      <c r="Q62" s="6"/>
      <c r="R62" s="6"/>
      <c r="S62" s="6"/>
      <c r="T62" s="6"/>
      <c r="AZ62" s="6" t="s">
        <v>332</v>
      </c>
      <c r="BA62" s="6"/>
      <c r="BB62" s="9"/>
      <c r="BC62" s="6"/>
      <c r="BD62" s="6"/>
      <c r="BE62" s="6"/>
      <c r="BF62" s="6"/>
      <c r="BG62" s="6"/>
      <c r="BH62" s="6"/>
      <c r="BI62" s="6"/>
      <c r="BJ62" s="6"/>
      <c r="BK62" s="6"/>
      <c r="BL62" s="6"/>
      <c r="BM62" s="6"/>
      <c r="BN62" s="6"/>
      <c r="BO62" s="6"/>
    </row>
    <row r="71" spans="21:47" ht="15.5">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spans="21:47" ht="15.5">
      <c r="U72" s="6"/>
      <c r="V72" s="6"/>
      <c r="W72" s="6" t="s">
        <v>302</v>
      </c>
      <c r="X72" s="6" t="s">
        <v>303</v>
      </c>
      <c r="Y72" s="10" t="s">
        <v>304</v>
      </c>
      <c r="Z72" s="6" t="s">
        <v>305</v>
      </c>
      <c r="AA72" s="6" t="s">
        <v>306</v>
      </c>
      <c r="AB72" s="12" t="s">
        <v>307</v>
      </c>
      <c r="AC72" s="12" t="s">
        <v>308</v>
      </c>
      <c r="AD72" s="6"/>
      <c r="AE72" s="6"/>
      <c r="AF72" s="6" t="s">
        <v>302</v>
      </c>
      <c r="AG72" s="6" t="s">
        <v>303</v>
      </c>
      <c r="AH72" s="10" t="s">
        <v>304</v>
      </c>
      <c r="AI72" s="6" t="s">
        <v>305</v>
      </c>
      <c r="AJ72" s="6" t="s">
        <v>306</v>
      </c>
      <c r="AK72" s="12" t="s">
        <v>307</v>
      </c>
      <c r="AL72" s="12" t="s">
        <v>308</v>
      </c>
      <c r="AM72" s="6"/>
      <c r="AN72" s="6"/>
      <c r="AO72" s="6" t="s">
        <v>302</v>
      </c>
      <c r="AP72" s="6" t="s">
        <v>303</v>
      </c>
      <c r="AQ72" s="10" t="s">
        <v>304</v>
      </c>
      <c r="AR72" s="6" t="s">
        <v>305</v>
      </c>
      <c r="AS72" s="6" t="s">
        <v>306</v>
      </c>
      <c r="AT72" s="12" t="s">
        <v>307</v>
      </c>
      <c r="AU72" s="12" t="s">
        <v>308</v>
      </c>
    </row>
    <row r="73" spans="21:47" ht="14.5">
      <c r="U73" s="5" t="s">
        <v>309</v>
      </c>
      <c r="V73" s="20" t="s">
        <v>121</v>
      </c>
      <c r="W73" s="3">
        <f t="shared" si="188" ref="W73:AC73">W4-W5</f>
        <v>0.010510358767054057</v>
      </c>
      <c r="X73" s="3">
        <f t="shared" si="188"/>
        <v>0.010094097519247211</v>
      </c>
      <c r="Y73" s="3">
        <f t="shared" si="188"/>
        <v>0.010385650224215226</v>
      </c>
      <c r="Z73" s="3">
        <f t="shared" si="188"/>
        <v>0.011429112964366939</v>
      </c>
      <c r="AA73" s="3">
        <f t="shared" si="188"/>
        <v>0.011597986201752758</v>
      </c>
      <c r="AB73" s="3">
        <f t="shared" si="188"/>
        <v>0.0087133182844243706</v>
      </c>
      <c r="AC73" s="3">
        <f t="shared" si="188"/>
        <v>0.010240537672444275</v>
      </c>
      <c r="AF73" s="3">
        <f t="shared" si="189" ref="AF73:AL73">AF4-AF5</f>
        <v>0.010510358767054057</v>
      </c>
      <c r="AG73" s="3">
        <f t="shared" si="189"/>
        <v>0.010094097519247211</v>
      </c>
      <c r="AH73" s="3">
        <f t="shared" si="189"/>
        <v>0.010385650224215226</v>
      </c>
      <c r="AI73" s="3">
        <f t="shared" si="189"/>
        <v>0.011429112964366939</v>
      </c>
      <c r="AJ73" s="3">
        <f t="shared" si="189"/>
        <v>0.011597986201752758</v>
      </c>
      <c r="AK73" s="3">
        <f t="shared" si="189"/>
        <v>0.010020316027088028</v>
      </c>
      <c r="AL73" s="3">
        <f t="shared" si="189"/>
        <v>0.011776618323310922</v>
      </c>
      <c r="AO73" s="3">
        <f t="shared" si="190" ref="AO73:AU73">AO4-AO5</f>
        <v>0.010510358767054057</v>
      </c>
      <c r="AP73" s="3">
        <f t="shared" si="190"/>
        <v>0.010094097519247211</v>
      </c>
      <c r="AQ73" s="3">
        <f t="shared" si="190"/>
        <v>0.010385650224215226</v>
      </c>
      <c r="AR73" s="3">
        <f t="shared" si="190"/>
        <v>0.011429112964366939</v>
      </c>
      <c r="AS73" s="3">
        <f t="shared" si="190"/>
        <v>0.011597986201752758</v>
      </c>
      <c r="AT73" s="3">
        <f t="shared" si="190"/>
        <v>0.0074063205417607275</v>
      </c>
      <c r="AU73" s="3">
        <f t="shared" si="190"/>
        <v>0.0087044570215776274</v>
      </c>
    </row>
    <row r="74" spans="21:47" ht="14.5">
      <c r="U74" s="5"/>
      <c r="V74" s="21" t="s">
        <v>333</v>
      </c>
      <c r="W74" s="3">
        <f t="shared" si="191" ref="W74:AC74">W6</f>
        <v>0.028920330133063835</v>
      </c>
      <c r="X74" s="3">
        <f t="shared" si="191"/>
        <v>0.027562018819503851</v>
      </c>
      <c r="Y74" s="3">
        <f t="shared" si="191"/>
        <v>0.028322869955156951</v>
      </c>
      <c r="Z74" s="3">
        <f t="shared" si="191"/>
        <v>0.02882865807429871</v>
      </c>
      <c r="AA74" s="3">
        <f t="shared" si="191"/>
        <v>0.029610292746597055</v>
      </c>
      <c r="AB74" s="3">
        <f t="shared" si="191"/>
        <v>0.02376222723852521</v>
      </c>
      <c r="AC74" s="3">
        <f t="shared" si="191"/>
        <v>0.027927131234524234</v>
      </c>
      <c r="AF74" s="3">
        <f t="shared" si="192" ref="AF74:AL74">AF6</f>
        <v>0.028920330133063835</v>
      </c>
      <c r="AG74" s="3">
        <f t="shared" si="192"/>
        <v>0.027562018819503851</v>
      </c>
      <c r="AH74" s="3">
        <f t="shared" si="192"/>
        <v>0.028322869955156951</v>
      </c>
      <c r="AI74" s="3">
        <f t="shared" si="192"/>
        <v>0.02882865807429871</v>
      </c>
      <c r="AJ74" s="3">
        <f t="shared" si="192"/>
        <v>0.029610292746597055</v>
      </c>
      <c r="AK74" s="3">
        <f t="shared" si="192"/>
        <v>0.027326561324303989</v>
      </c>
      <c r="AL74" s="3">
        <f t="shared" si="192"/>
        <v>0.032116200919702867</v>
      </c>
      <c r="AO74" s="3">
        <f t="shared" si="193" ref="AO74:AU74">AO6</f>
        <v>0.028920330133063835</v>
      </c>
      <c r="AP74" s="3">
        <f t="shared" si="193"/>
        <v>0.027562018819503851</v>
      </c>
      <c r="AQ74" s="3">
        <f t="shared" si="193"/>
        <v>0.028322869955156951</v>
      </c>
      <c r="AR74" s="3">
        <f t="shared" si="193"/>
        <v>0.02882865807429871</v>
      </c>
      <c r="AS74" s="3">
        <f t="shared" si="193"/>
        <v>0.029610292746597055</v>
      </c>
      <c r="AT74" s="3">
        <f t="shared" si="193"/>
        <v>0.020197893152746428</v>
      </c>
      <c r="AU74" s="3">
        <f t="shared" si="193"/>
        <v>0.023738061549345598</v>
      </c>
    </row>
    <row r="75" spans="21:47" ht="14.5">
      <c r="U75" s="5"/>
      <c r="V75" s="20" t="s">
        <v>334</v>
      </c>
      <c r="W75" s="3">
        <f t="shared" si="194" ref="W75:AC75">W7</f>
        <v>0.083661782044803762</v>
      </c>
      <c r="X75" s="3">
        <f t="shared" si="194"/>
        <v>0.081402908468776736</v>
      </c>
      <c r="Y75" s="3">
        <f t="shared" si="194"/>
        <v>0.084394618834080712</v>
      </c>
      <c r="Z75" s="3">
        <f t="shared" si="194"/>
        <v>0.088419257012888566</v>
      </c>
      <c r="AA75" s="3">
        <f t="shared" si="194"/>
        <v>0.092485549132947972</v>
      </c>
      <c r="AB75" s="3">
        <f t="shared" si="194"/>
        <v>0.070805116629044401</v>
      </c>
      <c r="AC75" s="3">
        <f t="shared" si="194"/>
        <v>0.083215422709586137</v>
      </c>
      <c r="AF75" s="3">
        <f t="shared" si="195" ref="AF75:AL75">AF7</f>
        <v>0.083661782044803762</v>
      </c>
      <c r="AG75" s="3">
        <f t="shared" si="195"/>
        <v>0.081402908468776736</v>
      </c>
      <c r="AH75" s="3">
        <f t="shared" si="195"/>
        <v>0.084394618834080712</v>
      </c>
      <c r="AI75" s="3">
        <f t="shared" si="195"/>
        <v>0.088419257012888566</v>
      </c>
      <c r="AJ75" s="3">
        <f t="shared" si="195"/>
        <v>0.092485549132947972</v>
      </c>
      <c r="AK75" s="3">
        <f t="shared" si="195"/>
        <v>0.081425884123401057</v>
      </c>
      <c r="AL75" s="3">
        <f t="shared" si="195"/>
        <v>0.095697736116024057</v>
      </c>
      <c r="AO75" s="3">
        <f t="shared" si="196" ref="AO75:AU75">AO7</f>
        <v>0.083661782044803762</v>
      </c>
      <c r="AP75" s="3">
        <f t="shared" si="196"/>
        <v>0.081402908468776736</v>
      </c>
      <c r="AQ75" s="3">
        <f t="shared" si="196"/>
        <v>0.084394618834080712</v>
      </c>
      <c r="AR75" s="3">
        <f t="shared" si="196"/>
        <v>0.088419257012888566</v>
      </c>
      <c r="AS75" s="3">
        <f t="shared" si="196"/>
        <v>0.092485549132947972</v>
      </c>
      <c r="AT75" s="3">
        <f t="shared" si="196"/>
        <v>0.060184349134687738</v>
      </c>
      <c r="AU75" s="3">
        <f t="shared" si="196"/>
        <v>0.070733109303148217</v>
      </c>
    </row>
    <row r="76" spans="21:47" ht="14.5">
      <c r="U76" s="5"/>
      <c r="V76" s="20" t="s">
        <v>335</v>
      </c>
      <c r="W76" s="3">
        <f t="shared" si="197" ref="W76:AC76">W8</f>
        <v>0.013020043793161528</v>
      </c>
      <c r="X76" s="3">
        <f t="shared" si="197"/>
        <v>0.012745936698032506</v>
      </c>
      <c r="Y76" s="3">
        <f t="shared" si="197"/>
        <v>0.013201793721973094</v>
      </c>
      <c r="Z76" s="3">
        <f t="shared" si="197"/>
        <v>0.014423805913570887</v>
      </c>
      <c r="AA76" s="3">
        <f t="shared" si="197"/>
        <v>0.014711914972962896</v>
      </c>
      <c r="AB76" s="3">
        <f t="shared" si="197"/>
        <v>0.011075996990218209</v>
      </c>
      <c r="AC76" s="3">
        <f t="shared" si="197"/>
        <v>0.013017332861690838</v>
      </c>
      <c r="AF76" s="3">
        <f t="shared" si="198" ref="AF76:AL76">AF8</f>
        <v>0.013020043793161528</v>
      </c>
      <c r="AG76" s="3">
        <f t="shared" si="198"/>
        <v>0.012745936698032506</v>
      </c>
      <c r="AH76" s="3">
        <f t="shared" si="198"/>
        <v>0.013201793721973094</v>
      </c>
      <c r="AI76" s="3">
        <f t="shared" si="198"/>
        <v>0.014423805913570887</v>
      </c>
      <c r="AJ76" s="3">
        <f t="shared" si="198"/>
        <v>0.014711914972962896</v>
      </c>
      <c r="AK76" s="3">
        <f t="shared" si="198"/>
        <v>0.012737396538750939</v>
      </c>
      <c r="AL76" s="3">
        <f t="shared" si="198"/>
        <v>0.014969932790944463</v>
      </c>
      <c r="AO76" s="3">
        <f t="shared" si="199" ref="AO76:AU76">AO8</f>
        <v>0.013020043793161528</v>
      </c>
      <c r="AP76" s="3">
        <f t="shared" si="199"/>
        <v>0.012745936698032506</v>
      </c>
      <c r="AQ76" s="3">
        <f t="shared" si="199"/>
        <v>0.013201793721973094</v>
      </c>
      <c r="AR76" s="3">
        <f t="shared" si="199"/>
        <v>0.014423805913570887</v>
      </c>
      <c r="AS76" s="3">
        <f t="shared" si="199"/>
        <v>0.014711914972962896</v>
      </c>
      <c r="AT76" s="3">
        <f t="shared" si="199"/>
        <v>0.0094145974416854766</v>
      </c>
      <c r="AU76" s="3">
        <f t="shared" si="199"/>
        <v>0.011064732932437212</v>
      </c>
    </row>
    <row r="77" spans="21:47" ht="14.5">
      <c r="U77" s="5" t="s">
        <v>315</v>
      </c>
      <c r="V77" s="20" t="s">
        <v>121</v>
      </c>
      <c r="W77" s="3">
        <f t="shared" si="200" ref="W77:AC77">W9-W10</f>
        <v>0.010358767054067713</v>
      </c>
      <c r="X77" s="3">
        <f t="shared" si="200"/>
        <v>0.0099572284003421746</v>
      </c>
      <c r="Y77" s="3">
        <f t="shared" si="200"/>
        <v>0.010242152466367727</v>
      </c>
      <c r="Z77" s="3">
        <f t="shared" si="200"/>
        <v>0.011277482941622424</v>
      </c>
      <c r="AA77" s="3">
        <f t="shared" si="200"/>
        <v>0.011430169681148628</v>
      </c>
      <c r="AB77" s="3">
        <f t="shared" si="200"/>
        <v>0.0085929270127915874</v>
      </c>
      <c r="AC77" s="3">
        <f t="shared" si="200"/>
        <v>0.010099044923947642</v>
      </c>
      <c r="AF77" s="3">
        <f t="shared" si="201" ref="AF77:AL77">AF9-AF10</f>
        <v>0.010358767054067713</v>
      </c>
      <c r="AG77" s="3">
        <f t="shared" si="201"/>
        <v>0.0099572284003421746</v>
      </c>
      <c r="AH77" s="3">
        <f t="shared" si="201"/>
        <v>0.010242152466367727</v>
      </c>
      <c r="AI77" s="3">
        <f t="shared" si="201"/>
        <v>0.011277482941622424</v>
      </c>
      <c r="AJ77" s="3">
        <f t="shared" si="201"/>
        <v>0.011430169681148628</v>
      </c>
      <c r="AK77" s="3">
        <f t="shared" si="201"/>
        <v>0.0098818660647103235</v>
      </c>
      <c r="AL77" s="3">
        <f t="shared" si="201"/>
        <v>0.011613901662539783</v>
      </c>
      <c r="AO77" s="3">
        <f t="shared" si="202" ref="AO77:AU77">AO9-AO10</f>
        <v>0.010358767054067713</v>
      </c>
      <c r="AP77" s="3">
        <f t="shared" si="202"/>
        <v>0.0099572284003421746</v>
      </c>
      <c r="AQ77" s="3">
        <f t="shared" si="202"/>
        <v>0.010242152466367727</v>
      </c>
      <c r="AR77" s="3">
        <f t="shared" si="202"/>
        <v>0.011277482941622424</v>
      </c>
      <c r="AS77" s="3">
        <f t="shared" si="202"/>
        <v>0.011430169681148628</v>
      </c>
      <c r="AT77" s="3">
        <f t="shared" si="202"/>
        <v>0.0073039879608728514</v>
      </c>
      <c r="AU77" s="3">
        <f t="shared" si="202"/>
        <v>0.0085841881853554874</v>
      </c>
    </row>
    <row r="78" spans="21:47" ht="14.5">
      <c r="U78" s="5"/>
      <c r="V78" s="21" t="s">
        <v>333</v>
      </c>
      <c r="W78" s="3">
        <f t="shared" si="203" ref="W78:AC78">W11</f>
        <v>0.0349503116051878</v>
      </c>
      <c r="X78" s="3">
        <f t="shared" si="203"/>
        <v>0.033378956372968352</v>
      </c>
      <c r="Y78" s="3">
        <f t="shared" si="203"/>
        <v>0.034367713004484303</v>
      </c>
      <c r="Z78" s="3">
        <f t="shared" si="203"/>
        <v>0.035253980288097043</v>
      </c>
      <c r="AA78" s="3">
        <f t="shared" si="203"/>
        <v>0.036136490770091366</v>
      </c>
      <c r="AB78" s="3">
        <f t="shared" si="203"/>
        <v>0.028833709556057185</v>
      </c>
      <c r="AC78" s="3">
        <f t="shared" si="203"/>
        <v>0.033887513264945171</v>
      </c>
      <c r="AF78" s="3">
        <f t="shared" si="204" ref="AF78:AL78">AF11</f>
        <v>0.0349503116051878</v>
      </c>
      <c r="AG78" s="3">
        <f t="shared" si="204"/>
        <v>0.033378956372968352</v>
      </c>
      <c r="AH78" s="3">
        <f t="shared" si="204"/>
        <v>0.034367713004484303</v>
      </c>
      <c r="AI78" s="3">
        <f t="shared" si="204"/>
        <v>0.035253980288097043</v>
      </c>
      <c r="AJ78" s="3">
        <f t="shared" si="204"/>
        <v>0.036136490770091366</v>
      </c>
      <c r="AK78" s="3">
        <f t="shared" si="204"/>
        <v>0.033158765989465759</v>
      </c>
      <c r="AL78" s="3">
        <f t="shared" si="204"/>
        <v>0.038970640254686946</v>
      </c>
      <c r="AO78" s="3">
        <f t="shared" si="205" ref="AO78:AU78">AO11</f>
        <v>0.0349503116051878</v>
      </c>
      <c r="AP78" s="3">
        <f t="shared" si="205"/>
        <v>0.033378956372968352</v>
      </c>
      <c r="AQ78" s="3">
        <f t="shared" si="205"/>
        <v>0.034367713004484303</v>
      </c>
      <c r="AR78" s="3">
        <f t="shared" si="205"/>
        <v>0.035253980288097043</v>
      </c>
      <c r="AS78" s="3">
        <f t="shared" si="205"/>
        <v>0.036136490770091366</v>
      </c>
      <c r="AT78" s="3">
        <f t="shared" si="205"/>
        <v>0.024508653122648608</v>
      </c>
      <c r="AU78" s="3">
        <f t="shared" si="205"/>
        <v>0.028804386275203396</v>
      </c>
    </row>
    <row r="79" spans="21:47" ht="15.5">
      <c r="U79" s="5"/>
      <c r="V79" s="20" t="s">
        <v>334</v>
      </c>
      <c r="W79" s="3">
        <f t="shared" si="206" ref="W79:AC79">W12</f>
        <v>0.079989893885800897</v>
      </c>
      <c r="X79" s="3">
        <f t="shared" si="206"/>
        <v>0.077861420017108648</v>
      </c>
      <c r="Y79" s="3">
        <f t="shared" si="206"/>
        <v>0.080717488789237665</v>
      </c>
      <c r="Z79" s="3">
        <f t="shared" si="206"/>
        <v>0.08451478392721759</v>
      </c>
      <c r="AA79" s="3">
        <f t="shared" si="206"/>
        <v>0.088513891478650006</v>
      </c>
      <c r="AB79" s="3">
        <f t="shared" si="206"/>
        <v>0.06772009029345373</v>
      </c>
      <c r="AC79" s="3">
        <f t="shared" si="206"/>
        <v>0.079589671029359751</v>
      </c>
      <c r="AD79" s="6"/>
      <c r="AE79" s="6"/>
      <c r="AF79" s="3">
        <f t="shared" si="207" ref="AF79:AL79">AF12</f>
        <v>0.079989893885800897</v>
      </c>
      <c r="AG79" s="3">
        <f t="shared" si="207"/>
        <v>0.077861420017108648</v>
      </c>
      <c r="AH79" s="3">
        <f t="shared" si="207"/>
        <v>0.080717488789237665</v>
      </c>
      <c r="AI79" s="3">
        <f t="shared" si="207"/>
        <v>0.08451478392721759</v>
      </c>
      <c r="AJ79" s="3">
        <f t="shared" si="207"/>
        <v>0.088513891478650006</v>
      </c>
      <c r="AK79" s="3">
        <f t="shared" si="207"/>
        <v>0.07787810383747179</v>
      </c>
      <c r="AL79" s="3">
        <f t="shared" si="207"/>
        <v>0.091528121683763702</v>
      </c>
      <c r="AM79" s="6"/>
      <c r="AN79" s="6"/>
      <c r="AO79" s="3">
        <f t="shared" si="208" ref="AO79:AU79">AO12</f>
        <v>0.079989893885800897</v>
      </c>
      <c r="AP79" s="3">
        <f t="shared" si="208"/>
        <v>0.077861420017108648</v>
      </c>
      <c r="AQ79" s="3">
        <f t="shared" si="208"/>
        <v>0.080717488789237665</v>
      </c>
      <c r="AR79" s="3">
        <f t="shared" si="208"/>
        <v>0.08451478392721759</v>
      </c>
      <c r="AS79" s="3">
        <f t="shared" si="208"/>
        <v>0.088513891478650006</v>
      </c>
      <c r="AT79" s="3">
        <f t="shared" si="208"/>
        <v>0.05756207674943567</v>
      </c>
      <c r="AU79" s="3">
        <f t="shared" si="208"/>
        <v>0.067651220374955787</v>
      </c>
    </row>
    <row r="80" spans="21:47" ht="15.5">
      <c r="U80" s="5"/>
      <c r="V80" s="20" t="s">
        <v>335</v>
      </c>
      <c r="W80" s="3">
        <f t="shared" si="209" ref="W80:AC80">W13</f>
        <v>0.013508505979450901</v>
      </c>
      <c r="X80" s="3">
        <f t="shared" si="209"/>
        <v>0.013207869974337042</v>
      </c>
      <c r="Y80" s="3">
        <f t="shared" si="209"/>
        <v>0.013686098654708519</v>
      </c>
      <c r="Z80" s="3">
        <f t="shared" si="209"/>
        <v>0.014954510993176651</v>
      </c>
      <c r="AA80" s="3">
        <f t="shared" si="209"/>
        <v>0.015234010814842439</v>
      </c>
      <c r="AB80" s="3">
        <f t="shared" si="209"/>
        <v>0.011482317531978932</v>
      </c>
      <c r="AC80" s="3">
        <f t="shared" si="209"/>
        <v>0.013494870887866996</v>
      </c>
      <c r="AD80" s="6"/>
      <c r="AE80" s="6"/>
      <c r="AF80" s="3">
        <f t="shared" si="210" ref="AF80:AL80">AF13</f>
        <v>0.013508505979450901</v>
      </c>
      <c r="AG80" s="3">
        <f t="shared" si="210"/>
        <v>0.013207869974337042</v>
      </c>
      <c r="AH80" s="3">
        <f t="shared" si="210"/>
        <v>0.013686098654708519</v>
      </c>
      <c r="AI80" s="3">
        <f t="shared" si="210"/>
        <v>0.014954510993176651</v>
      </c>
      <c r="AJ80" s="3">
        <f t="shared" si="210"/>
        <v>0.015234010814842439</v>
      </c>
      <c r="AK80" s="3">
        <f t="shared" si="210"/>
        <v>0.013204665161775771</v>
      </c>
      <c r="AL80" s="3">
        <f t="shared" si="210"/>
        <v>0.015519101521047044</v>
      </c>
      <c r="AM80" s="6"/>
      <c r="AN80" s="6"/>
      <c r="AO80" s="3">
        <f t="shared" si="211" ref="AO80:AU80">AO13</f>
        <v>0.013508505979450901</v>
      </c>
      <c r="AP80" s="3">
        <f t="shared" si="211"/>
        <v>0.013207869974337042</v>
      </c>
      <c r="AQ80" s="3">
        <f t="shared" si="211"/>
        <v>0.013686098654708519</v>
      </c>
      <c r="AR80" s="3">
        <f t="shared" si="211"/>
        <v>0.014954510993176651</v>
      </c>
      <c r="AS80" s="3">
        <f t="shared" si="211"/>
        <v>0.015234010814842439</v>
      </c>
      <c r="AT80" s="3">
        <f t="shared" si="211"/>
        <v>0.0097599699021820915</v>
      </c>
      <c r="AU80" s="3">
        <f t="shared" si="211"/>
        <v>0.011470640254686946</v>
      </c>
    </row>
    <row r="81" spans="21:47" ht="15.5">
      <c r="U81" s="5" t="s">
        <v>336</v>
      </c>
      <c r="V81" s="20" t="s">
        <v>121</v>
      </c>
      <c r="W81" s="6">
        <f t="shared" si="212" ref="W81:AC81">W14-W15</f>
        <v>0.010830385716691954</v>
      </c>
      <c r="X81" s="6">
        <f t="shared" si="212"/>
        <v>0.010402053036783571</v>
      </c>
      <c r="Y81" s="6">
        <f t="shared" si="212"/>
        <v>0.010708520179372211</v>
      </c>
      <c r="Z81" s="6">
        <f t="shared" si="212"/>
        <v>0.011770280515542103</v>
      </c>
      <c r="AA81" s="6">
        <f t="shared" si="212"/>
        <v>0.011933619242961019</v>
      </c>
      <c r="AB81" s="6">
        <f t="shared" si="212"/>
        <v>0.0089841986455981848</v>
      </c>
      <c r="AC81" s="6">
        <f t="shared" si="212"/>
        <v>0.010558896356561737</v>
      </c>
      <c r="AD81" s="6"/>
      <c r="AE81" s="6"/>
      <c r="AF81" s="6">
        <f t="shared" si="213" ref="AF81:AL81">AF14-AF15</f>
        <v>0.010830385716691954</v>
      </c>
      <c r="AG81" s="6">
        <f t="shared" si="213"/>
        <v>0.010402053036783571</v>
      </c>
      <c r="AH81" s="6">
        <f t="shared" si="213"/>
        <v>0.010708520179372211</v>
      </c>
      <c r="AI81" s="6">
        <f t="shared" si="213"/>
        <v>0.011770280515542103</v>
      </c>
      <c r="AJ81" s="6">
        <f t="shared" si="213"/>
        <v>0.011933619242961019</v>
      </c>
      <c r="AK81" s="6">
        <f t="shared" si="213"/>
        <v>0.010331828442437935</v>
      </c>
      <c r="AL81" s="6">
        <f t="shared" si="213"/>
        <v>0.012142730810045993</v>
      </c>
      <c r="AM81" s="6"/>
      <c r="AN81" s="6"/>
      <c r="AO81" s="6">
        <f t="shared" si="214" ref="AO81:AU81">AO14-AO15</f>
        <v>0.010830385716691954</v>
      </c>
      <c r="AP81" s="6">
        <f t="shared" si="214"/>
        <v>0.010402053036783571</v>
      </c>
      <c r="AQ81" s="6">
        <f t="shared" si="214"/>
        <v>0.010708520179372211</v>
      </c>
      <c r="AR81" s="6">
        <f t="shared" si="214"/>
        <v>0.011770280515542103</v>
      </c>
      <c r="AS81" s="6">
        <f t="shared" si="214"/>
        <v>0.011933619242961019</v>
      </c>
      <c r="AT81" s="6">
        <f t="shared" si="214"/>
        <v>0.0076365688487584626</v>
      </c>
      <c r="AU81" s="6">
        <f t="shared" si="214"/>
        <v>0.0089750619030774664</v>
      </c>
    </row>
    <row r="82" spans="21:47" ht="15.5">
      <c r="U82" s="5"/>
      <c r="V82" s="21" t="s">
        <v>333</v>
      </c>
      <c r="W82" s="6">
        <f t="shared" si="215" ref="W82:AC82">W16</f>
        <v>0.044702711807310079</v>
      </c>
      <c r="X82" s="6">
        <f t="shared" si="215"/>
        <v>0.042805816937553462</v>
      </c>
      <c r="Y82" s="6">
        <f t="shared" si="215"/>
        <v>0.044125560538116587</v>
      </c>
      <c r="Z82" s="6">
        <f t="shared" si="215"/>
        <v>0.045640636846095532</v>
      </c>
      <c r="AA82" s="6">
        <f t="shared" si="215"/>
        <v>0.046727577848219272</v>
      </c>
      <c r="AB82" s="6">
        <f t="shared" si="215"/>
        <v>0.037020316027088038</v>
      </c>
      <c r="AC82" s="6">
        <f t="shared" si="215"/>
        <v>0.043509020162716662</v>
      </c>
      <c r="AD82" s="6"/>
      <c r="AE82" s="6"/>
      <c r="AF82" s="6">
        <f t="shared" si="216" ref="AF82:AL82">AF16</f>
        <v>0.044702711807310079</v>
      </c>
      <c r="AG82" s="6">
        <f t="shared" si="216"/>
        <v>0.042805816937553462</v>
      </c>
      <c r="AH82" s="6">
        <f t="shared" si="216"/>
        <v>0.044125560538116587</v>
      </c>
      <c r="AI82" s="6">
        <f t="shared" si="216"/>
        <v>0.045640636846095532</v>
      </c>
      <c r="AJ82" s="6">
        <f t="shared" si="216"/>
        <v>0.046727577848219272</v>
      </c>
      <c r="AK82" s="6">
        <f t="shared" si="216"/>
        <v>0.042573363431151243</v>
      </c>
      <c r="AL82" s="6">
        <f t="shared" si="216"/>
        <v>0.050035373187124157</v>
      </c>
      <c r="AM82" s="6"/>
      <c r="AN82" s="6"/>
      <c r="AO82" s="6">
        <f t="shared" si="217" ref="AO82:AU82">AO16</f>
        <v>0.044702711807310079</v>
      </c>
      <c r="AP82" s="6">
        <f t="shared" si="217"/>
        <v>0.042805816937553462</v>
      </c>
      <c r="AQ82" s="6">
        <f t="shared" si="217"/>
        <v>0.044125560538116587</v>
      </c>
      <c r="AR82" s="6">
        <f t="shared" si="217"/>
        <v>0.045640636846095532</v>
      </c>
      <c r="AS82" s="6">
        <f t="shared" si="217"/>
        <v>0.046727577848219272</v>
      </c>
      <c r="AT82" s="6">
        <f t="shared" si="217"/>
        <v>0.031467268623024833</v>
      </c>
      <c r="AU82" s="6">
        <f t="shared" si="217"/>
        <v>0.03698266713830916</v>
      </c>
    </row>
    <row r="83" spans="21:47" ht="15.5">
      <c r="U83" s="5"/>
      <c r="V83" s="20" t="s">
        <v>334</v>
      </c>
      <c r="W83" s="6">
        <f t="shared" si="218" ref="W83:AC83">W17</f>
        <v>0.072494525854808825</v>
      </c>
      <c r="X83" s="6">
        <f t="shared" si="218"/>
        <v>0.070607356715141151</v>
      </c>
      <c r="Y83" s="6">
        <f t="shared" si="218"/>
        <v>0.073201793721973094</v>
      </c>
      <c r="Z83" s="6">
        <f t="shared" si="218"/>
        <v>0.076516300227445044</v>
      </c>
      <c r="AA83" s="6">
        <f t="shared" si="218"/>
        <v>0.080384113369382809</v>
      </c>
      <c r="AB83" s="6">
        <f t="shared" si="218"/>
        <v>0.061414597441685481</v>
      </c>
      <c r="AC83" s="6">
        <f t="shared" si="218"/>
        <v>0.072178988326848256</v>
      </c>
      <c r="AD83" s="6"/>
      <c r="AE83" s="6"/>
      <c r="AF83" s="6">
        <f t="shared" si="219" ref="AF83:AL83">AF17</f>
        <v>0.072494525854808825</v>
      </c>
      <c r="AG83" s="6">
        <f t="shared" si="219"/>
        <v>0.070607356715141151</v>
      </c>
      <c r="AH83" s="6">
        <f t="shared" si="219"/>
        <v>0.073201793721973094</v>
      </c>
      <c r="AI83" s="6">
        <f t="shared" si="219"/>
        <v>0.076516300227445044</v>
      </c>
      <c r="AJ83" s="6">
        <f t="shared" si="219"/>
        <v>0.080384113369382809</v>
      </c>
      <c r="AK83" s="6">
        <f t="shared" si="219"/>
        <v>0.070626787057938303</v>
      </c>
      <c r="AL83" s="6">
        <f t="shared" si="219"/>
        <v>0.083005836575875486</v>
      </c>
      <c r="AM83" s="6"/>
      <c r="AN83" s="6"/>
      <c r="AO83" s="6">
        <f t="shared" si="220" ref="AO83:AU83">AO17</f>
        <v>0.072494525854808825</v>
      </c>
      <c r="AP83" s="6">
        <f t="shared" si="220"/>
        <v>0.070607356715141151</v>
      </c>
      <c r="AQ83" s="6">
        <f t="shared" si="220"/>
        <v>0.073201793721973094</v>
      </c>
      <c r="AR83" s="6">
        <f t="shared" si="220"/>
        <v>0.076516300227445044</v>
      </c>
      <c r="AS83" s="6">
        <f t="shared" si="220"/>
        <v>0.080384113369382809</v>
      </c>
      <c r="AT83" s="6">
        <f t="shared" si="220"/>
        <v>0.052202407825432659</v>
      </c>
      <c r="AU83" s="6">
        <f t="shared" si="220"/>
        <v>0.061352140077821013</v>
      </c>
    </row>
    <row r="84" spans="21:47" ht="15.5">
      <c r="U84" s="5"/>
      <c r="V84" s="20" t="s">
        <v>335</v>
      </c>
      <c r="W84" s="6">
        <f t="shared" si="221" ref="W84:AC84">W18</f>
        <v>0.013154791982482733</v>
      </c>
      <c r="X84" s="6">
        <f t="shared" si="221"/>
        <v>0.012865697177074423</v>
      </c>
      <c r="Y84" s="6">
        <f t="shared" si="221"/>
        <v>0.013327354260089684</v>
      </c>
      <c r="Z84" s="6">
        <f t="shared" si="221"/>
        <v>0.014556482183472327</v>
      </c>
      <c r="AA84" s="6">
        <f t="shared" si="221"/>
        <v>0.014861085213499907</v>
      </c>
      <c r="AB84" s="6">
        <f t="shared" si="221"/>
        <v>0.011181339352896915</v>
      </c>
      <c r="AC84" s="6">
        <f t="shared" si="221"/>
        <v>0.013141139016625397</v>
      </c>
      <c r="AD84" s="6"/>
      <c r="AE84" s="6"/>
      <c r="AF84" s="6">
        <f t="shared" si="222" ref="AF84:AL84">AF18</f>
        <v>0.013154791982482733</v>
      </c>
      <c r="AG84" s="6">
        <f t="shared" si="222"/>
        <v>0.012865697177074423</v>
      </c>
      <c r="AH84" s="6">
        <f t="shared" si="222"/>
        <v>0.013327354260089684</v>
      </c>
      <c r="AI84" s="6">
        <f t="shared" si="222"/>
        <v>0.014556482183472327</v>
      </c>
      <c r="AJ84" s="6">
        <f t="shared" si="222"/>
        <v>0.014861085213499907</v>
      </c>
      <c r="AK84" s="6">
        <f t="shared" si="222"/>
        <v>0.012858540255831451</v>
      </c>
      <c r="AL84" s="6">
        <f t="shared" si="222"/>
        <v>0.015112309869119205</v>
      </c>
      <c r="AM84" s="6"/>
      <c r="AN84" s="6"/>
      <c r="AO84" s="6">
        <f t="shared" si="223" ref="AO84:AU84">AO18</f>
        <v>0.013154791982482733</v>
      </c>
      <c r="AP84" s="6">
        <f t="shared" si="223"/>
        <v>0.012865697177074423</v>
      </c>
      <c r="AQ84" s="6">
        <f t="shared" si="223"/>
        <v>0.013327354260089684</v>
      </c>
      <c r="AR84" s="6">
        <f t="shared" si="223"/>
        <v>0.014556482183472327</v>
      </c>
      <c r="AS84" s="6">
        <f t="shared" si="223"/>
        <v>0.014861085213499907</v>
      </c>
      <c r="AT84" s="6">
        <f t="shared" si="223"/>
        <v>0.0095041384499623769</v>
      </c>
      <c r="AU84" s="6">
        <f t="shared" si="223"/>
        <v>0.011169968164131587</v>
      </c>
    </row>
    <row r="85" spans="21:47" ht="15.5">
      <c r="U85" s="5" t="s">
        <v>336</v>
      </c>
      <c r="V85" s="20" t="s">
        <v>121</v>
      </c>
      <c r="W85" s="22">
        <f t="shared" si="224" ref="W85:AC85">W81</f>
        <v>0.010830385716691954</v>
      </c>
      <c r="X85" s="22">
        <f t="shared" si="224"/>
        <v>0.010402053036783571</v>
      </c>
      <c r="Y85" s="22">
        <f t="shared" si="224"/>
        <v>0.010708520179372211</v>
      </c>
      <c r="Z85" s="22">
        <f t="shared" si="224"/>
        <v>0.011770280515542103</v>
      </c>
      <c r="AA85" s="22">
        <f t="shared" si="224"/>
        <v>0.011933619242961019</v>
      </c>
      <c r="AB85" s="22">
        <f t="shared" si="224"/>
        <v>0.0089841986455981848</v>
      </c>
      <c r="AC85" s="22">
        <f t="shared" si="224"/>
        <v>0.010558896356561737</v>
      </c>
      <c r="AD85" s="6"/>
      <c r="AE85" s="6"/>
      <c r="AF85" s="22">
        <f t="shared" si="225" ref="AF85:AL85">AF81</f>
        <v>0.010830385716691954</v>
      </c>
      <c r="AG85" s="22">
        <f t="shared" si="225"/>
        <v>0.010402053036783571</v>
      </c>
      <c r="AH85" s="22">
        <f t="shared" si="225"/>
        <v>0.010708520179372211</v>
      </c>
      <c r="AI85" s="22">
        <f t="shared" si="225"/>
        <v>0.011770280515542103</v>
      </c>
      <c r="AJ85" s="22">
        <f t="shared" si="225"/>
        <v>0.011933619242961019</v>
      </c>
      <c r="AK85" s="22">
        <f t="shared" si="225"/>
        <v>0.010331828442437935</v>
      </c>
      <c r="AL85" s="22">
        <f t="shared" si="225"/>
        <v>0.012142730810045993</v>
      </c>
      <c r="AM85" s="6"/>
      <c r="AN85" s="6"/>
      <c r="AO85" s="22">
        <f t="shared" si="226" ref="AO85:AU85">AO81</f>
        <v>0.010830385716691954</v>
      </c>
      <c r="AP85" s="22">
        <f t="shared" si="226"/>
        <v>0.010402053036783571</v>
      </c>
      <c r="AQ85" s="22">
        <f t="shared" si="226"/>
        <v>0.010708520179372211</v>
      </c>
      <c r="AR85" s="22">
        <f t="shared" si="226"/>
        <v>0.011770280515542103</v>
      </c>
      <c r="AS85" s="22">
        <f t="shared" si="226"/>
        <v>0.011933619242961019</v>
      </c>
      <c r="AT85" s="22">
        <f t="shared" si="226"/>
        <v>0.0076365688487584626</v>
      </c>
      <c r="AU85" s="22">
        <f t="shared" si="226"/>
        <v>0.0089750619030774664</v>
      </c>
    </row>
    <row r="86" spans="21:47" ht="15.5">
      <c r="U86" s="5"/>
      <c r="V86" s="21" t="s">
        <v>333</v>
      </c>
      <c r="W86" s="22">
        <f t="shared" si="227" ref="W86:AC86">W82</f>
        <v>0.044702711807310079</v>
      </c>
      <c r="X86" s="22">
        <f t="shared" si="227"/>
        <v>0.042805816937553462</v>
      </c>
      <c r="Y86" s="22">
        <f t="shared" si="227"/>
        <v>0.044125560538116587</v>
      </c>
      <c r="Z86" s="22">
        <f t="shared" si="227"/>
        <v>0.045640636846095532</v>
      </c>
      <c r="AA86" s="22">
        <f t="shared" si="227"/>
        <v>0.046727577848219272</v>
      </c>
      <c r="AB86" s="22">
        <f t="shared" si="227"/>
        <v>0.037020316027088038</v>
      </c>
      <c r="AC86" s="22">
        <f t="shared" si="227"/>
        <v>0.043509020162716662</v>
      </c>
      <c r="AD86" s="6"/>
      <c r="AE86" s="6"/>
      <c r="AF86" s="22">
        <f t="shared" si="228" ref="AF86:AL86">AF82</f>
        <v>0.044702711807310079</v>
      </c>
      <c r="AG86" s="22">
        <f t="shared" si="228"/>
        <v>0.042805816937553462</v>
      </c>
      <c r="AH86" s="22">
        <f t="shared" si="228"/>
        <v>0.044125560538116587</v>
      </c>
      <c r="AI86" s="22">
        <f t="shared" si="228"/>
        <v>0.045640636846095532</v>
      </c>
      <c r="AJ86" s="22">
        <f t="shared" si="228"/>
        <v>0.046727577848219272</v>
      </c>
      <c r="AK86" s="22">
        <f t="shared" si="228"/>
        <v>0.042573363431151243</v>
      </c>
      <c r="AL86" s="22">
        <f t="shared" si="228"/>
        <v>0.050035373187124157</v>
      </c>
      <c r="AM86" s="6"/>
      <c r="AN86" s="6"/>
      <c r="AO86" s="22">
        <f t="shared" si="229" ref="AO86:AU86">AO82</f>
        <v>0.044702711807310079</v>
      </c>
      <c r="AP86" s="22">
        <f t="shared" si="229"/>
        <v>0.042805816937553462</v>
      </c>
      <c r="AQ86" s="22">
        <f t="shared" si="229"/>
        <v>0.044125560538116587</v>
      </c>
      <c r="AR86" s="22">
        <f t="shared" si="229"/>
        <v>0.045640636846095532</v>
      </c>
      <c r="AS86" s="22">
        <f t="shared" si="229"/>
        <v>0.046727577848219272</v>
      </c>
      <c r="AT86" s="22">
        <f t="shared" si="229"/>
        <v>0.031467268623024833</v>
      </c>
      <c r="AU86" s="22">
        <f t="shared" si="229"/>
        <v>0.03698266713830916</v>
      </c>
    </row>
    <row r="87" spans="21:47" ht="15.5">
      <c r="U87" s="5"/>
      <c r="V87" s="20" t="s">
        <v>334</v>
      </c>
      <c r="W87" s="22">
        <f t="shared" si="230" ref="W87:AC87">W83</f>
        <v>0.072494525854808825</v>
      </c>
      <c r="X87" s="22">
        <f t="shared" si="230"/>
        <v>0.070607356715141151</v>
      </c>
      <c r="Y87" s="22">
        <f t="shared" si="230"/>
        <v>0.073201793721973094</v>
      </c>
      <c r="Z87" s="22">
        <f t="shared" si="230"/>
        <v>0.076516300227445044</v>
      </c>
      <c r="AA87" s="22">
        <f t="shared" si="230"/>
        <v>0.080384113369382809</v>
      </c>
      <c r="AB87" s="22">
        <f t="shared" si="230"/>
        <v>0.061414597441685481</v>
      </c>
      <c r="AC87" s="22">
        <f t="shared" si="230"/>
        <v>0.072178988326848256</v>
      </c>
      <c r="AD87" s="6"/>
      <c r="AE87" s="6"/>
      <c r="AF87" s="22">
        <f t="shared" si="231" ref="AF87:AL87">AF83</f>
        <v>0.072494525854808825</v>
      </c>
      <c r="AG87" s="22">
        <f t="shared" si="231"/>
        <v>0.070607356715141151</v>
      </c>
      <c r="AH87" s="22">
        <f t="shared" si="231"/>
        <v>0.073201793721973094</v>
      </c>
      <c r="AI87" s="22">
        <f t="shared" si="231"/>
        <v>0.076516300227445044</v>
      </c>
      <c r="AJ87" s="22">
        <f t="shared" si="231"/>
        <v>0.080384113369382809</v>
      </c>
      <c r="AK87" s="22">
        <f t="shared" si="231"/>
        <v>0.070626787057938303</v>
      </c>
      <c r="AL87" s="22">
        <f t="shared" si="231"/>
        <v>0.083005836575875486</v>
      </c>
      <c r="AM87" s="6"/>
      <c r="AN87" s="6"/>
      <c r="AO87" s="22">
        <f t="shared" si="232" ref="AO87:AU87">AO83</f>
        <v>0.072494525854808825</v>
      </c>
      <c r="AP87" s="22">
        <f t="shared" si="232"/>
        <v>0.070607356715141151</v>
      </c>
      <c r="AQ87" s="22">
        <f t="shared" si="232"/>
        <v>0.073201793721973094</v>
      </c>
      <c r="AR87" s="22">
        <f t="shared" si="232"/>
        <v>0.076516300227445044</v>
      </c>
      <c r="AS87" s="22">
        <f t="shared" si="232"/>
        <v>0.080384113369382809</v>
      </c>
      <c r="AT87" s="22">
        <f t="shared" si="232"/>
        <v>0.052202407825432659</v>
      </c>
      <c r="AU87" s="22">
        <f t="shared" si="232"/>
        <v>0.061352140077821013</v>
      </c>
    </row>
    <row r="88" spans="21:47" ht="15.5">
      <c r="U88" s="5"/>
      <c r="V88" s="20" t="s">
        <v>335</v>
      </c>
      <c r="W88" s="22">
        <f t="shared" si="233" ref="W88:AC88">W84</f>
        <v>0.013154791982482733</v>
      </c>
      <c r="X88" s="22">
        <f t="shared" si="233"/>
        <v>0.012865697177074423</v>
      </c>
      <c r="Y88" s="22">
        <f t="shared" si="233"/>
        <v>0.013327354260089684</v>
      </c>
      <c r="Z88" s="22">
        <f t="shared" si="233"/>
        <v>0.014556482183472327</v>
      </c>
      <c r="AA88" s="22">
        <f t="shared" si="233"/>
        <v>0.014861085213499907</v>
      </c>
      <c r="AB88" s="22">
        <f t="shared" si="233"/>
        <v>0.011181339352896915</v>
      </c>
      <c r="AC88" s="22">
        <f t="shared" si="233"/>
        <v>0.013141139016625397</v>
      </c>
      <c r="AD88" s="6"/>
      <c r="AE88" s="6"/>
      <c r="AF88" s="22">
        <f t="shared" si="234" ref="AF88:AL88">AF84</f>
        <v>0.013154791982482733</v>
      </c>
      <c r="AG88" s="22">
        <f t="shared" si="234"/>
        <v>0.012865697177074423</v>
      </c>
      <c r="AH88" s="22">
        <f t="shared" si="234"/>
        <v>0.013327354260089684</v>
      </c>
      <c r="AI88" s="22">
        <f t="shared" si="234"/>
        <v>0.014556482183472327</v>
      </c>
      <c r="AJ88" s="22">
        <f t="shared" si="234"/>
        <v>0.014861085213499907</v>
      </c>
      <c r="AK88" s="22">
        <f t="shared" si="234"/>
        <v>0.012858540255831451</v>
      </c>
      <c r="AL88" s="22">
        <f t="shared" si="234"/>
        <v>0.015112309869119205</v>
      </c>
      <c r="AM88" s="6"/>
      <c r="AN88" s="6"/>
      <c r="AO88" s="22">
        <f t="shared" si="235" ref="AO88:AU88">AO84</f>
        <v>0.013154791982482733</v>
      </c>
      <c r="AP88" s="22">
        <f t="shared" si="235"/>
        <v>0.012865697177074423</v>
      </c>
      <c r="AQ88" s="22">
        <f t="shared" si="235"/>
        <v>0.013327354260089684</v>
      </c>
      <c r="AR88" s="22">
        <f t="shared" si="235"/>
        <v>0.014556482183472327</v>
      </c>
      <c r="AS88" s="22">
        <f t="shared" si="235"/>
        <v>0.014861085213499907</v>
      </c>
      <c r="AT88" s="22">
        <f t="shared" si="235"/>
        <v>0.0095041384499623769</v>
      </c>
      <c r="AU88" s="22">
        <f t="shared" si="235"/>
        <v>0.011169968164131587</v>
      </c>
    </row>
    <row r="89" spans="21:47" ht="15.5">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spans="21:47" ht="15.5">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spans="21:47" ht="15.5">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spans="21:47" ht="15.5">
      <c r="U92" s="6"/>
      <c r="V92" s="6"/>
      <c r="W92" s="6" t="s">
        <v>302</v>
      </c>
      <c r="X92" s="6" t="s">
        <v>303</v>
      </c>
      <c r="Y92" s="10" t="s">
        <v>304</v>
      </c>
      <c r="Z92" s="6" t="s">
        <v>305</v>
      </c>
      <c r="AA92" s="6" t="s">
        <v>306</v>
      </c>
      <c r="AB92" s="12" t="s">
        <v>307</v>
      </c>
      <c r="AC92" s="12" t="s">
        <v>308</v>
      </c>
      <c r="AD92" s="6"/>
      <c r="AE92" s="6"/>
      <c r="AF92" s="6" t="s">
        <v>302</v>
      </c>
      <c r="AG92" s="6" t="s">
        <v>303</v>
      </c>
      <c r="AH92" s="10" t="s">
        <v>304</v>
      </c>
      <c r="AI92" s="6" t="s">
        <v>305</v>
      </c>
      <c r="AJ92" s="6" t="s">
        <v>306</v>
      </c>
      <c r="AK92" s="12" t="s">
        <v>307</v>
      </c>
      <c r="AL92" s="12" t="s">
        <v>308</v>
      </c>
      <c r="AM92" s="6"/>
      <c r="AN92" s="6"/>
      <c r="AO92" s="6" t="s">
        <v>302</v>
      </c>
      <c r="AP92" s="6" t="s">
        <v>303</v>
      </c>
      <c r="AQ92" s="10" t="s">
        <v>304</v>
      </c>
      <c r="AR92" s="6" t="s">
        <v>305</v>
      </c>
      <c r="AS92" s="6" t="s">
        <v>306</v>
      </c>
      <c r="AT92" s="12" t="s">
        <v>307</v>
      </c>
      <c r="AU92" s="12" t="s">
        <v>308</v>
      </c>
    </row>
    <row r="93" spans="21:47" ht="14.5">
      <c r="U93" s="5" t="s">
        <v>309</v>
      </c>
      <c r="V93" s="20" t="s">
        <v>121</v>
      </c>
      <c r="W93" s="3">
        <f t="shared" si="236" ref="W93:AC93">W24-W25</f>
        <v>0.011554657234293414</v>
      </c>
      <c r="X93" s="3">
        <f t="shared" si="236"/>
        <v>0.011086398631308808</v>
      </c>
      <c r="Y93" s="3">
        <f t="shared" si="236"/>
        <v>0.011461883408071721</v>
      </c>
      <c r="Z93" s="3">
        <f t="shared" si="236"/>
        <v>0.011751326762698994</v>
      </c>
      <c r="AA93" s="3">
        <f t="shared" si="236"/>
        <v>0.011970911803095285</v>
      </c>
      <c r="AB93" s="3">
        <f t="shared" si="236"/>
        <v>0.0096162528216704179</v>
      </c>
      <c r="AC93" s="3">
        <f t="shared" si="236"/>
        <v>0.011301733286169069</v>
      </c>
      <c r="AF93" s="3">
        <f t="shared" si="237" ref="AF93:AL93">AF24-AF25</f>
        <v>0.011554657234293414</v>
      </c>
      <c r="AG93" s="3">
        <f t="shared" si="237"/>
        <v>0.011086398631308808</v>
      </c>
      <c r="AH93" s="3">
        <f t="shared" si="237"/>
        <v>0.011461883408071721</v>
      </c>
      <c r="AI93" s="3">
        <f t="shared" si="237"/>
        <v>0.011751326762698994</v>
      </c>
      <c r="AJ93" s="3">
        <f t="shared" si="237"/>
        <v>0.011970911803095285</v>
      </c>
      <c r="AK93" s="3">
        <f t="shared" si="237"/>
        <v>0.011058690744920968</v>
      </c>
      <c r="AL93" s="3">
        <f t="shared" si="237"/>
        <v>0.012996993279094426</v>
      </c>
      <c r="AO93" s="3">
        <f t="shared" si="238" ref="AO93:AU93">AO24-AO25</f>
        <v>0.011554657234293414</v>
      </c>
      <c r="AP93" s="3">
        <f t="shared" si="238"/>
        <v>0.011086398631308808</v>
      </c>
      <c r="AQ93" s="3">
        <f t="shared" si="238"/>
        <v>0.011461883408071721</v>
      </c>
      <c r="AR93" s="3">
        <f t="shared" si="238"/>
        <v>0.011751326762698994</v>
      </c>
      <c r="AS93" s="3">
        <f t="shared" si="238"/>
        <v>0.011970911803095285</v>
      </c>
      <c r="AT93" s="3">
        <f t="shared" si="238"/>
        <v>0.0081738148984198539</v>
      </c>
      <c r="AU93" s="3">
        <f t="shared" si="238"/>
        <v>0.0096064732932437114</v>
      </c>
    </row>
    <row r="94" spans="21:47" ht="14.5">
      <c r="U94" s="5"/>
      <c r="V94" s="21" t="s">
        <v>333</v>
      </c>
      <c r="W94" s="3">
        <f t="shared" si="239" ref="W94:AC94">W26</f>
        <v>0.02521475492673067</v>
      </c>
      <c r="X94" s="3">
        <f t="shared" si="239"/>
        <v>0.024260051325919591</v>
      </c>
      <c r="Y94" s="3">
        <f t="shared" si="239"/>
        <v>0.025094170403587444</v>
      </c>
      <c r="Z94" s="3">
        <f t="shared" si="239"/>
        <v>0.025758150113722518</v>
      </c>
      <c r="AA94" s="3">
        <f t="shared" si="239"/>
        <v>0.026253962334514262</v>
      </c>
      <c r="AB94" s="3">
        <f t="shared" si="239"/>
        <v>0.021053423626787058</v>
      </c>
      <c r="AC94" s="3">
        <f t="shared" si="239"/>
        <v>0.024743544393349842</v>
      </c>
      <c r="AF94" s="3">
        <f t="shared" si="240" ref="AF94:AL94">AF26</f>
        <v>0.02521475492673067</v>
      </c>
      <c r="AG94" s="3">
        <f t="shared" si="240"/>
        <v>0.024260051325919591</v>
      </c>
      <c r="AH94" s="3">
        <f t="shared" si="240"/>
        <v>0.025094170403587444</v>
      </c>
      <c r="AI94" s="3">
        <f t="shared" si="240"/>
        <v>0.025758150113722518</v>
      </c>
      <c r="AJ94" s="3">
        <f t="shared" si="240"/>
        <v>0.026253962334514262</v>
      </c>
      <c r="AK94" s="3">
        <f t="shared" si="240"/>
        <v>0.024211437170805115</v>
      </c>
      <c r="AL94" s="3">
        <f t="shared" si="240"/>
        <v>0.028455076052352316</v>
      </c>
      <c r="AO94" s="3">
        <f t="shared" si="241" ref="AO94:AU94">AO26</f>
        <v>0.02521475492673067</v>
      </c>
      <c r="AP94" s="3">
        <f t="shared" si="241"/>
        <v>0.024260051325919591</v>
      </c>
      <c r="AQ94" s="3">
        <f t="shared" si="241"/>
        <v>0.025094170403587444</v>
      </c>
      <c r="AR94" s="3">
        <f t="shared" si="241"/>
        <v>0.025758150113722518</v>
      </c>
      <c r="AS94" s="3">
        <f t="shared" si="241"/>
        <v>0.026253962334514262</v>
      </c>
      <c r="AT94" s="3">
        <f t="shared" si="241"/>
        <v>0.017895410082769</v>
      </c>
      <c r="AU94" s="3">
        <f t="shared" si="241"/>
        <v>0.021032012734347363</v>
      </c>
    </row>
    <row r="95" spans="21:47" ht="14.5">
      <c r="U95" s="5"/>
      <c r="V95" s="20" t="s">
        <v>334</v>
      </c>
      <c r="W95" s="3">
        <f t="shared" si="242" ref="W95:AC95">W27</f>
        <v>0.0978103419235304</v>
      </c>
      <c r="X95" s="3">
        <f t="shared" si="242"/>
        <v>0.094781864841745098</v>
      </c>
      <c r="Y95" s="3">
        <f t="shared" si="242"/>
        <v>0.098260089686098645</v>
      </c>
      <c r="Z95" s="3">
        <f t="shared" si="242"/>
        <v>0.099696739954511004</v>
      </c>
      <c r="AA95" s="3">
        <f t="shared" si="242"/>
        <v>0.10395301137423082</v>
      </c>
      <c r="AB95" s="3">
        <f t="shared" si="242"/>
        <v>0.082437923250564329</v>
      </c>
      <c r="AC95" s="3">
        <f t="shared" si="242"/>
        <v>0.096887159533073919</v>
      </c>
      <c r="AF95" s="3">
        <f t="shared" si="243" ref="AF95:AL95">AF27</f>
        <v>0.0978103419235304</v>
      </c>
      <c r="AG95" s="3">
        <f t="shared" si="243"/>
        <v>0.094781864841745098</v>
      </c>
      <c r="AH95" s="3">
        <f t="shared" si="243"/>
        <v>0.098260089686098645</v>
      </c>
      <c r="AI95" s="3">
        <f t="shared" si="243"/>
        <v>0.099696739954511004</v>
      </c>
      <c r="AJ95" s="3">
        <f t="shared" si="243"/>
        <v>0.10395301137423082</v>
      </c>
      <c r="AK95" s="3">
        <f t="shared" si="243"/>
        <v>0.094803611738148968</v>
      </c>
      <c r="AL95" s="3">
        <f t="shared" si="243"/>
        <v>0.11142023346303499</v>
      </c>
      <c r="AO95" s="3">
        <f t="shared" si="244" ref="AO95:AU95">AO27</f>
        <v>0.0978103419235304</v>
      </c>
      <c r="AP95" s="3">
        <f t="shared" si="244"/>
        <v>0.094781864841745098</v>
      </c>
      <c r="AQ95" s="3">
        <f t="shared" si="244"/>
        <v>0.098260089686098645</v>
      </c>
      <c r="AR95" s="3">
        <f t="shared" si="244"/>
        <v>0.099696739954511004</v>
      </c>
      <c r="AS95" s="3">
        <f t="shared" si="244"/>
        <v>0.10395301137423082</v>
      </c>
      <c r="AT95" s="3">
        <f t="shared" si="244"/>
        <v>0.070072234762979677</v>
      </c>
      <c r="AU95" s="3">
        <f t="shared" si="244"/>
        <v>0.082354085603112831</v>
      </c>
    </row>
    <row r="96" spans="21:47" ht="14.5">
      <c r="U96" s="5"/>
      <c r="V96" s="20" t="s">
        <v>335</v>
      </c>
      <c r="W96" s="3">
        <f t="shared" si="245" ref="W96:AC96">W28</f>
        <v>0.013239009600808488</v>
      </c>
      <c r="X96" s="3">
        <f t="shared" si="245"/>
        <v>0.013053892215568862</v>
      </c>
      <c r="Y96" s="3">
        <f t="shared" si="245"/>
        <v>0.013614349775784755</v>
      </c>
      <c r="Z96" s="3">
        <f t="shared" si="245"/>
        <v>0.013968915845337378</v>
      </c>
      <c r="AA96" s="3">
        <f t="shared" si="245"/>
        <v>0.01417117285101622</v>
      </c>
      <c r="AB96" s="3">
        <f t="shared" si="245"/>
        <v>0.01142212189616253</v>
      </c>
      <c r="AC96" s="3">
        <f t="shared" si="245"/>
        <v>0.01342412451361868</v>
      </c>
      <c r="AF96" s="3">
        <f t="shared" si="246" ref="AF96:AL96">AF28</f>
        <v>0.013239009600808488</v>
      </c>
      <c r="AG96" s="3">
        <f t="shared" si="246"/>
        <v>0.013053892215568862</v>
      </c>
      <c r="AH96" s="3">
        <f t="shared" si="246"/>
        <v>0.013614349775784755</v>
      </c>
      <c r="AI96" s="3">
        <f t="shared" si="246"/>
        <v>0.013968915845337378</v>
      </c>
      <c r="AJ96" s="3">
        <f t="shared" si="246"/>
        <v>0.01417117285101622</v>
      </c>
      <c r="AK96" s="3">
        <f t="shared" si="246"/>
        <v>0.013135440180586908</v>
      </c>
      <c r="AL96" s="3">
        <f t="shared" si="246"/>
        <v>0.01543774319066148</v>
      </c>
      <c r="AO96" s="3">
        <f t="shared" si="247" ref="AO96:AU96">AO28</f>
        <v>0.013239009600808488</v>
      </c>
      <c r="AP96" s="3">
        <f t="shared" si="247"/>
        <v>0.013053892215568862</v>
      </c>
      <c r="AQ96" s="3">
        <f t="shared" si="247"/>
        <v>0.013614349775784755</v>
      </c>
      <c r="AR96" s="3">
        <f t="shared" si="247"/>
        <v>0.013968915845337378</v>
      </c>
      <c r="AS96" s="3">
        <f t="shared" si="247"/>
        <v>0.01417117285101622</v>
      </c>
      <c r="AT96" s="3">
        <f t="shared" si="247"/>
        <v>0.0097088036117381499</v>
      </c>
      <c r="AU96" s="3">
        <f t="shared" si="247"/>
        <v>0.011410505836575878</v>
      </c>
    </row>
    <row r="97" spans="21:47" ht="14.5">
      <c r="U97" s="5" t="s">
        <v>315</v>
      </c>
      <c r="V97" s="20" t="s">
        <v>121</v>
      </c>
      <c r="W97" s="3">
        <f t="shared" si="248" ref="W97:AC97">W29-W30</f>
        <v>0.011403065521307071</v>
      </c>
      <c r="X97" s="3">
        <f t="shared" si="248"/>
        <v>0.010932420872540649</v>
      </c>
      <c r="Y97" s="3">
        <f t="shared" si="248"/>
        <v>0.011318385650224222</v>
      </c>
      <c r="Z97" s="3">
        <f t="shared" si="248"/>
        <v>0.011599696739954507</v>
      </c>
      <c r="AA97" s="3">
        <f t="shared" si="248"/>
        <v>0.011803095282491155</v>
      </c>
      <c r="AB97" s="3">
        <f t="shared" si="248"/>
        <v>0.0094958615500376348</v>
      </c>
      <c r="AC97" s="3">
        <f t="shared" si="248"/>
        <v>0.01116024053767245</v>
      </c>
      <c r="AF97" s="3">
        <f t="shared" si="249" ref="AF97:AL97">AF29-AF30</f>
        <v>0.011403065521307071</v>
      </c>
      <c r="AG97" s="3">
        <f t="shared" si="249"/>
        <v>0.010932420872540649</v>
      </c>
      <c r="AH97" s="3">
        <f t="shared" si="249"/>
        <v>0.011318385650224222</v>
      </c>
      <c r="AI97" s="3">
        <f t="shared" si="249"/>
        <v>0.011599696739954507</v>
      </c>
      <c r="AJ97" s="3">
        <f t="shared" si="249"/>
        <v>0.011803095282491155</v>
      </c>
      <c r="AK97" s="3">
        <f t="shared" si="249"/>
        <v>0.010920240782543278</v>
      </c>
      <c r="AL97" s="3">
        <f t="shared" si="249"/>
        <v>0.012834276618323315</v>
      </c>
      <c r="AO97" s="3">
        <f t="shared" si="250" ref="AO97:AU97">AO29-AO30</f>
        <v>0.011403065521307071</v>
      </c>
      <c r="AP97" s="3">
        <f t="shared" si="250"/>
        <v>0.010932420872540649</v>
      </c>
      <c r="AQ97" s="3">
        <f t="shared" si="250"/>
        <v>0.011318385650224222</v>
      </c>
      <c r="AR97" s="3">
        <f t="shared" si="250"/>
        <v>0.011599696739954507</v>
      </c>
      <c r="AS97" s="3">
        <f t="shared" si="250"/>
        <v>0.011803095282491155</v>
      </c>
      <c r="AT97" s="3">
        <f t="shared" si="250"/>
        <v>0.0080714823175319778</v>
      </c>
      <c r="AU97" s="3">
        <f t="shared" si="250"/>
        <v>0.0094862044570215853</v>
      </c>
    </row>
    <row r="98" spans="21:47" ht="14.5">
      <c r="U98" s="5"/>
      <c r="V98" s="21" t="s">
        <v>333</v>
      </c>
      <c r="W98" s="3">
        <f t="shared" si="251" ref="W98:AC98">W31</f>
        <v>0.031025770591207674</v>
      </c>
      <c r="X98" s="3">
        <f t="shared" si="251"/>
        <v>0.02987168520102652</v>
      </c>
      <c r="Y98" s="3">
        <f t="shared" si="251"/>
        <v>0.030923766816143495</v>
      </c>
      <c r="Z98" s="3">
        <f t="shared" si="251"/>
        <v>0.031974981046247158</v>
      </c>
      <c r="AA98" s="3">
        <f t="shared" si="251"/>
        <v>0.03257505127727018</v>
      </c>
      <c r="AB98" s="3">
        <f t="shared" si="251"/>
        <v>0.025944319036869827</v>
      </c>
      <c r="AC98" s="3">
        <f t="shared" si="251"/>
        <v>0.030491687301025822</v>
      </c>
      <c r="AF98" s="3">
        <f t="shared" si="252" ref="AF98:AL98">AF31</f>
        <v>0.031025770591207674</v>
      </c>
      <c r="AG98" s="3">
        <f t="shared" si="252"/>
        <v>0.02987168520102652</v>
      </c>
      <c r="AH98" s="3">
        <f t="shared" si="252"/>
        <v>0.030923766816143495</v>
      </c>
      <c r="AI98" s="3">
        <f t="shared" si="252"/>
        <v>0.031974981046247158</v>
      </c>
      <c r="AJ98" s="3">
        <f t="shared" si="252"/>
        <v>0.03257505127727018</v>
      </c>
      <c r="AK98" s="3">
        <f t="shared" si="252"/>
        <v>0.029835966892400298</v>
      </c>
      <c r="AL98" s="3">
        <f t="shared" si="252"/>
        <v>0.03506544039617969</v>
      </c>
      <c r="AO98" s="3">
        <f t="shared" si="253" ref="AO98:AU98">AO31</f>
        <v>0.031025770591207674</v>
      </c>
      <c r="AP98" s="3">
        <f t="shared" si="253"/>
        <v>0.02987168520102652</v>
      </c>
      <c r="AQ98" s="3">
        <f t="shared" si="253"/>
        <v>0.030923766816143495</v>
      </c>
      <c r="AR98" s="3">
        <f t="shared" si="253"/>
        <v>0.031974981046247158</v>
      </c>
      <c r="AS98" s="3">
        <f t="shared" si="253"/>
        <v>0.03257505127727018</v>
      </c>
      <c r="AT98" s="3">
        <f t="shared" si="253"/>
        <v>0.022052671181339353</v>
      </c>
      <c r="AU98" s="3">
        <f t="shared" si="253"/>
        <v>0.025917934205871948</v>
      </c>
    </row>
    <row r="99" spans="21:47" ht="15.5">
      <c r="U99" s="5"/>
      <c r="V99" s="20" t="s">
        <v>334</v>
      </c>
      <c r="W99" s="3">
        <f t="shared" si="254" ref="W99:AC99">W32</f>
        <v>0.094273201953848751</v>
      </c>
      <c r="X99" s="3">
        <f t="shared" si="254"/>
        <v>0.09136013686911891</v>
      </c>
      <c r="Y99" s="3">
        <f t="shared" si="254"/>
        <v>0.094708520179372202</v>
      </c>
      <c r="Z99" s="3">
        <f t="shared" si="254"/>
        <v>0.095924943138741475</v>
      </c>
      <c r="AA99" s="3">
        <f t="shared" si="254"/>
        <v>0.10011187768040274</v>
      </c>
      <c r="AB99" s="3">
        <f t="shared" si="254"/>
        <v>0.079458239277652373</v>
      </c>
      <c r="AC99" s="3">
        <f t="shared" si="254"/>
        <v>0.093385214007782102</v>
      </c>
      <c r="AD99" s="6"/>
      <c r="AE99" s="6"/>
      <c r="AF99" s="3">
        <f t="shared" si="255" ref="AF99:AL99">AF32</f>
        <v>0.094273201953848751</v>
      </c>
      <c r="AG99" s="3">
        <f t="shared" si="255"/>
        <v>0.09136013686911891</v>
      </c>
      <c r="AH99" s="3">
        <f t="shared" si="255"/>
        <v>0.094708520179372202</v>
      </c>
      <c r="AI99" s="3">
        <f t="shared" si="255"/>
        <v>0.095924943138741475</v>
      </c>
      <c r="AJ99" s="3">
        <f t="shared" si="255"/>
        <v>0.10011187768040274</v>
      </c>
      <c r="AK99" s="3">
        <f t="shared" si="255"/>
        <v>0.091376975169300226</v>
      </c>
      <c r="AL99" s="3">
        <f t="shared" si="255"/>
        <v>0.10739299610894941</v>
      </c>
      <c r="AM99" s="6"/>
      <c r="AN99" s="6"/>
      <c r="AO99" s="3">
        <f t="shared" si="256" ref="AO99:AU99">AO32</f>
        <v>0.094273201953848751</v>
      </c>
      <c r="AP99" s="3">
        <f t="shared" si="256"/>
        <v>0.09136013686911891</v>
      </c>
      <c r="AQ99" s="3">
        <f t="shared" si="256"/>
        <v>0.094708520179372202</v>
      </c>
      <c r="AR99" s="3">
        <f t="shared" si="256"/>
        <v>0.095924943138741475</v>
      </c>
      <c r="AS99" s="3">
        <f t="shared" si="256"/>
        <v>0.10011187768040274</v>
      </c>
      <c r="AT99" s="3">
        <f t="shared" si="256"/>
        <v>0.067539503386004521</v>
      </c>
      <c r="AU99" s="3">
        <f t="shared" si="256"/>
        <v>0.079377431906614782</v>
      </c>
    </row>
    <row r="100" spans="21:47" ht="15.5">
      <c r="U100" s="5"/>
      <c r="V100" s="20" t="s">
        <v>335</v>
      </c>
      <c r="W100" s="3">
        <f t="shared" si="257" ref="W100:AC100">W33</f>
        <v>0.013710628263432709</v>
      </c>
      <c r="X100" s="3">
        <f t="shared" si="257"/>
        <v>0.013515825491873397</v>
      </c>
      <c r="Y100" s="3">
        <f t="shared" si="257"/>
        <v>0.014080717488789238</v>
      </c>
      <c r="Z100" s="3">
        <f t="shared" si="257"/>
        <v>0.014480667172100078</v>
      </c>
      <c r="AA100" s="3">
        <f t="shared" si="257"/>
        <v>0.014674622412828641</v>
      </c>
      <c r="AB100" s="3">
        <f t="shared" si="257"/>
        <v>0.01181339352896915</v>
      </c>
      <c r="AC100" s="3">
        <f t="shared" si="257"/>
        <v>0.013883975946232755</v>
      </c>
      <c r="AD100" s="6"/>
      <c r="AE100" s="6"/>
      <c r="AF100" s="3">
        <f t="shared" si="258" ref="AF100:AL100">AF33</f>
        <v>0.013710628263432709</v>
      </c>
      <c r="AG100" s="3">
        <f t="shared" si="258"/>
        <v>0.013515825491873397</v>
      </c>
      <c r="AH100" s="3">
        <f t="shared" si="258"/>
        <v>0.014080717488789238</v>
      </c>
      <c r="AI100" s="3">
        <f t="shared" si="258"/>
        <v>0.014480667172100078</v>
      </c>
      <c r="AJ100" s="3">
        <f t="shared" si="258"/>
        <v>0.014674622412828641</v>
      </c>
      <c r="AK100" s="3">
        <f t="shared" si="258"/>
        <v>0.013585402558314521</v>
      </c>
      <c r="AL100" s="3">
        <f t="shared" si="258"/>
        <v>0.015966572338167666</v>
      </c>
      <c r="AM100" s="6"/>
      <c r="AN100" s="6"/>
      <c r="AO100" s="3">
        <f t="shared" si="259" ref="AO100:AU100">AO33</f>
        <v>0.013710628263432709</v>
      </c>
      <c r="AP100" s="3">
        <f t="shared" si="259"/>
        <v>0.013515825491873397</v>
      </c>
      <c r="AQ100" s="3">
        <f t="shared" si="259"/>
        <v>0.014080717488789238</v>
      </c>
      <c r="AR100" s="3">
        <f t="shared" si="259"/>
        <v>0.014480667172100078</v>
      </c>
      <c r="AS100" s="3">
        <f t="shared" si="259"/>
        <v>0.014674622412828641</v>
      </c>
      <c r="AT100" s="3">
        <f t="shared" si="259"/>
        <v>0.010041384499623777</v>
      </c>
      <c r="AU100" s="3">
        <f t="shared" si="259"/>
        <v>0.011801379554297841</v>
      </c>
    </row>
    <row r="101" spans="21:47" ht="15.5">
      <c r="U101" s="5" t="s">
        <v>336</v>
      </c>
      <c r="V101" s="20" t="s">
        <v>121</v>
      </c>
      <c r="W101" s="6">
        <f t="shared" si="260" ref="W101:AC101">W34-W35</f>
        <v>0.011840997136601</v>
      </c>
      <c r="X101" s="6">
        <f t="shared" si="260"/>
        <v>0.011377245508982031</v>
      </c>
      <c r="Y101" s="6">
        <f t="shared" si="260"/>
        <v>0.011766816143497727</v>
      </c>
      <c r="Z101" s="6">
        <f t="shared" si="260"/>
        <v>0.01209249431387413</v>
      </c>
      <c r="AA101" s="6">
        <f t="shared" si="260"/>
        <v>0.012287898564236427</v>
      </c>
      <c r="AB101" s="6">
        <f t="shared" si="260"/>
        <v>0.009872084273890136</v>
      </c>
      <c r="AC101" s="6">
        <f t="shared" si="260"/>
        <v>0.01160240537672444</v>
      </c>
      <c r="AD101" s="6"/>
      <c r="AE101" s="6"/>
      <c r="AF101" s="6">
        <f t="shared" si="261" ref="AF101:AL101">AF34-AF35</f>
        <v>0.011840997136601</v>
      </c>
      <c r="AG101" s="6">
        <f t="shared" si="261"/>
        <v>0.011377245508982031</v>
      </c>
      <c r="AH101" s="6">
        <f t="shared" si="261"/>
        <v>0.011766816143497727</v>
      </c>
      <c r="AI101" s="6">
        <f t="shared" si="261"/>
        <v>0.01209249431387413</v>
      </c>
      <c r="AJ101" s="6">
        <f t="shared" si="261"/>
        <v>0.012287898564236427</v>
      </c>
      <c r="AK101" s="6">
        <f t="shared" si="261"/>
        <v>0.011352896914973654</v>
      </c>
      <c r="AL101" s="6">
        <f t="shared" si="261"/>
        <v>0.013342766183233101</v>
      </c>
      <c r="AM101" s="6"/>
      <c r="AN101" s="6"/>
      <c r="AO101" s="6">
        <f t="shared" si="262" ref="AO101:AU101">AO34-AO35</f>
        <v>0.011840997136601</v>
      </c>
      <c r="AP101" s="6">
        <f t="shared" si="262"/>
        <v>0.011377245508982031</v>
      </c>
      <c r="AQ101" s="6">
        <f t="shared" si="262"/>
        <v>0.011766816143497727</v>
      </c>
      <c r="AR101" s="6">
        <f t="shared" si="262"/>
        <v>0.01209249431387413</v>
      </c>
      <c r="AS101" s="6">
        <f t="shared" si="262"/>
        <v>0.012287898564236427</v>
      </c>
      <c r="AT101" s="6">
        <f t="shared" si="262"/>
        <v>0.0083912716328066184</v>
      </c>
      <c r="AU101" s="6">
        <f t="shared" si="262"/>
        <v>0.0098620445702157777</v>
      </c>
    </row>
    <row r="102" spans="21:47" ht="15.5">
      <c r="U102" s="5"/>
      <c r="V102" s="21" t="s">
        <v>333</v>
      </c>
      <c r="W102" s="6">
        <f t="shared" si="263" ref="W102:AC102">W36</f>
        <v>0.040441300320026949</v>
      </c>
      <c r="X102" s="6">
        <f t="shared" si="263"/>
        <v>0.038973481608212152</v>
      </c>
      <c r="Y102" s="6">
        <f t="shared" si="263"/>
        <v>0.040340807174887895</v>
      </c>
      <c r="Z102" s="6">
        <f t="shared" si="263"/>
        <v>0.042020470053070504</v>
      </c>
      <c r="AA102" s="6">
        <f t="shared" si="263"/>
        <v>0.042811859034122692</v>
      </c>
      <c r="AB102" s="6">
        <f t="shared" si="263"/>
        <v>0.033844996237772769</v>
      </c>
      <c r="AC102" s="6">
        <f t="shared" si="263"/>
        <v>0.039777148921117798</v>
      </c>
      <c r="AD102" s="6"/>
      <c r="AE102" s="6"/>
      <c r="AF102" s="6">
        <f t="shared" si="264" ref="AF102:AL102">AF36</f>
        <v>0.040441300320026949</v>
      </c>
      <c r="AG102" s="6">
        <f t="shared" si="264"/>
        <v>0.038973481608212152</v>
      </c>
      <c r="AH102" s="6">
        <f t="shared" si="264"/>
        <v>0.040340807174887895</v>
      </c>
      <c r="AI102" s="6">
        <f t="shared" si="264"/>
        <v>0.042020470053070504</v>
      </c>
      <c r="AJ102" s="6">
        <f t="shared" si="264"/>
        <v>0.042811859034122692</v>
      </c>
      <c r="AK102" s="6">
        <f t="shared" si="264"/>
        <v>0.03892174567343868</v>
      </c>
      <c r="AL102" s="6">
        <f t="shared" si="264"/>
        <v>0.045743721259285462</v>
      </c>
      <c r="AM102" s="6"/>
      <c r="AN102" s="6"/>
      <c r="AO102" s="6">
        <f t="shared" si="265" ref="AO102:AU102">AO36</f>
        <v>0.040441300320026949</v>
      </c>
      <c r="AP102" s="6">
        <f t="shared" si="265"/>
        <v>0.038973481608212152</v>
      </c>
      <c r="AQ102" s="6">
        <f t="shared" si="265"/>
        <v>0.040340807174887895</v>
      </c>
      <c r="AR102" s="6">
        <f t="shared" si="265"/>
        <v>0.042020470053070504</v>
      </c>
      <c r="AS102" s="6">
        <f t="shared" si="265"/>
        <v>0.042811859034122692</v>
      </c>
      <c r="AT102" s="6">
        <f t="shared" si="265"/>
        <v>0.028768246802106854</v>
      </c>
      <c r="AU102" s="6">
        <f t="shared" si="265"/>
        <v>0.033810576582950128</v>
      </c>
    </row>
    <row r="103" spans="21:47" ht="15.5">
      <c r="U103" s="5"/>
      <c r="V103" s="20" t="s">
        <v>334</v>
      </c>
      <c r="W103" s="6">
        <f t="shared" si="266" ref="W103:AC103">W37</f>
        <v>0.087030486777833926</v>
      </c>
      <c r="X103" s="6">
        <f t="shared" si="266"/>
        <v>0.084362703165098391</v>
      </c>
      <c r="Y103" s="6">
        <f t="shared" si="266"/>
        <v>0.087443946188340796</v>
      </c>
      <c r="Z103" s="6">
        <f t="shared" si="266"/>
        <v>0.088191811978771795</v>
      </c>
      <c r="AA103" s="6">
        <f t="shared" si="266"/>
        <v>0.092224501212008203</v>
      </c>
      <c r="AB103" s="6">
        <f t="shared" si="266"/>
        <v>0.07336343115124154</v>
      </c>
      <c r="AC103" s="6">
        <f t="shared" si="266"/>
        <v>0.086222143615139718</v>
      </c>
      <c r="AD103" s="6"/>
      <c r="AE103" s="6"/>
      <c r="AF103" s="6">
        <f t="shared" si="267" ref="AF103:AL103">AF37</f>
        <v>0.087030486777833926</v>
      </c>
      <c r="AG103" s="6">
        <f t="shared" si="267"/>
        <v>0.084362703165098391</v>
      </c>
      <c r="AH103" s="6">
        <f t="shared" si="267"/>
        <v>0.087443946188340796</v>
      </c>
      <c r="AI103" s="6">
        <f t="shared" si="267"/>
        <v>0.088191811978771795</v>
      </c>
      <c r="AJ103" s="6">
        <f t="shared" si="267"/>
        <v>0.092224501212008203</v>
      </c>
      <c r="AK103" s="6">
        <f t="shared" si="267"/>
        <v>0.084367945823927759</v>
      </c>
      <c r="AL103" s="6">
        <f t="shared" si="267"/>
        <v>0.099155465157410666</v>
      </c>
      <c r="AM103" s="6"/>
      <c r="AN103" s="6"/>
      <c r="AO103" s="6">
        <f t="shared" si="268" ref="AO103:AU103">AO37</f>
        <v>0.087030486777833926</v>
      </c>
      <c r="AP103" s="6">
        <f t="shared" si="268"/>
        <v>0.084362703165098391</v>
      </c>
      <c r="AQ103" s="6">
        <f t="shared" si="268"/>
        <v>0.087443946188340796</v>
      </c>
      <c r="AR103" s="6">
        <f t="shared" si="268"/>
        <v>0.088191811978771795</v>
      </c>
      <c r="AS103" s="6">
        <f t="shared" si="268"/>
        <v>0.092224501212008203</v>
      </c>
      <c r="AT103" s="6">
        <f t="shared" si="268"/>
        <v>0.062358916478555307</v>
      </c>
      <c r="AU103" s="6">
        <f t="shared" si="268"/>
        <v>0.073288822072868756</v>
      </c>
    </row>
    <row r="104" spans="21:47" ht="15.5">
      <c r="U104" s="5"/>
      <c r="V104" s="20" t="s">
        <v>335</v>
      </c>
      <c r="W104" s="6">
        <f t="shared" si="269" ref="W104:AC104">W38</f>
        <v>0.013356914266464542</v>
      </c>
      <c r="X104" s="6">
        <f t="shared" si="269"/>
        <v>0.013190761334473907</v>
      </c>
      <c r="Y104" s="6">
        <f t="shared" si="269"/>
        <v>0.013739910313901343</v>
      </c>
      <c r="Z104" s="6">
        <f t="shared" si="269"/>
        <v>0.01410159211523882</v>
      </c>
      <c r="AA104" s="6">
        <f t="shared" si="269"/>
        <v>0.014301696811486108</v>
      </c>
      <c r="AB104" s="6">
        <f t="shared" si="269"/>
        <v>0.011527464258841233</v>
      </c>
      <c r="AC104" s="6">
        <f t="shared" si="269"/>
        <v>0.013547930668553235</v>
      </c>
      <c r="AD104" s="6"/>
      <c r="AE104" s="6"/>
      <c r="AF104" s="6">
        <f t="shared" si="270" ref="AF104:AL104">AF38</f>
        <v>0.013356914266464542</v>
      </c>
      <c r="AG104" s="6">
        <f t="shared" si="270"/>
        <v>0.013190761334473907</v>
      </c>
      <c r="AH104" s="6">
        <f t="shared" si="270"/>
        <v>0.013739910313901343</v>
      </c>
      <c r="AI104" s="6">
        <f t="shared" si="270"/>
        <v>0.01410159211523882</v>
      </c>
      <c r="AJ104" s="6">
        <f t="shared" si="270"/>
        <v>0.014301696811486108</v>
      </c>
      <c r="AK104" s="6">
        <f t="shared" si="270"/>
        <v>0.013256583897667417</v>
      </c>
      <c r="AL104" s="6">
        <f t="shared" si="270"/>
        <v>0.015580120268836218</v>
      </c>
      <c r="AM104" s="6"/>
      <c r="AN104" s="6"/>
      <c r="AO104" s="6">
        <f t="shared" si="271" ref="AO104:AU104">AO38</f>
        <v>0.013356914266464542</v>
      </c>
      <c r="AP104" s="6">
        <f t="shared" si="271"/>
        <v>0.013190761334473907</v>
      </c>
      <c r="AQ104" s="6">
        <f t="shared" si="271"/>
        <v>0.013739910313901343</v>
      </c>
      <c r="AR104" s="6">
        <f t="shared" si="271"/>
        <v>0.01410159211523882</v>
      </c>
      <c r="AS104" s="6">
        <f t="shared" si="271"/>
        <v>0.014301696811486108</v>
      </c>
      <c r="AT104" s="6">
        <f t="shared" si="271"/>
        <v>0.0097983446200150467</v>
      </c>
      <c r="AU104" s="6">
        <f t="shared" si="271"/>
        <v>0.01151574106827025</v>
      </c>
    </row>
    <row r="105" spans="21:47" ht="15.5">
      <c r="U105" s="5" t="s">
        <v>336</v>
      </c>
      <c r="V105" s="20" t="s">
        <v>121</v>
      </c>
      <c r="W105" s="22">
        <f t="shared" si="272" ref="W105:AC105">W101</f>
        <v>0.011840997136601</v>
      </c>
      <c r="X105" s="22">
        <f t="shared" si="272"/>
        <v>0.011377245508982031</v>
      </c>
      <c r="Y105" s="22">
        <f t="shared" si="272"/>
        <v>0.011766816143497727</v>
      </c>
      <c r="Z105" s="22">
        <f t="shared" si="272"/>
        <v>0.01209249431387413</v>
      </c>
      <c r="AA105" s="22">
        <f t="shared" si="272"/>
        <v>0.012287898564236427</v>
      </c>
      <c r="AB105" s="22">
        <f t="shared" si="272"/>
        <v>0.009872084273890136</v>
      </c>
      <c r="AC105" s="22">
        <f t="shared" si="272"/>
        <v>0.01160240537672444</v>
      </c>
      <c r="AD105" s="6"/>
      <c r="AE105" s="6"/>
      <c r="AF105" s="22">
        <f t="shared" si="273" ref="AF105:AL105">AF101</f>
        <v>0.011840997136601</v>
      </c>
      <c r="AG105" s="22">
        <f t="shared" si="273"/>
        <v>0.011377245508982031</v>
      </c>
      <c r="AH105" s="22">
        <f t="shared" si="273"/>
        <v>0.011766816143497727</v>
      </c>
      <c r="AI105" s="22">
        <f t="shared" si="273"/>
        <v>0.01209249431387413</v>
      </c>
      <c r="AJ105" s="22">
        <f t="shared" si="273"/>
        <v>0.012287898564236427</v>
      </c>
      <c r="AK105" s="22">
        <f t="shared" si="273"/>
        <v>0.011352896914973654</v>
      </c>
      <c r="AL105" s="22">
        <f t="shared" si="273"/>
        <v>0.013342766183233101</v>
      </c>
      <c r="AM105" s="6"/>
      <c r="AN105" s="6"/>
      <c r="AO105" s="22">
        <f t="shared" si="274" ref="AO105:AU105">AO101</f>
        <v>0.011840997136601</v>
      </c>
      <c r="AP105" s="22">
        <f t="shared" si="274"/>
        <v>0.011377245508982031</v>
      </c>
      <c r="AQ105" s="22">
        <f t="shared" si="274"/>
        <v>0.011766816143497727</v>
      </c>
      <c r="AR105" s="22">
        <f t="shared" si="274"/>
        <v>0.01209249431387413</v>
      </c>
      <c r="AS105" s="22">
        <f t="shared" si="274"/>
        <v>0.012287898564236427</v>
      </c>
      <c r="AT105" s="22">
        <f t="shared" si="274"/>
        <v>0.0083912716328066184</v>
      </c>
      <c r="AU105" s="22">
        <f t="shared" si="274"/>
        <v>0.0098620445702157777</v>
      </c>
    </row>
    <row r="106" spans="21:47" ht="15.5">
      <c r="U106" s="5"/>
      <c r="V106" s="21" t="s">
        <v>333</v>
      </c>
      <c r="W106" s="22">
        <f t="shared" si="275" ref="W106:AC106">W102</f>
        <v>0.040441300320026949</v>
      </c>
      <c r="X106" s="22">
        <f t="shared" si="275"/>
        <v>0.038973481608212152</v>
      </c>
      <c r="Y106" s="22">
        <f t="shared" si="275"/>
        <v>0.040340807174887895</v>
      </c>
      <c r="Z106" s="22">
        <f t="shared" si="275"/>
        <v>0.042020470053070504</v>
      </c>
      <c r="AA106" s="22">
        <f t="shared" si="275"/>
        <v>0.042811859034122692</v>
      </c>
      <c r="AB106" s="22">
        <f t="shared" si="275"/>
        <v>0.033844996237772769</v>
      </c>
      <c r="AC106" s="22">
        <f t="shared" si="275"/>
        <v>0.039777148921117798</v>
      </c>
      <c r="AD106" s="6"/>
      <c r="AE106" s="6"/>
      <c r="AF106" s="22">
        <f t="shared" si="276" ref="AF106:AL106">AF102</f>
        <v>0.040441300320026949</v>
      </c>
      <c r="AG106" s="22">
        <f t="shared" si="276"/>
        <v>0.038973481608212152</v>
      </c>
      <c r="AH106" s="22">
        <f t="shared" si="276"/>
        <v>0.040340807174887895</v>
      </c>
      <c r="AI106" s="22">
        <f t="shared" si="276"/>
        <v>0.042020470053070504</v>
      </c>
      <c r="AJ106" s="22">
        <f t="shared" si="276"/>
        <v>0.042811859034122692</v>
      </c>
      <c r="AK106" s="22">
        <f t="shared" si="276"/>
        <v>0.03892174567343868</v>
      </c>
      <c r="AL106" s="22">
        <f t="shared" si="276"/>
        <v>0.045743721259285462</v>
      </c>
      <c r="AM106" s="6"/>
      <c r="AN106" s="6"/>
      <c r="AO106" s="22">
        <f t="shared" si="277" ref="AO106:AU106">AO102</f>
        <v>0.040441300320026949</v>
      </c>
      <c r="AP106" s="22">
        <f t="shared" si="277"/>
        <v>0.038973481608212152</v>
      </c>
      <c r="AQ106" s="22">
        <f t="shared" si="277"/>
        <v>0.040340807174887895</v>
      </c>
      <c r="AR106" s="22">
        <f t="shared" si="277"/>
        <v>0.042020470053070504</v>
      </c>
      <c r="AS106" s="22">
        <f t="shared" si="277"/>
        <v>0.042811859034122692</v>
      </c>
      <c r="AT106" s="22">
        <f t="shared" si="277"/>
        <v>0.028768246802106854</v>
      </c>
      <c r="AU106" s="22">
        <f t="shared" si="277"/>
        <v>0.033810576582950128</v>
      </c>
    </row>
    <row r="107" spans="21:47" ht="15.5">
      <c r="U107" s="5"/>
      <c r="V107" s="20" t="s">
        <v>334</v>
      </c>
      <c r="W107" s="22">
        <f t="shared" si="278" ref="W107:AC107">W103</f>
        <v>0.087030486777833926</v>
      </c>
      <c r="X107" s="22">
        <f t="shared" si="278"/>
        <v>0.084362703165098391</v>
      </c>
      <c r="Y107" s="22">
        <f t="shared" si="278"/>
        <v>0.087443946188340796</v>
      </c>
      <c r="Z107" s="22">
        <f t="shared" si="278"/>
        <v>0.088191811978771795</v>
      </c>
      <c r="AA107" s="22">
        <f t="shared" si="278"/>
        <v>0.092224501212008203</v>
      </c>
      <c r="AB107" s="22">
        <f t="shared" si="278"/>
        <v>0.07336343115124154</v>
      </c>
      <c r="AC107" s="22">
        <f t="shared" si="278"/>
        <v>0.086222143615139718</v>
      </c>
      <c r="AD107" s="6"/>
      <c r="AE107" s="6"/>
      <c r="AF107" s="22">
        <f t="shared" si="279" ref="AF107:AL107">AF103</f>
        <v>0.087030486777833926</v>
      </c>
      <c r="AG107" s="22">
        <f t="shared" si="279"/>
        <v>0.084362703165098391</v>
      </c>
      <c r="AH107" s="22">
        <f t="shared" si="279"/>
        <v>0.087443946188340796</v>
      </c>
      <c r="AI107" s="22">
        <f t="shared" si="279"/>
        <v>0.088191811978771795</v>
      </c>
      <c r="AJ107" s="22">
        <f t="shared" si="279"/>
        <v>0.092224501212008203</v>
      </c>
      <c r="AK107" s="22">
        <f t="shared" si="279"/>
        <v>0.084367945823927759</v>
      </c>
      <c r="AL107" s="22">
        <f t="shared" si="279"/>
        <v>0.099155465157410666</v>
      </c>
      <c r="AM107" s="6"/>
      <c r="AN107" s="6"/>
      <c r="AO107" s="22">
        <f t="shared" si="280" ref="AO107:AU107">AO103</f>
        <v>0.087030486777833926</v>
      </c>
      <c r="AP107" s="22">
        <f t="shared" si="280"/>
        <v>0.084362703165098391</v>
      </c>
      <c r="AQ107" s="22">
        <f t="shared" si="280"/>
        <v>0.087443946188340796</v>
      </c>
      <c r="AR107" s="22">
        <f t="shared" si="280"/>
        <v>0.088191811978771795</v>
      </c>
      <c r="AS107" s="22">
        <f t="shared" si="280"/>
        <v>0.092224501212008203</v>
      </c>
      <c r="AT107" s="22">
        <f t="shared" si="280"/>
        <v>0.062358916478555307</v>
      </c>
      <c r="AU107" s="22">
        <f t="shared" si="280"/>
        <v>0.073288822072868756</v>
      </c>
    </row>
    <row r="108" spans="21:47" ht="15.5">
      <c r="U108" s="5"/>
      <c r="V108" s="20" t="s">
        <v>335</v>
      </c>
      <c r="W108" s="22">
        <f t="shared" si="281" ref="W108:AC108">W104</f>
        <v>0.013356914266464542</v>
      </c>
      <c r="X108" s="22">
        <f t="shared" si="281"/>
        <v>0.013190761334473907</v>
      </c>
      <c r="Y108" s="22">
        <f t="shared" si="281"/>
        <v>0.013739910313901343</v>
      </c>
      <c r="Z108" s="22">
        <f t="shared" si="281"/>
        <v>0.01410159211523882</v>
      </c>
      <c r="AA108" s="22">
        <f t="shared" si="281"/>
        <v>0.014301696811486108</v>
      </c>
      <c r="AB108" s="22">
        <f t="shared" si="281"/>
        <v>0.011527464258841233</v>
      </c>
      <c r="AC108" s="22">
        <f t="shared" si="281"/>
        <v>0.013547930668553235</v>
      </c>
      <c r="AD108" s="6"/>
      <c r="AE108" s="6"/>
      <c r="AF108" s="22">
        <f t="shared" si="282" ref="AF108:AL108">AF104</f>
        <v>0.013356914266464542</v>
      </c>
      <c r="AG108" s="22">
        <f t="shared" si="282"/>
        <v>0.013190761334473907</v>
      </c>
      <c r="AH108" s="22">
        <f t="shared" si="282"/>
        <v>0.013739910313901343</v>
      </c>
      <c r="AI108" s="22">
        <f t="shared" si="282"/>
        <v>0.01410159211523882</v>
      </c>
      <c r="AJ108" s="22">
        <f t="shared" si="282"/>
        <v>0.014301696811486108</v>
      </c>
      <c r="AK108" s="22">
        <f t="shared" si="282"/>
        <v>0.013256583897667417</v>
      </c>
      <c r="AL108" s="22">
        <f t="shared" si="282"/>
        <v>0.015580120268836218</v>
      </c>
      <c r="AM108" s="6"/>
      <c r="AN108" s="6"/>
      <c r="AO108" s="22">
        <f t="shared" si="283" ref="AO108:AU108">AO104</f>
        <v>0.013356914266464542</v>
      </c>
      <c r="AP108" s="22">
        <f t="shared" si="283"/>
        <v>0.013190761334473907</v>
      </c>
      <c r="AQ108" s="22">
        <f t="shared" si="283"/>
        <v>0.013739910313901343</v>
      </c>
      <c r="AR108" s="22">
        <f t="shared" si="283"/>
        <v>0.01410159211523882</v>
      </c>
      <c r="AS108" s="22">
        <f t="shared" si="283"/>
        <v>0.014301696811486108</v>
      </c>
      <c r="AT108" s="22">
        <f t="shared" si="283"/>
        <v>0.0097983446200150467</v>
      </c>
      <c r="AU108" s="22">
        <f t="shared" si="283"/>
        <v>0.01151574106827025</v>
      </c>
    </row>
    <row r="112" spans="21:47" ht="15.5">
      <c r="U112" s="6"/>
      <c r="V112" s="6"/>
      <c r="W112" s="6" t="s">
        <v>302</v>
      </c>
      <c r="X112" s="6" t="s">
        <v>303</v>
      </c>
      <c r="Y112" s="10" t="s">
        <v>304</v>
      </c>
      <c r="Z112" s="6" t="s">
        <v>305</v>
      </c>
      <c r="AA112" s="6" t="s">
        <v>306</v>
      </c>
      <c r="AB112" s="12" t="s">
        <v>307</v>
      </c>
      <c r="AC112" s="12" t="s">
        <v>308</v>
      </c>
      <c r="AD112" s="6"/>
      <c r="AE112" s="6"/>
      <c r="AF112" s="6" t="s">
        <v>302</v>
      </c>
      <c r="AG112" s="6" t="s">
        <v>303</v>
      </c>
      <c r="AH112" s="10" t="s">
        <v>304</v>
      </c>
      <c r="AI112" s="6" t="s">
        <v>305</v>
      </c>
      <c r="AJ112" s="6" t="s">
        <v>306</v>
      </c>
      <c r="AK112" s="12" t="s">
        <v>307</v>
      </c>
      <c r="AL112" s="12" t="s">
        <v>308</v>
      </c>
      <c r="AM112" s="6"/>
      <c r="AN112" s="6"/>
      <c r="AO112" s="6" t="s">
        <v>302</v>
      </c>
      <c r="AP112" s="6" t="s">
        <v>303</v>
      </c>
      <c r="AQ112" s="10" t="s">
        <v>304</v>
      </c>
      <c r="AR112" s="6" t="s">
        <v>305</v>
      </c>
      <c r="AS112" s="6" t="s">
        <v>306</v>
      </c>
      <c r="AT112" s="12" t="s">
        <v>307</v>
      </c>
      <c r="AU112" s="12" t="s">
        <v>308</v>
      </c>
    </row>
    <row r="113" spans="21:47" ht="14.5">
      <c r="U113" s="5" t="s">
        <v>309</v>
      </c>
      <c r="V113" s="20" t="s">
        <v>121</v>
      </c>
      <c r="W113" s="3">
        <f t="shared" si="284" ref="W113:AC113">W44-W45</f>
        <v>0.0078827690752905633</v>
      </c>
      <c r="X113" s="3">
        <f t="shared" si="284"/>
        <v>0.0076475620188194843</v>
      </c>
      <c r="Y113" s="3">
        <f t="shared" si="284"/>
        <v>0.0079461883408071809</v>
      </c>
      <c r="Z113" s="3">
        <f t="shared" si="284"/>
        <v>0.0079416224412433567</v>
      </c>
      <c r="AA113" s="3">
        <f t="shared" si="284"/>
        <v>0.0080179004288644523</v>
      </c>
      <c r="AB113" s="3">
        <f t="shared" si="284"/>
        <v>0.006666666666666668</v>
      </c>
      <c r="AC113" s="3">
        <f t="shared" si="284"/>
        <v>0.0078351609480014073</v>
      </c>
      <c r="AF113" s="3">
        <f t="shared" si="285" ref="AF113:AL113">AF44-AF45</f>
        <v>0.0078827690752905633</v>
      </c>
      <c r="AG113" s="3">
        <f t="shared" si="285"/>
        <v>0.0076475620188194843</v>
      </c>
      <c r="AH113" s="3">
        <f t="shared" si="285"/>
        <v>0.0079461883408071809</v>
      </c>
      <c r="AI113" s="3">
        <f t="shared" si="285"/>
        <v>0.0079416224412433567</v>
      </c>
      <c r="AJ113" s="3">
        <f t="shared" si="285"/>
        <v>0.0080179004288644523</v>
      </c>
      <c r="AK113" s="3">
        <f t="shared" si="285"/>
        <v>0.0076666666666666689</v>
      </c>
      <c r="AL113" s="3">
        <f t="shared" si="285"/>
        <v>0.0090104350902016211</v>
      </c>
      <c r="AO113" s="3">
        <f t="shared" si="286" ref="AO113:AU113">AO44-AO45</f>
        <v>0.0078827690752905633</v>
      </c>
      <c r="AP113" s="3">
        <f t="shared" si="286"/>
        <v>0.0076475620188194843</v>
      </c>
      <c r="AQ113" s="3">
        <f t="shared" si="286"/>
        <v>0.0079461883408071809</v>
      </c>
      <c r="AR113" s="3">
        <f t="shared" si="286"/>
        <v>0.0079416224412433567</v>
      </c>
      <c r="AS113" s="3">
        <f t="shared" si="286"/>
        <v>0.0080179004288644523</v>
      </c>
      <c r="AT113" s="3">
        <f t="shared" si="286"/>
        <v>0.0056666666666666671</v>
      </c>
      <c r="AU113" s="3">
        <f t="shared" si="286"/>
        <v>0.0066598868058011934</v>
      </c>
    </row>
    <row r="114" spans="21:47" ht="14.5">
      <c r="U114" s="5"/>
      <c r="V114" s="21" t="s">
        <v>333</v>
      </c>
      <c r="W114" s="3">
        <f t="shared" si="287" ref="W114:AC114">W46</f>
        <v>0.020111167256189996</v>
      </c>
      <c r="X114" s="3">
        <f t="shared" si="287"/>
        <v>0.019503849443969205</v>
      </c>
      <c r="Y114" s="3">
        <f t="shared" si="287"/>
        <v>0.020215246636771302</v>
      </c>
      <c r="Z114" s="3">
        <f t="shared" si="287"/>
        <v>0.020109931766489765</v>
      </c>
      <c r="AA114" s="3">
        <f t="shared" si="287"/>
        <v>0.020399030393436511</v>
      </c>
      <c r="AB114" s="3">
        <f t="shared" si="287"/>
        <v>0.016960120391271635</v>
      </c>
      <c r="AC114" s="3">
        <f t="shared" si="287"/>
        <v>0.0199327909444641</v>
      </c>
      <c r="AF114" s="3">
        <f t="shared" si="288" ref="AF114:AL114">AF46</f>
        <v>0.020111167256189996</v>
      </c>
      <c r="AG114" s="3">
        <f t="shared" si="288"/>
        <v>0.019503849443969205</v>
      </c>
      <c r="AH114" s="3">
        <f t="shared" si="288"/>
        <v>0.020215246636771302</v>
      </c>
      <c r="AI114" s="3">
        <f t="shared" si="288"/>
        <v>0.020109931766489765</v>
      </c>
      <c r="AJ114" s="3">
        <f t="shared" si="288"/>
        <v>0.020399030393436511</v>
      </c>
      <c r="AK114" s="3">
        <f t="shared" si="288"/>
        <v>0.019504138449962381</v>
      </c>
      <c r="AL114" s="3">
        <f t="shared" si="288"/>
        <v>0.022922709586133714</v>
      </c>
      <c r="AO114" s="3">
        <f t="shared" si="289" ref="AO114:AU114">AO46</f>
        <v>0.020111167256189996</v>
      </c>
      <c r="AP114" s="3">
        <f t="shared" si="289"/>
        <v>0.019503849443969205</v>
      </c>
      <c r="AQ114" s="3">
        <f t="shared" si="289"/>
        <v>0.020215246636771302</v>
      </c>
      <c r="AR114" s="3">
        <f t="shared" si="289"/>
        <v>0.020109931766489765</v>
      </c>
      <c r="AS114" s="3">
        <f t="shared" si="289"/>
        <v>0.020399030393436511</v>
      </c>
      <c r="AT114" s="3">
        <f t="shared" si="289"/>
        <v>0.01441610233258089</v>
      </c>
      <c r="AU114" s="3">
        <f t="shared" si="289"/>
        <v>0.016942872302794485</v>
      </c>
    </row>
    <row r="115" spans="21:47" ht="14.5">
      <c r="U115" s="5"/>
      <c r="V115" s="20" t="s">
        <v>334</v>
      </c>
      <c r="W115" s="3">
        <f t="shared" si="290" ref="W115:AC115">W47</f>
        <v>0.064123294593228894</v>
      </c>
      <c r="X115" s="3">
        <f t="shared" si="290"/>
        <v>0.063353293413173653</v>
      </c>
      <c r="Y115" s="3">
        <f t="shared" si="290"/>
        <v>0.065991031390134527</v>
      </c>
      <c r="Z115" s="3">
        <f t="shared" si="290"/>
        <v>0.06732373009855952</v>
      </c>
      <c r="AA115" s="3">
        <f t="shared" si="290"/>
        <v>0.067369009882528433</v>
      </c>
      <c r="AB115" s="3">
        <f t="shared" si="290"/>
        <v>0.05536493604213695</v>
      </c>
      <c r="AC115" s="3">
        <f t="shared" si="290"/>
        <v>0.065068977714892118</v>
      </c>
      <c r="AF115" s="3">
        <f t="shared" si="291" ref="AF115:AL115">AF47</f>
        <v>0.064123294593228894</v>
      </c>
      <c r="AG115" s="3">
        <f t="shared" si="291"/>
        <v>0.063353293413173653</v>
      </c>
      <c r="AH115" s="3">
        <f t="shared" si="291"/>
        <v>0.065991031390134527</v>
      </c>
      <c r="AI115" s="3">
        <f t="shared" si="291"/>
        <v>0.06732373009855952</v>
      </c>
      <c r="AJ115" s="3">
        <f t="shared" si="291"/>
        <v>0.067369009882528433</v>
      </c>
      <c r="AK115" s="3">
        <f t="shared" si="291"/>
        <v>0.063669676448457488</v>
      </c>
      <c r="AL115" s="3">
        <f t="shared" si="291"/>
        <v>0.07482932437212593</v>
      </c>
      <c r="AO115" s="3">
        <f t="shared" si="292" ref="AO115:AU115">AO47</f>
        <v>0.064123294593228894</v>
      </c>
      <c r="AP115" s="3">
        <f t="shared" si="292"/>
        <v>0.063353293413173653</v>
      </c>
      <c r="AQ115" s="3">
        <f t="shared" si="292"/>
        <v>0.065991031390134527</v>
      </c>
      <c r="AR115" s="3">
        <f t="shared" si="292"/>
        <v>0.06732373009855952</v>
      </c>
      <c r="AS115" s="3">
        <f t="shared" si="292"/>
        <v>0.067369009882528433</v>
      </c>
      <c r="AT115" s="3">
        <f t="shared" si="292"/>
        <v>0.047060195635816406</v>
      </c>
      <c r="AU115" s="3">
        <f t="shared" si="292"/>
        <v>0.055308631057658299</v>
      </c>
    </row>
    <row r="116" spans="21:47" ht="14.5">
      <c r="U116" s="5"/>
      <c r="V116" s="20" t="s">
        <v>335</v>
      </c>
      <c r="W116" s="3">
        <f t="shared" si="293" ref="W116:AC116">W48</f>
        <v>0.012969513222166076</v>
      </c>
      <c r="X116" s="3">
        <f t="shared" si="293"/>
        <v>0.012814371257485031</v>
      </c>
      <c r="Y116" s="3">
        <f t="shared" si="293"/>
        <v>0.013345291479820628</v>
      </c>
      <c r="Z116" s="3">
        <f t="shared" si="293"/>
        <v>0.013589840788476118</v>
      </c>
      <c r="AA116" s="3">
        <f t="shared" si="293"/>
        <v>0.013630430729069548</v>
      </c>
      <c r="AB116" s="3">
        <f t="shared" si="293"/>
        <v>0.011196388261851018</v>
      </c>
      <c r="AC116" s="3">
        <f t="shared" si="293"/>
        <v>0.013158825610187479</v>
      </c>
      <c r="AF116" s="3">
        <f t="shared" si="294" ref="AF116:AL116">AF48</f>
        <v>0.012969513222166076</v>
      </c>
      <c r="AG116" s="3">
        <f t="shared" si="294"/>
        <v>0.012814371257485031</v>
      </c>
      <c r="AH116" s="3">
        <f t="shared" si="294"/>
        <v>0.013345291479820628</v>
      </c>
      <c r="AI116" s="3">
        <f t="shared" si="294"/>
        <v>0.013589840788476118</v>
      </c>
      <c r="AJ116" s="3">
        <f t="shared" si="294"/>
        <v>0.013630430729069548</v>
      </c>
      <c r="AK116" s="3">
        <f t="shared" si="294"/>
        <v>0.01287584650112867</v>
      </c>
      <c r="AL116" s="3">
        <f t="shared" si="294"/>
        <v>0.0151326494517156</v>
      </c>
      <c r="AO116" s="3">
        <f t="shared" si="295" ref="AO116:AU116">AO48</f>
        <v>0.012969513222166076</v>
      </c>
      <c r="AP116" s="3">
        <f t="shared" si="295"/>
        <v>0.012814371257485031</v>
      </c>
      <c r="AQ116" s="3">
        <f t="shared" si="295"/>
        <v>0.013345291479820628</v>
      </c>
      <c r="AR116" s="3">
        <f t="shared" si="295"/>
        <v>0.013589840788476118</v>
      </c>
      <c r="AS116" s="3">
        <f t="shared" si="295"/>
        <v>0.013630430729069548</v>
      </c>
      <c r="AT116" s="3">
        <f t="shared" si="295"/>
        <v>0.0095169300225733649</v>
      </c>
      <c r="AU116" s="3">
        <f t="shared" si="295"/>
        <v>0.011185001768659357</v>
      </c>
    </row>
    <row r="117" spans="21:47" ht="14.5">
      <c r="U117" s="5" t="s">
        <v>315</v>
      </c>
      <c r="V117" s="20" t="s">
        <v>121</v>
      </c>
      <c r="W117" s="3">
        <f t="shared" si="296" ref="W117:AC117">W49-W50</f>
        <v>0.0077648644096345032</v>
      </c>
      <c r="X117" s="3">
        <f t="shared" si="296"/>
        <v>0.0075449101796407209</v>
      </c>
      <c r="Y117" s="3">
        <f t="shared" si="296"/>
        <v>0.0078206278026905773</v>
      </c>
      <c r="Z117" s="3">
        <f t="shared" si="296"/>
        <v>0.0078089461713419517</v>
      </c>
      <c r="AA117" s="3">
        <f t="shared" si="296"/>
        <v>0.0078873764683945469</v>
      </c>
      <c r="AB117" s="3">
        <f t="shared" si="296"/>
        <v>0.0065613243039879671</v>
      </c>
      <c r="AC117" s="3">
        <f t="shared" si="296"/>
        <v>0.0077113547930668519</v>
      </c>
      <c r="AF117" s="3">
        <f t="shared" si="297" ref="AF117:AL117">AF49-AF50</f>
        <v>0.0077648644096345032</v>
      </c>
      <c r="AG117" s="3">
        <f t="shared" si="297"/>
        <v>0.0075449101796407209</v>
      </c>
      <c r="AH117" s="3">
        <f t="shared" si="297"/>
        <v>0.0078206278026905773</v>
      </c>
      <c r="AI117" s="3">
        <f t="shared" si="297"/>
        <v>0.0078089461713419517</v>
      </c>
      <c r="AJ117" s="3">
        <f t="shared" si="297"/>
        <v>0.0078873764683945469</v>
      </c>
      <c r="AK117" s="3">
        <f t="shared" si="297"/>
        <v>0.0075455229495861587</v>
      </c>
      <c r="AL117" s="3">
        <f t="shared" si="297"/>
        <v>0.0088680580120268776</v>
      </c>
      <c r="AO117" s="3">
        <f t="shared" si="298" ref="AO117:AU117">AO49-AO50</f>
        <v>0.0077648644096345032</v>
      </c>
      <c r="AP117" s="3">
        <f t="shared" si="298"/>
        <v>0.0075449101796407209</v>
      </c>
      <c r="AQ117" s="3">
        <f t="shared" si="298"/>
        <v>0.0078206278026905773</v>
      </c>
      <c r="AR117" s="3">
        <f t="shared" si="298"/>
        <v>0.0078089461713419517</v>
      </c>
      <c r="AS117" s="3">
        <f t="shared" si="298"/>
        <v>0.0078873764683945469</v>
      </c>
      <c r="AT117" s="3">
        <f t="shared" si="298"/>
        <v>0.0055771256583897755</v>
      </c>
      <c r="AU117" s="3">
        <f t="shared" si="298"/>
        <v>0.0065546515741068262</v>
      </c>
    </row>
    <row r="118" spans="21:47" ht="14.5">
      <c r="U118" s="5"/>
      <c r="V118" s="21" t="s">
        <v>333</v>
      </c>
      <c r="W118" s="3">
        <f t="shared" si="299" ref="W118:AC118">W51</f>
        <v>0.024642075122115546</v>
      </c>
      <c r="X118" s="3">
        <f t="shared" si="299"/>
        <v>0.023917878528656972</v>
      </c>
      <c r="Y118" s="3">
        <f t="shared" si="299"/>
        <v>0.024807174887892375</v>
      </c>
      <c r="Z118" s="3">
        <f t="shared" si="299"/>
        <v>0.024715693707354061</v>
      </c>
      <c r="AA118" s="3">
        <f t="shared" si="299"/>
        <v>0.025041954130151034</v>
      </c>
      <c r="AB118" s="3">
        <f t="shared" si="299"/>
        <v>0.020812641083521446</v>
      </c>
      <c r="AC118" s="3">
        <f t="shared" si="299"/>
        <v>0.024460558896356562</v>
      </c>
      <c r="AF118" s="3">
        <f t="shared" si="300" ref="AF118:AL118">AF51</f>
        <v>0.024642075122115546</v>
      </c>
      <c r="AG118" s="3">
        <f t="shared" si="300"/>
        <v>0.023917878528656972</v>
      </c>
      <c r="AH118" s="3">
        <f t="shared" si="300"/>
        <v>0.024807174887892375</v>
      </c>
      <c r="AI118" s="3">
        <f t="shared" si="300"/>
        <v>0.024715693707354061</v>
      </c>
      <c r="AJ118" s="3">
        <f t="shared" si="300"/>
        <v>0.025041954130151034</v>
      </c>
      <c r="AK118" s="3">
        <f t="shared" si="300"/>
        <v>0.023934537246049662</v>
      </c>
      <c r="AL118" s="3">
        <f t="shared" si="300"/>
        <v>0.028129642730810044</v>
      </c>
      <c r="AO118" s="3">
        <f t="shared" si="301" ref="AO118:AU118">AO51</f>
        <v>0.024642075122115546</v>
      </c>
      <c r="AP118" s="3">
        <f t="shared" si="301"/>
        <v>0.023917878528656972</v>
      </c>
      <c r="AQ118" s="3">
        <f t="shared" si="301"/>
        <v>0.024807174887892375</v>
      </c>
      <c r="AR118" s="3">
        <f t="shared" si="301"/>
        <v>0.024715693707354061</v>
      </c>
      <c r="AS118" s="3">
        <f t="shared" si="301"/>
        <v>0.025041954130151034</v>
      </c>
      <c r="AT118" s="3">
        <f t="shared" si="301"/>
        <v>0.017690744920993227</v>
      </c>
      <c r="AU118" s="3">
        <f t="shared" si="301"/>
        <v>0.020791475061903077</v>
      </c>
    </row>
    <row r="119" spans="21:47" ht="15.5">
      <c r="U119" s="5"/>
      <c r="V119" s="20" t="s">
        <v>334</v>
      </c>
      <c r="W119" s="3">
        <f t="shared" si="302" ref="W119:AC119">W52</f>
        <v>0.061360956712144178</v>
      </c>
      <c r="X119" s="3">
        <f t="shared" si="302"/>
        <v>0.060667236954662113</v>
      </c>
      <c r="Y119" s="3">
        <f t="shared" si="302"/>
        <v>0.063192825112107623</v>
      </c>
      <c r="Z119" s="3">
        <f t="shared" si="302"/>
        <v>0.064518574677786197</v>
      </c>
      <c r="AA119" s="3">
        <f t="shared" si="302"/>
        <v>0.064553421592392315</v>
      </c>
      <c r="AB119" s="3">
        <f t="shared" si="302"/>
        <v>0.05301730624529722</v>
      </c>
      <c r="AC119" s="3">
        <f t="shared" si="302"/>
        <v>0.062309869119207641</v>
      </c>
      <c r="AD119" s="6"/>
      <c r="AE119" s="6"/>
      <c r="AF119" s="3">
        <f t="shared" si="303" ref="AF119:AL119">AF52</f>
        <v>0.061360956712144178</v>
      </c>
      <c r="AG119" s="3">
        <f t="shared" si="303"/>
        <v>0.060667236954662113</v>
      </c>
      <c r="AH119" s="3">
        <f t="shared" si="303"/>
        <v>0.063192825112107623</v>
      </c>
      <c r="AI119" s="3">
        <f t="shared" si="303"/>
        <v>0.064518574677786197</v>
      </c>
      <c r="AJ119" s="3">
        <f t="shared" si="303"/>
        <v>0.064553421592392315</v>
      </c>
      <c r="AK119" s="3">
        <f t="shared" si="303"/>
        <v>0.060969902182091799</v>
      </c>
      <c r="AL119" s="3">
        <f t="shared" si="303"/>
        <v>0.07165634948708878</v>
      </c>
      <c r="AM119" s="6"/>
      <c r="AN119" s="6"/>
      <c r="AO119" s="3">
        <f t="shared" si="304" ref="AO119:AU119">AO52</f>
        <v>0.061360956712144178</v>
      </c>
      <c r="AP119" s="3">
        <f t="shared" si="304"/>
        <v>0.060667236954662113</v>
      </c>
      <c r="AQ119" s="3">
        <f t="shared" si="304"/>
        <v>0.063192825112107623</v>
      </c>
      <c r="AR119" s="3">
        <f t="shared" si="304"/>
        <v>0.064518574677786197</v>
      </c>
      <c r="AS119" s="3">
        <f t="shared" si="304"/>
        <v>0.064553421592392315</v>
      </c>
      <c r="AT119" s="3">
        <f t="shared" si="304"/>
        <v>0.045064710308502634</v>
      </c>
      <c r="AU119" s="3">
        <f t="shared" si="304"/>
        <v>0.052963388751326494</v>
      </c>
    </row>
    <row r="120" spans="21:47" ht="15.5">
      <c r="U120" s="5"/>
      <c r="V120" s="20" t="s">
        <v>335</v>
      </c>
      <c r="W120" s="3">
        <f t="shared" si="305" ref="W120:AC120">W53</f>
        <v>0.01332322721913424</v>
      </c>
      <c r="X120" s="3">
        <f t="shared" si="305"/>
        <v>0.01317365269461078</v>
      </c>
      <c r="Y120" s="3">
        <f t="shared" si="305"/>
        <v>0.013721973094170403</v>
      </c>
      <c r="Z120" s="3">
        <f t="shared" si="305"/>
        <v>0.013968915845337378</v>
      </c>
      <c r="AA120" s="3">
        <f t="shared" si="305"/>
        <v>0.014003356330412081</v>
      </c>
      <c r="AB120" s="3">
        <f t="shared" si="305"/>
        <v>0.011512415349887133</v>
      </c>
      <c r="AC120" s="3">
        <f t="shared" si="305"/>
        <v>0.013530244074991156</v>
      </c>
      <c r="AD120" s="6"/>
      <c r="AE120" s="6"/>
      <c r="AF120" s="3">
        <f t="shared" si="306" ref="AF120:AL120">AF53</f>
        <v>0.01332322721913424</v>
      </c>
      <c r="AG120" s="3">
        <f t="shared" si="306"/>
        <v>0.01317365269461078</v>
      </c>
      <c r="AH120" s="3">
        <f t="shared" si="306"/>
        <v>0.013721973094170403</v>
      </c>
      <c r="AI120" s="3">
        <f t="shared" si="306"/>
        <v>0.013968915845337378</v>
      </c>
      <c r="AJ120" s="3">
        <f t="shared" si="306"/>
        <v>0.014003356330412081</v>
      </c>
      <c r="AK120" s="3">
        <f t="shared" si="306"/>
        <v>0.013239277652370202</v>
      </c>
      <c r="AL120" s="3">
        <f t="shared" si="306"/>
        <v>0.015559780686239828</v>
      </c>
      <c r="AM120" s="6"/>
      <c r="AN120" s="6"/>
      <c r="AO120" s="3">
        <f t="shared" si="307" ref="AO120:AU120">AO53</f>
        <v>0.01332322721913424</v>
      </c>
      <c r="AP120" s="3">
        <f t="shared" si="307"/>
        <v>0.01317365269461078</v>
      </c>
      <c r="AQ120" s="3">
        <f t="shared" si="307"/>
        <v>0.013721973094170403</v>
      </c>
      <c r="AR120" s="3">
        <f t="shared" si="307"/>
        <v>0.013968915845337378</v>
      </c>
      <c r="AS120" s="3">
        <f t="shared" si="307"/>
        <v>0.014003356330412081</v>
      </c>
      <c r="AT120" s="3">
        <f t="shared" si="307"/>
        <v>0.0097855530474040622</v>
      </c>
      <c r="AU120" s="3">
        <f t="shared" si="307"/>
        <v>0.011500707463742483</v>
      </c>
    </row>
    <row r="121" spans="21:47" ht="15.5">
      <c r="U121" s="5" t="s">
        <v>336</v>
      </c>
      <c r="V121" s="20" t="s">
        <v>121</v>
      </c>
      <c r="W121" s="6">
        <f t="shared" si="308" ref="W121:AC121">W54-W55</f>
        <v>0.0081017348829375141</v>
      </c>
      <c r="X121" s="6">
        <f t="shared" si="308"/>
        <v>0.007869974337040217</v>
      </c>
      <c r="Y121" s="6">
        <f t="shared" si="308"/>
        <v>0.008179372197309423</v>
      </c>
      <c r="Z121" s="6">
        <f t="shared" si="308"/>
        <v>0.0081690674753601283</v>
      </c>
      <c r="AA121" s="6">
        <f t="shared" si="308"/>
        <v>0.0082603020697370605</v>
      </c>
      <c r="AB121" s="6">
        <f t="shared" si="308"/>
        <v>0.0068623024830699736</v>
      </c>
      <c r="AC121" s="6">
        <f t="shared" si="308"/>
        <v>0.0080650866643084546</v>
      </c>
      <c r="AD121" s="6"/>
      <c r="AE121" s="6"/>
      <c r="AF121" s="6">
        <f t="shared" si="309" ref="AF121:AL121">AF54-AF55</f>
        <v>0.0081017348829375141</v>
      </c>
      <c r="AG121" s="6">
        <f t="shared" si="309"/>
        <v>0.007869974337040217</v>
      </c>
      <c r="AH121" s="6">
        <f t="shared" si="309"/>
        <v>0.008179372197309423</v>
      </c>
      <c r="AI121" s="6">
        <f t="shared" si="309"/>
        <v>0.0081690674753601283</v>
      </c>
      <c r="AJ121" s="6">
        <f t="shared" si="309"/>
        <v>0.0082603020697370605</v>
      </c>
      <c r="AK121" s="6">
        <f t="shared" si="309"/>
        <v>0.0078916478555304675</v>
      </c>
      <c r="AL121" s="6">
        <f t="shared" si="309"/>
        <v>0.0092748496639547262</v>
      </c>
      <c r="AM121" s="6"/>
      <c r="AN121" s="6"/>
      <c r="AO121" s="6">
        <f t="shared" si="310" ref="AO121:AU121">AO54-AO55</f>
        <v>0.0081017348829375141</v>
      </c>
      <c r="AP121" s="6">
        <f t="shared" si="310"/>
        <v>0.007869974337040217</v>
      </c>
      <c r="AQ121" s="6">
        <f t="shared" si="310"/>
        <v>0.008179372197309423</v>
      </c>
      <c r="AR121" s="6">
        <f t="shared" si="310"/>
        <v>0.0081690674753601283</v>
      </c>
      <c r="AS121" s="6">
        <f t="shared" si="310"/>
        <v>0.0082603020697370605</v>
      </c>
      <c r="AT121" s="6">
        <f t="shared" si="310"/>
        <v>0.0058329571106094796</v>
      </c>
      <c r="AU121" s="6">
        <f t="shared" si="310"/>
        <v>0.0068553236646621829</v>
      </c>
    </row>
    <row r="122" spans="21:47" ht="15.5">
      <c r="U122" s="5"/>
      <c r="V122" s="21" t="s">
        <v>333</v>
      </c>
      <c r="W122" s="6">
        <f t="shared" si="311" ref="W122:AC122">W56</f>
        <v>0.031969007916456127</v>
      </c>
      <c r="X122" s="6">
        <f t="shared" si="311"/>
        <v>0.031069289991445679</v>
      </c>
      <c r="Y122" s="6">
        <f t="shared" si="311"/>
        <v>0.032233183856502243</v>
      </c>
      <c r="Z122" s="6">
        <f t="shared" si="311"/>
        <v>0.032164518574677788</v>
      </c>
      <c r="AA122" s="6">
        <f t="shared" si="311"/>
        <v>0.03257505127727018</v>
      </c>
      <c r="AB122" s="6">
        <f t="shared" si="311"/>
        <v>0.02704288939051919</v>
      </c>
      <c r="AC122" s="6">
        <f t="shared" si="311"/>
        <v>0.03178280863105766</v>
      </c>
      <c r="AD122" s="6"/>
      <c r="AE122" s="6"/>
      <c r="AF122" s="6">
        <f t="shared" si="312" ref="AF122:AL122">AF56</f>
        <v>0.031969007916456127</v>
      </c>
      <c r="AG122" s="6">
        <f t="shared" si="312"/>
        <v>0.031069289991445679</v>
      </c>
      <c r="AH122" s="6">
        <f t="shared" si="312"/>
        <v>0.032233183856502243</v>
      </c>
      <c r="AI122" s="6">
        <f t="shared" si="312"/>
        <v>0.032164518574677788</v>
      </c>
      <c r="AJ122" s="6">
        <f t="shared" si="312"/>
        <v>0.03257505127727018</v>
      </c>
      <c r="AK122" s="6">
        <f t="shared" si="312"/>
        <v>0.031099322799097065</v>
      </c>
      <c r="AL122" s="6">
        <f t="shared" si="312"/>
        <v>0.036550229925716306</v>
      </c>
      <c r="AM122" s="6"/>
      <c r="AN122" s="6"/>
      <c r="AO122" s="6">
        <f t="shared" si="313" ref="AO122:AU122">AO56</f>
        <v>0.031969007916456127</v>
      </c>
      <c r="AP122" s="6">
        <f t="shared" si="313"/>
        <v>0.031069289991445679</v>
      </c>
      <c r="AQ122" s="6">
        <f t="shared" si="313"/>
        <v>0.032233183856502243</v>
      </c>
      <c r="AR122" s="6">
        <f t="shared" si="313"/>
        <v>0.032164518574677788</v>
      </c>
      <c r="AS122" s="6">
        <f t="shared" si="313"/>
        <v>0.03257505127727018</v>
      </c>
      <c r="AT122" s="6">
        <f t="shared" si="313"/>
        <v>0.022986455981941312</v>
      </c>
      <c r="AU122" s="6">
        <f t="shared" si="313"/>
        <v>0.027015387336399011</v>
      </c>
    </row>
    <row r="123" spans="21:47" ht="15.5">
      <c r="U123" s="5"/>
      <c r="V123" s="20" t="s">
        <v>334</v>
      </c>
      <c r="W123" s="6">
        <f t="shared" si="314" ref="W123:AC123">W57</f>
        <v>0.055718376284318687</v>
      </c>
      <c r="X123" s="6">
        <f t="shared" si="314"/>
        <v>0.055158254918733954</v>
      </c>
      <c r="Y123" s="6">
        <f t="shared" si="314"/>
        <v>0.057488789237668161</v>
      </c>
      <c r="Z123" s="6">
        <f t="shared" si="314"/>
        <v>0.058775587566338147</v>
      </c>
      <c r="AA123" s="6">
        <f t="shared" si="314"/>
        <v>0.058754428491515943</v>
      </c>
      <c r="AB123" s="6">
        <f t="shared" si="314"/>
        <v>0.048231753197893155</v>
      </c>
      <c r="AC123" s="6">
        <f t="shared" si="314"/>
        <v>0.056685532366466222</v>
      </c>
      <c r="AD123" s="6"/>
      <c r="AE123" s="6"/>
      <c r="AF123" s="6">
        <f t="shared" si="315" ref="AF123:AL123">AF57</f>
        <v>0.055718376284318687</v>
      </c>
      <c r="AG123" s="6">
        <f t="shared" si="315"/>
        <v>0.055158254918733954</v>
      </c>
      <c r="AH123" s="6">
        <f t="shared" si="315"/>
        <v>0.057488789237668161</v>
      </c>
      <c r="AI123" s="6">
        <f t="shared" si="315"/>
        <v>0.058775587566338147</v>
      </c>
      <c r="AJ123" s="6">
        <f t="shared" si="315"/>
        <v>0.058754428491515943</v>
      </c>
      <c r="AK123" s="6">
        <f t="shared" si="315"/>
        <v>0.055466516177577127</v>
      </c>
      <c r="AL123" s="6">
        <f t="shared" si="315"/>
        <v>0.065188362221436147</v>
      </c>
      <c r="AM123" s="6"/>
      <c r="AN123" s="6"/>
      <c r="AO123" s="6">
        <f t="shared" si="316" ref="AO123:AU123">AO57</f>
        <v>0.055718376284318687</v>
      </c>
      <c r="AP123" s="6">
        <f t="shared" si="316"/>
        <v>0.055158254918733954</v>
      </c>
      <c r="AQ123" s="6">
        <f t="shared" si="316"/>
        <v>0.057488789237668161</v>
      </c>
      <c r="AR123" s="6">
        <f t="shared" si="316"/>
        <v>0.058775587566338147</v>
      </c>
      <c r="AS123" s="6">
        <f t="shared" si="316"/>
        <v>0.058754428491515943</v>
      </c>
      <c r="AT123" s="6">
        <f t="shared" si="316"/>
        <v>0.040996990218209184</v>
      </c>
      <c r="AU123" s="6">
        <f t="shared" si="316"/>
        <v>0.048182702511496291</v>
      </c>
    </row>
    <row r="124" spans="21:47" ht="15.5">
      <c r="U124" s="5"/>
      <c r="V124" s="20" t="s">
        <v>335</v>
      </c>
      <c r="W124" s="6">
        <f t="shared" si="317" ref="W124:AC124">W58</f>
        <v>0.01305373084049183</v>
      </c>
      <c r="X124" s="6">
        <f t="shared" si="317"/>
        <v>0.012917023096663816</v>
      </c>
      <c r="Y124" s="6">
        <f t="shared" si="317"/>
        <v>0.013452914798206277</v>
      </c>
      <c r="Z124" s="6">
        <f t="shared" si="317"/>
        <v>0.013684609552691433</v>
      </c>
      <c r="AA124" s="6">
        <f t="shared" si="317"/>
        <v>0.013723662129405182</v>
      </c>
      <c r="AB124" s="6">
        <f t="shared" si="317"/>
        <v>0.011286681715575621</v>
      </c>
      <c r="AC124" s="6">
        <f t="shared" si="317"/>
        <v>0.013264945171559957</v>
      </c>
      <c r="AD124" s="6"/>
      <c r="AE124" s="6"/>
      <c r="AF124" s="6">
        <f t="shared" si="318" ref="AF124:AL124">AF58</f>
        <v>0.01305373084049183</v>
      </c>
      <c r="AG124" s="6">
        <f t="shared" si="318"/>
        <v>0.012917023096663816</v>
      </c>
      <c r="AH124" s="6">
        <f t="shared" si="318"/>
        <v>0.013452914798206277</v>
      </c>
      <c r="AI124" s="6">
        <f t="shared" si="318"/>
        <v>0.013684609552691433</v>
      </c>
      <c r="AJ124" s="6">
        <f t="shared" si="318"/>
        <v>0.013723662129405182</v>
      </c>
      <c r="AK124" s="6">
        <f t="shared" si="318"/>
        <v>0.012979683972911963</v>
      </c>
      <c r="AL124" s="6">
        <f t="shared" si="318"/>
        <v>0.01525468694729395</v>
      </c>
      <c r="AM124" s="6"/>
      <c r="AN124" s="6"/>
      <c r="AO124" s="6">
        <f t="shared" si="319" ref="AO124:AU124">AO58</f>
        <v>0.01305373084049183</v>
      </c>
      <c r="AP124" s="6">
        <f t="shared" si="319"/>
        <v>0.012917023096663816</v>
      </c>
      <c r="AQ124" s="6">
        <f t="shared" si="319"/>
        <v>0.013452914798206277</v>
      </c>
      <c r="AR124" s="6">
        <f t="shared" si="319"/>
        <v>0.013684609552691433</v>
      </c>
      <c r="AS124" s="6">
        <f t="shared" si="319"/>
        <v>0.013723662129405182</v>
      </c>
      <c r="AT124" s="6">
        <f t="shared" si="319"/>
        <v>0.0095936794582392772</v>
      </c>
      <c r="AU124" s="6">
        <f t="shared" si="319"/>
        <v>0.011275203395825963</v>
      </c>
    </row>
    <row r="125" spans="21:47" ht="15.5">
      <c r="U125" s="5" t="s">
        <v>336</v>
      </c>
      <c r="V125" s="20" t="s">
        <v>121</v>
      </c>
      <c r="W125" s="22">
        <f t="shared" si="320" ref="W125:AC125">W121</f>
        <v>0.0081017348829375141</v>
      </c>
      <c r="X125" s="22">
        <f t="shared" si="320"/>
        <v>0.007869974337040217</v>
      </c>
      <c r="Y125" s="22">
        <f t="shared" si="320"/>
        <v>0.008179372197309423</v>
      </c>
      <c r="Z125" s="22">
        <f t="shared" si="320"/>
        <v>0.0081690674753601283</v>
      </c>
      <c r="AA125" s="22">
        <f t="shared" si="320"/>
        <v>0.0082603020697370605</v>
      </c>
      <c r="AB125" s="22">
        <f t="shared" si="320"/>
        <v>0.0068623024830699736</v>
      </c>
      <c r="AC125" s="22">
        <f t="shared" si="320"/>
        <v>0.0080650866643084546</v>
      </c>
      <c r="AD125" s="6"/>
      <c r="AE125" s="6"/>
      <c r="AF125" s="22">
        <f t="shared" si="321" ref="AF125:AL125">AF121</f>
        <v>0.0081017348829375141</v>
      </c>
      <c r="AG125" s="22">
        <f t="shared" si="321"/>
        <v>0.007869974337040217</v>
      </c>
      <c r="AH125" s="22">
        <f t="shared" si="321"/>
        <v>0.008179372197309423</v>
      </c>
      <c r="AI125" s="22">
        <f t="shared" si="321"/>
        <v>0.0081690674753601283</v>
      </c>
      <c r="AJ125" s="22">
        <f t="shared" si="321"/>
        <v>0.0082603020697370605</v>
      </c>
      <c r="AK125" s="22">
        <f t="shared" si="321"/>
        <v>0.0078916478555304675</v>
      </c>
      <c r="AL125" s="22">
        <f t="shared" si="321"/>
        <v>0.0092748496639547262</v>
      </c>
      <c r="AM125" s="6"/>
      <c r="AN125" s="6"/>
      <c r="AO125" s="22">
        <f t="shared" si="322" ref="AO125:AU125">AO121</f>
        <v>0.0081017348829375141</v>
      </c>
      <c r="AP125" s="22">
        <f t="shared" si="322"/>
        <v>0.007869974337040217</v>
      </c>
      <c r="AQ125" s="22">
        <f t="shared" si="322"/>
        <v>0.008179372197309423</v>
      </c>
      <c r="AR125" s="22">
        <f t="shared" si="322"/>
        <v>0.0081690674753601283</v>
      </c>
      <c r="AS125" s="22">
        <f t="shared" si="322"/>
        <v>0.0082603020697370605</v>
      </c>
      <c r="AT125" s="22">
        <f t="shared" si="322"/>
        <v>0.0058329571106094796</v>
      </c>
      <c r="AU125" s="22">
        <f t="shared" si="322"/>
        <v>0.0068553236646621829</v>
      </c>
    </row>
    <row r="126" spans="21:47" ht="15.5">
      <c r="U126" s="5"/>
      <c r="V126" s="21" t="s">
        <v>333</v>
      </c>
      <c r="W126" s="22">
        <f t="shared" si="323" ref="W126:AC126">W122</f>
        <v>0.031969007916456127</v>
      </c>
      <c r="X126" s="22">
        <f t="shared" si="323"/>
        <v>0.031069289991445679</v>
      </c>
      <c r="Y126" s="22">
        <f t="shared" si="323"/>
        <v>0.032233183856502243</v>
      </c>
      <c r="Z126" s="22">
        <f t="shared" si="323"/>
        <v>0.032164518574677788</v>
      </c>
      <c r="AA126" s="22">
        <f t="shared" si="323"/>
        <v>0.03257505127727018</v>
      </c>
      <c r="AB126" s="22">
        <f t="shared" si="323"/>
        <v>0.02704288939051919</v>
      </c>
      <c r="AC126" s="22">
        <f t="shared" si="323"/>
        <v>0.03178280863105766</v>
      </c>
      <c r="AD126" s="6"/>
      <c r="AE126" s="6"/>
      <c r="AF126" s="22">
        <f t="shared" si="324" ref="AF126:AL126">AF122</f>
        <v>0.031969007916456127</v>
      </c>
      <c r="AG126" s="22">
        <f t="shared" si="324"/>
        <v>0.031069289991445679</v>
      </c>
      <c r="AH126" s="22">
        <f t="shared" si="324"/>
        <v>0.032233183856502243</v>
      </c>
      <c r="AI126" s="22">
        <f t="shared" si="324"/>
        <v>0.032164518574677788</v>
      </c>
      <c r="AJ126" s="22">
        <f t="shared" si="324"/>
        <v>0.03257505127727018</v>
      </c>
      <c r="AK126" s="22">
        <f t="shared" si="324"/>
        <v>0.031099322799097065</v>
      </c>
      <c r="AL126" s="22">
        <f t="shared" si="324"/>
        <v>0.036550229925716306</v>
      </c>
      <c r="AM126" s="6"/>
      <c r="AN126" s="6"/>
      <c r="AO126" s="22">
        <f t="shared" si="325" ref="AO126:AU126">AO122</f>
        <v>0.031969007916456127</v>
      </c>
      <c r="AP126" s="22">
        <f t="shared" si="325"/>
        <v>0.031069289991445679</v>
      </c>
      <c r="AQ126" s="22">
        <f t="shared" si="325"/>
        <v>0.032233183856502243</v>
      </c>
      <c r="AR126" s="22">
        <f t="shared" si="325"/>
        <v>0.032164518574677788</v>
      </c>
      <c r="AS126" s="22">
        <f t="shared" si="325"/>
        <v>0.03257505127727018</v>
      </c>
      <c r="AT126" s="22">
        <f t="shared" si="325"/>
        <v>0.022986455981941312</v>
      </c>
      <c r="AU126" s="22">
        <f t="shared" si="325"/>
        <v>0.027015387336399011</v>
      </c>
    </row>
    <row r="127" spans="21:47" ht="15.5">
      <c r="U127" s="5"/>
      <c r="V127" s="20" t="s">
        <v>334</v>
      </c>
      <c r="W127" s="22">
        <f t="shared" si="326" ref="W127:AC127">W123</f>
        <v>0.055718376284318687</v>
      </c>
      <c r="X127" s="22">
        <f t="shared" si="326"/>
        <v>0.055158254918733954</v>
      </c>
      <c r="Y127" s="22">
        <f t="shared" si="326"/>
        <v>0.057488789237668161</v>
      </c>
      <c r="Z127" s="22">
        <f t="shared" si="326"/>
        <v>0.058775587566338147</v>
      </c>
      <c r="AA127" s="22">
        <f t="shared" si="326"/>
        <v>0.058754428491515943</v>
      </c>
      <c r="AB127" s="22">
        <f t="shared" si="326"/>
        <v>0.048231753197893155</v>
      </c>
      <c r="AC127" s="22">
        <f t="shared" si="326"/>
        <v>0.056685532366466222</v>
      </c>
      <c r="AD127" s="6"/>
      <c r="AE127" s="6"/>
      <c r="AF127" s="22">
        <f t="shared" si="327" ref="AF127:AL127">AF123</f>
        <v>0.055718376284318687</v>
      </c>
      <c r="AG127" s="22">
        <f t="shared" si="327"/>
        <v>0.055158254918733954</v>
      </c>
      <c r="AH127" s="22">
        <f t="shared" si="327"/>
        <v>0.057488789237668161</v>
      </c>
      <c r="AI127" s="22">
        <f t="shared" si="327"/>
        <v>0.058775587566338147</v>
      </c>
      <c r="AJ127" s="22">
        <f t="shared" si="327"/>
        <v>0.058754428491515943</v>
      </c>
      <c r="AK127" s="22">
        <f t="shared" si="327"/>
        <v>0.055466516177577127</v>
      </c>
      <c r="AL127" s="22">
        <f t="shared" si="327"/>
        <v>0.065188362221436147</v>
      </c>
      <c r="AM127" s="6"/>
      <c r="AN127" s="6"/>
      <c r="AO127" s="22">
        <f t="shared" si="328" ref="AO127:AU127">AO123</f>
        <v>0.055718376284318687</v>
      </c>
      <c r="AP127" s="22">
        <f t="shared" si="328"/>
        <v>0.055158254918733954</v>
      </c>
      <c r="AQ127" s="22">
        <f t="shared" si="328"/>
        <v>0.057488789237668161</v>
      </c>
      <c r="AR127" s="22">
        <f t="shared" si="328"/>
        <v>0.058775587566338147</v>
      </c>
      <c r="AS127" s="22">
        <f t="shared" si="328"/>
        <v>0.058754428491515943</v>
      </c>
      <c r="AT127" s="22">
        <f t="shared" si="328"/>
        <v>0.040996990218209184</v>
      </c>
      <c r="AU127" s="22">
        <f t="shared" si="328"/>
        <v>0.048182702511496291</v>
      </c>
    </row>
    <row r="128" spans="21:47" ht="15.5">
      <c r="U128" s="5"/>
      <c r="V128" s="20" t="s">
        <v>335</v>
      </c>
      <c r="W128" s="22">
        <f t="shared" si="329" ref="W128:AC128">W124</f>
        <v>0.01305373084049183</v>
      </c>
      <c r="X128" s="22">
        <f t="shared" si="329"/>
        <v>0.012917023096663816</v>
      </c>
      <c r="Y128" s="22">
        <f t="shared" si="329"/>
        <v>0.013452914798206277</v>
      </c>
      <c r="Z128" s="22">
        <f t="shared" si="329"/>
        <v>0.013684609552691433</v>
      </c>
      <c r="AA128" s="22">
        <f t="shared" si="329"/>
        <v>0.013723662129405182</v>
      </c>
      <c r="AB128" s="22">
        <f t="shared" si="329"/>
        <v>0.011286681715575621</v>
      </c>
      <c r="AC128" s="22">
        <f t="shared" si="329"/>
        <v>0.013264945171559957</v>
      </c>
      <c r="AD128" s="6"/>
      <c r="AE128" s="6"/>
      <c r="AF128" s="22">
        <f t="shared" si="330" ref="AF128:AL128">AF124</f>
        <v>0.01305373084049183</v>
      </c>
      <c r="AG128" s="22">
        <f t="shared" si="330"/>
        <v>0.012917023096663816</v>
      </c>
      <c r="AH128" s="22">
        <f t="shared" si="330"/>
        <v>0.013452914798206277</v>
      </c>
      <c r="AI128" s="22">
        <f t="shared" si="330"/>
        <v>0.013684609552691433</v>
      </c>
      <c r="AJ128" s="22">
        <f t="shared" si="330"/>
        <v>0.013723662129405182</v>
      </c>
      <c r="AK128" s="22">
        <f t="shared" si="330"/>
        <v>0.012979683972911963</v>
      </c>
      <c r="AL128" s="22">
        <f t="shared" si="330"/>
        <v>0.01525468694729395</v>
      </c>
      <c r="AM128" s="6"/>
      <c r="AN128" s="6"/>
      <c r="AO128" s="22">
        <f t="shared" si="331" ref="AO128:AU128">AO124</f>
        <v>0.01305373084049183</v>
      </c>
      <c r="AP128" s="22">
        <f t="shared" si="331"/>
        <v>0.012917023096663816</v>
      </c>
      <c r="AQ128" s="22">
        <f t="shared" si="331"/>
        <v>0.013452914798206277</v>
      </c>
      <c r="AR128" s="22">
        <f t="shared" si="331"/>
        <v>0.013684609552691433</v>
      </c>
      <c r="AS128" s="22">
        <f t="shared" si="331"/>
        <v>0.013723662129405182</v>
      </c>
      <c r="AT128" s="22">
        <f t="shared" si="331"/>
        <v>0.0095936794582392772</v>
      </c>
      <c r="AU128" s="22">
        <f t="shared" si="331"/>
        <v>0.011275203395825963</v>
      </c>
    </row>
    <row r="160" spans="21:53" ht="15.5">
      <c r="U160" s="23"/>
      <c r="V160" s="24" t="s">
        <v>292</v>
      </c>
      <c r="W160" s="23"/>
      <c r="X160" s="25"/>
      <c r="Z160" s="23"/>
      <c r="AA160" s="24" t="s">
        <v>292</v>
      </c>
      <c r="AB160" s="23"/>
      <c r="AC160" s="25"/>
      <c r="AE160" s="23"/>
      <c r="AF160" s="24" t="s">
        <v>292</v>
      </c>
      <c r="AG160" s="23"/>
      <c r="AH160" s="25"/>
      <c r="AJ160" s="23"/>
      <c r="AK160" s="24" t="s">
        <v>292</v>
      </c>
      <c r="AL160" s="23"/>
      <c r="AM160" s="25"/>
      <c r="AO160" s="23"/>
      <c r="AP160" s="24" t="s">
        <v>292</v>
      </c>
      <c r="AQ160" s="23"/>
      <c r="AR160" s="25"/>
      <c r="AT160" s="23"/>
      <c r="AU160" s="24" t="s">
        <v>292</v>
      </c>
      <c r="AV160" s="23"/>
      <c r="AW160" s="25"/>
      <c r="AY160" s="23"/>
      <c r="AZ160" s="24" t="s">
        <v>292</v>
      </c>
      <c r="BA160" s="23"/>
    </row>
    <row r="161" spans="21:54" ht="15.5">
      <c r="U161" s="24" t="s">
        <v>65</v>
      </c>
      <c r="V161" s="24" t="s">
        <v>111</v>
      </c>
      <c r="W161" s="24" t="s">
        <v>11</v>
      </c>
      <c r="X161" s="25" t="s">
        <v>41</v>
      </c>
      <c r="Z161" s="24" t="s">
        <v>65</v>
      </c>
      <c r="AA161" s="24" t="s">
        <v>111</v>
      </c>
      <c r="AB161" s="24" t="s">
        <v>11</v>
      </c>
      <c r="AC161" s="25" t="s">
        <v>41</v>
      </c>
      <c r="AE161" s="24" t="s">
        <v>65</v>
      </c>
      <c r="AF161" s="24" t="s">
        <v>111</v>
      </c>
      <c r="AG161" s="24" t="s">
        <v>11</v>
      </c>
      <c r="AH161" s="25" t="s">
        <v>41</v>
      </c>
      <c r="AJ161" s="24" t="s">
        <v>65</v>
      </c>
      <c r="AK161" s="24" t="s">
        <v>111</v>
      </c>
      <c r="AL161" s="24" t="s">
        <v>11</v>
      </c>
      <c r="AM161" s="25" t="s">
        <v>41</v>
      </c>
      <c r="AO161" s="24" t="s">
        <v>65</v>
      </c>
      <c r="AP161" s="24" t="s">
        <v>111</v>
      </c>
      <c r="AQ161" s="24" t="s">
        <v>11</v>
      </c>
      <c r="AR161" s="25" t="s">
        <v>41</v>
      </c>
      <c r="AT161" s="24" t="s">
        <v>65</v>
      </c>
      <c r="AU161" s="24" t="s">
        <v>111</v>
      </c>
      <c r="AV161" s="24" t="s">
        <v>11</v>
      </c>
      <c r="AW161" s="25" t="s">
        <v>41</v>
      </c>
      <c r="AY161" s="24" t="s">
        <v>65</v>
      </c>
      <c r="AZ161" s="24" t="s">
        <v>111</v>
      </c>
      <c r="BA161" s="24" t="s">
        <v>11</v>
      </c>
      <c r="BB161" s="25" t="s">
        <v>41</v>
      </c>
    </row>
    <row r="162" spans="21:54" ht="15.5">
      <c r="U162" s="25" t="s">
        <v>242</v>
      </c>
      <c r="V162" s="26" t="s">
        <v>293</v>
      </c>
      <c r="W162" s="25">
        <f t="shared" si="332" ref="W162:W165">W85</f>
        <v>0.010830385716691954</v>
      </c>
      <c r="X162" s="25">
        <v>2020</v>
      </c>
      <c r="Z162" s="25" t="s">
        <v>244</v>
      </c>
      <c r="AA162" s="26" t="s">
        <v>293</v>
      </c>
      <c r="AB162" s="25">
        <f t="shared" si="333" ref="AB162:AB165">X85</f>
        <v>0.010402053036783571</v>
      </c>
      <c r="AC162" s="25">
        <v>2020</v>
      </c>
      <c r="AE162" s="25" t="s">
        <v>246</v>
      </c>
      <c r="AF162" s="26" t="s">
        <v>293</v>
      </c>
      <c r="AG162" s="25">
        <f t="shared" si="334" ref="AG162:AG165">Y85</f>
        <v>0.010708520179372211</v>
      </c>
      <c r="AH162" s="25">
        <v>2020</v>
      </c>
      <c r="AJ162" s="25" t="s">
        <v>248</v>
      </c>
      <c r="AK162" s="26" t="s">
        <v>293</v>
      </c>
      <c r="AL162" s="25">
        <f t="shared" si="335" ref="AL162:AL165">Z85</f>
        <v>0.011770280515542103</v>
      </c>
      <c r="AM162" s="25">
        <v>2020</v>
      </c>
      <c r="AO162" s="25" t="s">
        <v>240</v>
      </c>
      <c r="AP162" s="26" t="s">
        <v>293</v>
      </c>
      <c r="AQ162" s="25">
        <f t="shared" si="336" ref="AQ162:AQ165">AA85</f>
        <v>0.011933619242961019</v>
      </c>
      <c r="AR162" s="25">
        <v>2020</v>
      </c>
      <c r="AT162" s="25" t="s">
        <v>238</v>
      </c>
      <c r="AU162" s="26" t="s">
        <v>293</v>
      </c>
      <c r="AV162" s="25">
        <f t="shared" si="337" ref="AV162:AV165">AB85</f>
        <v>0.0089841986455981848</v>
      </c>
      <c r="AW162" s="25">
        <v>2020</v>
      </c>
      <c r="AY162" s="25" t="s">
        <v>236</v>
      </c>
      <c r="AZ162" s="26" t="s">
        <v>293</v>
      </c>
      <c r="BA162" s="25">
        <f t="shared" si="338" ref="BA162:BA165">AC85</f>
        <v>0.010558896356561737</v>
      </c>
      <c r="BB162" s="25">
        <v>2020</v>
      </c>
    </row>
    <row r="163" spans="21:54" ht="15.5">
      <c r="U163" s="25" t="str">
        <f t="shared" si="339" ref="U163:U165">U162</f>
        <v>PyroRecy-NMC111</v>
      </c>
      <c r="V163" s="26" t="s">
        <v>294</v>
      </c>
      <c r="W163" s="25">
        <f t="shared" si="332"/>
        <v>0.044702711807310079</v>
      </c>
      <c r="X163" s="25">
        <v>2020</v>
      </c>
      <c r="Z163" s="25" t="str">
        <f t="shared" si="340" ref="Z163:Z165">Z162</f>
        <v>PyroRecy-NMC532</v>
      </c>
      <c r="AA163" s="26" t="s">
        <v>294</v>
      </c>
      <c r="AB163" s="25">
        <f t="shared" si="333"/>
        <v>0.042805816937553462</v>
      </c>
      <c r="AC163" s="25">
        <v>2020</v>
      </c>
      <c r="AE163" s="25" t="str">
        <f t="shared" si="341" ref="AE163:AE165">AE162</f>
        <v>PyroRecy-NMC622</v>
      </c>
      <c r="AF163" s="26" t="s">
        <v>294</v>
      </c>
      <c r="AG163" s="25">
        <f t="shared" si="334"/>
        <v>0.044125560538116587</v>
      </c>
      <c r="AH163" s="25">
        <v>2020</v>
      </c>
      <c r="AJ163" s="25" t="str">
        <f t="shared" si="342" ref="AJ163:AJ165">AJ162</f>
        <v>PyroRecy-NMC811</v>
      </c>
      <c r="AK163" s="26" t="s">
        <v>294</v>
      </c>
      <c r="AL163" s="25">
        <f t="shared" si="335"/>
        <v>0.045640636846095532</v>
      </c>
      <c r="AM163" s="25">
        <v>2020</v>
      </c>
      <c r="AO163" s="25" t="str">
        <f t="shared" si="343" ref="AO163:AO165">AO162</f>
        <v>PyroRecy-NCA</v>
      </c>
      <c r="AP163" s="26" t="s">
        <v>294</v>
      </c>
      <c r="AQ163" s="25">
        <f t="shared" si="336"/>
        <v>0.046727577848219272</v>
      </c>
      <c r="AR163" s="25">
        <v>2020</v>
      </c>
      <c r="AT163" s="25" t="str">
        <f t="shared" si="344" ref="AT163:AT165">AT162</f>
        <v>PyroRecy-LMO</v>
      </c>
      <c r="AU163" s="26" t="s">
        <v>294</v>
      </c>
      <c r="AV163" s="25">
        <f t="shared" si="337"/>
        <v>0.037020316027088038</v>
      </c>
      <c r="AW163" s="25">
        <v>2020</v>
      </c>
      <c r="AY163" s="25" t="str">
        <f t="shared" si="345" ref="AY163:AY165">AY162</f>
        <v>PyroRecy-LFP</v>
      </c>
      <c r="AZ163" s="26" t="s">
        <v>294</v>
      </c>
      <c r="BA163" s="25">
        <f t="shared" si="338"/>
        <v>0.043509020162716662</v>
      </c>
      <c r="BB163" s="25">
        <v>2020</v>
      </c>
    </row>
    <row r="164" spans="21:54" ht="15.5">
      <c r="U164" s="25" t="str">
        <f t="shared" si="339"/>
        <v>PyroRecy-NMC111</v>
      </c>
      <c r="V164" s="26" t="s">
        <v>295</v>
      </c>
      <c r="W164" s="25">
        <f t="shared" si="332"/>
        <v>0.072494525854808825</v>
      </c>
      <c r="X164" s="25">
        <v>2020</v>
      </c>
      <c r="Z164" s="25" t="str">
        <f t="shared" si="340"/>
        <v>PyroRecy-NMC532</v>
      </c>
      <c r="AA164" s="26" t="s">
        <v>295</v>
      </c>
      <c r="AB164" s="25">
        <f t="shared" si="333"/>
        <v>0.070607356715141151</v>
      </c>
      <c r="AC164" s="25">
        <v>2020</v>
      </c>
      <c r="AE164" s="25" t="str">
        <f t="shared" si="341"/>
        <v>PyroRecy-NMC622</v>
      </c>
      <c r="AF164" s="26" t="s">
        <v>295</v>
      </c>
      <c r="AG164" s="25">
        <f t="shared" si="334"/>
        <v>0.073201793721973094</v>
      </c>
      <c r="AH164" s="25">
        <v>2020</v>
      </c>
      <c r="AJ164" s="25" t="str">
        <f t="shared" si="342"/>
        <v>PyroRecy-NMC811</v>
      </c>
      <c r="AK164" s="26" t="s">
        <v>295</v>
      </c>
      <c r="AL164" s="25">
        <f t="shared" si="335"/>
        <v>0.076516300227445044</v>
      </c>
      <c r="AM164" s="25">
        <v>2020</v>
      </c>
      <c r="AO164" s="25" t="str">
        <f t="shared" si="343"/>
        <v>PyroRecy-NCA</v>
      </c>
      <c r="AP164" s="26" t="s">
        <v>295</v>
      </c>
      <c r="AQ164" s="25">
        <f t="shared" si="336"/>
        <v>0.080384113369382809</v>
      </c>
      <c r="AR164" s="25">
        <v>2020</v>
      </c>
      <c r="AT164" s="25" t="str">
        <f t="shared" si="344"/>
        <v>PyroRecy-LMO</v>
      </c>
      <c r="AU164" s="26" t="s">
        <v>295</v>
      </c>
      <c r="AV164" s="25">
        <f t="shared" si="337"/>
        <v>0.061414597441685481</v>
      </c>
      <c r="AW164" s="25">
        <v>2020</v>
      </c>
      <c r="AY164" s="25" t="str">
        <f t="shared" si="345"/>
        <v>PyroRecy-LFP</v>
      </c>
      <c r="AZ164" s="26" t="s">
        <v>295</v>
      </c>
      <c r="BA164" s="25">
        <f t="shared" si="338"/>
        <v>0.072178988326848256</v>
      </c>
      <c r="BB164" s="25">
        <v>2020</v>
      </c>
    </row>
    <row r="165" spans="21:54" ht="15.5">
      <c r="U165" s="25" t="str">
        <f t="shared" si="339"/>
        <v>PyroRecy-NMC111</v>
      </c>
      <c r="V165" s="26" t="s">
        <v>296</v>
      </c>
      <c r="W165" s="25">
        <f t="shared" si="332"/>
        <v>0.013154791982482733</v>
      </c>
      <c r="X165" s="25">
        <v>2020</v>
      </c>
      <c r="Z165" s="25" t="str">
        <f t="shared" si="340"/>
        <v>PyroRecy-NMC532</v>
      </c>
      <c r="AA165" s="26" t="s">
        <v>296</v>
      </c>
      <c r="AB165" s="25">
        <f t="shared" si="333"/>
        <v>0.012865697177074423</v>
      </c>
      <c r="AC165" s="25">
        <v>2020</v>
      </c>
      <c r="AE165" s="25" t="str">
        <f t="shared" si="341"/>
        <v>PyroRecy-NMC622</v>
      </c>
      <c r="AF165" s="26" t="s">
        <v>296</v>
      </c>
      <c r="AG165" s="25">
        <f t="shared" si="334"/>
        <v>0.013327354260089684</v>
      </c>
      <c r="AH165" s="25">
        <v>2020</v>
      </c>
      <c r="AJ165" s="25" t="str">
        <f t="shared" si="342"/>
        <v>PyroRecy-NMC811</v>
      </c>
      <c r="AK165" s="26" t="s">
        <v>296</v>
      </c>
      <c r="AL165" s="25">
        <f t="shared" si="335"/>
        <v>0.014556482183472327</v>
      </c>
      <c r="AM165" s="25">
        <v>2020</v>
      </c>
      <c r="AO165" s="25" t="str">
        <f t="shared" si="343"/>
        <v>PyroRecy-NCA</v>
      </c>
      <c r="AP165" s="26" t="s">
        <v>296</v>
      </c>
      <c r="AQ165" s="25">
        <f t="shared" si="336"/>
        <v>0.014861085213499907</v>
      </c>
      <c r="AR165" s="25">
        <v>2020</v>
      </c>
      <c r="AT165" s="25" t="str">
        <f t="shared" si="344"/>
        <v>PyroRecy-LMO</v>
      </c>
      <c r="AU165" s="26" t="s">
        <v>296</v>
      </c>
      <c r="AV165" s="25">
        <f t="shared" si="337"/>
        <v>0.011181339352896915</v>
      </c>
      <c r="AW165" s="25">
        <v>2020</v>
      </c>
      <c r="AY165" s="25" t="str">
        <f t="shared" si="345"/>
        <v>PyroRecy-LFP</v>
      </c>
      <c r="AZ165" s="26" t="s">
        <v>296</v>
      </c>
      <c r="BA165" s="25">
        <f t="shared" si="338"/>
        <v>0.013141139016625397</v>
      </c>
      <c r="BB165" s="25">
        <v>2020</v>
      </c>
    </row>
    <row r="166" spans="21:53" ht="15.5">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spans="21:53" ht="15.5">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spans="21:53" ht="15.5">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spans="21:53" ht="15.5">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spans="21:53" ht="15.5">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spans="21:53" ht="15.5">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spans="21:53" ht="15.5">
      <c r="U172" s="23"/>
      <c r="V172" s="24" t="s">
        <v>292</v>
      </c>
      <c r="W172" s="23"/>
      <c r="X172" s="25"/>
      <c r="Z172" s="23"/>
      <c r="AA172" s="24" t="s">
        <v>292</v>
      </c>
      <c r="AB172" s="23"/>
      <c r="AC172" s="25"/>
      <c r="AE172" s="23"/>
      <c r="AF172" s="24" t="s">
        <v>292</v>
      </c>
      <c r="AG172" s="23"/>
      <c r="AH172" s="25"/>
      <c r="AJ172" s="23"/>
      <c r="AK172" s="24" t="s">
        <v>292</v>
      </c>
      <c r="AL172" s="23"/>
      <c r="AM172" s="25"/>
      <c r="AO172" s="23"/>
      <c r="AP172" s="24" t="s">
        <v>292</v>
      </c>
      <c r="AQ172" s="23"/>
      <c r="AR172" s="25"/>
      <c r="AT172" s="23"/>
      <c r="AU172" s="24" t="s">
        <v>292</v>
      </c>
      <c r="AV172" s="23"/>
      <c r="AW172" s="25"/>
      <c r="AY172" s="23"/>
      <c r="AZ172" s="24" t="s">
        <v>292</v>
      </c>
      <c r="BA172" s="23"/>
    </row>
    <row r="173" spans="21:54" ht="15.5">
      <c r="U173" s="24" t="s">
        <v>65</v>
      </c>
      <c r="V173" s="24" t="s">
        <v>111</v>
      </c>
      <c r="W173" s="24" t="s">
        <v>11</v>
      </c>
      <c r="X173" s="25" t="s">
        <v>41</v>
      </c>
      <c r="Z173" s="24" t="s">
        <v>65</v>
      </c>
      <c r="AA173" s="24" t="s">
        <v>111</v>
      </c>
      <c r="AB173" s="24" t="s">
        <v>11</v>
      </c>
      <c r="AC173" s="25" t="s">
        <v>41</v>
      </c>
      <c r="AE173" s="24" t="s">
        <v>65</v>
      </c>
      <c r="AF173" s="24" t="s">
        <v>111</v>
      </c>
      <c r="AG173" s="24" t="s">
        <v>11</v>
      </c>
      <c r="AH173" s="25" t="s">
        <v>41</v>
      </c>
      <c r="AJ173" s="24" t="s">
        <v>65</v>
      </c>
      <c r="AK173" s="24" t="s">
        <v>111</v>
      </c>
      <c r="AL173" s="24" t="s">
        <v>11</v>
      </c>
      <c r="AM173" s="25" t="s">
        <v>41</v>
      </c>
      <c r="AO173" s="24" t="s">
        <v>65</v>
      </c>
      <c r="AP173" s="24" t="s">
        <v>111</v>
      </c>
      <c r="AQ173" s="24" t="s">
        <v>11</v>
      </c>
      <c r="AR173" s="25" t="s">
        <v>41</v>
      </c>
      <c r="AT173" s="24" t="s">
        <v>65</v>
      </c>
      <c r="AU173" s="24" t="s">
        <v>111</v>
      </c>
      <c r="AV173" s="24" t="s">
        <v>11</v>
      </c>
      <c r="AW173" s="25" t="s">
        <v>41</v>
      </c>
      <c r="AY173" s="24" t="s">
        <v>65</v>
      </c>
      <c r="AZ173" s="24" t="s">
        <v>111</v>
      </c>
      <c r="BA173" s="24" t="s">
        <v>11</v>
      </c>
      <c r="BB173" s="25" t="s">
        <v>41</v>
      </c>
    </row>
    <row r="174" spans="21:54" ht="15.5">
      <c r="U174" s="25" t="s">
        <v>255</v>
      </c>
      <c r="V174" s="26" t="s">
        <v>293</v>
      </c>
      <c r="W174" s="25">
        <f t="shared" si="346" ref="W174:W177">W105</f>
        <v>0.011840997136601</v>
      </c>
      <c r="X174" s="25">
        <v>2020</v>
      </c>
      <c r="Z174" s="25" t="s">
        <v>257</v>
      </c>
      <c r="AA174" s="26" t="s">
        <v>293</v>
      </c>
      <c r="AB174" s="25">
        <f t="shared" si="347" ref="AB174:AB177">X105</f>
        <v>0.011377245508982031</v>
      </c>
      <c r="AC174" s="25">
        <v>2020</v>
      </c>
      <c r="AE174" s="25" t="s">
        <v>259</v>
      </c>
      <c r="AF174" s="26" t="s">
        <v>293</v>
      </c>
      <c r="AG174" s="25">
        <f t="shared" si="348" ref="AG174:AG177">Y105</f>
        <v>0.011766816143497727</v>
      </c>
      <c r="AH174" s="25">
        <v>2020</v>
      </c>
      <c r="AJ174" s="25" t="s">
        <v>261</v>
      </c>
      <c r="AK174" s="26" t="s">
        <v>293</v>
      </c>
      <c r="AL174" s="25">
        <f t="shared" si="349" ref="AL174:AL177">Z105</f>
        <v>0.01209249431387413</v>
      </c>
      <c r="AM174" s="25">
        <v>2020</v>
      </c>
      <c r="AO174" s="25" t="s">
        <v>253</v>
      </c>
      <c r="AP174" s="26" t="s">
        <v>293</v>
      </c>
      <c r="AQ174" s="25">
        <f t="shared" si="350" ref="AQ174:AQ177">AA105</f>
        <v>0.012287898564236427</v>
      </c>
      <c r="AR174" s="25">
        <v>2020</v>
      </c>
      <c r="AT174" s="25" t="s">
        <v>252</v>
      </c>
      <c r="AU174" s="26" t="s">
        <v>293</v>
      </c>
      <c r="AV174" s="25">
        <f t="shared" si="351" ref="AV174:AV177">AB105</f>
        <v>0.009872084273890136</v>
      </c>
      <c r="AW174" s="25">
        <v>2020</v>
      </c>
      <c r="AY174" s="25" t="s">
        <v>250</v>
      </c>
      <c r="AZ174" s="26" t="s">
        <v>293</v>
      </c>
      <c r="BA174" s="25">
        <f t="shared" si="352" ref="BA174:BA177">AC105</f>
        <v>0.01160240537672444</v>
      </c>
      <c r="BB174" s="25">
        <v>2020</v>
      </c>
    </row>
    <row r="175" spans="21:54" ht="15.5">
      <c r="U175" s="25" t="str">
        <f t="shared" si="353" ref="U175:U177">U174</f>
        <v>HydRecy-NMC111</v>
      </c>
      <c r="V175" s="26" t="s">
        <v>294</v>
      </c>
      <c r="W175" s="25">
        <f t="shared" si="346"/>
        <v>0.040441300320026949</v>
      </c>
      <c r="X175" s="25">
        <v>2020</v>
      </c>
      <c r="Z175" s="25" t="str">
        <f t="shared" si="354" ref="Z175:Z177">Z174</f>
        <v>HydRecy-NMC532</v>
      </c>
      <c r="AA175" s="26" t="s">
        <v>294</v>
      </c>
      <c r="AB175" s="25">
        <f t="shared" si="347"/>
        <v>0.038973481608212152</v>
      </c>
      <c r="AC175" s="25">
        <v>2020</v>
      </c>
      <c r="AE175" s="25" t="str">
        <f t="shared" si="355" ref="AE175:AE177">AE174</f>
        <v>HydRecy-NMC622</v>
      </c>
      <c r="AF175" s="26" t="s">
        <v>294</v>
      </c>
      <c r="AG175" s="25">
        <f t="shared" si="348"/>
        <v>0.040340807174887895</v>
      </c>
      <c r="AH175" s="25">
        <v>2020</v>
      </c>
      <c r="AJ175" s="25" t="str">
        <f t="shared" si="356" ref="AJ175:AJ177">AJ174</f>
        <v>HydRecy-NMC811</v>
      </c>
      <c r="AK175" s="26" t="s">
        <v>294</v>
      </c>
      <c r="AL175" s="25">
        <f t="shared" si="349"/>
        <v>0.042020470053070504</v>
      </c>
      <c r="AM175" s="25">
        <v>2020</v>
      </c>
      <c r="AO175" s="25" t="str">
        <f t="shared" si="357" ref="AO175:AO177">AO174</f>
        <v>HydRecy-NCA</v>
      </c>
      <c r="AP175" s="26" t="s">
        <v>294</v>
      </c>
      <c r="AQ175" s="25">
        <f t="shared" si="350"/>
        <v>0.042811859034122692</v>
      </c>
      <c r="AR175" s="25">
        <v>2020</v>
      </c>
      <c r="AT175" s="25" t="str">
        <f t="shared" si="358" ref="AT175:AT177">AT174</f>
        <v>HydRecy-LMO</v>
      </c>
      <c r="AU175" s="26" t="s">
        <v>294</v>
      </c>
      <c r="AV175" s="25">
        <f t="shared" si="351"/>
        <v>0.033844996237772769</v>
      </c>
      <c r="AW175" s="25">
        <v>2020</v>
      </c>
      <c r="AY175" s="25" t="str">
        <f t="shared" si="359" ref="AY175:AY177">AY174</f>
        <v>HydRecy-LFP</v>
      </c>
      <c r="AZ175" s="26" t="s">
        <v>294</v>
      </c>
      <c r="BA175" s="25">
        <f t="shared" si="352"/>
        <v>0.039777148921117798</v>
      </c>
      <c r="BB175" s="25">
        <v>2020</v>
      </c>
    </row>
    <row r="176" spans="21:54" ht="15.5">
      <c r="U176" s="25" t="str">
        <f t="shared" si="353"/>
        <v>HydRecy-NMC111</v>
      </c>
      <c r="V176" s="26" t="s">
        <v>295</v>
      </c>
      <c r="W176" s="25">
        <f t="shared" si="346"/>
        <v>0.087030486777833926</v>
      </c>
      <c r="X176" s="25">
        <v>2020</v>
      </c>
      <c r="Z176" s="25" t="str">
        <f t="shared" si="354"/>
        <v>HydRecy-NMC532</v>
      </c>
      <c r="AA176" s="26" t="s">
        <v>295</v>
      </c>
      <c r="AB176" s="25">
        <f t="shared" si="347"/>
        <v>0.084362703165098391</v>
      </c>
      <c r="AC176" s="25">
        <v>2020</v>
      </c>
      <c r="AE176" s="25" t="str">
        <f t="shared" si="355"/>
        <v>HydRecy-NMC622</v>
      </c>
      <c r="AF176" s="26" t="s">
        <v>295</v>
      </c>
      <c r="AG176" s="25">
        <f t="shared" si="348"/>
        <v>0.087443946188340796</v>
      </c>
      <c r="AH176" s="25">
        <v>2020</v>
      </c>
      <c r="AJ176" s="25" t="str">
        <f t="shared" si="356"/>
        <v>HydRecy-NMC811</v>
      </c>
      <c r="AK176" s="26" t="s">
        <v>295</v>
      </c>
      <c r="AL176" s="25">
        <f t="shared" si="349"/>
        <v>0.088191811978771795</v>
      </c>
      <c r="AM176" s="25">
        <v>2020</v>
      </c>
      <c r="AO176" s="25" t="str">
        <f t="shared" si="357"/>
        <v>HydRecy-NCA</v>
      </c>
      <c r="AP176" s="26" t="s">
        <v>295</v>
      </c>
      <c r="AQ176" s="25">
        <f t="shared" si="350"/>
        <v>0.092224501212008203</v>
      </c>
      <c r="AR176" s="25">
        <v>2020</v>
      </c>
      <c r="AT176" s="25" t="str">
        <f t="shared" si="358"/>
        <v>HydRecy-LMO</v>
      </c>
      <c r="AU176" s="26" t="s">
        <v>295</v>
      </c>
      <c r="AV176" s="25">
        <f t="shared" si="351"/>
        <v>0.07336343115124154</v>
      </c>
      <c r="AW176" s="25">
        <v>2020</v>
      </c>
      <c r="AY176" s="25" t="str">
        <f t="shared" si="359"/>
        <v>HydRecy-LFP</v>
      </c>
      <c r="AZ176" s="26" t="s">
        <v>295</v>
      </c>
      <c r="BA176" s="25">
        <f t="shared" si="352"/>
        <v>0.086222143615139718</v>
      </c>
      <c r="BB176" s="25">
        <v>2020</v>
      </c>
    </row>
    <row r="177" spans="21:54" ht="15.5">
      <c r="U177" s="25" t="str">
        <f t="shared" si="353"/>
        <v>HydRecy-NMC111</v>
      </c>
      <c r="V177" s="26" t="s">
        <v>296</v>
      </c>
      <c r="W177" s="25">
        <f t="shared" si="346"/>
        <v>0.013356914266464542</v>
      </c>
      <c r="X177" s="25">
        <v>2020</v>
      </c>
      <c r="Z177" s="25" t="str">
        <f t="shared" si="354"/>
        <v>HydRecy-NMC532</v>
      </c>
      <c r="AA177" s="26" t="s">
        <v>296</v>
      </c>
      <c r="AB177" s="25">
        <f t="shared" si="347"/>
        <v>0.013190761334473907</v>
      </c>
      <c r="AC177" s="25">
        <v>2020</v>
      </c>
      <c r="AE177" s="25" t="str">
        <f t="shared" si="355"/>
        <v>HydRecy-NMC622</v>
      </c>
      <c r="AF177" s="26" t="s">
        <v>296</v>
      </c>
      <c r="AG177" s="25">
        <f t="shared" si="348"/>
        <v>0.013739910313901343</v>
      </c>
      <c r="AH177" s="25">
        <v>2020</v>
      </c>
      <c r="AJ177" s="25" t="str">
        <f t="shared" si="356"/>
        <v>HydRecy-NMC811</v>
      </c>
      <c r="AK177" s="26" t="s">
        <v>296</v>
      </c>
      <c r="AL177" s="25">
        <f t="shared" si="349"/>
        <v>0.01410159211523882</v>
      </c>
      <c r="AM177" s="25">
        <v>2020</v>
      </c>
      <c r="AO177" s="25" t="str">
        <f t="shared" si="357"/>
        <v>HydRecy-NCA</v>
      </c>
      <c r="AP177" s="26" t="s">
        <v>296</v>
      </c>
      <c r="AQ177" s="25">
        <f t="shared" si="350"/>
        <v>0.014301696811486108</v>
      </c>
      <c r="AR177" s="25">
        <v>2020</v>
      </c>
      <c r="AT177" s="25" t="str">
        <f t="shared" si="358"/>
        <v>HydRecy-LMO</v>
      </c>
      <c r="AU177" s="26" t="s">
        <v>296</v>
      </c>
      <c r="AV177" s="25">
        <f t="shared" si="351"/>
        <v>0.011527464258841233</v>
      </c>
      <c r="AW177" s="25">
        <v>2020</v>
      </c>
      <c r="AY177" s="25" t="str">
        <f t="shared" si="359"/>
        <v>HydRecy-LFP</v>
      </c>
      <c r="AZ177" s="26" t="s">
        <v>296</v>
      </c>
      <c r="BA177" s="25">
        <f t="shared" si="352"/>
        <v>0.013547930668553235</v>
      </c>
      <c r="BB177" s="25">
        <v>2020</v>
      </c>
    </row>
    <row r="178" spans="21:53" ht="15.5">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spans="21:53" ht="15.5">
      <c r="U183" s="23"/>
      <c r="V183" s="24" t="s">
        <v>292</v>
      </c>
      <c r="W183" s="23"/>
      <c r="X183" s="25"/>
      <c r="Z183" s="23"/>
      <c r="AA183" s="24" t="s">
        <v>292</v>
      </c>
      <c r="AB183" s="23"/>
      <c r="AC183" s="25"/>
      <c r="AE183" s="23"/>
      <c r="AF183" s="24" t="s">
        <v>292</v>
      </c>
      <c r="AG183" s="23"/>
      <c r="AH183" s="25"/>
      <c r="AJ183" s="23"/>
      <c r="AK183" s="24" t="s">
        <v>292</v>
      </c>
      <c r="AL183" s="23"/>
      <c r="AM183" s="25"/>
      <c r="AO183" s="23"/>
      <c r="AP183" s="24" t="s">
        <v>292</v>
      </c>
      <c r="AQ183" s="23"/>
      <c r="AR183" s="25"/>
      <c r="AT183" s="23"/>
      <c r="AU183" s="24" t="s">
        <v>292</v>
      </c>
      <c r="AV183" s="23"/>
      <c r="AW183" s="25"/>
      <c r="AY183" s="23"/>
      <c r="AZ183" s="24" t="s">
        <v>292</v>
      </c>
      <c r="BA183" s="23"/>
    </row>
    <row r="184" spans="21:54" ht="15.5">
      <c r="U184" s="24" t="s">
        <v>65</v>
      </c>
      <c r="V184" s="24" t="s">
        <v>111</v>
      </c>
      <c r="W184" s="24" t="s">
        <v>11</v>
      </c>
      <c r="X184" s="25" t="s">
        <v>41</v>
      </c>
      <c r="Z184" s="24" t="s">
        <v>65</v>
      </c>
      <c r="AA184" s="24" t="s">
        <v>111</v>
      </c>
      <c r="AB184" s="24" t="s">
        <v>11</v>
      </c>
      <c r="AC184" s="25" t="s">
        <v>41</v>
      </c>
      <c r="AE184" s="24" t="s">
        <v>65</v>
      </c>
      <c r="AF184" s="24" t="s">
        <v>111</v>
      </c>
      <c r="AG184" s="24" t="s">
        <v>11</v>
      </c>
      <c r="AH184" s="25" t="s">
        <v>41</v>
      </c>
      <c r="AJ184" s="24" t="s">
        <v>65</v>
      </c>
      <c r="AK184" s="24" t="s">
        <v>111</v>
      </c>
      <c r="AL184" s="24" t="s">
        <v>11</v>
      </c>
      <c r="AM184" s="25" t="s">
        <v>41</v>
      </c>
      <c r="AO184" s="24" t="s">
        <v>65</v>
      </c>
      <c r="AP184" s="24" t="s">
        <v>111</v>
      </c>
      <c r="AQ184" s="24" t="s">
        <v>11</v>
      </c>
      <c r="AR184" s="25" t="s">
        <v>41</v>
      </c>
      <c r="AT184" s="24" t="s">
        <v>65</v>
      </c>
      <c r="AU184" s="24" t="s">
        <v>111</v>
      </c>
      <c r="AV184" s="24" t="s">
        <v>11</v>
      </c>
      <c r="AW184" s="25" t="s">
        <v>41</v>
      </c>
      <c r="AY184" s="24" t="s">
        <v>65</v>
      </c>
      <c r="AZ184" s="24" t="s">
        <v>111</v>
      </c>
      <c r="BA184" s="24" t="s">
        <v>11</v>
      </c>
      <c r="BB184" s="25" t="s">
        <v>41</v>
      </c>
    </row>
    <row r="185" spans="21:54" ht="15.5">
      <c r="U185" s="25" t="s">
        <v>268</v>
      </c>
      <c r="V185" s="26" t="s">
        <v>293</v>
      </c>
      <c r="W185" s="25">
        <f t="shared" si="360" ref="W185:W188">W125</f>
        <v>0.0081017348829375141</v>
      </c>
      <c r="X185" s="25">
        <v>2020</v>
      </c>
      <c r="Z185" s="25" t="s">
        <v>270</v>
      </c>
      <c r="AA185" s="26" t="s">
        <v>293</v>
      </c>
      <c r="AB185" s="25">
        <f t="shared" si="361" ref="AB185:AB188">X125</f>
        <v>0.007869974337040217</v>
      </c>
      <c r="AC185" s="25">
        <v>2020</v>
      </c>
      <c r="AE185" s="25" t="s">
        <v>272</v>
      </c>
      <c r="AF185" s="26" t="s">
        <v>293</v>
      </c>
      <c r="AG185" s="25">
        <f t="shared" si="362" ref="AG185:AG188">Y125</f>
        <v>0.008179372197309423</v>
      </c>
      <c r="AH185" s="25">
        <v>2020</v>
      </c>
      <c r="AJ185" s="25" t="s">
        <v>273</v>
      </c>
      <c r="AK185" s="26" t="s">
        <v>293</v>
      </c>
      <c r="AL185" s="25">
        <f t="shared" si="363" ref="AL185:AL188">Z125</f>
        <v>0.0081690674753601283</v>
      </c>
      <c r="AM185" s="25">
        <v>2020</v>
      </c>
      <c r="AO185" s="25" t="s">
        <v>267</v>
      </c>
      <c r="AP185" s="26" t="s">
        <v>293</v>
      </c>
      <c r="AQ185" s="25">
        <f t="shared" si="364" ref="AQ185:AQ188">AA125</f>
        <v>0.0082603020697370605</v>
      </c>
      <c r="AR185" s="25">
        <v>2020</v>
      </c>
      <c r="AT185" s="25" t="s">
        <v>265</v>
      </c>
      <c r="AU185" s="26" t="s">
        <v>293</v>
      </c>
      <c r="AV185" s="25">
        <f t="shared" si="365" ref="AV185:AV188">AB125</f>
        <v>0.0068623024830699736</v>
      </c>
      <c r="AW185" s="25">
        <v>2020</v>
      </c>
      <c r="AY185" s="25" t="s">
        <v>263</v>
      </c>
      <c r="AZ185" s="26" t="s">
        <v>293</v>
      </c>
      <c r="BA185" s="25">
        <f t="shared" si="366" ref="BA185:BA188">AC125</f>
        <v>0.0080650866643084546</v>
      </c>
      <c r="BB185" s="25">
        <v>2020</v>
      </c>
    </row>
    <row r="186" spans="21:54" ht="15.5">
      <c r="U186" s="25" t="str">
        <f t="shared" si="367" ref="U186:U188">U185</f>
        <v>DirRecy-NMC111</v>
      </c>
      <c r="V186" s="26" t="s">
        <v>294</v>
      </c>
      <c r="W186" s="25">
        <f t="shared" si="360"/>
        <v>0.031969007916456127</v>
      </c>
      <c r="X186" s="25">
        <v>2020</v>
      </c>
      <c r="Z186" s="25" t="str">
        <f t="shared" si="368" ref="Z186:Z188">Z185</f>
        <v>DirRecy-NMC532</v>
      </c>
      <c r="AA186" s="26" t="s">
        <v>294</v>
      </c>
      <c r="AB186" s="25">
        <f t="shared" si="361"/>
        <v>0.031069289991445679</v>
      </c>
      <c r="AC186" s="25">
        <v>2020</v>
      </c>
      <c r="AE186" s="25" t="str">
        <f t="shared" si="369" ref="AE186:AE188">AE185</f>
        <v>DirRecy-NMC622</v>
      </c>
      <c r="AF186" s="26" t="s">
        <v>294</v>
      </c>
      <c r="AG186" s="25">
        <f t="shared" si="362"/>
        <v>0.032233183856502243</v>
      </c>
      <c r="AH186" s="25">
        <v>2020</v>
      </c>
      <c r="AJ186" s="25" t="str">
        <f t="shared" si="370" ref="AJ186:AJ188">AJ185</f>
        <v>DirRecy-NMC811</v>
      </c>
      <c r="AK186" s="26" t="s">
        <v>294</v>
      </c>
      <c r="AL186" s="25">
        <f t="shared" si="363"/>
        <v>0.032164518574677788</v>
      </c>
      <c r="AM186" s="25">
        <v>2020</v>
      </c>
      <c r="AO186" s="25" t="str">
        <f t="shared" si="371" ref="AO186:AO188">AO185</f>
        <v>DirRecy-NCA</v>
      </c>
      <c r="AP186" s="26" t="s">
        <v>294</v>
      </c>
      <c r="AQ186" s="25">
        <f t="shared" si="364"/>
        <v>0.03257505127727018</v>
      </c>
      <c r="AR186" s="25">
        <v>2020</v>
      </c>
      <c r="AT186" s="25" t="str">
        <f t="shared" si="372" ref="AT186:AT188">AT185</f>
        <v>DirRecy-LMO</v>
      </c>
      <c r="AU186" s="26" t="s">
        <v>294</v>
      </c>
      <c r="AV186" s="25">
        <f t="shared" si="365"/>
        <v>0.02704288939051919</v>
      </c>
      <c r="AW186" s="25">
        <v>2020</v>
      </c>
      <c r="AY186" s="25" t="str">
        <f t="shared" si="373" ref="AY186:AY188">AY185</f>
        <v>DirRecy-LFP</v>
      </c>
      <c r="AZ186" s="26" t="s">
        <v>294</v>
      </c>
      <c r="BA186" s="25">
        <f t="shared" si="366"/>
        <v>0.03178280863105766</v>
      </c>
      <c r="BB186" s="25">
        <v>2020</v>
      </c>
    </row>
    <row r="187" spans="21:54" ht="15.5">
      <c r="U187" s="25" t="str">
        <f t="shared" si="367"/>
        <v>DirRecy-NMC111</v>
      </c>
      <c r="V187" s="26" t="s">
        <v>295</v>
      </c>
      <c r="W187" s="25">
        <f t="shared" si="360"/>
        <v>0.055718376284318687</v>
      </c>
      <c r="X187" s="25">
        <v>2020</v>
      </c>
      <c r="Z187" s="25" t="str">
        <f t="shared" si="368"/>
        <v>DirRecy-NMC532</v>
      </c>
      <c r="AA187" s="26" t="s">
        <v>295</v>
      </c>
      <c r="AB187" s="25">
        <f t="shared" si="361"/>
        <v>0.055158254918733954</v>
      </c>
      <c r="AC187" s="25">
        <v>2020</v>
      </c>
      <c r="AE187" s="25" t="str">
        <f t="shared" si="369"/>
        <v>DirRecy-NMC622</v>
      </c>
      <c r="AF187" s="26" t="s">
        <v>295</v>
      </c>
      <c r="AG187" s="25">
        <f t="shared" si="362"/>
        <v>0.057488789237668161</v>
      </c>
      <c r="AH187" s="25">
        <v>2020</v>
      </c>
      <c r="AJ187" s="25" t="str">
        <f t="shared" si="370"/>
        <v>DirRecy-NMC811</v>
      </c>
      <c r="AK187" s="26" t="s">
        <v>295</v>
      </c>
      <c r="AL187" s="25">
        <f t="shared" si="363"/>
        <v>0.058775587566338147</v>
      </c>
      <c r="AM187" s="25">
        <v>2020</v>
      </c>
      <c r="AO187" s="25" t="str">
        <f t="shared" si="371"/>
        <v>DirRecy-NCA</v>
      </c>
      <c r="AP187" s="26" t="s">
        <v>295</v>
      </c>
      <c r="AQ187" s="25">
        <f t="shared" si="364"/>
        <v>0.058754428491515943</v>
      </c>
      <c r="AR187" s="25">
        <v>2020</v>
      </c>
      <c r="AT187" s="25" t="str">
        <f t="shared" si="372"/>
        <v>DirRecy-LMO</v>
      </c>
      <c r="AU187" s="26" t="s">
        <v>295</v>
      </c>
      <c r="AV187" s="25">
        <f t="shared" si="365"/>
        <v>0.048231753197893155</v>
      </c>
      <c r="AW187" s="25">
        <v>2020</v>
      </c>
      <c r="AY187" s="25" t="str">
        <f t="shared" si="373"/>
        <v>DirRecy-LFP</v>
      </c>
      <c r="AZ187" s="26" t="s">
        <v>295</v>
      </c>
      <c r="BA187" s="25">
        <f t="shared" si="366"/>
        <v>0.056685532366466222</v>
      </c>
      <c r="BB187" s="25">
        <v>2020</v>
      </c>
    </row>
    <row r="188" spans="21:54" ht="15.5">
      <c r="U188" s="25" t="str">
        <f t="shared" si="367"/>
        <v>DirRecy-NMC111</v>
      </c>
      <c r="V188" s="26" t="s">
        <v>296</v>
      </c>
      <c r="W188" s="25">
        <f t="shared" si="360"/>
        <v>0.01305373084049183</v>
      </c>
      <c r="X188" s="25">
        <v>2020</v>
      </c>
      <c r="Z188" s="25" t="str">
        <f t="shared" si="368"/>
        <v>DirRecy-NMC532</v>
      </c>
      <c r="AA188" s="26" t="s">
        <v>296</v>
      </c>
      <c r="AB188" s="25">
        <f t="shared" si="361"/>
        <v>0.012917023096663816</v>
      </c>
      <c r="AC188" s="25">
        <v>2020</v>
      </c>
      <c r="AE188" s="25" t="str">
        <f t="shared" si="369"/>
        <v>DirRecy-NMC622</v>
      </c>
      <c r="AF188" s="26" t="s">
        <v>296</v>
      </c>
      <c r="AG188" s="25">
        <f t="shared" si="362"/>
        <v>0.013452914798206277</v>
      </c>
      <c r="AH188" s="25">
        <v>2020</v>
      </c>
      <c r="AJ188" s="25" t="str">
        <f t="shared" si="370"/>
        <v>DirRecy-NMC811</v>
      </c>
      <c r="AK188" s="26" t="s">
        <v>296</v>
      </c>
      <c r="AL188" s="25">
        <f t="shared" si="363"/>
        <v>0.013684609552691433</v>
      </c>
      <c r="AM188" s="25">
        <v>2020</v>
      </c>
      <c r="AO188" s="25" t="str">
        <f t="shared" si="371"/>
        <v>DirRecy-NCA</v>
      </c>
      <c r="AP188" s="26" t="s">
        <v>296</v>
      </c>
      <c r="AQ188" s="25">
        <f t="shared" si="364"/>
        <v>0.013723662129405182</v>
      </c>
      <c r="AR188" s="25">
        <v>2020</v>
      </c>
      <c r="AT188" s="25" t="str">
        <f t="shared" si="372"/>
        <v>DirRecy-LMO</v>
      </c>
      <c r="AU188" s="26" t="s">
        <v>296</v>
      </c>
      <c r="AV188" s="25">
        <f t="shared" si="365"/>
        <v>0.011286681715575621</v>
      </c>
      <c r="AW188" s="25">
        <v>2020</v>
      </c>
      <c r="AY188" s="25" t="str">
        <f t="shared" si="373"/>
        <v>DirRecy-LFP</v>
      </c>
      <c r="AZ188" s="26" t="s">
        <v>296</v>
      </c>
      <c r="BA188" s="25">
        <f t="shared" si="366"/>
        <v>0.013264945171559957</v>
      </c>
      <c r="BB188" s="25">
        <v>2020</v>
      </c>
    </row>
    <row r="198" spans="22:52" ht="14.5">
      <c r="V198" s="3" t="s">
        <v>292</v>
      </c>
      <c r="AA198" s="3" t="s">
        <v>292</v>
      </c>
      <c r="AF198" s="3" t="s">
        <v>292</v>
      </c>
      <c r="AK198" s="3" t="s">
        <v>292</v>
      </c>
      <c r="AP198" s="3" t="s">
        <v>292</v>
      </c>
      <c r="AU198" s="3" t="s">
        <v>292</v>
      </c>
      <c r="AZ198" s="3" t="s">
        <v>292</v>
      </c>
    </row>
    <row r="199" spans="21:54" ht="15.5">
      <c r="U199" s="3" t="s">
        <v>65</v>
      </c>
      <c r="V199" s="3" t="s">
        <v>111</v>
      </c>
      <c r="W199" s="3" t="s">
        <v>11</v>
      </c>
      <c r="X199" s="25" t="s">
        <v>41</v>
      </c>
      <c r="Z199" s="3" t="s">
        <v>65</v>
      </c>
      <c r="AA199" s="3" t="s">
        <v>111</v>
      </c>
      <c r="AB199" s="3" t="s">
        <v>11</v>
      </c>
      <c r="AC199" s="25" t="s">
        <v>41</v>
      </c>
      <c r="AE199" s="3" t="s">
        <v>65</v>
      </c>
      <c r="AF199" s="3" t="s">
        <v>111</v>
      </c>
      <c r="AG199" s="3" t="s">
        <v>11</v>
      </c>
      <c r="AH199" s="25" t="s">
        <v>41</v>
      </c>
      <c r="AJ199" s="3" t="s">
        <v>65</v>
      </c>
      <c r="AK199" s="3" t="s">
        <v>111</v>
      </c>
      <c r="AL199" s="3" t="s">
        <v>11</v>
      </c>
      <c r="AM199" s="25" t="s">
        <v>41</v>
      </c>
      <c r="AO199" s="3" t="s">
        <v>65</v>
      </c>
      <c r="AP199" s="3" t="s">
        <v>111</v>
      </c>
      <c r="AQ199" s="3" t="s">
        <v>11</v>
      </c>
      <c r="AR199" s="25" t="s">
        <v>41</v>
      </c>
      <c r="AT199" s="3" t="s">
        <v>65</v>
      </c>
      <c r="AU199" s="3" t="s">
        <v>111</v>
      </c>
      <c r="AV199" s="3" t="s">
        <v>11</v>
      </c>
      <c r="AW199" s="25" t="s">
        <v>41</v>
      </c>
      <c r="AY199" s="3" t="s">
        <v>65</v>
      </c>
      <c r="AZ199" s="3" t="s">
        <v>111</v>
      </c>
      <c r="BA199" s="3" t="s">
        <v>11</v>
      </c>
      <c r="BB199" s="25" t="s">
        <v>41</v>
      </c>
    </row>
    <row r="200" spans="21:54" ht="15.5">
      <c r="U200" s="3" t="s">
        <v>242</v>
      </c>
      <c r="V200" s="3" t="s">
        <v>293</v>
      </c>
      <c r="W200" s="3">
        <f>SUM(W162:W165)</f>
        <v>0.14118241536129358</v>
      </c>
      <c r="X200" s="25" t="s">
        <v>318</v>
      </c>
      <c r="Z200" s="3" t="s">
        <v>244</v>
      </c>
      <c r="AA200" s="3" t="s">
        <v>293</v>
      </c>
      <c r="AB200" s="3">
        <f>SUM(AB162:AB165)</f>
        <v>0.13668092386655262</v>
      </c>
      <c r="AC200" s="25" t="s">
        <v>318</v>
      </c>
      <c r="AE200" s="3" t="s">
        <v>246</v>
      </c>
      <c r="AF200" s="3" t="s">
        <v>293</v>
      </c>
      <c r="AG200" s="3">
        <f>SUM(AG162:AG165)</f>
        <v>0.14136322869955159</v>
      </c>
      <c r="AH200" s="25" t="s">
        <v>318</v>
      </c>
      <c r="AJ200" s="3" t="s">
        <v>248</v>
      </c>
      <c r="AK200" s="3" t="s">
        <v>293</v>
      </c>
      <c r="AL200" s="3">
        <f>SUM(AL162:AL165)</f>
        <v>0.14848369977255502</v>
      </c>
      <c r="AM200" s="25" t="s">
        <v>318</v>
      </c>
      <c r="AO200" s="3" t="s">
        <v>240</v>
      </c>
      <c r="AP200" s="3" t="s">
        <v>293</v>
      </c>
      <c r="AQ200" s="3">
        <f>SUM(AQ162:AQ165)</f>
        <v>0.153906395674063</v>
      </c>
      <c r="AR200" s="25" t="s">
        <v>318</v>
      </c>
      <c r="AT200" s="3" t="s">
        <v>238</v>
      </c>
      <c r="AU200" s="3" t="s">
        <v>293</v>
      </c>
      <c r="AV200" s="3">
        <f>SUM(AV162:AV165)</f>
        <v>0.11860045146726862</v>
      </c>
      <c r="AW200" s="25" t="s">
        <v>318</v>
      </c>
      <c r="AY200" s="3" t="s">
        <v>236</v>
      </c>
      <c r="AZ200" s="3" t="s">
        <v>293</v>
      </c>
      <c r="BA200" s="3">
        <f>SUM(BA162:BA165)</f>
        <v>0.13938804386275205</v>
      </c>
      <c r="BB200" s="25" t="s">
        <v>318</v>
      </c>
    </row>
    <row r="201" spans="21:54" ht="15.5">
      <c r="U201" s="3" t="s">
        <v>242</v>
      </c>
      <c r="V201" s="3" t="s">
        <v>294</v>
      </c>
      <c r="W201" s="3">
        <v>0</v>
      </c>
      <c r="X201" s="25" t="s">
        <v>318</v>
      </c>
      <c r="Z201" s="3" t="s">
        <v>244</v>
      </c>
      <c r="AA201" s="3" t="s">
        <v>294</v>
      </c>
      <c r="AB201" s="3">
        <v>0</v>
      </c>
      <c r="AC201" s="25" t="s">
        <v>318</v>
      </c>
      <c r="AE201" s="3" t="s">
        <v>246</v>
      </c>
      <c r="AF201" s="3" t="s">
        <v>294</v>
      </c>
      <c r="AG201" s="3">
        <v>0</v>
      </c>
      <c r="AH201" s="25" t="s">
        <v>318</v>
      </c>
      <c r="AJ201" s="3" t="s">
        <v>248</v>
      </c>
      <c r="AK201" s="3" t="s">
        <v>294</v>
      </c>
      <c r="AL201" s="3">
        <v>0</v>
      </c>
      <c r="AM201" s="25" t="s">
        <v>318</v>
      </c>
      <c r="AO201" s="3" t="s">
        <v>240</v>
      </c>
      <c r="AP201" s="3" t="s">
        <v>294</v>
      </c>
      <c r="AQ201" s="3">
        <v>0</v>
      </c>
      <c r="AR201" s="25" t="s">
        <v>318</v>
      </c>
      <c r="AT201" s="3" t="s">
        <v>238</v>
      </c>
      <c r="AU201" s="3" t="s">
        <v>294</v>
      </c>
      <c r="AV201" s="3">
        <v>0</v>
      </c>
      <c r="AW201" s="25" t="s">
        <v>318</v>
      </c>
      <c r="AY201" s="3" t="s">
        <v>236</v>
      </c>
      <c r="AZ201" s="3" t="s">
        <v>294</v>
      </c>
      <c r="BA201" s="3">
        <v>0</v>
      </c>
      <c r="BB201" s="25" t="s">
        <v>318</v>
      </c>
    </row>
    <row r="202" spans="21:54" ht="15.5">
      <c r="U202" s="3" t="s">
        <v>242</v>
      </c>
      <c r="V202" s="3" t="s">
        <v>295</v>
      </c>
      <c r="W202" s="3">
        <v>0</v>
      </c>
      <c r="X202" s="25" t="s">
        <v>318</v>
      </c>
      <c r="Z202" s="3" t="s">
        <v>244</v>
      </c>
      <c r="AA202" s="3" t="s">
        <v>295</v>
      </c>
      <c r="AB202" s="3">
        <v>0</v>
      </c>
      <c r="AC202" s="25" t="s">
        <v>318</v>
      </c>
      <c r="AE202" s="3" t="s">
        <v>246</v>
      </c>
      <c r="AF202" s="3" t="s">
        <v>295</v>
      </c>
      <c r="AG202" s="3">
        <v>0</v>
      </c>
      <c r="AH202" s="25" t="s">
        <v>318</v>
      </c>
      <c r="AJ202" s="3" t="s">
        <v>248</v>
      </c>
      <c r="AK202" s="3" t="s">
        <v>295</v>
      </c>
      <c r="AL202" s="3">
        <v>0</v>
      </c>
      <c r="AM202" s="25" t="s">
        <v>318</v>
      </c>
      <c r="AO202" s="3" t="s">
        <v>240</v>
      </c>
      <c r="AP202" s="3" t="s">
        <v>295</v>
      </c>
      <c r="AQ202" s="3">
        <v>0</v>
      </c>
      <c r="AR202" s="25" t="s">
        <v>318</v>
      </c>
      <c r="AT202" s="3" t="s">
        <v>238</v>
      </c>
      <c r="AU202" s="3" t="s">
        <v>295</v>
      </c>
      <c r="AV202" s="3">
        <v>0</v>
      </c>
      <c r="AW202" s="25" t="s">
        <v>318</v>
      </c>
      <c r="AY202" s="3" t="s">
        <v>236</v>
      </c>
      <c r="AZ202" s="3" t="s">
        <v>295</v>
      </c>
      <c r="BA202" s="3">
        <v>0</v>
      </c>
      <c r="BB202" s="25" t="s">
        <v>318</v>
      </c>
    </row>
    <row r="203" spans="21:54" ht="15.5">
      <c r="U203" s="3" t="s">
        <v>242</v>
      </c>
      <c r="V203" s="3" t="s">
        <v>296</v>
      </c>
      <c r="W203" s="3">
        <v>0</v>
      </c>
      <c r="X203" s="25" t="s">
        <v>318</v>
      </c>
      <c r="Z203" s="3" t="s">
        <v>244</v>
      </c>
      <c r="AA203" s="3" t="s">
        <v>296</v>
      </c>
      <c r="AB203" s="3">
        <v>0</v>
      </c>
      <c r="AC203" s="25" t="s">
        <v>318</v>
      </c>
      <c r="AE203" s="3" t="s">
        <v>246</v>
      </c>
      <c r="AF203" s="3" t="s">
        <v>296</v>
      </c>
      <c r="AG203" s="3">
        <v>0</v>
      </c>
      <c r="AH203" s="25" t="s">
        <v>318</v>
      </c>
      <c r="AJ203" s="3" t="s">
        <v>248</v>
      </c>
      <c r="AK203" s="3" t="s">
        <v>296</v>
      </c>
      <c r="AL203" s="3">
        <v>0</v>
      </c>
      <c r="AM203" s="25" t="s">
        <v>318</v>
      </c>
      <c r="AO203" s="3" t="s">
        <v>240</v>
      </c>
      <c r="AP203" s="3" t="s">
        <v>296</v>
      </c>
      <c r="AQ203" s="3">
        <v>0</v>
      </c>
      <c r="AR203" s="25" t="s">
        <v>318</v>
      </c>
      <c r="AT203" s="3" t="s">
        <v>238</v>
      </c>
      <c r="AU203" s="3" t="s">
        <v>296</v>
      </c>
      <c r="AV203" s="3">
        <v>0</v>
      </c>
      <c r="AW203" s="25" t="s">
        <v>318</v>
      </c>
      <c r="AY203" s="3" t="s">
        <v>236</v>
      </c>
      <c r="AZ203" s="3" t="s">
        <v>296</v>
      </c>
      <c r="BA203" s="3">
        <v>0</v>
      </c>
      <c r="BB203" s="25" t="s">
        <v>318</v>
      </c>
    </row>
    <row r="210" spans="22:52" ht="14.5">
      <c r="V210" s="3" t="s">
        <v>292</v>
      </c>
      <c r="AA210" s="3" t="s">
        <v>292</v>
      </c>
      <c r="AF210" s="3" t="s">
        <v>292</v>
      </c>
      <c r="AK210" s="3" t="s">
        <v>292</v>
      </c>
      <c r="AP210" s="3" t="s">
        <v>292</v>
      </c>
      <c r="AU210" s="3" t="s">
        <v>292</v>
      </c>
      <c r="AZ210" s="3" t="s">
        <v>292</v>
      </c>
    </row>
    <row r="211" spans="21:54" ht="15.5">
      <c r="U211" s="3" t="s">
        <v>65</v>
      </c>
      <c r="V211" s="3" t="s">
        <v>111</v>
      </c>
      <c r="W211" s="3" t="s">
        <v>11</v>
      </c>
      <c r="X211" s="25" t="s">
        <v>41</v>
      </c>
      <c r="Z211" s="3" t="s">
        <v>65</v>
      </c>
      <c r="AA211" s="3" t="s">
        <v>111</v>
      </c>
      <c r="AB211" s="3" t="s">
        <v>11</v>
      </c>
      <c r="AC211" s="25" t="s">
        <v>41</v>
      </c>
      <c r="AE211" s="3" t="s">
        <v>65</v>
      </c>
      <c r="AF211" s="3" t="s">
        <v>111</v>
      </c>
      <c r="AG211" s="3" t="s">
        <v>11</v>
      </c>
      <c r="AH211" s="25" t="s">
        <v>41</v>
      </c>
      <c r="AJ211" s="3" t="s">
        <v>65</v>
      </c>
      <c r="AK211" s="3" t="s">
        <v>111</v>
      </c>
      <c r="AL211" s="3" t="s">
        <v>11</v>
      </c>
      <c r="AM211" s="25" t="s">
        <v>41</v>
      </c>
      <c r="AO211" s="3" t="s">
        <v>65</v>
      </c>
      <c r="AP211" s="3" t="s">
        <v>111</v>
      </c>
      <c r="AQ211" s="3" t="s">
        <v>11</v>
      </c>
      <c r="AR211" s="25" t="s">
        <v>41</v>
      </c>
      <c r="AT211" s="3" t="s">
        <v>65</v>
      </c>
      <c r="AU211" s="3" t="s">
        <v>111</v>
      </c>
      <c r="AV211" s="3" t="s">
        <v>11</v>
      </c>
      <c r="AW211" s="25" t="s">
        <v>41</v>
      </c>
      <c r="AY211" s="3" t="s">
        <v>65</v>
      </c>
      <c r="AZ211" s="3" t="s">
        <v>111</v>
      </c>
      <c r="BA211" s="3" t="s">
        <v>11</v>
      </c>
      <c r="BB211" s="25" t="s">
        <v>41</v>
      </c>
    </row>
    <row r="212" spans="21:54" ht="15.5">
      <c r="U212" s="3" t="s">
        <v>255</v>
      </c>
      <c r="V212" s="3" t="s">
        <v>293</v>
      </c>
      <c r="W212" s="3">
        <f>SUM(W174:W177)</f>
        <v>0.1526696985009264</v>
      </c>
      <c r="X212" s="25" t="s">
        <v>318</v>
      </c>
      <c r="Z212" s="3" t="s">
        <v>257</v>
      </c>
      <c r="AA212" s="3" t="s">
        <v>293</v>
      </c>
      <c r="AB212" s="3">
        <f>SUM(AB174:AB177)</f>
        <v>0.14790419161676649</v>
      </c>
      <c r="AC212" s="25" t="s">
        <v>318</v>
      </c>
      <c r="AE212" s="3" t="s">
        <v>259</v>
      </c>
      <c r="AF212" s="3" t="s">
        <v>293</v>
      </c>
      <c r="AG212" s="3">
        <f>SUM(AG174:AG177)</f>
        <v>0.15329147982062777</v>
      </c>
      <c r="AH212" s="25" t="s">
        <v>318</v>
      </c>
      <c r="AJ212" s="3" t="s">
        <v>261</v>
      </c>
      <c r="AK212" s="3" t="s">
        <v>293</v>
      </c>
      <c r="AL212" s="3">
        <f>SUM(AL174:AL177)</f>
        <v>0.15640636846095524</v>
      </c>
      <c r="AM212" s="25" t="s">
        <v>318</v>
      </c>
      <c r="AO212" s="3" t="s">
        <v>253</v>
      </c>
      <c r="AP212" s="3" t="s">
        <v>293</v>
      </c>
      <c r="AQ212" s="3">
        <f>SUM(AQ174:AQ177)</f>
        <v>0.16162595562185342</v>
      </c>
      <c r="AR212" s="25" t="s">
        <v>318</v>
      </c>
      <c r="AT212" s="3" t="s">
        <v>252</v>
      </c>
      <c r="AU212" s="3" t="s">
        <v>293</v>
      </c>
      <c r="AV212" s="3">
        <f>SUM(AV174:AV177)</f>
        <v>0.12860797592174569</v>
      </c>
      <c r="AW212" s="25" t="s">
        <v>318</v>
      </c>
      <c r="AY212" s="3" t="s">
        <v>250</v>
      </c>
      <c r="AZ212" s="3" t="s">
        <v>293</v>
      </c>
      <c r="BA212" s="3">
        <f>SUM(BA174:BA177)</f>
        <v>0.15114962858153519</v>
      </c>
      <c r="BB212" s="25" t="s">
        <v>318</v>
      </c>
    </row>
    <row r="213" spans="21:54" ht="15.5">
      <c r="U213" s="3" t="s">
        <v>255</v>
      </c>
      <c r="V213" s="3" t="s">
        <v>294</v>
      </c>
      <c r="W213" s="3">
        <v>0</v>
      </c>
      <c r="X213" s="25" t="s">
        <v>318</v>
      </c>
      <c r="Z213" s="3" t="s">
        <v>257</v>
      </c>
      <c r="AA213" s="3" t="s">
        <v>294</v>
      </c>
      <c r="AB213" s="3">
        <v>0</v>
      </c>
      <c r="AC213" s="25" t="s">
        <v>318</v>
      </c>
      <c r="AE213" s="3" t="s">
        <v>259</v>
      </c>
      <c r="AF213" s="3" t="s">
        <v>294</v>
      </c>
      <c r="AG213" s="3">
        <v>0</v>
      </c>
      <c r="AH213" s="25" t="s">
        <v>318</v>
      </c>
      <c r="AJ213" s="3" t="s">
        <v>261</v>
      </c>
      <c r="AK213" s="3" t="s">
        <v>294</v>
      </c>
      <c r="AL213" s="3">
        <v>0</v>
      </c>
      <c r="AM213" s="25" t="s">
        <v>318</v>
      </c>
      <c r="AO213" s="3" t="s">
        <v>253</v>
      </c>
      <c r="AP213" s="3" t="s">
        <v>294</v>
      </c>
      <c r="AQ213" s="3">
        <v>0</v>
      </c>
      <c r="AR213" s="25" t="s">
        <v>318</v>
      </c>
      <c r="AT213" s="3" t="s">
        <v>252</v>
      </c>
      <c r="AU213" s="3" t="s">
        <v>294</v>
      </c>
      <c r="AV213" s="3">
        <v>0</v>
      </c>
      <c r="AW213" s="25" t="s">
        <v>318</v>
      </c>
      <c r="AY213" s="3" t="s">
        <v>250</v>
      </c>
      <c r="AZ213" s="3" t="s">
        <v>294</v>
      </c>
      <c r="BA213" s="3">
        <v>0</v>
      </c>
      <c r="BB213" s="25" t="s">
        <v>318</v>
      </c>
    </row>
    <row r="214" spans="21:54" ht="15.5">
      <c r="U214" s="3" t="s">
        <v>255</v>
      </c>
      <c r="V214" s="3" t="s">
        <v>295</v>
      </c>
      <c r="W214" s="3">
        <v>0</v>
      </c>
      <c r="X214" s="25" t="s">
        <v>318</v>
      </c>
      <c r="Z214" s="3" t="s">
        <v>257</v>
      </c>
      <c r="AA214" s="3" t="s">
        <v>295</v>
      </c>
      <c r="AB214" s="3">
        <v>0</v>
      </c>
      <c r="AC214" s="25" t="s">
        <v>318</v>
      </c>
      <c r="AE214" s="3" t="s">
        <v>259</v>
      </c>
      <c r="AF214" s="3" t="s">
        <v>295</v>
      </c>
      <c r="AG214" s="3">
        <v>0</v>
      </c>
      <c r="AH214" s="25" t="s">
        <v>318</v>
      </c>
      <c r="AJ214" s="3" t="s">
        <v>261</v>
      </c>
      <c r="AK214" s="3" t="s">
        <v>295</v>
      </c>
      <c r="AL214" s="3">
        <v>0</v>
      </c>
      <c r="AM214" s="25" t="s">
        <v>318</v>
      </c>
      <c r="AO214" s="3" t="s">
        <v>253</v>
      </c>
      <c r="AP214" s="3" t="s">
        <v>295</v>
      </c>
      <c r="AQ214" s="3">
        <v>0</v>
      </c>
      <c r="AR214" s="25" t="s">
        <v>318</v>
      </c>
      <c r="AT214" s="3" t="s">
        <v>252</v>
      </c>
      <c r="AU214" s="3" t="s">
        <v>295</v>
      </c>
      <c r="AV214" s="3">
        <v>0</v>
      </c>
      <c r="AW214" s="25" t="s">
        <v>318</v>
      </c>
      <c r="AY214" s="3" t="s">
        <v>250</v>
      </c>
      <c r="AZ214" s="3" t="s">
        <v>295</v>
      </c>
      <c r="BA214" s="3">
        <v>0</v>
      </c>
      <c r="BB214" s="25" t="s">
        <v>318</v>
      </c>
    </row>
    <row r="215" spans="21:54" ht="15.5">
      <c r="U215" s="3" t="s">
        <v>255</v>
      </c>
      <c r="V215" s="3" t="s">
        <v>296</v>
      </c>
      <c r="W215" s="3">
        <v>0</v>
      </c>
      <c r="X215" s="25" t="s">
        <v>318</v>
      </c>
      <c r="Z215" s="3" t="s">
        <v>257</v>
      </c>
      <c r="AA215" s="3" t="s">
        <v>296</v>
      </c>
      <c r="AB215" s="3">
        <v>0</v>
      </c>
      <c r="AC215" s="25" t="s">
        <v>318</v>
      </c>
      <c r="AE215" s="3" t="s">
        <v>259</v>
      </c>
      <c r="AF215" s="3" t="s">
        <v>296</v>
      </c>
      <c r="AG215" s="3">
        <v>0</v>
      </c>
      <c r="AH215" s="25" t="s">
        <v>318</v>
      </c>
      <c r="AJ215" s="3" t="s">
        <v>261</v>
      </c>
      <c r="AK215" s="3" t="s">
        <v>296</v>
      </c>
      <c r="AL215" s="3">
        <v>0</v>
      </c>
      <c r="AM215" s="25" t="s">
        <v>318</v>
      </c>
      <c r="AO215" s="3" t="s">
        <v>253</v>
      </c>
      <c r="AP215" s="3" t="s">
        <v>296</v>
      </c>
      <c r="AQ215" s="3">
        <v>0</v>
      </c>
      <c r="AR215" s="25" t="s">
        <v>318</v>
      </c>
      <c r="AT215" s="3" t="s">
        <v>252</v>
      </c>
      <c r="AU215" s="3" t="s">
        <v>296</v>
      </c>
      <c r="AV215" s="3">
        <v>0</v>
      </c>
      <c r="AW215" s="25" t="s">
        <v>318</v>
      </c>
      <c r="AY215" s="3" t="s">
        <v>250</v>
      </c>
      <c r="AZ215" s="3" t="s">
        <v>296</v>
      </c>
      <c r="BA215" s="3">
        <v>0</v>
      </c>
      <c r="BB215" s="25" t="s">
        <v>318</v>
      </c>
    </row>
    <row r="221" spans="22:52" ht="14.5">
      <c r="V221" s="3" t="s">
        <v>292</v>
      </c>
      <c r="AA221" s="3" t="s">
        <v>292</v>
      </c>
      <c r="AF221" s="3" t="s">
        <v>292</v>
      </c>
      <c r="AK221" s="3" t="s">
        <v>292</v>
      </c>
      <c r="AP221" s="3" t="s">
        <v>292</v>
      </c>
      <c r="AU221" s="3" t="s">
        <v>292</v>
      </c>
      <c r="AZ221" s="3" t="s">
        <v>292</v>
      </c>
    </row>
    <row r="222" spans="21:54" ht="15.5">
      <c r="U222" s="3" t="s">
        <v>65</v>
      </c>
      <c r="V222" s="3" t="s">
        <v>111</v>
      </c>
      <c r="W222" s="3" t="s">
        <v>11</v>
      </c>
      <c r="X222" s="25" t="s">
        <v>41</v>
      </c>
      <c r="Z222" s="3" t="s">
        <v>65</v>
      </c>
      <c r="AA222" s="3" t="s">
        <v>111</v>
      </c>
      <c r="AB222" s="3" t="s">
        <v>11</v>
      </c>
      <c r="AC222" s="25" t="s">
        <v>41</v>
      </c>
      <c r="AE222" s="3" t="s">
        <v>65</v>
      </c>
      <c r="AF222" s="3" t="s">
        <v>111</v>
      </c>
      <c r="AG222" s="3" t="s">
        <v>11</v>
      </c>
      <c r="AH222" s="25" t="s">
        <v>41</v>
      </c>
      <c r="AJ222" s="3" t="s">
        <v>65</v>
      </c>
      <c r="AK222" s="3" t="s">
        <v>111</v>
      </c>
      <c r="AL222" s="3" t="s">
        <v>11</v>
      </c>
      <c r="AM222" s="25" t="s">
        <v>41</v>
      </c>
      <c r="AO222" s="3" t="s">
        <v>65</v>
      </c>
      <c r="AP222" s="3" t="s">
        <v>111</v>
      </c>
      <c r="AQ222" s="3" t="s">
        <v>11</v>
      </c>
      <c r="AR222" s="25" t="s">
        <v>41</v>
      </c>
      <c r="AT222" s="3" t="s">
        <v>65</v>
      </c>
      <c r="AU222" s="3" t="s">
        <v>111</v>
      </c>
      <c r="AV222" s="3" t="s">
        <v>11</v>
      </c>
      <c r="AW222" s="25" t="s">
        <v>41</v>
      </c>
      <c r="AY222" s="3" t="s">
        <v>65</v>
      </c>
      <c r="AZ222" s="3" t="s">
        <v>111</v>
      </c>
      <c r="BA222" s="3" t="s">
        <v>11</v>
      </c>
      <c r="BB222" s="25" t="s">
        <v>41</v>
      </c>
    </row>
    <row r="223" spans="21:54" ht="15.5">
      <c r="U223" s="3" t="s">
        <v>268</v>
      </c>
      <c r="V223" s="3" t="s">
        <v>293</v>
      </c>
      <c r="W223" s="3">
        <f>SUM(W185:W188)</f>
        <v>0.10884284992420415</v>
      </c>
      <c r="X223" s="25" t="s">
        <v>318</v>
      </c>
      <c r="Z223" s="3" t="s">
        <v>270</v>
      </c>
      <c r="AA223" s="3" t="s">
        <v>293</v>
      </c>
      <c r="AB223" s="3">
        <f>SUM(AB185:AB188)</f>
        <v>0.10701454234388366</v>
      </c>
      <c r="AC223" s="25" t="s">
        <v>318</v>
      </c>
      <c r="AE223" s="3" t="s">
        <v>272</v>
      </c>
      <c r="AF223" s="3" t="s">
        <v>293</v>
      </c>
      <c r="AG223" s="3">
        <f>SUM(AG185:AG188)</f>
        <v>0.1113542600896861</v>
      </c>
      <c r="AH223" s="25" t="s">
        <v>318</v>
      </c>
      <c r="AJ223" s="3" t="s">
        <v>273</v>
      </c>
      <c r="AK223" s="3" t="s">
        <v>293</v>
      </c>
      <c r="AL223" s="3">
        <f>SUM(AL185:AL188)</f>
        <v>0.11279378316906749</v>
      </c>
      <c r="AM223" s="25" t="s">
        <v>318</v>
      </c>
      <c r="AO223" s="3" t="s">
        <v>267</v>
      </c>
      <c r="AP223" s="3" t="s">
        <v>293</v>
      </c>
      <c r="AQ223" s="3">
        <f>SUM(AQ185:AQ188)</f>
        <v>0.11331344396792836</v>
      </c>
      <c r="AR223" s="25" t="s">
        <v>318</v>
      </c>
      <c r="AT223" s="3" t="s">
        <v>265</v>
      </c>
      <c r="AU223" s="3" t="s">
        <v>293</v>
      </c>
      <c r="AV223" s="3">
        <f>SUM(AV185:AV188)</f>
        <v>0.093423626787057928</v>
      </c>
      <c r="AW223" s="25" t="s">
        <v>318</v>
      </c>
      <c r="AY223" s="3" t="s">
        <v>263</v>
      </c>
      <c r="AZ223" s="3" t="s">
        <v>293</v>
      </c>
      <c r="BA223" s="3">
        <f>SUM(BA185:BA188)</f>
        <v>0.1097983728333923</v>
      </c>
      <c r="BB223" s="25" t="s">
        <v>318</v>
      </c>
    </row>
    <row r="224" spans="21:54" ht="15.5">
      <c r="U224" s="3" t="s">
        <v>268</v>
      </c>
      <c r="V224" s="3" t="s">
        <v>294</v>
      </c>
      <c r="W224" s="3">
        <v>0</v>
      </c>
      <c r="X224" s="25" t="s">
        <v>318</v>
      </c>
      <c r="Z224" s="3" t="s">
        <v>270</v>
      </c>
      <c r="AA224" s="3" t="s">
        <v>294</v>
      </c>
      <c r="AB224" s="3">
        <v>0</v>
      </c>
      <c r="AC224" s="25" t="s">
        <v>318</v>
      </c>
      <c r="AE224" s="3" t="s">
        <v>272</v>
      </c>
      <c r="AF224" s="3" t="s">
        <v>294</v>
      </c>
      <c r="AG224" s="3">
        <v>0</v>
      </c>
      <c r="AH224" s="25" t="s">
        <v>318</v>
      </c>
      <c r="AJ224" s="3" t="s">
        <v>273</v>
      </c>
      <c r="AK224" s="3" t="s">
        <v>294</v>
      </c>
      <c r="AL224" s="3">
        <v>0</v>
      </c>
      <c r="AM224" s="25" t="s">
        <v>318</v>
      </c>
      <c r="AO224" s="3" t="s">
        <v>267</v>
      </c>
      <c r="AP224" s="3" t="s">
        <v>294</v>
      </c>
      <c r="AQ224" s="3">
        <v>0</v>
      </c>
      <c r="AR224" s="25" t="s">
        <v>318</v>
      </c>
      <c r="AT224" s="3" t="s">
        <v>265</v>
      </c>
      <c r="AU224" s="3" t="s">
        <v>294</v>
      </c>
      <c r="AV224" s="3">
        <v>0</v>
      </c>
      <c r="AW224" s="25" t="s">
        <v>318</v>
      </c>
      <c r="AY224" s="3" t="s">
        <v>263</v>
      </c>
      <c r="AZ224" s="3" t="s">
        <v>294</v>
      </c>
      <c r="BA224" s="3">
        <v>0</v>
      </c>
      <c r="BB224" s="25" t="s">
        <v>318</v>
      </c>
    </row>
    <row r="225" spans="21:54" ht="15.5">
      <c r="U225" s="3" t="s">
        <v>268</v>
      </c>
      <c r="V225" s="3" t="s">
        <v>295</v>
      </c>
      <c r="W225" s="3">
        <v>0</v>
      </c>
      <c r="X225" s="25" t="s">
        <v>318</v>
      </c>
      <c r="Z225" s="3" t="s">
        <v>270</v>
      </c>
      <c r="AA225" s="3" t="s">
        <v>295</v>
      </c>
      <c r="AB225" s="3">
        <v>0</v>
      </c>
      <c r="AC225" s="25" t="s">
        <v>318</v>
      </c>
      <c r="AE225" s="3" t="s">
        <v>272</v>
      </c>
      <c r="AF225" s="3" t="s">
        <v>295</v>
      </c>
      <c r="AG225" s="3">
        <v>0</v>
      </c>
      <c r="AH225" s="25" t="s">
        <v>318</v>
      </c>
      <c r="AJ225" s="3" t="s">
        <v>273</v>
      </c>
      <c r="AK225" s="3" t="s">
        <v>295</v>
      </c>
      <c r="AL225" s="3">
        <v>0</v>
      </c>
      <c r="AM225" s="25" t="s">
        <v>318</v>
      </c>
      <c r="AO225" s="3" t="s">
        <v>267</v>
      </c>
      <c r="AP225" s="3" t="s">
        <v>295</v>
      </c>
      <c r="AQ225" s="3">
        <v>0</v>
      </c>
      <c r="AR225" s="25" t="s">
        <v>318</v>
      </c>
      <c r="AT225" s="3" t="s">
        <v>265</v>
      </c>
      <c r="AU225" s="3" t="s">
        <v>295</v>
      </c>
      <c r="AV225" s="3">
        <v>0</v>
      </c>
      <c r="AW225" s="25" t="s">
        <v>318</v>
      </c>
      <c r="AY225" s="3" t="s">
        <v>263</v>
      </c>
      <c r="AZ225" s="3" t="s">
        <v>295</v>
      </c>
      <c r="BA225" s="3">
        <v>0</v>
      </c>
      <c r="BB225" s="25" t="s">
        <v>318</v>
      </c>
    </row>
    <row r="226" spans="21:54" ht="15.5">
      <c r="U226" s="3" t="s">
        <v>268</v>
      </c>
      <c r="V226" s="3" t="s">
        <v>296</v>
      </c>
      <c r="W226" s="3">
        <v>0</v>
      </c>
      <c r="X226" s="25" t="s">
        <v>318</v>
      </c>
      <c r="Z226" s="3" t="s">
        <v>270</v>
      </c>
      <c r="AA226" s="3" t="s">
        <v>296</v>
      </c>
      <c r="AB226" s="3">
        <v>0</v>
      </c>
      <c r="AC226" s="25" t="s">
        <v>318</v>
      </c>
      <c r="AE226" s="3" t="s">
        <v>272</v>
      </c>
      <c r="AF226" s="3" t="s">
        <v>296</v>
      </c>
      <c r="AG226" s="3">
        <v>0</v>
      </c>
      <c r="AH226" s="25" t="s">
        <v>318</v>
      </c>
      <c r="AJ226" s="3" t="s">
        <v>273</v>
      </c>
      <c r="AK226" s="3" t="s">
        <v>296</v>
      </c>
      <c r="AL226" s="3">
        <v>0</v>
      </c>
      <c r="AM226" s="25" t="s">
        <v>318</v>
      </c>
      <c r="AO226" s="3" t="s">
        <v>267</v>
      </c>
      <c r="AP226" s="3" t="s">
        <v>296</v>
      </c>
      <c r="AQ226" s="3">
        <v>0</v>
      </c>
      <c r="AR226" s="25" t="s">
        <v>318</v>
      </c>
      <c r="AT226" s="3" t="s">
        <v>265</v>
      </c>
      <c r="AU226" s="3" t="s">
        <v>296</v>
      </c>
      <c r="AV226" s="3">
        <v>0</v>
      </c>
      <c r="AW226" s="25" t="s">
        <v>318</v>
      </c>
      <c r="AY226" s="3" t="s">
        <v>263</v>
      </c>
      <c r="AZ226" s="3" t="s">
        <v>296</v>
      </c>
      <c r="BA226" s="3">
        <v>0</v>
      </c>
      <c r="BB226" s="25" t="s">
        <v>318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xmlns:etc="http://www.wps.cn/officeDocument/2017/etCustomData" mc:Ignorable="x14ac xr xr2 xr3" xr:uid="{00000000-0001-0000-0700-000000000000}">
  <dimension ref="A1:CK447"/>
  <sheetViews>
    <sheetView zoomScale="41" zoomScaleNormal="41" workbookViewId="0" topLeftCell="A401">
      <selection pane="topLeft" activeCell="P446" sqref="P446"/>
    </sheetView>
  </sheetViews>
  <sheetFormatPr defaultColWidth="8.72428571428571" defaultRowHeight="12.5"/>
  <cols>
    <col min="1" max="1" width="34.8571428571429" customWidth="1"/>
    <col min="2" max="2" width="9.71428571428571" customWidth="1"/>
    <col min="5" max="5" width="12.8571428571429" style="2" customWidth="1"/>
    <col min="6" max="6" width="12.8571428571429" style="2"/>
    <col min="9" max="10" width="12.8571428571429" style="2"/>
    <col min="12" max="12" width="12.8571428571429" style="2"/>
    <col min="22" max="22" width="12.8571428571429" style="2" customWidth="1"/>
  </cols>
  <sheetData>
    <row r="1" spans="1:1 35:35 64:64" ht="12.5">
      <c r="A1" t="s">
        <v>337</v>
      </c>
      <c r="AI1" t="s">
        <v>338</v>
      </c>
      <c r="BL1" t="s">
        <v>339</v>
      </c>
    </row>
    <row r="2" spans="1:34 63:63" ht="12.5">
      <c r="A2" t="s">
        <v>1</v>
      </c>
      <c r="B2" t="s">
        <v>135</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340</v>
      </c>
      <c r="BK2" t="s">
        <v>340</v>
      </c>
    </row>
    <row r="3" spans="1:89" ht="12.5">
      <c r="A3" t="s">
        <v>3</v>
      </c>
      <c r="B3" t="s">
        <v>341</v>
      </c>
      <c r="C3" t="s">
        <v>341</v>
      </c>
      <c r="E3" s="2">
        <v>29.5822608017472</v>
      </c>
      <c r="F3" s="2">
        <f>E3</f>
        <v>29.5822608017472</v>
      </c>
      <c r="I3" s="2">
        <f>F3</f>
        <v>29.5822608017472</v>
      </c>
      <c r="J3" s="2">
        <f>I3</f>
        <v>29.5822608017472</v>
      </c>
      <c r="L3" s="2">
        <f>J3</f>
        <v>29.5822608017472</v>
      </c>
      <c r="V3" s="2">
        <f>L3</f>
        <v>29.5822608017472</v>
      </c>
      <c r="W3">
        <v>5</v>
      </c>
      <c r="AG3" s="130" t="s">
        <v>342</v>
      </c>
      <c r="AI3">
        <v>1</v>
      </c>
      <c r="AJ3">
        <v>1.02349969875313</v>
      </c>
      <c r="AK3">
        <v>1.25839625558148</v>
      </c>
      <c r="AL3">
        <v>1.5687501996173301</v>
      </c>
      <c r="AM3">
        <v>1.9612125767831201</v>
      </c>
      <c r="AN3">
        <v>2.4360837744065802</v>
      </c>
      <c r="AO3">
        <v>3.00325350238505</v>
      </c>
      <c r="AP3">
        <v>3.6742047901464301</v>
      </c>
      <c r="AQ3">
        <v>4.4604405723029998</v>
      </c>
      <c r="AR3">
        <v>5.3638328409665297</v>
      </c>
      <c r="AS3">
        <v>6.3742132136585399</v>
      </c>
      <c r="AT3">
        <v>7.4552067755076097</v>
      </c>
      <c r="AU3">
        <v>8.6097083736677202</v>
      </c>
      <c r="AV3">
        <v>9.8314238983634006</v>
      </c>
      <c r="AW3">
        <v>11.1188654370631</v>
      </c>
      <c r="AX3">
        <v>12.4785673189264</v>
      </c>
      <c r="AY3">
        <v>13.909467330932801</v>
      </c>
      <c r="AZ3">
        <v>15.397669844830901</v>
      </c>
      <c r="BA3">
        <v>0</v>
      </c>
      <c r="BB3">
        <v>0</v>
      </c>
      <c r="BC3">
        <v>0</v>
      </c>
      <c r="BD3">
        <v>0</v>
      </c>
      <c r="BE3">
        <v>0</v>
      </c>
      <c r="BF3">
        <v>0</v>
      </c>
      <c r="BG3">
        <v>0</v>
      </c>
      <c r="BH3">
        <v>0</v>
      </c>
      <c r="BJ3" t="s">
        <v>343</v>
      </c>
      <c r="BL3">
        <v>1</v>
      </c>
      <c r="BM3">
        <v>0.99756097560975698</v>
      </c>
      <c r="BN3">
        <v>0.98536585365853702</v>
      </c>
      <c r="BO3">
        <v>0.97317073170731705</v>
      </c>
      <c r="BP3">
        <v>0.96097560975609797</v>
      </c>
      <c r="BQ3">
        <v>0.948780487804878</v>
      </c>
      <c r="BR3">
        <v>0.93658536585365804</v>
      </c>
      <c r="BS3">
        <v>0.92439024390243896</v>
      </c>
      <c r="BT3">
        <v>0.91219512195121999</v>
      </c>
      <c r="BU3">
        <v>0.90</v>
      </c>
      <c r="BV3">
        <v>0.8875</v>
      </c>
      <c r="BW3">
        <v>0.875000000000001</v>
      </c>
      <c r="BX3">
        <v>0.86250000000000104</v>
      </c>
      <c r="BY3">
        <v>0.85000000000000098</v>
      </c>
      <c r="BZ3">
        <v>0.8375</v>
      </c>
      <c r="CA3">
        <v>0.82500000000000095</v>
      </c>
      <c r="CB3">
        <v>0.812500000000001</v>
      </c>
      <c r="CC3">
        <v>0.80000000000000104</v>
      </c>
      <c r="CD3" t="e">
        <v>#VALUE!</v>
      </c>
      <c r="CE3" t="e">
        <v>#VALUE!</v>
      </c>
      <c r="CF3" t="e">
        <v>#VALUE!</v>
      </c>
      <c r="CG3" t="e">
        <v>#VALUE!</v>
      </c>
      <c r="CH3" t="e">
        <v>#VALUE!</v>
      </c>
      <c r="CI3" t="e">
        <v>#VALUE!</v>
      </c>
      <c r="CJ3" t="e">
        <v>#VALUE!</v>
      </c>
      <c r="CK3" t="e">
        <v>#VALUE!</v>
      </c>
    </row>
    <row r="4" spans="1:89" ht="12.5">
      <c r="A4" t="s">
        <v>3</v>
      </c>
      <c r="B4" t="s">
        <v>344</v>
      </c>
      <c r="C4" t="s">
        <v>344</v>
      </c>
      <c r="E4" s="2">
        <v>101.446710074843</v>
      </c>
      <c r="F4" s="2">
        <f>E4</f>
        <v>101.446710074843</v>
      </c>
      <c r="I4" s="2">
        <f>F4</f>
        <v>101.446710074843</v>
      </c>
      <c r="J4" s="2">
        <f>I4</f>
        <v>101.446710074843</v>
      </c>
      <c r="L4" s="2">
        <f>J4</f>
        <v>101.446710074843</v>
      </c>
      <c r="V4" s="2">
        <f>L4</f>
        <v>101.446710074843</v>
      </c>
      <c r="W4">
        <v>5</v>
      </c>
      <c r="AG4" s="130" t="s">
        <v>342</v>
      </c>
      <c r="AI4">
        <v>1</v>
      </c>
      <c r="AJ4">
        <v>1.02349969875313</v>
      </c>
      <c r="AK4">
        <v>1.25839625558148</v>
      </c>
      <c r="AL4">
        <v>1.5687501996173301</v>
      </c>
      <c r="AM4">
        <v>1.9612125767831201</v>
      </c>
      <c r="AN4">
        <v>2.4360837744065802</v>
      </c>
      <c r="AO4">
        <v>3.00325350238505</v>
      </c>
      <c r="AP4">
        <v>3.6742047901464301</v>
      </c>
      <c r="AQ4">
        <v>4.4604405723029998</v>
      </c>
      <c r="AR4">
        <v>5.3638328409665297</v>
      </c>
      <c r="AS4">
        <v>6.3742132136585399</v>
      </c>
      <c r="AT4">
        <v>7.4552067755076097</v>
      </c>
      <c r="AU4">
        <v>8.6097083736677202</v>
      </c>
      <c r="AV4">
        <v>9.8314238983634006</v>
      </c>
      <c r="AW4">
        <v>11.1188654370631</v>
      </c>
      <c r="AX4">
        <v>12.4785673189264</v>
      </c>
      <c r="AY4">
        <v>13.909467330932801</v>
      </c>
      <c r="AZ4">
        <v>15.397669844830901</v>
      </c>
      <c r="BA4">
        <v>0</v>
      </c>
      <c r="BB4">
        <v>0</v>
      </c>
      <c r="BC4">
        <v>0</v>
      </c>
      <c r="BD4">
        <v>0</v>
      </c>
      <c r="BE4">
        <v>0</v>
      </c>
      <c r="BF4">
        <v>0</v>
      </c>
      <c r="BG4">
        <v>0</v>
      </c>
      <c r="BH4">
        <v>0</v>
      </c>
      <c r="BJ4" t="s">
        <v>343</v>
      </c>
      <c r="BL4">
        <v>1</v>
      </c>
      <c r="BM4">
        <v>0.99756097560975698</v>
      </c>
      <c r="BN4">
        <v>0.98536585365853702</v>
      </c>
      <c r="BO4">
        <v>0.97317073170731705</v>
      </c>
      <c r="BP4">
        <v>0.96097560975609797</v>
      </c>
      <c r="BQ4">
        <v>0.948780487804878</v>
      </c>
      <c r="BR4">
        <v>0.93658536585365804</v>
      </c>
      <c r="BS4">
        <v>0.92439024390243896</v>
      </c>
      <c r="BT4">
        <v>0.91219512195121999</v>
      </c>
      <c r="BU4">
        <v>0.90</v>
      </c>
      <c r="BV4">
        <v>0.8875</v>
      </c>
      <c r="BW4">
        <v>0.875000000000001</v>
      </c>
      <c r="BX4">
        <v>0.86250000000000104</v>
      </c>
      <c r="BY4">
        <v>0.85000000000000098</v>
      </c>
      <c r="BZ4">
        <v>0.8375</v>
      </c>
      <c r="CA4">
        <v>0.82500000000000095</v>
      </c>
      <c r="CB4">
        <v>0.812500000000001</v>
      </c>
      <c r="CC4">
        <v>0.80000000000000104</v>
      </c>
      <c r="CD4" t="e">
        <v>#VALUE!</v>
      </c>
      <c r="CE4" t="e">
        <v>#VALUE!</v>
      </c>
      <c r="CF4" t="e">
        <v>#VALUE!</v>
      </c>
      <c r="CG4" t="e">
        <v>#VALUE!</v>
      </c>
      <c r="CH4" t="e">
        <v>#VALUE!</v>
      </c>
      <c r="CI4" t="e">
        <v>#VALUE!</v>
      </c>
      <c r="CJ4" t="e">
        <v>#VALUE!</v>
      </c>
      <c r="CK4" t="e">
        <v>#VALUE!</v>
      </c>
    </row>
    <row r="5" spans="1:89" ht="12.5">
      <c r="A5" t="s">
        <v>3</v>
      </c>
      <c r="B5" t="s">
        <v>345</v>
      </c>
      <c r="C5" t="s">
        <v>345</v>
      </c>
      <c r="E5" s="2">
        <v>7.3394103067280003</v>
      </c>
      <c r="I5" s="2">
        <v>13.841847071750999</v>
      </c>
      <c r="J5" s="2">
        <v>17.021728679893901</v>
      </c>
      <c r="L5" s="2">
        <v>25.015209384293399</v>
      </c>
      <c r="V5" s="2">
        <v>87.254150177371599</v>
      </c>
      <c r="W5">
        <v>5</v>
      </c>
      <c r="AG5" s="130" t="s">
        <v>342</v>
      </c>
      <c r="AI5">
        <v>1</v>
      </c>
      <c r="AJ5">
        <v>1.02349969875313</v>
      </c>
      <c r="AK5">
        <v>1.25839625558148</v>
      </c>
      <c r="AL5">
        <v>1.5687501996173301</v>
      </c>
      <c r="AM5">
        <v>1.9612125767831201</v>
      </c>
      <c r="AN5">
        <v>2.4360837744065802</v>
      </c>
      <c r="AO5">
        <v>3.00325350238505</v>
      </c>
      <c r="AP5">
        <v>3.6742047901464301</v>
      </c>
      <c r="AQ5">
        <v>4.4604405723029998</v>
      </c>
      <c r="AR5">
        <v>5.3638328409665297</v>
      </c>
      <c r="AS5">
        <v>6.3742132136585399</v>
      </c>
      <c r="AT5">
        <v>7.4552067755076097</v>
      </c>
      <c r="AU5">
        <v>8.6097083736677202</v>
      </c>
      <c r="AV5">
        <v>9.8314238983634006</v>
      </c>
      <c r="AW5">
        <v>11.1188654370631</v>
      </c>
      <c r="AX5">
        <v>12.4785673189264</v>
      </c>
      <c r="AY5">
        <v>13.909467330932801</v>
      </c>
      <c r="AZ5">
        <v>15.397669844830901</v>
      </c>
      <c r="BA5">
        <v>0</v>
      </c>
      <c r="BB5">
        <v>0</v>
      </c>
      <c r="BC5">
        <v>0</v>
      </c>
      <c r="BD5">
        <v>0</v>
      </c>
      <c r="BE5">
        <v>0</v>
      </c>
      <c r="BF5">
        <v>0</v>
      </c>
      <c r="BG5">
        <v>0</v>
      </c>
      <c r="BH5">
        <v>0</v>
      </c>
      <c r="BJ5" t="s">
        <v>343</v>
      </c>
      <c r="BL5">
        <v>1</v>
      </c>
      <c r="BM5">
        <v>0.99756097560975698</v>
      </c>
      <c r="BN5">
        <v>0.98536585365853702</v>
      </c>
      <c r="BO5">
        <v>0.97317073170731705</v>
      </c>
      <c r="BP5">
        <v>0.96097560975609797</v>
      </c>
      <c r="BQ5">
        <v>0.948780487804878</v>
      </c>
      <c r="BR5">
        <v>0.93658536585365804</v>
      </c>
      <c r="BS5">
        <v>0.92439024390243896</v>
      </c>
      <c r="BT5">
        <v>0.91219512195121999</v>
      </c>
      <c r="BU5">
        <v>0.90</v>
      </c>
      <c r="BV5">
        <v>0.8875</v>
      </c>
      <c r="BW5">
        <v>0.875000000000001</v>
      </c>
      <c r="BX5">
        <v>0.86250000000000104</v>
      </c>
      <c r="BY5">
        <v>0.85000000000000098</v>
      </c>
      <c r="BZ5">
        <v>0.8375</v>
      </c>
      <c r="CA5">
        <v>0.82500000000000095</v>
      </c>
      <c r="CB5">
        <v>0.812500000000001</v>
      </c>
      <c r="CC5">
        <v>0.80000000000000104</v>
      </c>
      <c r="CD5" t="e">
        <v>#VALUE!</v>
      </c>
      <c r="CE5" t="e">
        <v>#VALUE!</v>
      </c>
      <c r="CF5" t="e">
        <v>#VALUE!</v>
      </c>
      <c r="CG5" t="e">
        <v>#VALUE!</v>
      </c>
      <c r="CH5" t="e">
        <v>#VALUE!</v>
      </c>
      <c r="CI5" t="e">
        <v>#VALUE!</v>
      </c>
      <c r="CJ5" t="e">
        <v>#VALUE!</v>
      </c>
      <c r="CK5" t="e">
        <v>#VALUE!</v>
      </c>
    </row>
    <row r="6" spans="1:89" ht="12.5">
      <c r="A6" t="s">
        <v>3</v>
      </c>
      <c r="B6" t="s">
        <v>346</v>
      </c>
      <c r="C6" t="s">
        <v>346</v>
      </c>
      <c r="E6" s="2">
        <v>7.64151346723974</v>
      </c>
      <c r="I6" s="2">
        <v>9.2993927266151992</v>
      </c>
      <c r="J6" s="2">
        <v>9.79653150802128</v>
      </c>
      <c r="L6" s="2">
        <v>10.666205312557899</v>
      </c>
      <c r="V6" s="2">
        <v>11.957477435073701</v>
      </c>
      <c r="W6">
        <v>5</v>
      </c>
      <c r="AG6" s="130" t="s">
        <v>347</v>
      </c>
      <c r="AI6">
        <v>1</v>
      </c>
      <c r="AJ6">
        <v>1.0158462819801599</v>
      </c>
      <c r="AK6">
        <v>1.09507769188094</v>
      </c>
      <c r="AL6">
        <v>1.1704569144987</v>
      </c>
      <c r="AM6">
        <v>1.2425051420281199</v>
      </c>
      <c r="AN6">
        <v>1.31251440483152</v>
      </c>
      <c r="AO6">
        <v>1.3784727812209201</v>
      </c>
      <c r="AP6">
        <v>1.43787155208791</v>
      </c>
      <c r="AQ6">
        <v>1.48872422701151</v>
      </c>
      <c r="AR6">
        <v>1.5307937318326299</v>
      </c>
      <c r="AS6">
        <v>1.5634574865207</v>
      </c>
      <c r="AT6">
        <v>1.58812645526123</v>
      </c>
      <c r="AU6">
        <v>1.60725760691474</v>
      </c>
      <c r="AV6">
        <v>1.6219039933150401</v>
      </c>
      <c r="AW6">
        <v>1.6321327633223599</v>
      </c>
      <c r="AX6">
        <v>1.6384236593401</v>
      </c>
      <c r="AY6">
        <v>1.6395588916586099</v>
      </c>
      <c r="AZ6">
        <v>1.63521866507092</v>
      </c>
      <c r="BA6">
        <v>0</v>
      </c>
      <c r="BB6">
        <v>0</v>
      </c>
      <c r="BC6">
        <v>0</v>
      </c>
      <c r="BD6">
        <v>0</v>
      </c>
      <c r="BE6">
        <v>0</v>
      </c>
      <c r="BF6">
        <v>0</v>
      </c>
      <c r="BG6">
        <v>0</v>
      </c>
      <c r="BH6">
        <v>0</v>
      </c>
      <c r="BJ6" t="s">
        <v>343</v>
      </c>
      <c r="BL6">
        <v>1</v>
      </c>
      <c r="BM6">
        <v>0.99756097560975698</v>
      </c>
      <c r="BN6">
        <v>0.98536585365853702</v>
      </c>
      <c r="BO6">
        <v>0.97317073170731705</v>
      </c>
      <c r="BP6">
        <v>0.96097560975609797</v>
      </c>
      <c r="BQ6">
        <v>0.948780487804878</v>
      </c>
      <c r="BR6">
        <v>0.93658536585365804</v>
      </c>
      <c r="BS6">
        <v>0.92439024390243896</v>
      </c>
      <c r="BT6">
        <v>0.91219512195121999</v>
      </c>
      <c r="BU6">
        <v>0.90</v>
      </c>
      <c r="BV6">
        <v>0.8875</v>
      </c>
      <c r="BW6">
        <v>0.875000000000001</v>
      </c>
      <c r="BX6">
        <v>0.86250000000000104</v>
      </c>
      <c r="BY6">
        <v>0.85000000000000098</v>
      </c>
      <c r="BZ6">
        <v>0.8375</v>
      </c>
      <c r="CA6">
        <v>0.82500000000000095</v>
      </c>
      <c r="CB6">
        <v>0.812500000000001</v>
      </c>
      <c r="CC6">
        <v>0.80000000000000104</v>
      </c>
      <c r="CD6" t="e">
        <v>#VALUE!</v>
      </c>
      <c r="CE6" t="e">
        <v>#VALUE!</v>
      </c>
      <c r="CF6" t="e">
        <v>#VALUE!</v>
      </c>
      <c r="CG6" t="e">
        <v>#VALUE!</v>
      </c>
      <c r="CH6" t="e">
        <v>#VALUE!</v>
      </c>
      <c r="CI6" t="e">
        <v>#VALUE!</v>
      </c>
      <c r="CJ6" t="e">
        <v>#VALUE!</v>
      </c>
      <c r="CK6" t="e">
        <v>#VALUE!</v>
      </c>
    </row>
    <row r="7" spans="1:89" ht="12.5">
      <c r="A7" t="s">
        <v>3</v>
      </c>
      <c r="B7" t="s">
        <v>348</v>
      </c>
      <c r="C7" t="s">
        <v>348</v>
      </c>
      <c r="E7" s="2">
        <v>12.315156428106601</v>
      </c>
      <c r="F7" s="2">
        <f>E7</f>
        <v>12.315156428106601</v>
      </c>
      <c r="I7" s="2">
        <f>F7</f>
        <v>12.315156428106601</v>
      </c>
      <c r="J7" s="2">
        <f>I7</f>
        <v>12.315156428106601</v>
      </c>
      <c r="L7" s="2">
        <f>J7</f>
        <v>12.315156428106601</v>
      </c>
      <c r="V7" s="2">
        <f>L7</f>
        <v>12.315156428106601</v>
      </c>
      <c r="W7">
        <v>5</v>
      </c>
      <c r="AG7" s="130" t="s">
        <v>342</v>
      </c>
      <c r="AI7">
        <v>1</v>
      </c>
      <c r="AJ7">
        <v>1.02349969875313</v>
      </c>
      <c r="AK7">
        <v>1.25839625558148</v>
      </c>
      <c r="AL7">
        <v>1.5687501996173301</v>
      </c>
      <c r="AM7">
        <v>1.9612125767831201</v>
      </c>
      <c r="AN7">
        <v>2.4360837744065802</v>
      </c>
      <c r="AO7">
        <v>3.00325350238505</v>
      </c>
      <c r="AP7">
        <v>3.6742047901464301</v>
      </c>
      <c r="AQ7">
        <v>4.4604405723029998</v>
      </c>
      <c r="AR7">
        <v>5.3638328409665297</v>
      </c>
      <c r="AS7">
        <v>6.3742132136585399</v>
      </c>
      <c r="AT7">
        <v>7.4552067755076097</v>
      </c>
      <c r="AU7">
        <v>8.6097083736677202</v>
      </c>
      <c r="AV7">
        <v>9.8314238983634006</v>
      </c>
      <c r="AW7">
        <v>11.1188654370631</v>
      </c>
      <c r="AX7">
        <v>12.4785673189264</v>
      </c>
      <c r="AY7">
        <v>13.909467330932801</v>
      </c>
      <c r="AZ7">
        <v>15.397669844830901</v>
      </c>
      <c r="BA7">
        <v>0</v>
      </c>
      <c r="BB7">
        <v>0</v>
      </c>
      <c r="BC7">
        <v>0</v>
      </c>
      <c r="BD7">
        <v>0</v>
      </c>
      <c r="BE7">
        <v>0</v>
      </c>
      <c r="BF7">
        <v>0</v>
      </c>
      <c r="BG7">
        <v>0</v>
      </c>
      <c r="BH7">
        <v>0</v>
      </c>
      <c r="BJ7" t="s">
        <v>343</v>
      </c>
      <c r="BL7">
        <v>1</v>
      </c>
      <c r="BM7">
        <v>0.99756097560975698</v>
      </c>
      <c r="BN7">
        <v>0.98536585365853702</v>
      </c>
      <c r="BO7">
        <v>0.97317073170731705</v>
      </c>
      <c r="BP7">
        <v>0.96097560975609797</v>
      </c>
      <c r="BQ7">
        <v>0.948780487804878</v>
      </c>
      <c r="BR7">
        <v>0.93658536585365804</v>
      </c>
      <c r="BS7">
        <v>0.92439024390243896</v>
      </c>
      <c r="BT7">
        <v>0.91219512195121999</v>
      </c>
      <c r="BU7">
        <v>0.90</v>
      </c>
      <c r="BV7">
        <v>0.8875</v>
      </c>
      <c r="BW7">
        <v>0.875000000000001</v>
      </c>
      <c r="BX7">
        <v>0.86250000000000104</v>
      </c>
      <c r="BY7">
        <v>0.85000000000000098</v>
      </c>
      <c r="BZ7">
        <v>0.8375</v>
      </c>
      <c r="CA7">
        <v>0.82500000000000095</v>
      </c>
      <c r="CB7">
        <v>0.812500000000001</v>
      </c>
      <c r="CC7">
        <v>0.80000000000000104</v>
      </c>
      <c r="CD7" t="e">
        <v>#VALUE!</v>
      </c>
      <c r="CE7" t="e">
        <v>#VALUE!</v>
      </c>
      <c r="CF7" t="e">
        <v>#VALUE!</v>
      </c>
      <c r="CG7" t="e">
        <v>#VALUE!</v>
      </c>
      <c r="CH7" t="e">
        <v>#VALUE!</v>
      </c>
      <c r="CI7" t="e">
        <v>#VALUE!</v>
      </c>
      <c r="CJ7" t="e">
        <v>#VALUE!</v>
      </c>
      <c r="CK7" t="e">
        <v>#VALUE!</v>
      </c>
    </row>
    <row r="8" spans="1:89" ht="12.5">
      <c r="A8" t="s">
        <v>3</v>
      </c>
      <c r="B8" t="s">
        <v>349</v>
      </c>
      <c r="C8" t="s">
        <v>349</v>
      </c>
      <c r="E8" s="2">
        <v>36.686898348011198</v>
      </c>
      <c r="F8" s="2">
        <f>E8</f>
        <v>36.686898348011198</v>
      </c>
      <c r="I8" s="2">
        <f>F8</f>
        <v>36.686898348011198</v>
      </c>
      <c r="J8" s="2">
        <f>I8</f>
        <v>36.686898348011198</v>
      </c>
      <c r="L8" s="2">
        <f>J8</f>
        <v>36.686898348011198</v>
      </c>
      <c r="V8" s="2">
        <f>L8</f>
        <v>36.686898348011198</v>
      </c>
      <c r="W8">
        <v>5</v>
      </c>
      <c r="AG8" s="130" t="s">
        <v>342</v>
      </c>
      <c r="AI8">
        <v>1</v>
      </c>
      <c r="AJ8">
        <v>1.02349969875313</v>
      </c>
      <c r="AK8">
        <v>1.25839625558148</v>
      </c>
      <c r="AL8">
        <v>1.5687501996173301</v>
      </c>
      <c r="AM8">
        <v>1.9612125767831201</v>
      </c>
      <c r="AN8">
        <v>2.4360837744065802</v>
      </c>
      <c r="AO8">
        <v>3.00325350238505</v>
      </c>
      <c r="AP8">
        <v>3.6742047901464301</v>
      </c>
      <c r="AQ8">
        <v>4.4604405723029998</v>
      </c>
      <c r="AR8">
        <v>5.3638328409665297</v>
      </c>
      <c r="AS8">
        <v>6.3742132136585399</v>
      </c>
      <c r="AT8">
        <v>7.4552067755076097</v>
      </c>
      <c r="AU8">
        <v>8.6097083736677202</v>
      </c>
      <c r="AV8">
        <v>9.8314238983634006</v>
      </c>
      <c r="AW8">
        <v>11.1188654370631</v>
      </c>
      <c r="AX8">
        <v>12.4785673189264</v>
      </c>
      <c r="AY8">
        <v>13.909467330932801</v>
      </c>
      <c r="AZ8">
        <v>15.397669844830901</v>
      </c>
      <c r="BA8">
        <v>0</v>
      </c>
      <c r="BB8">
        <v>0</v>
      </c>
      <c r="BC8">
        <v>0</v>
      </c>
      <c r="BD8">
        <v>0</v>
      </c>
      <c r="BE8">
        <v>0</v>
      </c>
      <c r="BF8">
        <v>0</v>
      </c>
      <c r="BG8">
        <v>0</v>
      </c>
      <c r="BH8">
        <v>0</v>
      </c>
      <c r="BJ8" t="s">
        <v>343</v>
      </c>
      <c r="BL8">
        <v>1</v>
      </c>
      <c r="BM8">
        <v>0.99756097560975698</v>
      </c>
      <c r="BN8">
        <v>0.98536585365853702</v>
      </c>
      <c r="BO8">
        <v>0.97317073170731705</v>
      </c>
      <c r="BP8">
        <v>0.96097560975609797</v>
      </c>
      <c r="BQ8">
        <v>0.948780487804878</v>
      </c>
      <c r="BR8">
        <v>0.93658536585365804</v>
      </c>
      <c r="BS8">
        <v>0.92439024390243896</v>
      </c>
      <c r="BT8">
        <v>0.91219512195121999</v>
      </c>
      <c r="BU8">
        <v>0.90</v>
      </c>
      <c r="BV8">
        <v>0.8875</v>
      </c>
      <c r="BW8">
        <v>0.875000000000001</v>
      </c>
      <c r="BX8">
        <v>0.86250000000000104</v>
      </c>
      <c r="BY8">
        <v>0.85000000000000098</v>
      </c>
      <c r="BZ8">
        <v>0.8375</v>
      </c>
      <c r="CA8">
        <v>0.82500000000000095</v>
      </c>
      <c r="CB8">
        <v>0.812500000000001</v>
      </c>
      <c r="CC8">
        <v>0.80000000000000104</v>
      </c>
      <c r="CD8" t="e">
        <v>#VALUE!</v>
      </c>
      <c r="CE8" t="e">
        <v>#VALUE!</v>
      </c>
      <c r="CF8" t="e">
        <v>#VALUE!</v>
      </c>
      <c r="CG8" t="e">
        <v>#VALUE!</v>
      </c>
      <c r="CH8" t="e">
        <v>#VALUE!</v>
      </c>
      <c r="CI8" t="e">
        <v>#VALUE!</v>
      </c>
      <c r="CJ8" t="e">
        <v>#VALUE!</v>
      </c>
      <c r="CK8" t="e">
        <v>#VALUE!</v>
      </c>
    </row>
    <row r="9" spans="1:89" ht="12.5">
      <c r="A9" t="s">
        <v>3</v>
      </c>
      <c r="B9" t="s">
        <v>350</v>
      </c>
      <c r="C9" t="s">
        <v>350</v>
      </c>
      <c r="D9">
        <v>247.982</v>
      </c>
      <c r="E9">
        <v>251.90200832556999</v>
      </c>
      <c r="F9"/>
      <c r="G9">
        <v>271.26170404448698</v>
      </c>
      <c r="H9">
        <v>289.43293076033399</v>
      </c>
      <c r="I9">
        <v>306.55389329422098</v>
      </c>
      <c r="J9">
        <v>322.94204179249999</v>
      </c>
      <c r="K9">
        <v>338.141840360066</v>
      </c>
      <c r="L9">
        <v>351.61078377536899</v>
      </c>
      <c r="M9">
        <v>362.954194116709</v>
      </c>
      <c r="N9">
        <v>372.18516695101403</v>
      </c>
      <c r="O9">
        <v>379.23334477267798</v>
      </c>
      <c r="P9">
        <v>384.46910184134998</v>
      </c>
      <c r="Q9">
        <v>388.463732040384</v>
      </c>
      <c r="R9">
        <v>391.472678094125</v>
      </c>
      <c r="S9">
        <v>393.540363884459</v>
      </c>
      <c r="T9">
        <v>394.79177571196601</v>
      </c>
      <c r="U9">
        <v>395.01402992503603</v>
      </c>
      <c r="V9">
        <v>394.177487655569</v>
      </c>
      <c r="W9">
        <v>5</v>
      </c>
      <c r="AG9" s="130" t="s">
        <v>347</v>
      </c>
      <c r="AI9">
        <v>1</v>
      </c>
      <c r="AJ9">
        <v>1.0158462819801599</v>
      </c>
      <c r="AK9">
        <v>1.09507769188094</v>
      </c>
      <c r="AL9">
        <v>1.1704569144987</v>
      </c>
      <c r="AM9">
        <v>1.2425051420281199</v>
      </c>
      <c r="AN9">
        <v>1.31251440483152</v>
      </c>
      <c r="AO9">
        <v>1.3784727812209201</v>
      </c>
      <c r="AP9">
        <v>1.43787155208791</v>
      </c>
      <c r="AQ9">
        <v>1.48872422701151</v>
      </c>
      <c r="AR9">
        <v>1.5307937318326299</v>
      </c>
      <c r="AS9">
        <v>1.5634574865207</v>
      </c>
      <c r="AT9">
        <v>1.58812645526123</v>
      </c>
      <c r="AU9">
        <v>1.60725760691474</v>
      </c>
      <c r="AV9">
        <v>1.6219039933150401</v>
      </c>
      <c r="AW9">
        <v>1.6321327633223599</v>
      </c>
      <c r="AX9">
        <v>1.6384236593401</v>
      </c>
      <c r="AY9">
        <v>1.6395588916586099</v>
      </c>
      <c r="AZ9">
        <v>1.63521866507092</v>
      </c>
      <c r="BA9">
        <v>0</v>
      </c>
      <c r="BB9">
        <v>0</v>
      </c>
      <c r="BC9">
        <v>0</v>
      </c>
      <c r="BD9">
        <v>0</v>
      </c>
      <c r="BE9">
        <v>0</v>
      </c>
      <c r="BF9">
        <v>0</v>
      </c>
      <c r="BG9">
        <v>0</v>
      </c>
      <c r="BH9">
        <v>0</v>
      </c>
      <c r="BJ9" t="s">
        <v>343</v>
      </c>
      <c r="BL9">
        <v>1</v>
      </c>
      <c r="BM9">
        <v>0.99756097560975698</v>
      </c>
      <c r="BN9">
        <v>0.98536585365853702</v>
      </c>
      <c r="BO9">
        <v>0.97317073170731705</v>
      </c>
      <c r="BP9">
        <v>0.96097560975609797</v>
      </c>
      <c r="BQ9">
        <v>0.948780487804878</v>
      </c>
      <c r="BR9">
        <v>0.93658536585365804</v>
      </c>
      <c r="BS9">
        <v>0.92439024390243896</v>
      </c>
      <c r="BT9">
        <v>0.91219512195121999</v>
      </c>
      <c r="BU9">
        <v>0.90</v>
      </c>
      <c r="BV9">
        <v>0.8875</v>
      </c>
      <c r="BW9">
        <v>0.875000000000001</v>
      </c>
      <c r="BX9">
        <v>0.86250000000000104</v>
      </c>
      <c r="BY9">
        <v>0.85000000000000098</v>
      </c>
      <c r="BZ9">
        <v>0.8375</v>
      </c>
      <c r="CA9">
        <v>0.82500000000000095</v>
      </c>
      <c r="CB9">
        <v>0.812500000000001</v>
      </c>
      <c r="CC9">
        <v>0.80000000000000104</v>
      </c>
      <c r="CD9" t="e">
        <v>#VALUE!</v>
      </c>
      <c r="CE9" t="e">
        <v>#VALUE!</v>
      </c>
      <c r="CF9" t="e">
        <v>#VALUE!</v>
      </c>
      <c r="CG9" t="e">
        <v>#VALUE!</v>
      </c>
      <c r="CH9" t="e">
        <v>#VALUE!</v>
      </c>
      <c r="CI9" t="e">
        <v>#VALUE!</v>
      </c>
      <c r="CJ9" t="e">
        <v>#VALUE!</v>
      </c>
      <c r="CK9" t="e">
        <v>#VALUE!</v>
      </c>
    </row>
    <row r="10" spans="1:89" ht="12.5">
      <c r="A10" t="s">
        <v>3</v>
      </c>
      <c r="B10" t="s">
        <v>351</v>
      </c>
      <c r="C10" t="s">
        <v>351</v>
      </c>
      <c r="D10">
        <v>42.015</v>
      </c>
      <c r="E10">
        <v>42.679157679988101</v>
      </c>
      <c r="F10"/>
      <c r="G10">
        <v>45.9592248446626</v>
      </c>
      <c r="H10">
        <v>49.037932535004202</v>
      </c>
      <c r="I10">
        <v>51.9386964648914</v>
      </c>
      <c r="J10">
        <v>54.715301457008501</v>
      </c>
      <c r="K10">
        <v>57.290567148938997</v>
      </c>
      <c r="L10">
        <v>59.572578172295401</v>
      </c>
      <c r="M10">
        <v>61.494465186237399</v>
      </c>
      <c r="N10">
        <v>63.058446941499199</v>
      </c>
      <c r="O10">
        <v>64.252602933374504</v>
      </c>
      <c r="P10">
        <v>65.139684791091</v>
      </c>
      <c r="Q10">
        <v>65.816485477481095</v>
      </c>
      <c r="R10">
        <v>66.326284045312406</v>
      </c>
      <c r="S10">
        <v>66.676607127152494</v>
      </c>
      <c r="T10">
        <v>66.888630854409797</v>
      </c>
      <c r="U10">
        <v>66.926286856708899</v>
      </c>
      <c r="V10">
        <v>66.7845534911757</v>
      </c>
      <c r="W10">
        <v>5</v>
      </c>
      <c r="AG10" s="130" t="s">
        <v>347</v>
      </c>
      <c r="AI10">
        <v>1</v>
      </c>
      <c r="AJ10">
        <v>1.0158462819801599</v>
      </c>
      <c r="AK10">
        <v>1.09507769188094</v>
      </c>
      <c r="AL10">
        <v>1.1704569144987</v>
      </c>
      <c r="AM10">
        <v>1.2425051420281199</v>
      </c>
      <c r="AN10">
        <v>1.31251440483152</v>
      </c>
      <c r="AO10">
        <v>1.3784727812209201</v>
      </c>
      <c r="AP10">
        <v>1.43787155208791</v>
      </c>
      <c r="AQ10">
        <v>1.48872422701151</v>
      </c>
      <c r="AR10">
        <v>1.5307937318326299</v>
      </c>
      <c r="AS10">
        <v>1.5634574865207</v>
      </c>
      <c r="AT10">
        <v>1.58812645526123</v>
      </c>
      <c r="AU10">
        <v>1.60725760691474</v>
      </c>
      <c r="AV10">
        <v>1.6219039933150401</v>
      </c>
      <c r="AW10">
        <v>1.6321327633223599</v>
      </c>
      <c r="AX10">
        <v>1.6384236593401</v>
      </c>
      <c r="AY10">
        <v>1.6395588916586099</v>
      </c>
      <c r="AZ10">
        <v>1.63521866507092</v>
      </c>
      <c r="BA10">
        <v>0</v>
      </c>
      <c r="BB10">
        <v>0</v>
      </c>
      <c r="BC10">
        <v>0</v>
      </c>
      <c r="BD10">
        <v>0</v>
      </c>
      <c r="BE10">
        <v>0</v>
      </c>
      <c r="BF10">
        <v>0</v>
      </c>
      <c r="BG10">
        <v>0</v>
      </c>
      <c r="BH10">
        <v>0</v>
      </c>
      <c r="BJ10" t="s">
        <v>343</v>
      </c>
      <c r="BL10">
        <v>1</v>
      </c>
      <c r="BM10">
        <v>0.99756097560975698</v>
      </c>
      <c r="BN10">
        <v>0.98536585365853702</v>
      </c>
      <c r="BO10">
        <v>0.97317073170731705</v>
      </c>
      <c r="BP10">
        <v>0.96097560975609797</v>
      </c>
      <c r="BQ10">
        <v>0.948780487804878</v>
      </c>
      <c r="BR10">
        <v>0.93658536585365804</v>
      </c>
      <c r="BS10">
        <v>0.92439024390243896</v>
      </c>
      <c r="BT10">
        <v>0.91219512195121999</v>
      </c>
      <c r="BU10">
        <v>0.90</v>
      </c>
      <c r="BV10">
        <v>0.8875</v>
      </c>
      <c r="BW10">
        <v>0.875000000000001</v>
      </c>
      <c r="BX10">
        <v>0.86250000000000104</v>
      </c>
      <c r="BY10">
        <v>0.85000000000000098</v>
      </c>
      <c r="BZ10">
        <v>0.8375</v>
      </c>
      <c r="CA10">
        <v>0.82500000000000095</v>
      </c>
      <c r="CB10">
        <v>0.812500000000001</v>
      </c>
      <c r="CC10">
        <v>0.80000000000000104</v>
      </c>
      <c r="CD10" t="e">
        <v>#VALUE!</v>
      </c>
      <c r="CE10" t="e">
        <v>#VALUE!</v>
      </c>
      <c r="CF10" t="e">
        <v>#VALUE!</v>
      </c>
      <c r="CG10" t="e">
        <v>#VALUE!</v>
      </c>
      <c r="CH10" t="e">
        <v>#VALUE!</v>
      </c>
      <c r="CI10" t="e">
        <v>#VALUE!</v>
      </c>
      <c r="CJ10" t="e">
        <v>#VALUE!</v>
      </c>
      <c r="CK10" t="e">
        <v>#VALUE!</v>
      </c>
    </row>
    <row r="11" spans="1:89" ht="12.5">
      <c r="A11" t="s">
        <v>3</v>
      </c>
      <c r="B11" t="s">
        <v>352</v>
      </c>
      <c r="C11" t="s">
        <v>352</v>
      </c>
      <c r="D11">
        <v>26.355</v>
      </c>
      <c r="E11">
        <v>26.771610154851501</v>
      </c>
      <c r="F11"/>
      <c r="G11">
        <v>28.829117476641301</v>
      </c>
      <c r="H11">
        <v>30.7603168382729</v>
      </c>
      <c r="I11">
        <v>32.5798963544499</v>
      </c>
      <c r="J11">
        <v>34.321593952146998</v>
      </c>
      <c r="K11">
        <v>35.9369962444433</v>
      </c>
      <c r="L11">
        <v>37.368446929212098</v>
      </c>
      <c r="M11">
        <v>38.574000475622697</v>
      </c>
      <c r="N11">
        <v>39.555048652700499</v>
      </c>
      <c r="O11">
        <v>40.3041140142589</v>
      </c>
      <c r="P11">
        <v>40.860559149570499</v>
      </c>
      <c r="Q11">
        <v>41.285099958562803</v>
      </c>
      <c r="R11">
        <v>41.604884351165197</v>
      </c>
      <c r="S11">
        <v>41.8246336031442</v>
      </c>
      <c r="T11">
        <v>41.957630992930397</v>
      </c>
      <c r="U11">
        <v>41.981251698406901</v>
      </c>
      <c r="V11">
        <v>41.892345763654298</v>
      </c>
      <c r="W11">
        <v>5</v>
      </c>
      <c r="AG11" s="130" t="s">
        <v>347</v>
      </c>
      <c r="AI11">
        <v>1</v>
      </c>
      <c r="AJ11">
        <v>1.0158462819801599</v>
      </c>
      <c r="AK11">
        <v>1.09507769188094</v>
      </c>
      <c r="AL11">
        <v>1.1704569144987</v>
      </c>
      <c r="AM11">
        <v>1.2425051420281199</v>
      </c>
      <c r="AN11">
        <v>1.31251440483152</v>
      </c>
      <c r="AO11">
        <v>1.3784727812209201</v>
      </c>
      <c r="AP11">
        <v>1.43787155208791</v>
      </c>
      <c r="AQ11">
        <v>1.48872422701151</v>
      </c>
      <c r="AR11">
        <v>1.5307937318326299</v>
      </c>
      <c r="AS11">
        <v>1.5634574865207</v>
      </c>
      <c r="AT11">
        <v>1.58812645526123</v>
      </c>
      <c r="AU11">
        <v>1.60725760691474</v>
      </c>
      <c r="AV11">
        <v>1.6219039933150401</v>
      </c>
      <c r="AW11">
        <v>1.6321327633223599</v>
      </c>
      <c r="AX11">
        <v>1.6384236593401</v>
      </c>
      <c r="AY11">
        <v>1.6395588916586099</v>
      </c>
      <c r="AZ11">
        <v>1.63521866507092</v>
      </c>
      <c r="BA11">
        <v>0</v>
      </c>
      <c r="BB11">
        <v>0</v>
      </c>
      <c r="BC11">
        <v>0</v>
      </c>
      <c r="BD11">
        <v>0</v>
      </c>
      <c r="BE11">
        <v>0</v>
      </c>
      <c r="BF11">
        <v>0</v>
      </c>
      <c r="BG11">
        <v>0</v>
      </c>
      <c r="BH11">
        <v>0</v>
      </c>
      <c r="BJ11" t="s">
        <v>343</v>
      </c>
      <c r="BL11">
        <v>1</v>
      </c>
      <c r="BM11">
        <v>0.99756097560975698</v>
      </c>
      <c r="BN11">
        <v>0.98536585365853702</v>
      </c>
      <c r="BO11">
        <v>0.97317073170731705</v>
      </c>
      <c r="BP11">
        <v>0.96097560975609797</v>
      </c>
      <c r="BQ11">
        <v>0.948780487804878</v>
      </c>
      <c r="BR11">
        <v>0.93658536585365804</v>
      </c>
      <c r="BS11">
        <v>0.92439024390243896</v>
      </c>
      <c r="BT11">
        <v>0.91219512195121999</v>
      </c>
      <c r="BU11">
        <v>0.90</v>
      </c>
      <c r="BV11">
        <v>0.8875</v>
      </c>
      <c r="BW11">
        <v>0.875000000000001</v>
      </c>
      <c r="BX11">
        <v>0.86250000000000104</v>
      </c>
      <c r="BY11">
        <v>0.85000000000000098</v>
      </c>
      <c r="BZ11">
        <v>0.8375</v>
      </c>
      <c r="CA11">
        <v>0.82500000000000095</v>
      </c>
      <c r="CB11">
        <v>0.812500000000001</v>
      </c>
      <c r="CC11">
        <v>0.80000000000000104</v>
      </c>
      <c r="CD11" t="e">
        <v>#VALUE!</v>
      </c>
      <c r="CE11" t="e">
        <v>#VALUE!</v>
      </c>
      <c r="CF11" t="e">
        <v>#VALUE!</v>
      </c>
      <c r="CG11" t="e">
        <v>#VALUE!</v>
      </c>
      <c r="CH11" t="e">
        <v>#VALUE!</v>
      </c>
      <c r="CI11" t="e">
        <v>#VALUE!</v>
      </c>
      <c r="CJ11" t="e">
        <v>#VALUE!</v>
      </c>
      <c r="CK11" t="e">
        <v>#VALUE!</v>
      </c>
    </row>
    <row r="12" spans="1:89" ht="12.5">
      <c r="A12" t="s">
        <v>3</v>
      </c>
      <c r="B12" t="s">
        <v>353</v>
      </c>
      <c r="C12" t="s">
        <v>353</v>
      </c>
      <c r="D12">
        <v>256.56</v>
      </c>
      <c r="E12">
        <v>258.48821637467103</v>
      </c>
      <c r="F12"/>
      <c r="G12">
        <v>294.286020754547</v>
      </c>
      <c r="H12">
        <v>341.924767254561</v>
      </c>
      <c r="I12">
        <v>400.30782773416598</v>
      </c>
      <c r="J12">
        <v>467.10642443085499</v>
      </c>
      <c r="K12">
        <v>543.15498327551995</v>
      </c>
      <c r="L12">
        <v>629.95023952719703</v>
      </c>
      <c r="M12">
        <v>729.08666768343198</v>
      </c>
      <c r="N12">
        <v>840.29970715772401</v>
      </c>
      <c r="O12">
        <v>962.26354015925995</v>
      </c>
      <c r="P12">
        <v>1089.7569887290299</v>
      </c>
      <c r="Q12">
        <v>1222.39049391052</v>
      </c>
      <c r="R12">
        <v>1359.1146098592601</v>
      </c>
      <c r="S12">
        <v>1500.1037197486701</v>
      </c>
      <c r="T12">
        <v>1646.1124396539101</v>
      </c>
      <c r="U12">
        <v>1798.44559883895</v>
      </c>
      <c r="V12">
        <v>1956.60846480586</v>
      </c>
      <c r="W12">
        <v>5</v>
      </c>
      <c r="AG12" s="130" t="s">
        <v>354</v>
      </c>
      <c r="AI12">
        <v>1</v>
      </c>
      <c r="AJ12">
        <v>1.00753403040277</v>
      </c>
      <c r="AK12">
        <v>1.1491387916231099</v>
      </c>
      <c r="AL12">
        <v>1.3402887198878399</v>
      </c>
      <c r="AM12">
        <v>1.57843417338448</v>
      </c>
      <c r="AN12">
        <v>1.85604345783869</v>
      </c>
      <c r="AO12">
        <v>2.1786817580286701</v>
      </c>
      <c r="AP12">
        <v>2.55530807658804</v>
      </c>
      <c r="AQ12">
        <v>2.99614965040031</v>
      </c>
      <c r="AR12">
        <v>3.5039553203193998</v>
      </c>
      <c r="AS12">
        <v>4.0769981074724502</v>
      </c>
      <c r="AT12">
        <v>4.6943407754524697</v>
      </c>
      <c r="AU12">
        <v>5.3567694043736598</v>
      </c>
      <c r="AV12">
        <v>6.0616558926331603</v>
      </c>
      <c r="AW12">
        <v>6.8124760968768099</v>
      </c>
      <c r="AX12">
        <v>7.6162030789718296</v>
      </c>
      <c r="AY12">
        <v>8.4836643573453703</v>
      </c>
      <c r="AZ12">
        <v>9.4162757395893593</v>
      </c>
      <c r="BA12">
        <v>0</v>
      </c>
      <c r="BB12">
        <v>0</v>
      </c>
      <c r="BC12">
        <v>0</v>
      </c>
      <c r="BD12">
        <v>0</v>
      </c>
      <c r="BE12">
        <v>0</v>
      </c>
      <c r="BF12">
        <v>0</v>
      </c>
      <c r="BG12">
        <v>0</v>
      </c>
      <c r="BH12">
        <v>0</v>
      </c>
      <c r="BJ12" t="s">
        <v>343</v>
      </c>
      <c r="BL12">
        <v>1</v>
      </c>
      <c r="BM12">
        <v>0.99756097560975698</v>
      </c>
      <c r="BN12">
        <v>0.98536585365853702</v>
      </c>
      <c r="BO12">
        <v>0.97317073170731705</v>
      </c>
      <c r="BP12">
        <v>0.96097560975609797</v>
      </c>
      <c r="BQ12">
        <v>0.948780487804878</v>
      </c>
      <c r="BR12">
        <v>0.93658536585365804</v>
      </c>
      <c r="BS12">
        <v>0.92439024390243896</v>
      </c>
      <c r="BT12">
        <v>0.91219512195121999</v>
      </c>
      <c r="BU12">
        <v>0.90</v>
      </c>
      <c r="BV12">
        <v>0.8875</v>
      </c>
      <c r="BW12">
        <v>0.875000000000001</v>
      </c>
      <c r="BX12">
        <v>0.86250000000000104</v>
      </c>
      <c r="BY12">
        <v>0.85000000000000098</v>
      </c>
      <c r="BZ12">
        <v>0.8375</v>
      </c>
      <c r="CA12">
        <v>0.82500000000000095</v>
      </c>
      <c r="CB12">
        <v>0.812500000000001</v>
      </c>
      <c r="CC12">
        <v>0.80000000000000104</v>
      </c>
      <c r="CD12" t="e">
        <v>#VALUE!</v>
      </c>
      <c r="CE12" t="e">
        <v>#VALUE!</v>
      </c>
      <c r="CF12" t="e">
        <v>#VALUE!</v>
      </c>
      <c r="CG12" t="e">
        <v>#VALUE!</v>
      </c>
      <c r="CH12" t="e">
        <v>#VALUE!</v>
      </c>
      <c r="CI12" t="e">
        <v>#VALUE!</v>
      </c>
      <c r="CJ12" t="e">
        <v>#VALUE!</v>
      </c>
      <c r="CK12" t="e">
        <v>#VALUE!</v>
      </c>
    </row>
    <row r="13" spans="1:89" ht="12.5">
      <c r="A13" t="s">
        <v>3</v>
      </c>
      <c r="B13" t="s">
        <v>355</v>
      </c>
      <c r="C13" t="s">
        <v>355</v>
      </c>
      <c r="D13">
        <v>62.80</v>
      </c>
      <c r="E13">
        <v>64.272181615643603</v>
      </c>
      <c r="F13"/>
      <c r="G13">
        <v>78.806995719334793</v>
      </c>
      <c r="H13">
        <v>97.721443317106804</v>
      </c>
      <c r="I13">
        <v>121.21487581584201</v>
      </c>
      <c r="J13">
        <v>149.06151739785699</v>
      </c>
      <c r="K13">
        <v>181.56528687401399</v>
      </c>
      <c r="L13">
        <v>219.06147953423601</v>
      </c>
      <c r="M13">
        <v>261.82202218731902</v>
      </c>
      <c r="N13">
        <v>309.547171328579</v>
      </c>
      <c r="O13">
        <v>361.29651757037499</v>
      </c>
      <c r="P13">
        <v>414.909300321866</v>
      </c>
      <c r="Q13">
        <v>470.32682438737498</v>
      </c>
      <c r="R13">
        <v>527.05519710130204</v>
      </c>
      <c r="S13">
        <v>584.85841434593897</v>
      </c>
      <c r="T13">
        <v>643.86329215173896</v>
      </c>
      <c r="U13">
        <v>703.85090729621595</v>
      </c>
      <c r="V13">
        <v>764.09607210239096</v>
      </c>
      <c r="W13">
        <v>5</v>
      </c>
      <c r="AG13" s="130" t="s">
        <v>342</v>
      </c>
      <c r="AI13">
        <v>1</v>
      </c>
      <c r="AJ13">
        <v>1.02349969875313</v>
      </c>
      <c r="AK13">
        <v>1.25839625558148</v>
      </c>
      <c r="AL13">
        <v>1.5687501996173301</v>
      </c>
      <c r="AM13">
        <v>1.9612125767831201</v>
      </c>
      <c r="AN13">
        <v>2.4360837744065802</v>
      </c>
      <c r="AO13">
        <v>3.00325350238505</v>
      </c>
      <c r="AP13">
        <v>3.6742047901464301</v>
      </c>
      <c r="AQ13">
        <v>4.4604405723029998</v>
      </c>
      <c r="AR13">
        <v>5.3638328409665297</v>
      </c>
      <c r="AS13">
        <v>6.3742132136585399</v>
      </c>
      <c r="AT13">
        <v>7.4552067755076097</v>
      </c>
      <c r="AU13">
        <v>8.6097083736677202</v>
      </c>
      <c r="AV13">
        <v>9.8314238983634006</v>
      </c>
      <c r="AW13">
        <v>11.1188654370631</v>
      </c>
      <c r="AX13">
        <v>12.4785673189264</v>
      </c>
      <c r="AY13">
        <v>13.909467330932801</v>
      </c>
      <c r="AZ13">
        <v>15.397669844830901</v>
      </c>
      <c r="BA13">
        <v>0</v>
      </c>
      <c r="BB13">
        <v>0</v>
      </c>
      <c r="BC13">
        <v>0</v>
      </c>
      <c r="BD13">
        <v>0</v>
      </c>
      <c r="BE13">
        <v>0</v>
      </c>
      <c r="BF13">
        <v>0</v>
      </c>
      <c r="BG13">
        <v>0</v>
      </c>
      <c r="BH13">
        <v>0</v>
      </c>
      <c r="BJ13" t="s">
        <v>343</v>
      </c>
      <c r="BL13">
        <v>1</v>
      </c>
      <c r="BM13">
        <v>0.99756097560975698</v>
      </c>
      <c r="BN13">
        <v>0.98536585365853702</v>
      </c>
      <c r="BO13">
        <v>0.97317073170731705</v>
      </c>
      <c r="BP13">
        <v>0.96097560975609797</v>
      </c>
      <c r="BQ13">
        <v>0.948780487804878</v>
      </c>
      <c r="BR13">
        <v>0.93658536585365804</v>
      </c>
      <c r="BS13">
        <v>0.92439024390243896</v>
      </c>
      <c r="BT13">
        <v>0.91219512195121999</v>
      </c>
      <c r="BU13">
        <v>0.90</v>
      </c>
      <c r="BV13">
        <v>0.8875</v>
      </c>
      <c r="BW13">
        <v>0.875000000000001</v>
      </c>
      <c r="BX13">
        <v>0.86250000000000104</v>
      </c>
      <c r="BY13">
        <v>0.85000000000000098</v>
      </c>
      <c r="BZ13">
        <v>0.8375</v>
      </c>
      <c r="CA13">
        <v>0.82500000000000095</v>
      </c>
      <c r="CB13">
        <v>0.812500000000001</v>
      </c>
      <c r="CC13">
        <v>0.80000000000000104</v>
      </c>
      <c r="CD13" t="e">
        <v>#VALUE!</v>
      </c>
      <c r="CE13" t="e">
        <v>#VALUE!</v>
      </c>
      <c r="CF13" t="e">
        <v>#VALUE!</v>
      </c>
      <c r="CG13" t="e">
        <v>#VALUE!</v>
      </c>
      <c r="CH13" t="e">
        <v>#VALUE!</v>
      </c>
      <c r="CI13" t="e">
        <v>#VALUE!</v>
      </c>
      <c r="CJ13" t="e">
        <v>#VALUE!</v>
      </c>
      <c r="CK13" t="e">
        <v>#VALUE!</v>
      </c>
    </row>
    <row r="14" spans="1:89" ht="12.5">
      <c r="A14" t="s">
        <v>3</v>
      </c>
      <c r="B14" t="s">
        <v>356</v>
      </c>
      <c r="C14" t="s">
        <v>356</v>
      </c>
      <c r="D14">
        <v>82.28</v>
      </c>
      <c r="E14">
        <v>84.208839225082102</v>
      </c>
      <c r="F14"/>
      <c r="G14">
        <v>103.252223053931</v>
      </c>
      <c r="H14">
        <v>128.03376363266801</v>
      </c>
      <c r="I14">
        <v>158.81464939693399</v>
      </c>
      <c r="J14">
        <v>195.29907088368901</v>
      </c>
      <c r="K14">
        <v>237.88521980882001</v>
      </c>
      <c r="L14">
        <v>287.012397071289</v>
      </c>
      <c r="M14">
        <v>343.036878751156</v>
      </c>
      <c r="N14">
        <v>405.565943581456</v>
      </c>
      <c r="O14">
        <v>473.36747556831898</v>
      </c>
      <c r="P14">
        <v>543.61046545355305</v>
      </c>
      <c r="Q14">
        <v>616.21801131517805</v>
      </c>
      <c r="R14">
        <v>690.54301938686501</v>
      </c>
      <c r="S14">
        <v>766.27627917808604</v>
      </c>
      <c r="T14">
        <v>843.58394392109994</v>
      </c>
      <c r="U14">
        <v>922.179182361985</v>
      </c>
      <c r="V14">
        <v>1001.11186007301</v>
      </c>
      <c r="W14">
        <v>5</v>
      </c>
      <c r="AG14" s="130" t="s">
        <v>342</v>
      </c>
      <c r="AI14">
        <v>1</v>
      </c>
      <c r="AJ14">
        <v>1.02349969875313</v>
      </c>
      <c r="AK14">
        <v>1.25839625558148</v>
      </c>
      <c r="AL14">
        <v>1.5687501996173301</v>
      </c>
      <c r="AM14">
        <v>1.9612125767831201</v>
      </c>
      <c r="AN14">
        <v>2.4360837744065802</v>
      </c>
      <c r="AO14">
        <v>3.00325350238505</v>
      </c>
      <c r="AP14">
        <v>3.6742047901464301</v>
      </c>
      <c r="AQ14">
        <v>4.4604405723029998</v>
      </c>
      <c r="AR14">
        <v>5.3638328409665297</v>
      </c>
      <c r="AS14">
        <v>6.3742132136585399</v>
      </c>
      <c r="AT14">
        <v>7.4552067755076097</v>
      </c>
      <c r="AU14">
        <v>8.6097083736677202</v>
      </c>
      <c r="AV14">
        <v>9.8314238983634006</v>
      </c>
      <c r="AW14">
        <v>11.1188654370631</v>
      </c>
      <c r="AX14">
        <v>12.4785673189264</v>
      </c>
      <c r="AY14">
        <v>13.909467330932801</v>
      </c>
      <c r="AZ14">
        <v>15.397669844830901</v>
      </c>
      <c r="BA14">
        <v>0</v>
      </c>
      <c r="BB14">
        <v>0</v>
      </c>
      <c r="BC14">
        <v>0</v>
      </c>
      <c r="BD14">
        <v>0</v>
      </c>
      <c r="BE14">
        <v>0</v>
      </c>
      <c r="BF14">
        <v>0</v>
      </c>
      <c r="BG14">
        <v>0</v>
      </c>
      <c r="BH14">
        <v>0</v>
      </c>
      <c r="BJ14" t="s">
        <v>343</v>
      </c>
      <c r="BL14">
        <v>1</v>
      </c>
      <c r="BM14">
        <v>0.99756097560975698</v>
      </c>
      <c r="BN14">
        <v>0.98536585365853702</v>
      </c>
      <c r="BO14">
        <v>0.97317073170731705</v>
      </c>
      <c r="BP14">
        <v>0.96097560975609797</v>
      </c>
      <c r="BQ14">
        <v>0.948780487804878</v>
      </c>
      <c r="BR14">
        <v>0.93658536585365804</v>
      </c>
      <c r="BS14">
        <v>0.92439024390243896</v>
      </c>
      <c r="BT14">
        <v>0.91219512195121999</v>
      </c>
      <c r="BU14">
        <v>0.90</v>
      </c>
      <c r="BV14">
        <v>0.8875</v>
      </c>
      <c r="BW14">
        <v>0.875000000000001</v>
      </c>
      <c r="BX14">
        <v>0.86250000000000104</v>
      </c>
      <c r="BY14">
        <v>0.85000000000000098</v>
      </c>
      <c r="BZ14">
        <v>0.8375</v>
      </c>
      <c r="CA14">
        <v>0.82500000000000095</v>
      </c>
      <c r="CB14">
        <v>0.812500000000001</v>
      </c>
      <c r="CC14">
        <v>0.80000000000000104</v>
      </c>
      <c r="CD14" t="e">
        <v>#VALUE!</v>
      </c>
      <c r="CE14" t="e">
        <v>#VALUE!</v>
      </c>
      <c r="CF14" t="e">
        <v>#VALUE!</v>
      </c>
      <c r="CG14" t="e">
        <v>#VALUE!</v>
      </c>
      <c r="CH14" t="e">
        <v>#VALUE!</v>
      </c>
      <c r="CI14" t="e">
        <v>#VALUE!</v>
      </c>
      <c r="CJ14" t="e">
        <v>#VALUE!</v>
      </c>
      <c r="CK14" t="e">
        <v>#VALUE!</v>
      </c>
    </row>
    <row r="15" spans="1:89" ht="12.5">
      <c r="A15" t="s">
        <v>5</v>
      </c>
      <c r="B15" t="s">
        <v>341</v>
      </c>
      <c r="C15" t="s">
        <v>341</v>
      </c>
      <c r="E15" s="2">
        <v>23.180343211841201</v>
      </c>
      <c r="F15" s="2">
        <f>E15</f>
        <v>23.180343211841201</v>
      </c>
      <c r="I15" s="2">
        <f>F15</f>
        <v>23.180343211841201</v>
      </c>
      <c r="J15" s="2">
        <f>I15</f>
        <v>23.180343211841201</v>
      </c>
      <c r="L15" s="2">
        <f>J15</f>
        <v>23.180343211841201</v>
      </c>
      <c r="V15" s="2">
        <f>L15</f>
        <v>23.180343211841201</v>
      </c>
      <c r="W15">
        <v>5</v>
      </c>
      <c r="AG15" s="130" t="s">
        <v>342</v>
      </c>
      <c r="AI15">
        <v>1</v>
      </c>
      <c r="AJ15">
        <v>1.0224689124364099</v>
      </c>
      <c r="AK15">
        <v>1.2493830292119099</v>
      </c>
      <c r="AL15">
        <v>1.5966085108169501</v>
      </c>
      <c r="AM15">
        <v>2.08504784266403</v>
      </c>
      <c r="AN15">
        <v>2.6834302498020799</v>
      </c>
      <c r="AO15">
        <v>3.4306174514557601</v>
      </c>
      <c r="AP15">
        <v>4.3628227816917597</v>
      </c>
      <c r="AQ15">
        <v>5.5190741250568598</v>
      </c>
      <c r="AR15">
        <v>6.9383107308193397</v>
      </c>
      <c r="AS15">
        <v>8.6610591045765197</v>
      </c>
      <c r="AT15">
        <v>10.7052920010157</v>
      </c>
      <c r="AU15">
        <v>13.1033847939631</v>
      </c>
      <c r="AV15">
        <v>15.868687583272701</v>
      </c>
      <c r="AW15">
        <v>19.018986067495401</v>
      </c>
      <c r="AX15">
        <v>22.575041414735999</v>
      </c>
      <c r="AY15">
        <v>26.551387941848301</v>
      </c>
      <c r="AZ15">
        <v>30.9565185519041</v>
      </c>
      <c r="BA15">
        <v>0</v>
      </c>
      <c r="BB15">
        <v>0</v>
      </c>
      <c r="BC15">
        <v>0</v>
      </c>
      <c r="BD15">
        <v>0</v>
      </c>
      <c r="BE15">
        <v>0</v>
      </c>
      <c r="BF15">
        <v>0</v>
      </c>
      <c r="BG15">
        <v>0</v>
      </c>
      <c r="BH15">
        <v>0</v>
      </c>
      <c r="BJ15" t="s">
        <v>343</v>
      </c>
      <c r="BL15">
        <v>1</v>
      </c>
      <c r="BM15">
        <v>0.99756097560975698</v>
      </c>
      <c r="BN15">
        <v>0.98536585365853702</v>
      </c>
      <c r="BO15">
        <v>0.97317073170731705</v>
      </c>
      <c r="BP15">
        <v>0.96097560975609797</v>
      </c>
      <c r="BQ15">
        <v>0.948780487804878</v>
      </c>
      <c r="BR15">
        <v>0.93658536585365804</v>
      </c>
      <c r="BS15">
        <v>0.92439024390243896</v>
      </c>
      <c r="BT15">
        <v>0.91219512195121999</v>
      </c>
      <c r="BU15">
        <v>0.90</v>
      </c>
      <c r="BV15">
        <v>0.8875</v>
      </c>
      <c r="BW15">
        <v>0.875000000000001</v>
      </c>
      <c r="BX15">
        <v>0.86250000000000104</v>
      </c>
      <c r="BY15">
        <v>0.85000000000000098</v>
      </c>
      <c r="BZ15">
        <v>0.8375</v>
      </c>
      <c r="CA15">
        <v>0.82500000000000095</v>
      </c>
      <c r="CB15">
        <v>0.812500000000001</v>
      </c>
      <c r="CC15">
        <v>0.80000000000000104</v>
      </c>
      <c r="CD15" t="e">
        <v>#VALUE!</v>
      </c>
      <c r="CE15" t="e">
        <v>#VALUE!</v>
      </c>
      <c r="CF15" t="e">
        <v>#VALUE!</v>
      </c>
      <c r="CG15" t="e">
        <v>#VALUE!</v>
      </c>
      <c r="CH15" t="e">
        <v>#VALUE!</v>
      </c>
      <c r="CI15" t="e">
        <v>#VALUE!</v>
      </c>
      <c r="CJ15" t="e">
        <v>#VALUE!</v>
      </c>
      <c r="CK15" t="e">
        <v>#VALUE!</v>
      </c>
    </row>
    <row r="16" spans="1:89" ht="12.5">
      <c r="A16" t="s">
        <v>5</v>
      </c>
      <c r="B16" t="s">
        <v>344</v>
      </c>
      <c r="C16" t="s">
        <v>344</v>
      </c>
      <c r="E16" s="2">
        <v>196.39839324932399</v>
      </c>
      <c r="F16" s="2">
        <f>E16</f>
        <v>196.39839324932399</v>
      </c>
      <c r="I16" s="2">
        <f>F16</f>
        <v>196.39839324932399</v>
      </c>
      <c r="J16" s="2">
        <f>I16</f>
        <v>196.39839324932399</v>
      </c>
      <c r="L16" s="2">
        <f>J16</f>
        <v>196.39839324932399</v>
      </c>
      <c r="V16" s="2">
        <f>L16</f>
        <v>196.39839324932399</v>
      </c>
      <c r="W16">
        <v>5</v>
      </c>
      <c r="AG16" s="130" t="s">
        <v>342</v>
      </c>
      <c r="AI16">
        <v>1</v>
      </c>
      <c r="AJ16">
        <v>1.0224689124364099</v>
      </c>
      <c r="AK16">
        <v>1.2493830292119099</v>
      </c>
      <c r="AL16">
        <v>1.5966085108169501</v>
      </c>
      <c r="AM16">
        <v>2.08504784266403</v>
      </c>
      <c r="AN16">
        <v>2.6834302498020799</v>
      </c>
      <c r="AO16">
        <v>3.4306174514557601</v>
      </c>
      <c r="AP16">
        <v>4.3628227816917597</v>
      </c>
      <c r="AQ16">
        <v>5.5190741250568598</v>
      </c>
      <c r="AR16">
        <v>6.9383107308193397</v>
      </c>
      <c r="AS16">
        <v>8.6610591045765197</v>
      </c>
      <c r="AT16">
        <v>10.7052920010157</v>
      </c>
      <c r="AU16">
        <v>13.1033847939631</v>
      </c>
      <c r="AV16">
        <v>15.868687583272701</v>
      </c>
      <c r="AW16">
        <v>19.018986067495401</v>
      </c>
      <c r="AX16">
        <v>22.575041414735999</v>
      </c>
      <c r="AY16">
        <v>26.551387941848301</v>
      </c>
      <c r="AZ16">
        <v>30.9565185519041</v>
      </c>
      <c r="BA16">
        <v>0</v>
      </c>
      <c r="BB16">
        <v>0</v>
      </c>
      <c r="BC16">
        <v>0</v>
      </c>
      <c r="BD16">
        <v>0</v>
      </c>
      <c r="BE16">
        <v>0</v>
      </c>
      <c r="BF16">
        <v>0</v>
      </c>
      <c r="BG16">
        <v>0</v>
      </c>
      <c r="BH16">
        <v>0</v>
      </c>
      <c r="BJ16" t="s">
        <v>343</v>
      </c>
      <c r="BL16">
        <v>1</v>
      </c>
      <c r="BM16">
        <v>0.99756097560975698</v>
      </c>
      <c r="BN16">
        <v>0.98536585365853702</v>
      </c>
      <c r="BO16">
        <v>0.97317073170731705</v>
      </c>
      <c r="BP16">
        <v>0.96097560975609797</v>
      </c>
      <c r="BQ16">
        <v>0.948780487804878</v>
      </c>
      <c r="BR16">
        <v>0.93658536585365804</v>
      </c>
      <c r="BS16">
        <v>0.92439024390243896</v>
      </c>
      <c r="BT16">
        <v>0.91219512195121999</v>
      </c>
      <c r="BU16">
        <v>0.90</v>
      </c>
      <c r="BV16">
        <v>0.8875</v>
      </c>
      <c r="BW16">
        <v>0.875000000000001</v>
      </c>
      <c r="BX16">
        <v>0.86250000000000104</v>
      </c>
      <c r="BY16">
        <v>0.85000000000000098</v>
      </c>
      <c r="BZ16">
        <v>0.8375</v>
      </c>
      <c r="CA16">
        <v>0.82500000000000095</v>
      </c>
      <c r="CB16">
        <v>0.812500000000001</v>
      </c>
      <c r="CC16">
        <v>0.80000000000000104</v>
      </c>
      <c r="CD16" t="e">
        <v>#VALUE!</v>
      </c>
      <c r="CE16" t="e">
        <v>#VALUE!</v>
      </c>
      <c r="CF16" t="e">
        <v>#VALUE!</v>
      </c>
      <c r="CG16" t="e">
        <v>#VALUE!</v>
      </c>
      <c r="CH16" t="e">
        <v>#VALUE!</v>
      </c>
      <c r="CI16" t="e">
        <v>#VALUE!</v>
      </c>
      <c r="CJ16" t="e">
        <v>#VALUE!</v>
      </c>
      <c r="CK16" t="e">
        <v>#VALUE!</v>
      </c>
    </row>
    <row r="17" spans="1:89" ht="12.5">
      <c r="A17" t="s">
        <v>5</v>
      </c>
      <c r="B17" t="s">
        <v>345</v>
      </c>
      <c r="C17" t="s">
        <v>345</v>
      </c>
      <c r="E17" s="2">
        <v>10.971198703990201</v>
      </c>
      <c r="I17" s="2">
        <v>21.980332430600299</v>
      </c>
      <c r="J17" s="2">
        <v>27.965313663482299</v>
      </c>
      <c r="L17" s="2">
        <v>44.114691583434798</v>
      </c>
      <c r="V17" s="2">
        <v>243.63386950601199</v>
      </c>
      <c r="W17">
        <v>5</v>
      </c>
      <c r="AG17" s="130" t="s">
        <v>342</v>
      </c>
      <c r="AI17">
        <v>1</v>
      </c>
      <c r="AJ17">
        <v>1.0224689124364099</v>
      </c>
      <c r="AK17">
        <v>1.2493830292119099</v>
      </c>
      <c r="AL17">
        <v>1.5966085108169501</v>
      </c>
      <c r="AM17">
        <v>2.08504784266403</v>
      </c>
      <c r="AN17">
        <v>2.6834302498020799</v>
      </c>
      <c r="AO17">
        <v>3.4306174514557601</v>
      </c>
      <c r="AP17">
        <v>4.3628227816917597</v>
      </c>
      <c r="AQ17">
        <v>5.5190741250568598</v>
      </c>
      <c r="AR17">
        <v>6.9383107308193397</v>
      </c>
      <c r="AS17">
        <v>8.6610591045765197</v>
      </c>
      <c r="AT17">
        <v>10.7052920010157</v>
      </c>
      <c r="AU17">
        <v>13.1033847939631</v>
      </c>
      <c r="AV17">
        <v>15.868687583272701</v>
      </c>
      <c r="AW17">
        <v>19.018986067495401</v>
      </c>
      <c r="AX17">
        <v>22.575041414735999</v>
      </c>
      <c r="AY17">
        <v>26.551387941848301</v>
      </c>
      <c r="AZ17">
        <v>30.9565185519041</v>
      </c>
      <c r="BA17">
        <v>0</v>
      </c>
      <c r="BB17">
        <v>0</v>
      </c>
      <c r="BC17">
        <v>0</v>
      </c>
      <c r="BD17">
        <v>0</v>
      </c>
      <c r="BE17">
        <v>0</v>
      </c>
      <c r="BF17">
        <v>0</v>
      </c>
      <c r="BG17">
        <v>0</v>
      </c>
      <c r="BH17">
        <v>0</v>
      </c>
      <c r="BJ17" t="s">
        <v>343</v>
      </c>
      <c r="BL17">
        <v>1</v>
      </c>
      <c r="BM17">
        <v>0.99756097560975698</v>
      </c>
      <c r="BN17">
        <v>0.98536585365853702</v>
      </c>
      <c r="BO17">
        <v>0.97317073170731705</v>
      </c>
      <c r="BP17">
        <v>0.96097560975609797</v>
      </c>
      <c r="BQ17">
        <v>0.948780487804878</v>
      </c>
      <c r="BR17">
        <v>0.93658536585365804</v>
      </c>
      <c r="BS17">
        <v>0.92439024390243896</v>
      </c>
      <c r="BT17">
        <v>0.91219512195121999</v>
      </c>
      <c r="BU17">
        <v>0.90</v>
      </c>
      <c r="BV17">
        <v>0.8875</v>
      </c>
      <c r="BW17">
        <v>0.875000000000001</v>
      </c>
      <c r="BX17">
        <v>0.86250000000000104</v>
      </c>
      <c r="BY17">
        <v>0.85000000000000098</v>
      </c>
      <c r="BZ17">
        <v>0.8375</v>
      </c>
      <c r="CA17">
        <v>0.82500000000000095</v>
      </c>
      <c r="CB17">
        <v>0.812500000000001</v>
      </c>
      <c r="CC17">
        <v>0.80000000000000104</v>
      </c>
      <c r="CD17" t="e">
        <v>#VALUE!</v>
      </c>
      <c r="CE17" t="e">
        <v>#VALUE!</v>
      </c>
      <c r="CF17" t="e">
        <v>#VALUE!</v>
      </c>
      <c r="CG17" t="e">
        <v>#VALUE!</v>
      </c>
      <c r="CH17" t="e">
        <v>#VALUE!</v>
      </c>
      <c r="CI17" t="e">
        <v>#VALUE!</v>
      </c>
      <c r="CJ17" t="e">
        <v>#VALUE!</v>
      </c>
      <c r="CK17" t="e">
        <v>#VALUE!</v>
      </c>
    </row>
    <row r="18" spans="1:89" ht="12.5">
      <c r="A18" t="s">
        <v>5</v>
      </c>
      <c r="B18" t="s">
        <v>346</v>
      </c>
      <c r="C18" t="s">
        <v>346</v>
      </c>
      <c r="E18" s="2">
        <v>4.8143725404495799</v>
      </c>
      <c r="I18" s="2">
        <v>6.8678742867468703</v>
      </c>
      <c r="J18" s="2">
        <v>7.5851742849305204</v>
      </c>
      <c r="L18" s="2">
        <v>8.9893115779675892</v>
      </c>
      <c r="V18" s="2">
        <v>13.0281374717101</v>
      </c>
      <c r="W18">
        <v>5</v>
      </c>
      <c r="AG18" s="130" t="s">
        <v>347</v>
      </c>
      <c r="AI18">
        <v>1</v>
      </c>
      <c r="AJ18">
        <v>1.0283596462920701</v>
      </c>
      <c r="AK18">
        <v>1.17015787775242</v>
      </c>
      <c r="AL18">
        <v>1.32178389095272</v>
      </c>
      <c r="AM18">
        <v>1.4803215894015</v>
      </c>
      <c r="AN18">
        <v>1.64327701361462</v>
      </c>
      <c r="AO18">
        <v>1.807856173634</v>
      </c>
      <c r="AP18">
        <v>1.9711267889691699</v>
      </c>
      <c r="AQ18">
        <v>2.1288228556304301</v>
      </c>
      <c r="AR18">
        <v>2.2791411588349599</v>
      </c>
      <c r="AS18">
        <v>2.4194573399927801</v>
      </c>
      <c r="AT18">
        <v>2.5482985484781602</v>
      </c>
      <c r="AU18">
        <v>2.6637921436304999</v>
      </c>
      <c r="AV18">
        <v>2.7643765634508899</v>
      </c>
      <c r="AW18">
        <v>2.8493199777006399</v>
      </c>
      <c r="AX18">
        <v>2.9185823889864499</v>
      </c>
      <c r="AY18">
        <v>2.9721178589533501</v>
      </c>
      <c r="AZ18">
        <v>3.0105347458859302</v>
      </c>
      <c r="BA18">
        <v>0</v>
      </c>
      <c r="BB18">
        <v>0</v>
      </c>
      <c r="BC18">
        <v>0</v>
      </c>
      <c r="BD18">
        <v>0</v>
      </c>
      <c r="BE18">
        <v>0</v>
      </c>
      <c r="BF18">
        <v>0</v>
      </c>
      <c r="BG18">
        <v>0</v>
      </c>
      <c r="BH18">
        <v>0</v>
      </c>
      <c r="BJ18" t="s">
        <v>343</v>
      </c>
      <c r="BL18">
        <v>1</v>
      </c>
      <c r="BM18">
        <v>0.99756097560975698</v>
      </c>
      <c r="BN18">
        <v>0.98536585365853702</v>
      </c>
      <c r="BO18">
        <v>0.97317073170731705</v>
      </c>
      <c r="BP18">
        <v>0.96097560975609797</v>
      </c>
      <c r="BQ18">
        <v>0.948780487804878</v>
      </c>
      <c r="BR18">
        <v>0.93658536585365804</v>
      </c>
      <c r="BS18">
        <v>0.92439024390243896</v>
      </c>
      <c r="BT18">
        <v>0.91219512195121999</v>
      </c>
      <c r="BU18">
        <v>0.90</v>
      </c>
      <c r="BV18">
        <v>0.8875</v>
      </c>
      <c r="BW18">
        <v>0.875000000000001</v>
      </c>
      <c r="BX18">
        <v>0.86250000000000104</v>
      </c>
      <c r="BY18">
        <v>0.85000000000000098</v>
      </c>
      <c r="BZ18">
        <v>0.8375</v>
      </c>
      <c r="CA18">
        <v>0.82500000000000095</v>
      </c>
      <c r="CB18">
        <v>0.812500000000001</v>
      </c>
      <c r="CC18">
        <v>0.80000000000000104</v>
      </c>
      <c r="CD18" t="e">
        <v>#VALUE!</v>
      </c>
      <c r="CE18" t="e">
        <v>#VALUE!</v>
      </c>
      <c r="CF18" t="e">
        <v>#VALUE!</v>
      </c>
      <c r="CG18" t="e">
        <v>#VALUE!</v>
      </c>
      <c r="CH18" t="e">
        <v>#VALUE!</v>
      </c>
      <c r="CI18" t="e">
        <v>#VALUE!</v>
      </c>
      <c r="CJ18" t="e">
        <v>#VALUE!</v>
      </c>
      <c r="CK18" t="e">
        <v>#VALUE!</v>
      </c>
    </row>
    <row r="19" spans="1:89" ht="12.5">
      <c r="A19" t="s">
        <v>5</v>
      </c>
      <c r="B19" t="s">
        <v>348</v>
      </c>
      <c r="C19" t="s">
        <v>348</v>
      </c>
      <c r="E19" s="2">
        <v>24.082326143232098</v>
      </c>
      <c r="F19" s="2">
        <f>E19</f>
        <v>24.082326143232098</v>
      </c>
      <c r="I19" s="2">
        <f>F19</f>
        <v>24.082326143232098</v>
      </c>
      <c r="J19" s="2">
        <f>I19</f>
        <v>24.082326143232098</v>
      </c>
      <c r="L19" s="2">
        <f>J19</f>
        <v>24.082326143232098</v>
      </c>
      <c r="V19" s="2">
        <f>L19</f>
        <v>24.082326143232098</v>
      </c>
      <c r="W19">
        <v>5</v>
      </c>
      <c r="AG19" s="130" t="s">
        <v>342</v>
      </c>
      <c r="AI19">
        <v>1</v>
      </c>
      <c r="AJ19">
        <v>1.0224689124364099</v>
      </c>
      <c r="AK19">
        <v>1.2493830292119099</v>
      </c>
      <c r="AL19">
        <v>1.5966085108169501</v>
      </c>
      <c r="AM19">
        <v>2.08504784266403</v>
      </c>
      <c r="AN19">
        <v>2.6834302498020799</v>
      </c>
      <c r="AO19">
        <v>3.4306174514557601</v>
      </c>
      <c r="AP19">
        <v>4.3628227816917597</v>
      </c>
      <c r="AQ19">
        <v>5.5190741250568598</v>
      </c>
      <c r="AR19">
        <v>6.9383107308193397</v>
      </c>
      <c r="AS19">
        <v>8.6610591045765197</v>
      </c>
      <c r="AT19">
        <v>10.7052920010157</v>
      </c>
      <c r="AU19">
        <v>13.1033847939631</v>
      </c>
      <c r="AV19">
        <v>15.868687583272701</v>
      </c>
      <c r="AW19">
        <v>19.018986067495401</v>
      </c>
      <c r="AX19">
        <v>22.575041414735999</v>
      </c>
      <c r="AY19">
        <v>26.551387941848301</v>
      </c>
      <c r="AZ19">
        <v>30.9565185519041</v>
      </c>
      <c r="BA19">
        <v>0</v>
      </c>
      <c r="BB19">
        <v>0</v>
      </c>
      <c r="BC19">
        <v>0</v>
      </c>
      <c r="BD19">
        <v>0</v>
      </c>
      <c r="BE19">
        <v>0</v>
      </c>
      <c r="BF19">
        <v>0</v>
      </c>
      <c r="BG19">
        <v>0</v>
      </c>
      <c r="BH19">
        <v>0</v>
      </c>
      <c r="BJ19" t="s">
        <v>343</v>
      </c>
      <c r="BL19">
        <v>1</v>
      </c>
      <c r="BM19">
        <v>0.99756097560975698</v>
      </c>
      <c r="BN19">
        <v>0.98536585365853702</v>
      </c>
      <c r="BO19">
        <v>0.97317073170731705</v>
      </c>
      <c r="BP19">
        <v>0.96097560975609797</v>
      </c>
      <c r="BQ19">
        <v>0.948780487804878</v>
      </c>
      <c r="BR19">
        <v>0.93658536585365804</v>
      </c>
      <c r="BS19">
        <v>0.92439024390243896</v>
      </c>
      <c r="BT19">
        <v>0.91219512195121999</v>
      </c>
      <c r="BU19">
        <v>0.90</v>
      </c>
      <c r="BV19">
        <v>0.8875</v>
      </c>
      <c r="BW19">
        <v>0.875000000000001</v>
      </c>
      <c r="BX19">
        <v>0.86250000000000104</v>
      </c>
      <c r="BY19">
        <v>0.85000000000000098</v>
      </c>
      <c r="BZ19">
        <v>0.8375</v>
      </c>
      <c r="CA19">
        <v>0.82500000000000095</v>
      </c>
      <c r="CB19">
        <v>0.812500000000001</v>
      </c>
      <c r="CC19">
        <v>0.80000000000000104</v>
      </c>
      <c r="CD19" t="e">
        <v>#VALUE!</v>
      </c>
      <c r="CE19" t="e">
        <v>#VALUE!</v>
      </c>
      <c r="CF19" t="e">
        <v>#VALUE!</v>
      </c>
      <c r="CG19" t="e">
        <v>#VALUE!</v>
      </c>
      <c r="CH19" t="e">
        <v>#VALUE!</v>
      </c>
      <c r="CI19" t="e">
        <v>#VALUE!</v>
      </c>
      <c r="CJ19" t="e">
        <v>#VALUE!</v>
      </c>
      <c r="CK19" t="e">
        <v>#VALUE!</v>
      </c>
    </row>
    <row r="20" spans="1:89" ht="12.5">
      <c r="A20" t="s">
        <v>5</v>
      </c>
      <c r="B20" t="s">
        <v>349</v>
      </c>
      <c r="C20" t="s">
        <v>349</v>
      </c>
      <c r="E20" s="2">
        <v>90.408892232923407</v>
      </c>
      <c r="F20" s="2">
        <f>E20</f>
        <v>90.408892232923407</v>
      </c>
      <c r="I20" s="2">
        <f>F20</f>
        <v>90.408892232923407</v>
      </c>
      <c r="J20" s="2">
        <f>I20</f>
        <v>90.408892232923407</v>
      </c>
      <c r="L20" s="2">
        <f>J20</f>
        <v>90.408892232923407</v>
      </c>
      <c r="V20" s="2">
        <f>L20</f>
        <v>90.408892232923407</v>
      </c>
      <c r="W20">
        <v>5</v>
      </c>
      <c r="AG20" s="130" t="s">
        <v>342</v>
      </c>
      <c r="AI20">
        <v>1</v>
      </c>
      <c r="AJ20">
        <v>1.0224689124364099</v>
      </c>
      <c r="AK20">
        <v>1.2493830292119099</v>
      </c>
      <c r="AL20">
        <v>1.5966085108169501</v>
      </c>
      <c r="AM20">
        <v>2.08504784266403</v>
      </c>
      <c r="AN20">
        <v>2.6834302498020799</v>
      </c>
      <c r="AO20">
        <v>3.4306174514557601</v>
      </c>
      <c r="AP20">
        <v>4.3628227816917597</v>
      </c>
      <c r="AQ20">
        <v>5.5190741250568598</v>
      </c>
      <c r="AR20">
        <v>6.9383107308193397</v>
      </c>
      <c r="AS20">
        <v>8.6610591045765197</v>
      </c>
      <c r="AT20">
        <v>10.7052920010157</v>
      </c>
      <c r="AU20">
        <v>13.1033847939631</v>
      </c>
      <c r="AV20">
        <v>15.868687583272701</v>
      </c>
      <c r="AW20">
        <v>19.018986067495401</v>
      </c>
      <c r="AX20">
        <v>22.575041414735999</v>
      </c>
      <c r="AY20">
        <v>26.551387941848301</v>
      </c>
      <c r="AZ20">
        <v>30.9565185519041</v>
      </c>
      <c r="BA20">
        <v>0</v>
      </c>
      <c r="BB20">
        <v>0</v>
      </c>
      <c r="BC20">
        <v>0</v>
      </c>
      <c r="BD20">
        <v>0</v>
      </c>
      <c r="BE20">
        <v>0</v>
      </c>
      <c r="BF20">
        <v>0</v>
      </c>
      <c r="BG20">
        <v>0</v>
      </c>
      <c r="BH20">
        <v>0</v>
      </c>
      <c r="BJ20" t="s">
        <v>343</v>
      </c>
      <c r="BL20">
        <v>1</v>
      </c>
      <c r="BM20">
        <v>0.99756097560975698</v>
      </c>
      <c r="BN20">
        <v>0.98536585365853702</v>
      </c>
      <c r="BO20">
        <v>0.97317073170731705</v>
      </c>
      <c r="BP20">
        <v>0.96097560975609797</v>
      </c>
      <c r="BQ20">
        <v>0.948780487804878</v>
      </c>
      <c r="BR20">
        <v>0.93658536585365804</v>
      </c>
      <c r="BS20">
        <v>0.92439024390243896</v>
      </c>
      <c r="BT20">
        <v>0.91219512195121999</v>
      </c>
      <c r="BU20">
        <v>0.90</v>
      </c>
      <c r="BV20">
        <v>0.8875</v>
      </c>
      <c r="BW20">
        <v>0.875000000000001</v>
      </c>
      <c r="BX20">
        <v>0.86250000000000104</v>
      </c>
      <c r="BY20">
        <v>0.85000000000000098</v>
      </c>
      <c r="BZ20">
        <v>0.8375</v>
      </c>
      <c r="CA20">
        <v>0.82500000000000095</v>
      </c>
      <c r="CB20">
        <v>0.812500000000001</v>
      </c>
      <c r="CC20">
        <v>0.80000000000000104</v>
      </c>
      <c r="CD20" t="e">
        <v>#VALUE!</v>
      </c>
      <c r="CE20" t="e">
        <v>#VALUE!</v>
      </c>
      <c r="CF20" t="e">
        <v>#VALUE!</v>
      </c>
      <c r="CG20" t="e">
        <v>#VALUE!</v>
      </c>
      <c r="CH20" t="e">
        <v>#VALUE!</v>
      </c>
      <c r="CI20" t="e">
        <v>#VALUE!</v>
      </c>
      <c r="CJ20" t="e">
        <v>#VALUE!</v>
      </c>
      <c r="CK20" t="e">
        <v>#VALUE!</v>
      </c>
    </row>
    <row r="21" spans="1:89" ht="12.5">
      <c r="A21" t="s">
        <v>5</v>
      </c>
      <c r="B21" t="s">
        <v>350</v>
      </c>
      <c r="C21" t="s">
        <v>350</v>
      </c>
      <c r="D21">
        <v>430.61200000000002</v>
      </c>
      <c r="E21">
        <v>442.79421863348898</v>
      </c>
      <c r="F21"/>
      <c r="G21">
        <v>502.95663047374597</v>
      </c>
      <c r="H21">
        <v>566.37993000552103</v>
      </c>
      <c r="I21">
        <v>631.66175922670197</v>
      </c>
      <c r="J21">
        <v>697.63427995561801</v>
      </c>
      <c r="K21">
        <v>763.07366979990695</v>
      </c>
      <c r="L21">
        <v>826.77756296928305</v>
      </c>
      <c r="M21">
        <v>887.11442619565901</v>
      </c>
      <c r="N21">
        <v>943.49045647322305</v>
      </c>
      <c r="O21">
        <v>995.042086942428</v>
      </c>
      <c r="P21">
        <v>1041.4066663046201</v>
      </c>
      <c r="Q21">
        <v>1082.11534915572</v>
      </c>
      <c r="R21">
        <v>1116.8467951166001</v>
      </c>
      <c r="S21">
        <v>1145.58839431704</v>
      </c>
      <c r="T21">
        <v>1168.56251709046</v>
      </c>
      <c r="U21">
        <v>1185.9783794339501</v>
      </c>
      <c r="V21">
        <v>1198.2421184831801</v>
      </c>
      <c r="W21">
        <v>5</v>
      </c>
      <c r="AG21" s="130" t="s">
        <v>347</v>
      </c>
      <c r="AI21">
        <v>1</v>
      </c>
      <c r="AJ21">
        <v>1.0283596462920701</v>
      </c>
      <c r="AK21">
        <v>1.17015787775242</v>
      </c>
      <c r="AL21">
        <v>1.32178389095272</v>
      </c>
      <c r="AM21">
        <v>1.4803215894015</v>
      </c>
      <c r="AN21">
        <v>1.64327701361462</v>
      </c>
      <c r="AO21">
        <v>1.807856173634</v>
      </c>
      <c r="AP21">
        <v>1.9711267889691699</v>
      </c>
      <c r="AQ21">
        <v>2.1288228556304301</v>
      </c>
      <c r="AR21">
        <v>2.2791411588349599</v>
      </c>
      <c r="AS21">
        <v>2.4194573399927801</v>
      </c>
      <c r="AT21">
        <v>2.5482985484781602</v>
      </c>
      <c r="AU21">
        <v>2.6637921436304999</v>
      </c>
      <c r="AV21">
        <v>2.7643765634508899</v>
      </c>
      <c r="AW21">
        <v>2.8493199777006399</v>
      </c>
      <c r="AX21">
        <v>2.9185823889864499</v>
      </c>
      <c r="AY21">
        <v>2.9721178589533501</v>
      </c>
      <c r="AZ21">
        <v>3.0105347458859302</v>
      </c>
      <c r="BA21">
        <v>0</v>
      </c>
      <c r="BB21">
        <v>0</v>
      </c>
      <c r="BC21">
        <v>0</v>
      </c>
      <c r="BD21">
        <v>0</v>
      </c>
      <c r="BE21">
        <v>0</v>
      </c>
      <c r="BF21">
        <v>0</v>
      </c>
      <c r="BG21">
        <v>0</v>
      </c>
      <c r="BH21">
        <v>0</v>
      </c>
      <c r="BJ21" t="s">
        <v>343</v>
      </c>
      <c r="BL21">
        <v>1</v>
      </c>
      <c r="BM21">
        <v>0.99756097560975698</v>
      </c>
      <c r="BN21">
        <v>0.98536585365853702</v>
      </c>
      <c r="BO21">
        <v>0.97317073170731705</v>
      </c>
      <c r="BP21">
        <v>0.96097560975609797</v>
      </c>
      <c r="BQ21">
        <v>0.948780487804878</v>
      </c>
      <c r="BR21">
        <v>0.93658536585365804</v>
      </c>
      <c r="BS21">
        <v>0.92439024390243896</v>
      </c>
      <c r="BT21">
        <v>0.91219512195121999</v>
      </c>
      <c r="BU21">
        <v>0.90</v>
      </c>
      <c r="BV21">
        <v>0.8875</v>
      </c>
      <c r="BW21">
        <v>0.875000000000001</v>
      </c>
      <c r="BX21">
        <v>0.86250000000000104</v>
      </c>
      <c r="BY21">
        <v>0.85000000000000098</v>
      </c>
      <c r="BZ21">
        <v>0.8375</v>
      </c>
      <c r="CA21">
        <v>0.82500000000000095</v>
      </c>
      <c r="CB21">
        <v>0.812500000000001</v>
      </c>
      <c r="CC21">
        <v>0.80000000000000104</v>
      </c>
      <c r="CD21" t="e">
        <v>#VALUE!</v>
      </c>
      <c r="CE21" t="e">
        <v>#VALUE!</v>
      </c>
      <c r="CF21" t="e">
        <v>#VALUE!</v>
      </c>
      <c r="CG21" t="e">
        <v>#VALUE!</v>
      </c>
      <c r="CH21" t="e">
        <v>#VALUE!</v>
      </c>
      <c r="CI21" t="e">
        <v>#VALUE!</v>
      </c>
      <c r="CJ21" t="e">
        <v>#VALUE!</v>
      </c>
      <c r="CK21" t="e">
        <v>#VALUE!</v>
      </c>
    </row>
    <row r="22" spans="1:89" ht="12.5">
      <c r="A22" t="s">
        <v>5</v>
      </c>
      <c r="B22" t="s">
        <v>351</v>
      </c>
      <c r="C22" t="s">
        <v>351</v>
      </c>
      <c r="D22">
        <v>72.945</v>
      </c>
      <c r="E22">
        <v>75.008648802680497</v>
      </c>
      <c r="F22"/>
      <c r="G22">
        <v>85.200067369017503</v>
      </c>
      <c r="H22">
        <v>95.943875215397398</v>
      </c>
      <c r="I22">
        <v>107.002515087345</v>
      </c>
      <c r="J22">
        <v>118.17815702154699</v>
      </c>
      <c r="K22">
        <v>129.26348741687201</v>
      </c>
      <c r="L22">
        <v>140.05482738705501</v>
      </c>
      <c r="M22">
        <v>150.27579774563301</v>
      </c>
      <c r="N22">
        <v>159.82580919119599</v>
      </c>
      <c r="O22">
        <v>168.558574846998</v>
      </c>
      <c r="P22">
        <v>176.41266214966299</v>
      </c>
      <c r="Q22">
        <v>183.308649420276</v>
      </c>
      <c r="R22">
        <v>189.19210210068599</v>
      </c>
      <c r="S22">
        <v>194.06088409857699</v>
      </c>
      <c r="T22">
        <v>197.95266460099401</v>
      </c>
      <c r="U22">
        <v>200.902884470961</v>
      </c>
      <c r="V22">
        <v>202.98034270469901</v>
      </c>
      <c r="W22">
        <v>5</v>
      </c>
      <c r="AG22" s="130" t="s">
        <v>347</v>
      </c>
      <c r="AI22">
        <v>1</v>
      </c>
      <c r="AJ22">
        <v>1.0283596462920701</v>
      </c>
      <c r="AK22">
        <v>1.17015787775242</v>
      </c>
      <c r="AL22">
        <v>1.32178389095272</v>
      </c>
      <c r="AM22">
        <v>1.4803215894015</v>
      </c>
      <c r="AN22">
        <v>1.64327701361462</v>
      </c>
      <c r="AO22">
        <v>1.807856173634</v>
      </c>
      <c r="AP22">
        <v>1.9711267889691699</v>
      </c>
      <c r="AQ22">
        <v>2.1288228556304301</v>
      </c>
      <c r="AR22">
        <v>2.2791411588349599</v>
      </c>
      <c r="AS22">
        <v>2.4194573399927801</v>
      </c>
      <c r="AT22">
        <v>2.5482985484781602</v>
      </c>
      <c r="AU22">
        <v>2.6637921436304999</v>
      </c>
      <c r="AV22">
        <v>2.7643765634508899</v>
      </c>
      <c r="AW22">
        <v>2.8493199777006399</v>
      </c>
      <c r="AX22">
        <v>2.9185823889864499</v>
      </c>
      <c r="AY22">
        <v>2.9721178589533501</v>
      </c>
      <c r="AZ22">
        <v>3.0105347458859302</v>
      </c>
      <c r="BA22">
        <v>0</v>
      </c>
      <c r="BB22">
        <v>0</v>
      </c>
      <c r="BC22">
        <v>0</v>
      </c>
      <c r="BD22">
        <v>0</v>
      </c>
      <c r="BE22">
        <v>0</v>
      </c>
      <c r="BF22">
        <v>0</v>
      </c>
      <c r="BG22">
        <v>0</v>
      </c>
      <c r="BH22">
        <v>0</v>
      </c>
      <c r="BJ22" t="s">
        <v>343</v>
      </c>
      <c r="BL22">
        <v>1</v>
      </c>
      <c r="BM22">
        <v>0.99756097560975698</v>
      </c>
      <c r="BN22">
        <v>0.98536585365853702</v>
      </c>
      <c r="BO22">
        <v>0.97317073170731705</v>
      </c>
      <c r="BP22">
        <v>0.96097560975609797</v>
      </c>
      <c r="BQ22">
        <v>0.948780487804878</v>
      </c>
      <c r="BR22">
        <v>0.93658536585365804</v>
      </c>
      <c r="BS22">
        <v>0.92439024390243896</v>
      </c>
      <c r="BT22">
        <v>0.91219512195121999</v>
      </c>
      <c r="BU22">
        <v>0.90</v>
      </c>
      <c r="BV22">
        <v>0.8875</v>
      </c>
      <c r="BW22">
        <v>0.875000000000001</v>
      </c>
      <c r="BX22">
        <v>0.86250000000000104</v>
      </c>
      <c r="BY22">
        <v>0.85000000000000098</v>
      </c>
      <c r="BZ22">
        <v>0.8375</v>
      </c>
      <c r="CA22">
        <v>0.82500000000000095</v>
      </c>
      <c r="CB22">
        <v>0.812500000000001</v>
      </c>
      <c r="CC22">
        <v>0.80000000000000104</v>
      </c>
      <c r="CD22" t="e">
        <v>#VALUE!</v>
      </c>
      <c r="CE22" t="e">
        <v>#VALUE!</v>
      </c>
      <c r="CF22" t="e">
        <v>#VALUE!</v>
      </c>
      <c r="CG22" t="e">
        <v>#VALUE!</v>
      </c>
      <c r="CH22" t="e">
        <v>#VALUE!</v>
      </c>
      <c r="CI22" t="e">
        <v>#VALUE!</v>
      </c>
      <c r="CJ22" t="e">
        <v>#VALUE!</v>
      </c>
      <c r="CK22" t="e">
        <v>#VALUE!</v>
      </c>
    </row>
    <row r="23" spans="1:89" ht="12.5">
      <c r="A23" t="s">
        <v>5</v>
      </c>
      <c r="B23" t="s">
        <v>352</v>
      </c>
      <c r="C23" t="s">
        <v>352</v>
      </c>
      <c r="D23">
        <v>22.435</v>
      </c>
      <c r="E23">
        <v>23.069696838551501</v>
      </c>
      <c r="F23"/>
      <c r="G23">
        <v>26.204174534565901</v>
      </c>
      <c r="H23">
        <v>29.508545348652301</v>
      </c>
      <c r="I23">
        <v>32.909746055035797</v>
      </c>
      <c r="J23">
        <v>36.346931973108703</v>
      </c>
      <c r="K23">
        <v>39.756341629961298</v>
      </c>
      <c r="L23">
        <v>43.0753314473722</v>
      </c>
      <c r="M23">
        <v>46.218898107111698</v>
      </c>
      <c r="N23">
        <v>49.156104314270799</v>
      </c>
      <c r="O23">
        <v>51.841958005242198</v>
      </c>
      <c r="P23">
        <v>54.257564950684703</v>
      </c>
      <c r="Q23">
        <v>56.378498180051999</v>
      </c>
      <c r="R23">
        <v>58.1880157739241</v>
      </c>
      <c r="S23">
        <v>59.685460754699903</v>
      </c>
      <c r="T23">
        <v>60.882418676034099</v>
      </c>
      <c r="U23">
        <v>61.789789747152199</v>
      </c>
      <c r="V23">
        <v>62.428733821096898</v>
      </c>
      <c r="W23">
        <v>5</v>
      </c>
      <c r="AG23" s="130" t="s">
        <v>347</v>
      </c>
      <c r="AI23">
        <v>1</v>
      </c>
      <c r="AJ23">
        <v>1.0283596462920701</v>
      </c>
      <c r="AK23">
        <v>1.17015787775242</v>
      </c>
      <c r="AL23">
        <v>1.32178389095272</v>
      </c>
      <c r="AM23">
        <v>1.4803215894015</v>
      </c>
      <c r="AN23">
        <v>1.64327701361462</v>
      </c>
      <c r="AO23">
        <v>1.807856173634</v>
      </c>
      <c r="AP23">
        <v>1.9711267889691699</v>
      </c>
      <c r="AQ23">
        <v>2.1288228556304301</v>
      </c>
      <c r="AR23">
        <v>2.2791411588349599</v>
      </c>
      <c r="AS23">
        <v>2.4194573399927801</v>
      </c>
      <c r="AT23">
        <v>2.5482985484781602</v>
      </c>
      <c r="AU23">
        <v>2.6637921436304999</v>
      </c>
      <c r="AV23">
        <v>2.7643765634508899</v>
      </c>
      <c r="AW23">
        <v>2.8493199777006399</v>
      </c>
      <c r="AX23">
        <v>2.9185823889864499</v>
      </c>
      <c r="AY23">
        <v>2.9721178589533501</v>
      </c>
      <c r="AZ23">
        <v>3.0105347458859302</v>
      </c>
      <c r="BA23">
        <v>0</v>
      </c>
      <c r="BB23">
        <v>0</v>
      </c>
      <c r="BC23">
        <v>0</v>
      </c>
      <c r="BD23">
        <v>0</v>
      </c>
      <c r="BE23">
        <v>0</v>
      </c>
      <c r="BF23">
        <v>0</v>
      </c>
      <c r="BG23">
        <v>0</v>
      </c>
      <c r="BH23">
        <v>0</v>
      </c>
      <c r="BJ23" t="s">
        <v>343</v>
      </c>
      <c r="BL23">
        <v>1</v>
      </c>
      <c r="BM23">
        <v>0.99756097560975698</v>
      </c>
      <c r="BN23">
        <v>0.98536585365853702</v>
      </c>
      <c r="BO23">
        <v>0.97317073170731705</v>
      </c>
      <c r="BP23">
        <v>0.96097560975609797</v>
      </c>
      <c r="BQ23">
        <v>0.948780487804878</v>
      </c>
      <c r="BR23">
        <v>0.93658536585365804</v>
      </c>
      <c r="BS23">
        <v>0.92439024390243896</v>
      </c>
      <c r="BT23">
        <v>0.91219512195121999</v>
      </c>
      <c r="BU23">
        <v>0.90</v>
      </c>
      <c r="BV23">
        <v>0.8875</v>
      </c>
      <c r="BW23">
        <v>0.875000000000001</v>
      </c>
      <c r="BX23">
        <v>0.86250000000000104</v>
      </c>
      <c r="BY23">
        <v>0.85000000000000098</v>
      </c>
      <c r="BZ23">
        <v>0.8375</v>
      </c>
      <c r="CA23">
        <v>0.82500000000000095</v>
      </c>
      <c r="CB23">
        <v>0.812500000000001</v>
      </c>
      <c r="CC23">
        <v>0.80000000000000104</v>
      </c>
      <c r="CD23" t="e">
        <v>#VALUE!</v>
      </c>
      <c r="CE23" t="e">
        <v>#VALUE!</v>
      </c>
      <c r="CF23" t="e">
        <v>#VALUE!</v>
      </c>
      <c r="CG23" t="e">
        <v>#VALUE!</v>
      </c>
      <c r="CH23" t="e">
        <v>#VALUE!</v>
      </c>
      <c r="CI23" t="e">
        <v>#VALUE!</v>
      </c>
      <c r="CJ23" t="e">
        <v>#VALUE!</v>
      </c>
      <c r="CK23" t="e">
        <v>#VALUE!</v>
      </c>
    </row>
    <row r="24" spans="1:89" ht="12.5">
      <c r="A24" t="s">
        <v>5</v>
      </c>
      <c r="B24" t="s">
        <v>353</v>
      </c>
      <c r="C24" t="s">
        <v>353</v>
      </c>
      <c r="D24">
        <v>370.72800000000001</v>
      </c>
      <c r="E24">
        <v>368.60954513750301</v>
      </c>
      <c r="F24"/>
      <c r="G24">
        <v>395.435178075436</v>
      </c>
      <c r="H24">
        <v>445.97190281615798</v>
      </c>
      <c r="I24">
        <v>517.14115447842596</v>
      </c>
      <c r="J24">
        <v>595.33334569231295</v>
      </c>
      <c r="K24">
        <v>685.69533778579296</v>
      </c>
      <c r="L24">
        <v>791.16302894855903</v>
      </c>
      <c r="M24">
        <v>914.800189861376</v>
      </c>
      <c r="N24">
        <v>1058.2531558852099</v>
      </c>
      <c r="O24">
        <v>1223.45868731069</v>
      </c>
      <c r="P24">
        <v>1409.2299635832201</v>
      </c>
      <c r="Q24">
        <v>1617.0018497922899</v>
      </c>
      <c r="R24">
        <v>1846.49755642542</v>
      </c>
      <c r="S24">
        <v>2098.2471129876099</v>
      </c>
      <c r="T24">
        <v>2373.1475869281398</v>
      </c>
      <c r="U24">
        <v>2671.9267312345801</v>
      </c>
      <c r="V24">
        <v>2994.7631472712701</v>
      </c>
      <c r="W24">
        <v>5</v>
      </c>
      <c r="AG24" s="130" t="s">
        <v>354</v>
      </c>
      <c r="AI24">
        <v>1</v>
      </c>
      <c r="AJ24">
        <v>0.99427171819032301</v>
      </c>
      <c r="AK24">
        <v>1.06770466871673</v>
      </c>
      <c r="AL24">
        <v>1.2079194804425499</v>
      </c>
      <c r="AM24">
        <v>1.40851005456661</v>
      </c>
      <c r="AN24">
        <v>1.63297498082779</v>
      </c>
      <c r="AO24">
        <v>1.89761635991199</v>
      </c>
      <c r="AP24">
        <v>2.21336486628207</v>
      </c>
      <c r="AQ24">
        <v>2.5925473838556901</v>
      </c>
      <c r="AR24">
        <v>3.0442654698781402</v>
      </c>
      <c r="AS24">
        <v>3.5797527658009098</v>
      </c>
      <c r="AT24">
        <v>4.2009567550116502</v>
      </c>
      <c r="AU24">
        <v>4.9190717921798397</v>
      </c>
      <c r="AV24">
        <v>5.7404218343766997</v>
      </c>
      <c r="AW24">
        <v>6.6749211097180696</v>
      </c>
      <c r="AX24">
        <v>7.7349337472620698</v>
      </c>
      <c r="AY24">
        <v>8.9334909320179197</v>
      </c>
      <c r="AZ24">
        <v>10.282730865075701</v>
      </c>
      <c r="BA24">
        <v>0</v>
      </c>
      <c r="BB24">
        <v>0</v>
      </c>
      <c r="BC24">
        <v>0</v>
      </c>
      <c r="BD24">
        <v>0</v>
      </c>
      <c r="BE24">
        <v>0</v>
      </c>
      <c r="BF24">
        <v>0</v>
      </c>
      <c r="BG24">
        <v>0</v>
      </c>
      <c r="BH24">
        <v>0</v>
      </c>
      <c r="BJ24" t="s">
        <v>343</v>
      </c>
      <c r="BL24">
        <v>1</v>
      </c>
      <c r="BM24">
        <v>0.99756097560975698</v>
      </c>
      <c r="BN24">
        <v>0.98536585365853702</v>
      </c>
      <c r="BO24">
        <v>0.97317073170731705</v>
      </c>
      <c r="BP24">
        <v>0.96097560975609797</v>
      </c>
      <c r="BQ24">
        <v>0.948780487804878</v>
      </c>
      <c r="BR24">
        <v>0.93658536585365804</v>
      </c>
      <c r="BS24">
        <v>0.92439024390243896</v>
      </c>
      <c r="BT24">
        <v>0.91219512195121999</v>
      </c>
      <c r="BU24">
        <v>0.90</v>
      </c>
      <c r="BV24">
        <v>0.8875</v>
      </c>
      <c r="BW24">
        <v>0.875000000000001</v>
      </c>
      <c r="BX24">
        <v>0.86250000000000104</v>
      </c>
      <c r="BY24">
        <v>0.85000000000000098</v>
      </c>
      <c r="BZ24">
        <v>0.8375</v>
      </c>
      <c r="CA24">
        <v>0.82500000000000095</v>
      </c>
      <c r="CB24">
        <v>0.812500000000001</v>
      </c>
      <c r="CC24">
        <v>0.80000000000000104</v>
      </c>
      <c r="CD24" t="e">
        <v>#VALUE!</v>
      </c>
      <c r="CE24" t="e">
        <v>#VALUE!</v>
      </c>
      <c r="CF24" t="e">
        <v>#VALUE!</v>
      </c>
      <c r="CG24" t="e">
        <v>#VALUE!</v>
      </c>
      <c r="CH24" t="e">
        <v>#VALUE!</v>
      </c>
      <c r="CI24" t="e">
        <v>#VALUE!</v>
      </c>
      <c r="CJ24" t="e">
        <v>#VALUE!</v>
      </c>
      <c r="CK24" t="e">
        <v>#VALUE!</v>
      </c>
    </row>
    <row r="25" spans="1:89" ht="12.5">
      <c r="A25" t="s">
        <v>5</v>
      </c>
      <c r="B25" t="s">
        <v>355</v>
      </c>
      <c r="C25" t="s">
        <v>355</v>
      </c>
      <c r="D25">
        <v>55.80</v>
      </c>
      <c r="E25">
        <v>57.050707349771301</v>
      </c>
      <c r="F25"/>
      <c r="G25">
        <v>69.526551603410198</v>
      </c>
      <c r="H25">
        <v>88.330788555944096</v>
      </c>
      <c r="I25">
        <v>114.29867845642001</v>
      </c>
      <c r="J25">
        <v>145.42083949127999</v>
      </c>
      <c r="K25">
        <v>183.34475132724901</v>
      </c>
      <c r="L25">
        <v>229.398302524283</v>
      </c>
      <c r="M25">
        <v>284.856100771211</v>
      </c>
      <c r="N25">
        <v>350.78208342443202</v>
      </c>
      <c r="O25">
        <v>428.08108204192001</v>
      </c>
      <c r="P25">
        <v>516.489467462947</v>
      </c>
      <c r="Q25">
        <v>616.27970110541196</v>
      </c>
      <c r="R25">
        <v>726.82899831141401</v>
      </c>
      <c r="S25">
        <v>847.67373951702302</v>
      </c>
      <c r="T25">
        <v>978.43040271808002</v>
      </c>
      <c r="U25">
        <v>1118.4564978288199</v>
      </c>
      <c r="V25">
        <v>1266.90664937321</v>
      </c>
      <c r="W25">
        <v>5</v>
      </c>
      <c r="AG25" s="130" t="s">
        <v>342</v>
      </c>
      <c r="AI25">
        <v>1</v>
      </c>
      <c r="AJ25">
        <v>1.0224689124364099</v>
      </c>
      <c r="AK25">
        <v>1.2493830292119099</v>
      </c>
      <c r="AL25">
        <v>1.5966085108169501</v>
      </c>
      <c r="AM25">
        <v>2.08504784266403</v>
      </c>
      <c r="AN25">
        <v>2.6834302498020799</v>
      </c>
      <c r="AO25">
        <v>3.4306174514557601</v>
      </c>
      <c r="AP25">
        <v>4.3628227816917597</v>
      </c>
      <c r="AQ25">
        <v>5.5190741250568598</v>
      </c>
      <c r="AR25">
        <v>6.9383107308193397</v>
      </c>
      <c r="AS25">
        <v>8.6610591045765197</v>
      </c>
      <c r="AT25">
        <v>10.7052920010157</v>
      </c>
      <c r="AU25">
        <v>13.1033847939631</v>
      </c>
      <c r="AV25">
        <v>15.868687583272701</v>
      </c>
      <c r="AW25">
        <v>19.018986067495401</v>
      </c>
      <c r="AX25">
        <v>22.575041414735999</v>
      </c>
      <c r="AY25">
        <v>26.551387941848301</v>
      </c>
      <c r="AZ25">
        <v>30.9565185519041</v>
      </c>
      <c r="BA25">
        <v>0</v>
      </c>
      <c r="BB25">
        <v>0</v>
      </c>
      <c r="BC25">
        <v>0</v>
      </c>
      <c r="BD25">
        <v>0</v>
      </c>
      <c r="BE25">
        <v>0</v>
      </c>
      <c r="BF25">
        <v>0</v>
      </c>
      <c r="BG25">
        <v>0</v>
      </c>
      <c r="BH25">
        <v>0</v>
      </c>
      <c r="BJ25" t="s">
        <v>343</v>
      </c>
      <c r="BL25">
        <v>1</v>
      </c>
      <c r="BM25">
        <v>0.99756097560975698</v>
      </c>
      <c r="BN25">
        <v>0.98536585365853702</v>
      </c>
      <c r="BO25">
        <v>0.97317073170731705</v>
      </c>
      <c r="BP25">
        <v>0.96097560975609797</v>
      </c>
      <c r="BQ25">
        <v>0.948780487804878</v>
      </c>
      <c r="BR25">
        <v>0.93658536585365804</v>
      </c>
      <c r="BS25">
        <v>0.92439024390243896</v>
      </c>
      <c r="BT25">
        <v>0.91219512195121999</v>
      </c>
      <c r="BU25">
        <v>0.90</v>
      </c>
      <c r="BV25">
        <v>0.8875</v>
      </c>
      <c r="BW25">
        <v>0.875000000000001</v>
      </c>
      <c r="BX25">
        <v>0.86250000000000104</v>
      </c>
      <c r="BY25">
        <v>0.85000000000000098</v>
      </c>
      <c r="BZ25">
        <v>0.8375</v>
      </c>
      <c r="CA25">
        <v>0.82500000000000095</v>
      </c>
      <c r="CB25">
        <v>0.812500000000001</v>
      </c>
      <c r="CC25">
        <v>0.80000000000000104</v>
      </c>
      <c r="CD25" t="e">
        <v>#VALUE!</v>
      </c>
      <c r="CE25" t="e">
        <v>#VALUE!</v>
      </c>
      <c r="CF25" t="e">
        <v>#VALUE!</v>
      </c>
      <c r="CG25" t="e">
        <v>#VALUE!</v>
      </c>
      <c r="CH25" t="e">
        <v>#VALUE!</v>
      </c>
      <c r="CI25" t="e">
        <v>#VALUE!</v>
      </c>
      <c r="CJ25" t="e">
        <v>#VALUE!</v>
      </c>
      <c r="CK25" t="e">
        <v>#VALUE!</v>
      </c>
    </row>
    <row r="26" spans="1:89" ht="12.5">
      <c r="A26" t="s">
        <v>5</v>
      </c>
      <c r="B26" t="s">
        <v>356</v>
      </c>
      <c r="C26" t="s">
        <v>356</v>
      </c>
      <c r="D26">
        <v>67.52</v>
      </c>
      <c r="E26">
        <v>69.033400721443698</v>
      </c>
      <c r="F26"/>
      <c r="G26">
        <v>84.129619431223205</v>
      </c>
      <c r="H26">
        <v>106.883420130777</v>
      </c>
      <c r="I26">
        <v>138.30549765909501</v>
      </c>
      <c r="J26">
        <v>175.96442800091799</v>
      </c>
      <c r="K26">
        <v>221.853720602435</v>
      </c>
      <c r="L26">
        <v>277.58016821576302</v>
      </c>
      <c r="M26">
        <v>344.68609182925002</v>
      </c>
      <c r="N26">
        <v>424.45889377809402</v>
      </c>
      <c r="O26">
        <v>517.99345267868102</v>
      </c>
      <c r="P26">
        <v>624.97076779745896</v>
      </c>
      <c r="Q26">
        <v>745.72052721572504</v>
      </c>
      <c r="R26">
        <v>879.48913917538903</v>
      </c>
      <c r="S26">
        <v>1025.7156073869101</v>
      </c>
      <c r="T26">
        <v>1183.93585647894</v>
      </c>
      <c r="U26">
        <v>1353.3724504193899</v>
      </c>
      <c r="V26">
        <v>1533.00245458206</v>
      </c>
      <c r="W26">
        <v>5</v>
      </c>
      <c r="AG26" s="130" t="s">
        <v>342</v>
      </c>
      <c r="AI26">
        <v>1</v>
      </c>
      <c r="AJ26">
        <v>1.0224689124364099</v>
      </c>
      <c r="AK26">
        <v>1.2493830292119099</v>
      </c>
      <c r="AL26">
        <v>1.5966085108169501</v>
      </c>
      <c r="AM26">
        <v>2.08504784266403</v>
      </c>
      <c r="AN26">
        <v>2.6834302498020799</v>
      </c>
      <c r="AO26">
        <v>3.4306174514557601</v>
      </c>
      <c r="AP26">
        <v>4.3628227816917597</v>
      </c>
      <c r="AQ26">
        <v>5.5190741250568598</v>
      </c>
      <c r="AR26">
        <v>6.9383107308193397</v>
      </c>
      <c r="AS26">
        <v>8.6610591045765197</v>
      </c>
      <c r="AT26">
        <v>10.7052920010157</v>
      </c>
      <c r="AU26">
        <v>13.1033847939631</v>
      </c>
      <c r="AV26">
        <v>15.868687583272701</v>
      </c>
      <c r="AW26">
        <v>19.018986067495401</v>
      </c>
      <c r="AX26">
        <v>22.575041414735999</v>
      </c>
      <c r="AY26">
        <v>26.551387941848301</v>
      </c>
      <c r="AZ26">
        <v>30.9565185519041</v>
      </c>
      <c r="BA26">
        <v>0</v>
      </c>
      <c r="BB26">
        <v>0</v>
      </c>
      <c r="BC26">
        <v>0</v>
      </c>
      <c r="BD26">
        <v>0</v>
      </c>
      <c r="BE26">
        <v>0</v>
      </c>
      <c r="BF26">
        <v>0</v>
      </c>
      <c r="BG26">
        <v>0</v>
      </c>
      <c r="BH26">
        <v>0</v>
      </c>
      <c r="BJ26" t="s">
        <v>343</v>
      </c>
      <c r="BL26">
        <v>1</v>
      </c>
      <c r="BM26">
        <v>0.99756097560975698</v>
      </c>
      <c r="BN26">
        <v>0.98536585365853702</v>
      </c>
      <c r="BO26">
        <v>0.97317073170731705</v>
      </c>
      <c r="BP26">
        <v>0.96097560975609797</v>
      </c>
      <c r="BQ26">
        <v>0.948780487804878</v>
      </c>
      <c r="BR26">
        <v>0.93658536585365804</v>
      </c>
      <c r="BS26">
        <v>0.92439024390243896</v>
      </c>
      <c r="BT26">
        <v>0.91219512195121999</v>
      </c>
      <c r="BU26">
        <v>0.90</v>
      </c>
      <c r="BV26">
        <v>0.8875</v>
      </c>
      <c r="BW26">
        <v>0.875000000000001</v>
      </c>
      <c r="BX26">
        <v>0.86250000000000104</v>
      </c>
      <c r="BY26">
        <v>0.85000000000000098</v>
      </c>
      <c r="BZ26">
        <v>0.8375</v>
      </c>
      <c r="CA26">
        <v>0.82500000000000095</v>
      </c>
      <c r="CB26">
        <v>0.812500000000001</v>
      </c>
      <c r="CC26">
        <v>0.80000000000000104</v>
      </c>
      <c r="CD26" t="e">
        <v>#VALUE!</v>
      </c>
      <c r="CE26" t="e">
        <v>#VALUE!</v>
      </c>
      <c r="CF26" t="e">
        <v>#VALUE!</v>
      </c>
      <c r="CG26" t="e">
        <v>#VALUE!</v>
      </c>
      <c r="CH26" t="e">
        <v>#VALUE!</v>
      </c>
      <c r="CI26" t="e">
        <v>#VALUE!</v>
      </c>
      <c r="CJ26" t="e">
        <v>#VALUE!</v>
      </c>
      <c r="CK26" t="e">
        <v>#VALUE!</v>
      </c>
    </row>
    <row r="27" spans="1:89" ht="12.5">
      <c r="A27" t="s">
        <v>6</v>
      </c>
      <c r="B27" t="s">
        <v>341</v>
      </c>
      <c r="C27" t="s">
        <v>341</v>
      </c>
      <c r="E27" s="2">
        <v>125.236568967332</v>
      </c>
      <c r="F27" s="2">
        <f>E27</f>
        <v>125.236568967332</v>
      </c>
      <c r="I27" s="2">
        <f>F27</f>
        <v>125.236568967332</v>
      </c>
      <c r="J27" s="2">
        <f>I27</f>
        <v>125.236568967332</v>
      </c>
      <c r="L27" s="2">
        <f>J27</f>
        <v>125.236568967332</v>
      </c>
      <c r="V27" s="2">
        <f>L27</f>
        <v>125.236568967332</v>
      </c>
      <c r="W27">
        <v>5</v>
      </c>
      <c r="AG27" s="130" t="s">
        <v>342</v>
      </c>
      <c r="AI27">
        <v>1</v>
      </c>
      <c r="AJ27">
        <v>1.0153828231051301</v>
      </c>
      <c r="AK27">
        <v>1.1678350250893199</v>
      </c>
      <c r="AL27">
        <v>1.33034996724544</v>
      </c>
      <c r="AM27">
        <v>1.5053673575514499</v>
      </c>
      <c r="AN27">
        <v>1.6938664559569401</v>
      </c>
      <c r="AO27">
        <v>1.8976116187504599</v>
      </c>
      <c r="AP27">
        <v>2.10930060579047</v>
      </c>
      <c r="AQ27">
        <v>2.3243410255890802</v>
      </c>
      <c r="AR27">
        <v>2.54768827116721</v>
      </c>
      <c r="AS27">
        <v>2.7788105030694701</v>
      </c>
      <c r="AT27">
        <v>3.0110977166359398</v>
      </c>
      <c r="AU27">
        <v>3.2398984271059201</v>
      </c>
      <c r="AV27">
        <v>3.46150664208387</v>
      </c>
      <c r="AW27">
        <v>3.6729845817209301</v>
      </c>
      <c r="AX27">
        <v>3.87332766037914</v>
      </c>
      <c r="AY27">
        <v>4.0628397863187304</v>
      </c>
      <c r="AZ27">
        <v>4.2407020956162897</v>
      </c>
      <c r="BA27">
        <v>0</v>
      </c>
      <c r="BB27">
        <v>0</v>
      </c>
      <c r="BC27">
        <v>0</v>
      </c>
      <c r="BD27">
        <v>0</v>
      </c>
      <c r="BE27">
        <v>0</v>
      </c>
      <c r="BF27">
        <v>0</v>
      </c>
      <c r="BG27">
        <v>0</v>
      </c>
      <c r="BH27">
        <v>0</v>
      </c>
      <c r="BJ27" t="s">
        <v>357</v>
      </c>
      <c r="BL27">
        <v>0.80</v>
      </c>
      <c r="BM27">
        <v>0.79756097560975603</v>
      </c>
      <c r="BN27">
        <v>0.78536585365853595</v>
      </c>
      <c r="BO27">
        <v>0.77317073170731698</v>
      </c>
      <c r="BP27">
        <v>0.76097560975609702</v>
      </c>
      <c r="BQ27">
        <v>0.74878048780487805</v>
      </c>
      <c r="BR27">
        <v>0.73658536585365797</v>
      </c>
      <c r="BS27">
        <v>0.724390243902439</v>
      </c>
      <c r="BT27">
        <v>0.71219512195122003</v>
      </c>
      <c r="BU27">
        <v>0.69999999999999896</v>
      </c>
      <c r="BV27">
        <v>0.687499999999999</v>
      </c>
      <c r="BW27">
        <v>0.675</v>
      </c>
      <c r="BX27">
        <v>0.6625</v>
      </c>
      <c r="BY27">
        <v>0.64999999999999902</v>
      </c>
      <c r="BZ27">
        <v>0.63749999999999896</v>
      </c>
      <c r="CA27">
        <v>0.625</v>
      </c>
      <c r="CB27">
        <v>0.6125</v>
      </c>
      <c r="CC27">
        <v>0.60</v>
      </c>
      <c r="CD27" t="e">
        <v>#VALUE!</v>
      </c>
      <c r="CE27" t="e">
        <v>#VALUE!</v>
      </c>
      <c r="CF27" t="e">
        <v>#VALUE!</v>
      </c>
      <c r="CG27" t="e">
        <v>#VALUE!</v>
      </c>
      <c r="CH27" t="e">
        <v>#VALUE!</v>
      </c>
      <c r="CI27" t="e">
        <v>#VALUE!</v>
      </c>
      <c r="CJ27" t="e">
        <v>#VALUE!</v>
      </c>
      <c r="CK27" t="e">
        <v>#VALUE!</v>
      </c>
    </row>
    <row r="28" spans="1:89" ht="12.5">
      <c r="A28" t="s">
        <v>6</v>
      </c>
      <c r="B28" t="s">
        <v>344</v>
      </c>
      <c r="C28" t="s">
        <v>344</v>
      </c>
      <c r="E28" s="2">
        <v>213.94961278225401</v>
      </c>
      <c r="F28" s="2">
        <f>E28</f>
        <v>213.94961278225401</v>
      </c>
      <c r="I28" s="2">
        <f>F28</f>
        <v>213.94961278225401</v>
      </c>
      <c r="J28" s="2">
        <f>I28</f>
        <v>213.94961278225401</v>
      </c>
      <c r="L28" s="2">
        <f>J28</f>
        <v>213.94961278225401</v>
      </c>
      <c r="V28" s="2">
        <f>L28</f>
        <v>213.94961278225401</v>
      </c>
      <c r="W28">
        <v>5</v>
      </c>
      <c r="AG28" s="130" t="s">
        <v>342</v>
      </c>
      <c r="AI28">
        <v>1</v>
      </c>
      <c r="AJ28">
        <v>1.0153828231051301</v>
      </c>
      <c r="AK28">
        <v>1.1678350250893199</v>
      </c>
      <c r="AL28">
        <v>1.33034996724544</v>
      </c>
      <c r="AM28">
        <v>1.5053673575514499</v>
      </c>
      <c r="AN28">
        <v>1.6938664559569401</v>
      </c>
      <c r="AO28">
        <v>1.8976116187504599</v>
      </c>
      <c r="AP28">
        <v>2.10930060579047</v>
      </c>
      <c r="AQ28">
        <v>2.3243410255890802</v>
      </c>
      <c r="AR28">
        <v>2.54768827116721</v>
      </c>
      <c r="AS28">
        <v>2.7788105030694701</v>
      </c>
      <c r="AT28">
        <v>3.0110977166359398</v>
      </c>
      <c r="AU28">
        <v>3.2398984271059201</v>
      </c>
      <c r="AV28">
        <v>3.46150664208387</v>
      </c>
      <c r="AW28">
        <v>3.6729845817209301</v>
      </c>
      <c r="AX28">
        <v>3.87332766037914</v>
      </c>
      <c r="AY28">
        <v>4.0628397863187304</v>
      </c>
      <c r="AZ28">
        <v>4.2407020956162897</v>
      </c>
      <c r="BA28">
        <v>0</v>
      </c>
      <c r="BB28">
        <v>0</v>
      </c>
      <c r="BC28">
        <v>0</v>
      </c>
      <c r="BD28">
        <v>0</v>
      </c>
      <c r="BE28">
        <v>0</v>
      </c>
      <c r="BF28">
        <v>0</v>
      </c>
      <c r="BG28">
        <v>0</v>
      </c>
      <c r="BH28">
        <v>0</v>
      </c>
      <c r="BJ28" t="s">
        <v>357</v>
      </c>
      <c r="BL28">
        <v>0.80</v>
      </c>
      <c r="BM28">
        <v>0.79756097560975603</v>
      </c>
      <c r="BN28">
        <v>0.78536585365853595</v>
      </c>
      <c r="BO28">
        <v>0.77317073170731698</v>
      </c>
      <c r="BP28">
        <v>0.76097560975609702</v>
      </c>
      <c r="BQ28">
        <v>0.74878048780487805</v>
      </c>
      <c r="BR28">
        <v>0.73658536585365797</v>
      </c>
      <c r="BS28">
        <v>0.724390243902439</v>
      </c>
      <c r="BT28">
        <v>0.71219512195122003</v>
      </c>
      <c r="BU28">
        <v>0.69999999999999896</v>
      </c>
      <c r="BV28">
        <v>0.687499999999999</v>
      </c>
      <c r="BW28">
        <v>0.675</v>
      </c>
      <c r="BX28">
        <v>0.6625</v>
      </c>
      <c r="BY28">
        <v>0.64999999999999902</v>
      </c>
      <c r="BZ28">
        <v>0.63749999999999896</v>
      </c>
      <c r="CA28">
        <v>0.625</v>
      </c>
      <c r="CB28">
        <v>0.6125</v>
      </c>
      <c r="CC28">
        <v>0.60</v>
      </c>
      <c r="CD28" t="e">
        <v>#VALUE!</v>
      </c>
      <c r="CE28" t="e">
        <v>#VALUE!</v>
      </c>
      <c r="CF28" t="e">
        <v>#VALUE!</v>
      </c>
      <c r="CG28" t="e">
        <v>#VALUE!</v>
      </c>
      <c r="CH28" t="e">
        <v>#VALUE!</v>
      </c>
      <c r="CI28" t="e">
        <v>#VALUE!</v>
      </c>
      <c r="CJ28" t="e">
        <v>#VALUE!</v>
      </c>
      <c r="CK28" t="e">
        <v>#VALUE!</v>
      </c>
    </row>
    <row r="29" spans="1:89" ht="12.5">
      <c r="A29" t="s">
        <v>6</v>
      </c>
      <c r="B29" t="s">
        <v>345</v>
      </c>
      <c r="C29" t="s">
        <v>345</v>
      </c>
      <c r="E29" s="2">
        <v>37.343593043625802</v>
      </c>
      <c r="I29" s="2">
        <v>50.867806738395998</v>
      </c>
      <c r="J29" s="2">
        <v>55.637212962593701</v>
      </c>
      <c r="L29" s="2">
        <v>65.461014200692901</v>
      </c>
      <c r="V29" s="2">
        <v>104.77729669750499</v>
      </c>
      <c r="W29">
        <v>5</v>
      </c>
      <c r="AG29" s="130" t="s">
        <v>342</v>
      </c>
      <c r="AI29">
        <v>1</v>
      </c>
      <c r="AJ29">
        <v>1.0153828231051301</v>
      </c>
      <c r="AK29">
        <v>1.1678350250893199</v>
      </c>
      <c r="AL29">
        <v>1.33034996724544</v>
      </c>
      <c r="AM29">
        <v>1.5053673575514499</v>
      </c>
      <c r="AN29">
        <v>1.6938664559569401</v>
      </c>
      <c r="AO29">
        <v>1.8976116187504599</v>
      </c>
      <c r="AP29">
        <v>2.10930060579047</v>
      </c>
      <c r="AQ29">
        <v>2.3243410255890802</v>
      </c>
      <c r="AR29">
        <v>2.54768827116721</v>
      </c>
      <c r="AS29">
        <v>2.7788105030694701</v>
      </c>
      <c r="AT29">
        <v>3.0110977166359398</v>
      </c>
      <c r="AU29">
        <v>3.2398984271059201</v>
      </c>
      <c r="AV29">
        <v>3.46150664208387</v>
      </c>
      <c r="AW29">
        <v>3.6729845817209301</v>
      </c>
      <c r="AX29">
        <v>3.87332766037914</v>
      </c>
      <c r="AY29">
        <v>4.0628397863187304</v>
      </c>
      <c r="AZ29">
        <v>4.2407020956162897</v>
      </c>
      <c r="BA29">
        <v>0</v>
      </c>
      <c r="BB29">
        <v>0</v>
      </c>
      <c r="BC29">
        <v>0</v>
      </c>
      <c r="BD29">
        <v>0</v>
      </c>
      <c r="BE29">
        <v>0</v>
      </c>
      <c r="BF29">
        <v>0</v>
      </c>
      <c r="BG29">
        <v>0</v>
      </c>
      <c r="BH29">
        <v>0</v>
      </c>
      <c r="BJ29" t="s">
        <v>357</v>
      </c>
      <c r="BL29">
        <v>0.80</v>
      </c>
      <c r="BM29">
        <v>0.79756097560975603</v>
      </c>
      <c r="BN29">
        <v>0.78536585365853595</v>
      </c>
      <c r="BO29">
        <v>0.77317073170731698</v>
      </c>
      <c r="BP29">
        <v>0.76097560975609702</v>
      </c>
      <c r="BQ29">
        <v>0.74878048780487805</v>
      </c>
      <c r="BR29">
        <v>0.73658536585365797</v>
      </c>
      <c r="BS29">
        <v>0.724390243902439</v>
      </c>
      <c r="BT29">
        <v>0.71219512195122003</v>
      </c>
      <c r="BU29">
        <v>0.69999999999999896</v>
      </c>
      <c r="BV29">
        <v>0.687499999999999</v>
      </c>
      <c r="BW29">
        <v>0.675</v>
      </c>
      <c r="BX29">
        <v>0.6625</v>
      </c>
      <c r="BY29">
        <v>0.64999999999999902</v>
      </c>
      <c r="BZ29">
        <v>0.63749999999999896</v>
      </c>
      <c r="CA29">
        <v>0.625</v>
      </c>
      <c r="CB29">
        <v>0.6125</v>
      </c>
      <c r="CC29">
        <v>0.60</v>
      </c>
      <c r="CD29" t="e">
        <v>#VALUE!</v>
      </c>
      <c r="CE29" t="e">
        <v>#VALUE!</v>
      </c>
      <c r="CF29" t="e">
        <v>#VALUE!</v>
      </c>
      <c r="CG29" t="e">
        <v>#VALUE!</v>
      </c>
      <c r="CH29" t="e">
        <v>#VALUE!</v>
      </c>
      <c r="CI29" t="e">
        <v>#VALUE!</v>
      </c>
      <c r="CJ29" t="e">
        <v>#VALUE!</v>
      </c>
      <c r="CK29" t="e">
        <v>#VALUE!</v>
      </c>
    </row>
    <row r="30" spans="1:89" ht="12.5">
      <c r="A30" t="s">
        <v>6</v>
      </c>
      <c r="B30" t="s">
        <v>346</v>
      </c>
      <c r="C30" t="s">
        <v>346</v>
      </c>
      <c r="E30" s="2">
        <v>22.6322603522854</v>
      </c>
      <c r="I30" s="2">
        <v>24.6222738080731</v>
      </c>
      <c r="J30" s="2">
        <v>25.184727548268501</v>
      </c>
      <c r="L30" s="2">
        <v>26.265281764294201</v>
      </c>
      <c r="V30" s="2">
        <v>28.4622983069202</v>
      </c>
      <c r="W30">
        <v>5</v>
      </c>
      <c r="AG30" s="130" t="s">
        <v>347</v>
      </c>
      <c r="AI30">
        <v>1</v>
      </c>
      <c r="AJ30">
        <v>1.00806756087954</v>
      </c>
      <c r="AK30">
        <v>1.04840536527724</v>
      </c>
      <c r="AL30">
        <v>1.0873227533038701</v>
      </c>
      <c r="AM30">
        <v>1.1235471790115701</v>
      </c>
      <c r="AN30">
        <v>1.15782359835946</v>
      </c>
      <c r="AO30">
        <v>1.19166808768815</v>
      </c>
      <c r="AP30">
        <v>1.22608843109086</v>
      </c>
      <c r="AQ30">
        <v>1.25818767846711</v>
      </c>
      <c r="AR30">
        <v>1.2879630673590201</v>
      </c>
      <c r="AS30">
        <v>1.3137584648121901</v>
      </c>
      <c r="AT30">
        <v>1.3360422258259601</v>
      </c>
      <c r="AU30">
        <v>1.3547587855335399</v>
      </c>
      <c r="AV30">
        <v>1.36928268401038</v>
      </c>
      <c r="AW30">
        <v>1.3784900744691599</v>
      </c>
      <c r="AX30">
        <v>1.38228774368874</v>
      </c>
      <c r="AY30">
        <v>1.3817633107947001</v>
      </c>
      <c r="AZ30">
        <v>1.3781303235276201</v>
      </c>
      <c r="BA30">
        <v>0</v>
      </c>
      <c r="BB30">
        <v>0</v>
      </c>
      <c r="BC30">
        <v>0</v>
      </c>
      <c r="BD30">
        <v>0</v>
      </c>
      <c r="BE30">
        <v>0</v>
      </c>
      <c r="BF30">
        <v>0</v>
      </c>
      <c r="BG30">
        <v>0</v>
      </c>
      <c r="BH30">
        <v>0</v>
      </c>
      <c r="BJ30" t="s">
        <v>357</v>
      </c>
      <c r="BL30">
        <v>0.80</v>
      </c>
      <c r="BM30">
        <v>0.79756097560975603</v>
      </c>
      <c r="BN30">
        <v>0.78536585365853595</v>
      </c>
      <c r="BO30">
        <v>0.77317073170731698</v>
      </c>
      <c r="BP30">
        <v>0.76097560975609702</v>
      </c>
      <c r="BQ30">
        <v>0.74878048780487805</v>
      </c>
      <c r="BR30">
        <v>0.73658536585365797</v>
      </c>
      <c r="BS30">
        <v>0.724390243902439</v>
      </c>
      <c r="BT30">
        <v>0.71219512195122003</v>
      </c>
      <c r="BU30">
        <v>0.69999999999999896</v>
      </c>
      <c r="BV30">
        <v>0.687499999999999</v>
      </c>
      <c r="BW30">
        <v>0.675</v>
      </c>
      <c r="BX30">
        <v>0.6625</v>
      </c>
      <c r="BY30">
        <v>0.64999999999999902</v>
      </c>
      <c r="BZ30">
        <v>0.63749999999999896</v>
      </c>
      <c r="CA30">
        <v>0.625</v>
      </c>
      <c r="CB30">
        <v>0.6125</v>
      </c>
      <c r="CC30">
        <v>0.60</v>
      </c>
      <c r="CD30" t="e">
        <v>#VALUE!</v>
      </c>
      <c r="CE30" t="e">
        <v>#VALUE!</v>
      </c>
      <c r="CF30" t="e">
        <v>#VALUE!</v>
      </c>
      <c r="CG30" t="e">
        <v>#VALUE!</v>
      </c>
      <c r="CH30" t="e">
        <v>#VALUE!</v>
      </c>
      <c r="CI30" t="e">
        <v>#VALUE!</v>
      </c>
      <c r="CJ30" t="e">
        <v>#VALUE!</v>
      </c>
      <c r="CK30" t="e">
        <v>#VALUE!</v>
      </c>
    </row>
    <row r="31" spans="1:89" ht="12.5">
      <c r="A31" t="s">
        <v>6</v>
      </c>
      <c r="B31" t="s">
        <v>348</v>
      </c>
      <c r="C31" t="s">
        <v>348</v>
      </c>
      <c r="E31" s="2">
        <v>29.5450191028017</v>
      </c>
      <c r="F31" s="2">
        <f>E31</f>
        <v>29.5450191028017</v>
      </c>
      <c r="I31" s="2">
        <f>F31</f>
        <v>29.5450191028017</v>
      </c>
      <c r="J31" s="2">
        <f>I31</f>
        <v>29.5450191028017</v>
      </c>
      <c r="L31" s="2">
        <f>J31</f>
        <v>29.5450191028017</v>
      </c>
      <c r="V31" s="2">
        <f>L31</f>
        <v>29.5450191028017</v>
      </c>
      <c r="W31">
        <v>5</v>
      </c>
      <c r="AG31" s="130" t="s">
        <v>342</v>
      </c>
      <c r="AI31">
        <v>1</v>
      </c>
      <c r="AJ31">
        <v>1.0153828231051301</v>
      </c>
      <c r="AK31">
        <v>1.1678350250893199</v>
      </c>
      <c r="AL31">
        <v>1.33034996724544</v>
      </c>
      <c r="AM31">
        <v>1.5053673575514499</v>
      </c>
      <c r="AN31">
        <v>1.6938664559569401</v>
      </c>
      <c r="AO31">
        <v>1.8976116187504599</v>
      </c>
      <c r="AP31">
        <v>2.10930060579047</v>
      </c>
      <c r="AQ31">
        <v>2.3243410255890802</v>
      </c>
      <c r="AR31">
        <v>2.54768827116721</v>
      </c>
      <c r="AS31">
        <v>2.7788105030694701</v>
      </c>
      <c r="AT31">
        <v>3.0110977166359398</v>
      </c>
      <c r="AU31">
        <v>3.2398984271059201</v>
      </c>
      <c r="AV31">
        <v>3.46150664208387</v>
      </c>
      <c r="AW31">
        <v>3.6729845817209301</v>
      </c>
      <c r="AX31">
        <v>3.87332766037914</v>
      </c>
      <c r="AY31">
        <v>4.0628397863187304</v>
      </c>
      <c r="AZ31">
        <v>4.2407020956162897</v>
      </c>
      <c r="BA31">
        <v>0</v>
      </c>
      <c r="BB31">
        <v>0</v>
      </c>
      <c r="BC31">
        <v>0</v>
      </c>
      <c r="BD31">
        <v>0</v>
      </c>
      <c r="BE31">
        <v>0</v>
      </c>
      <c r="BF31">
        <v>0</v>
      </c>
      <c r="BG31">
        <v>0</v>
      </c>
      <c r="BH31">
        <v>0</v>
      </c>
      <c r="BJ31" t="s">
        <v>357</v>
      </c>
      <c r="BL31">
        <v>0.80</v>
      </c>
      <c r="BM31">
        <v>0.79756097560975603</v>
      </c>
      <c r="BN31">
        <v>0.78536585365853595</v>
      </c>
      <c r="BO31">
        <v>0.77317073170731698</v>
      </c>
      <c r="BP31">
        <v>0.76097560975609702</v>
      </c>
      <c r="BQ31">
        <v>0.74878048780487805</v>
      </c>
      <c r="BR31">
        <v>0.73658536585365797</v>
      </c>
      <c r="BS31">
        <v>0.724390243902439</v>
      </c>
      <c r="BT31">
        <v>0.71219512195122003</v>
      </c>
      <c r="BU31">
        <v>0.69999999999999896</v>
      </c>
      <c r="BV31">
        <v>0.687499999999999</v>
      </c>
      <c r="BW31">
        <v>0.675</v>
      </c>
      <c r="BX31">
        <v>0.6625</v>
      </c>
      <c r="BY31">
        <v>0.64999999999999902</v>
      </c>
      <c r="BZ31">
        <v>0.63749999999999896</v>
      </c>
      <c r="CA31">
        <v>0.625</v>
      </c>
      <c r="CB31">
        <v>0.6125</v>
      </c>
      <c r="CC31">
        <v>0.60</v>
      </c>
      <c r="CD31" t="e">
        <v>#VALUE!</v>
      </c>
      <c r="CE31" t="e">
        <v>#VALUE!</v>
      </c>
      <c r="CF31" t="e">
        <v>#VALUE!</v>
      </c>
      <c r="CG31" t="e">
        <v>#VALUE!</v>
      </c>
      <c r="CH31" t="e">
        <v>#VALUE!</v>
      </c>
      <c r="CI31" t="e">
        <v>#VALUE!</v>
      </c>
      <c r="CJ31" t="e">
        <v>#VALUE!</v>
      </c>
      <c r="CK31" t="e">
        <v>#VALUE!</v>
      </c>
    </row>
    <row r="32" spans="1:89" ht="12.5">
      <c r="A32" t="s">
        <v>6</v>
      </c>
      <c r="B32" t="s">
        <v>349</v>
      </c>
      <c r="C32" t="s">
        <v>349</v>
      </c>
      <c r="E32" s="2">
        <v>32.491104437716899</v>
      </c>
      <c r="F32" s="2">
        <f>E32</f>
        <v>32.491104437716899</v>
      </c>
      <c r="I32" s="2">
        <f>F32</f>
        <v>32.491104437716899</v>
      </c>
      <c r="J32" s="2">
        <f>I32</f>
        <v>32.491104437716899</v>
      </c>
      <c r="L32" s="2">
        <f>J32</f>
        <v>32.491104437716899</v>
      </c>
      <c r="V32" s="2">
        <f>L32</f>
        <v>32.491104437716899</v>
      </c>
      <c r="W32">
        <v>5</v>
      </c>
      <c r="AG32" s="130" t="s">
        <v>342</v>
      </c>
      <c r="AI32">
        <v>1</v>
      </c>
      <c r="AJ32">
        <v>1.0153828231051301</v>
      </c>
      <c r="AK32">
        <v>1.1678350250893199</v>
      </c>
      <c r="AL32">
        <v>1.33034996724544</v>
      </c>
      <c r="AM32">
        <v>1.5053673575514499</v>
      </c>
      <c r="AN32">
        <v>1.6938664559569401</v>
      </c>
      <c r="AO32">
        <v>1.8976116187504599</v>
      </c>
      <c r="AP32">
        <v>2.10930060579047</v>
      </c>
      <c r="AQ32">
        <v>2.3243410255890802</v>
      </c>
      <c r="AR32">
        <v>2.54768827116721</v>
      </c>
      <c r="AS32">
        <v>2.7788105030694701</v>
      </c>
      <c r="AT32">
        <v>3.0110977166359398</v>
      </c>
      <c r="AU32">
        <v>3.2398984271059201</v>
      </c>
      <c r="AV32">
        <v>3.46150664208387</v>
      </c>
      <c r="AW32">
        <v>3.6729845817209301</v>
      </c>
      <c r="AX32">
        <v>3.87332766037914</v>
      </c>
      <c r="AY32">
        <v>4.0628397863187304</v>
      </c>
      <c r="AZ32">
        <v>4.2407020956162897</v>
      </c>
      <c r="BA32">
        <v>0</v>
      </c>
      <c r="BB32">
        <v>0</v>
      </c>
      <c r="BC32">
        <v>0</v>
      </c>
      <c r="BD32">
        <v>0</v>
      </c>
      <c r="BE32">
        <v>0</v>
      </c>
      <c r="BF32">
        <v>0</v>
      </c>
      <c r="BG32">
        <v>0</v>
      </c>
      <c r="BH32">
        <v>0</v>
      </c>
      <c r="BJ32" t="s">
        <v>357</v>
      </c>
      <c r="BL32">
        <v>0.80</v>
      </c>
      <c r="BM32">
        <v>0.79756097560975603</v>
      </c>
      <c r="BN32">
        <v>0.78536585365853595</v>
      </c>
      <c r="BO32">
        <v>0.77317073170731698</v>
      </c>
      <c r="BP32">
        <v>0.76097560975609702</v>
      </c>
      <c r="BQ32">
        <v>0.74878048780487805</v>
      </c>
      <c r="BR32">
        <v>0.73658536585365797</v>
      </c>
      <c r="BS32">
        <v>0.724390243902439</v>
      </c>
      <c r="BT32">
        <v>0.71219512195122003</v>
      </c>
      <c r="BU32">
        <v>0.69999999999999896</v>
      </c>
      <c r="BV32">
        <v>0.687499999999999</v>
      </c>
      <c r="BW32">
        <v>0.675</v>
      </c>
      <c r="BX32">
        <v>0.6625</v>
      </c>
      <c r="BY32">
        <v>0.64999999999999902</v>
      </c>
      <c r="BZ32">
        <v>0.63749999999999896</v>
      </c>
      <c r="CA32">
        <v>0.625</v>
      </c>
      <c r="CB32">
        <v>0.6125</v>
      </c>
      <c r="CC32">
        <v>0.60</v>
      </c>
      <c r="CD32" t="e">
        <v>#VALUE!</v>
      </c>
      <c r="CE32" t="e">
        <v>#VALUE!</v>
      </c>
      <c r="CF32" t="e">
        <v>#VALUE!</v>
      </c>
      <c r="CG32" t="e">
        <v>#VALUE!</v>
      </c>
      <c r="CH32" t="e">
        <v>#VALUE!</v>
      </c>
      <c r="CI32" t="e">
        <v>#VALUE!</v>
      </c>
      <c r="CJ32" t="e">
        <v>#VALUE!</v>
      </c>
      <c r="CK32" t="e">
        <v>#VALUE!</v>
      </c>
    </row>
    <row r="33" spans="1:89" ht="12.5">
      <c r="A33" t="s">
        <v>6</v>
      </c>
      <c r="B33" t="s">
        <v>350</v>
      </c>
      <c r="C33" t="s">
        <v>350</v>
      </c>
      <c r="D33">
        <v>10.135999999999999</v>
      </c>
      <c r="E33">
        <v>10.201218791813501</v>
      </c>
      <c r="F33"/>
      <c r="G33">
        <v>10.5218063719303</v>
      </c>
      <c r="H33">
        <v>10.823787748592499</v>
      </c>
      <c r="I33">
        <v>11.098193391131099</v>
      </c>
      <c r="J33">
        <v>11.3517126408523</v>
      </c>
      <c r="K33">
        <v>11.5961288722843</v>
      </c>
      <c r="L33">
        <v>11.838759440531801</v>
      </c>
      <c r="M33">
        <v>12.0594980212159</v>
      </c>
      <c r="N33">
        <v>12.2592721683466</v>
      </c>
      <c r="O33">
        <v>12.4280736302691</v>
      </c>
      <c r="P33">
        <v>12.570365653717801</v>
      </c>
      <c r="Q33">
        <v>12.687030397934601</v>
      </c>
      <c r="R33">
        <v>12.775439008556599</v>
      </c>
      <c r="S33">
        <v>12.830203551398901</v>
      </c>
      <c r="T33">
        <v>12.852295145496401</v>
      </c>
      <c r="U33">
        <v>12.849308537316601</v>
      </c>
      <c r="V33">
        <v>12.829038188288401</v>
      </c>
      <c r="W33">
        <v>5</v>
      </c>
      <c r="AG33" s="130" t="s">
        <v>347</v>
      </c>
      <c r="AI33">
        <v>1</v>
      </c>
      <c r="AJ33">
        <v>1.00806756087954</v>
      </c>
      <c r="AK33">
        <v>1.04840536527724</v>
      </c>
      <c r="AL33">
        <v>1.0873227533038701</v>
      </c>
      <c r="AM33">
        <v>1.1235471790115701</v>
      </c>
      <c r="AN33">
        <v>1.15782359835946</v>
      </c>
      <c r="AO33">
        <v>1.19166808768815</v>
      </c>
      <c r="AP33">
        <v>1.22608843109086</v>
      </c>
      <c r="AQ33">
        <v>1.25818767846711</v>
      </c>
      <c r="AR33">
        <v>1.2879630673590201</v>
      </c>
      <c r="AS33">
        <v>1.3137584648121901</v>
      </c>
      <c r="AT33">
        <v>1.3360422258259601</v>
      </c>
      <c r="AU33">
        <v>1.3547587855335399</v>
      </c>
      <c r="AV33">
        <v>1.36928268401038</v>
      </c>
      <c r="AW33">
        <v>1.3784900744691599</v>
      </c>
      <c r="AX33">
        <v>1.38228774368874</v>
      </c>
      <c r="AY33">
        <v>1.3817633107947001</v>
      </c>
      <c r="AZ33">
        <v>1.3781303235276201</v>
      </c>
      <c r="BA33">
        <v>0</v>
      </c>
      <c r="BB33">
        <v>0</v>
      </c>
      <c r="BC33">
        <v>0</v>
      </c>
      <c r="BD33">
        <v>0</v>
      </c>
      <c r="BE33">
        <v>0</v>
      </c>
      <c r="BF33">
        <v>0</v>
      </c>
      <c r="BG33">
        <v>0</v>
      </c>
      <c r="BH33">
        <v>0</v>
      </c>
      <c r="BJ33" t="s">
        <v>357</v>
      </c>
      <c r="BL33">
        <v>0.80</v>
      </c>
      <c r="BM33">
        <v>0.79756097560975603</v>
      </c>
      <c r="BN33">
        <v>0.78536585365853595</v>
      </c>
      <c r="BO33">
        <v>0.77317073170731698</v>
      </c>
      <c r="BP33">
        <v>0.76097560975609702</v>
      </c>
      <c r="BQ33">
        <v>0.74878048780487805</v>
      </c>
      <c r="BR33">
        <v>0.73658536585365797</v>
      </c>
      <c r="BS33">
        <v>0.724390243902439</v>
      </c>
      <c r="BT33">
        <v>0.71219512195122003</v>
      </c>
      <c r="BU33">
        <v>0.69999999999999896</v>
      </c>
      <c r="BV33">
        <v>0.687499999999999</v>
      </c>
      <c r="BW33">
        <v>0.675</v>
      </c>
      <c r="BX33">
        <v>0.6625</v>
      </c>
      <c r="BY33">
        <v>0.64999999999999902</v>
      </c>
      <c r="BZ33">
        <v>0.63749999999999896</v>
      </c>
      <c r="CA33">
        <v>0.625</v>
      </c>
      <c r="CB33">
        <v>0.6125</v>
      </c>
      <c r="CC33">
        <v>0.60</v>
      </c>
      <c r="CD33" t="e">
        <v>#VALUE!</v>
      </c>
      <c r="CE33" t="e">
        <v>#VALUE!</v>
      </c>
      <c r="CF33" t="e">
        <v>#VALUE!</v>
      </c>
      <c r="CG33" t="e">
        <v>#VALUE!</v>
      </c>
      <c r="CH33" t="e">
        <v>#VALUE!</v>
      </c>
      <c r="CI33" t="e">
        <v>#VALUE!</v>
      </c>
      <c r="CJ33" t="e">
        <v>#VALUE!</v>
      </c>
      <c r="CK33" t="e">
        <v>#VALUE!</v>
      </c>
    </row>
    <row r="34" spans="1:89" ht="12.5">
      <c r="A34" t="s">
        <v>6</v>
      </c>
      <c r="B34" t="s">
        <v>351</v>
      </c>
      <c r="C34" t="s">
        <v>351</v>
      </c>
      <c r="D34">
        <v>0</v>
      </c>
      <c r="E34">
        <v>0</v>
      </c>
      <c r="F34"/>
      <c r="G34">
        <v>0</v>
      </c>
      <c r="H34">
        <v>0</v>
      </c>
      <c r="I34">
        <v>0</v>
      </c>
      <c r="J34">
        <v>0</v>
      </c>
      <c r="K34">
        <v>0</v>
      </c>
      <c r="L34">
        <v>0</v>
      </c>
      <c r="M34">
        <v>0</v>
      </c>
      <c r="N34">
        <v>0</v>
      </c>
      <c r="O34">
        <v>0</v>
      </c>
      <c r="P34">
        <v>0</v>
      </c>
      <c r="Q34">
        <v>0</v>
      </c>
      <c r="R34">
        <v>0</v>
      </c>
      <c r="S34">
        <v>0</v>
      </c>
      <c r="T34">
        <v>0</v>
      </c>
      <c r="U34">
        <v>0</v>
      </c>
      <c r="V34">
        <v>0</v>
      </c>
      <c r="W34">
        <v>5</v>
      </c>
      <c r="AG34" s="130" t="s">
        <v>347</v>
      </c>
      <c r="AI34">
        <v>1</v>
      </c>
      <c r="AJ34">
        <v>1.00806756087954</v>
      </c>
      <c r="AK34">
        <v>1.04840536527724</v>
      </c>
      <c r="AL34">
        <v>1.0873227533038701</v>
      </c>
      <c r="AM34">
        <v>1.1235471790115701</v>
      </c>
      <c r="AN34">
        <v>1.15782359835946</v>
      </c>
      <c r="AO34">
        <v>1.19166808768815</v>
      </c>
      <c r="AP34">
        <v>1.22608843109086</v>
      </c>
      <c r="AQ34">
        <v>1.25818767846711</v>
      </c>
      <c r="AR34">
        <v>1.2879630673590201</v>
      </c>
      <c r="AS34">
        <v>1.3137584648121901</v>
      </c>
      <c r="AT34">
        <v>1.3360422258259601</v>
      </c>
      <c r="AU34">
        <v>1.3547587855335399</v>
      </c>
      <c r="AV34">
        <v>1.36928268401038</v>
      </c>
      <c r="AW34">
        <v>1.3784900744691599</v>
      </c>
      <c r="AX34">
        <v>1.38228774368874</v>
      </c>
      <c r="AY34">
        <v>1.3817633107947001</v>
      </c>
      <c r="AZ34">
        <v>1.3781303235276201</v>
      </c>
      <c r="BA34">
        <v>0</v>
      </c>
      <c r="BB34">
        <v>0</v>
      </c>
      <c r="BC34">
        <v>0</v>
      </c>
      <c r="BD34">
        <v>0</v>
      </c>
      <c r="BE34">
        <v>0</v>
      </c>
      <c r="BF34">
        <v>0</v>
      </c>
      <c r="BG34">
        <v>0</v>
      </c>
      <c r="BH34">
        <v>0</v>
      </c>
      <c r="BJ34" t="s">
        <v>357</v>
      </c>
      <c r="BL34">
        <v>0.80</v>
      </c>
      <c r="BM34">
        <v>0.79756097560975603</v>
      </c>
      <c r="BN34">
        <v>0.78536585365853595</v>
      </c>
      <c r="BO34">
        <v>0.77317073170731698</v>
      </c>
      <c r="BP34">
        <v>0.76097560975609702</v>
      </c>
      <c r="BQ34">
        <v>0.74878048780487805</v>
      </c>
      <c r="BR34">
        <v>0.73658536585365797</v>
      </c>
      <c r="BS34">
        <v>0.724390243902439</v>
      </c>
      <c r="BT34">
        <v>0.71219512195122003</v>
      </c>
      <c r="BU34">
        <v>0.69999999999999896</v>
      </c>
      <c r="BV34">
        <v>0.687499999999999</v>
      </c>
      <c r="BW34">
        <v>0.675</v>
      </c>
      <c r="BX34">
        <v>0.6625</v>
      </c>
      <c r="BY34">
        <v>0.64999999999999902</v>
      </c>
      <c r="BZ34">
        <v>0.63749999999999896</v>
      </c>
      <c r="CA34">
        <v>0.625</v>
      </c>
      <c r="CB34">
        <v>0.6125</v>
      </c>
      <c r="CC34">
        <v>0.60</v>
      </c>
      <c r="CD34" t="e">
        <v>#VALUE!</v>
      </c>
      <c r="CE34" t="e">
        <v>#VALUE!</v>
      </c>
      <c r="CF34" t="e">
        <v>#VALUE!</v>
      </c>
      <c r="CG34" t="e">
        <v>#VALUE!</v>
      </c>
      <c r="CH34" t="e">
        <v>#VALUE!</v>
      </c>
      <c r="CI34" t="e">
        <v>#VALUE!</v>
      </c>
      <c r="CJ34" t="e">
        <v>#VALUE!</v>
      </c>
      <c r="CK34" t="e">
        <v>#VALUE!</v>
      </c>
    </row>
    <row r="35" spans="1:89" ht="12.5">
      <c r="A35" t="s">
        <v>6</v>
      </c>
      <c r="B35" t="s">
        <v>352</v>
      </c>
      <c r="C35" t="s">
        <v>352</v>
      </c>
      <c r="D35">
        <v>7.14</v>
      </c>
      <c r="E35">
        <v>7.1859414141227598</v>
      </c>
      <c r="F35"/>
      <c r="G35">
        <v>7.4117696818846204</v>
      </c>
      <c r="H35">
        <v>7.6244913698648897</v>
      </c>
      <c r="I35">
        <v>7.8177881622608503</v>
      </c>
      <c r="J35">
        <v>7.9963721641363099</v>
      </c>
      <c r="K35">
        <v>8.1685438188743404</v>
      </c>
      <c r="L35">
        <v>8.3394576169492307</v>
      </c>
      <c r="M35">
        <v>8.4949502635637</v>
      </c>
      <c r="N35">
        <v>8.6356751462109802</v>
      </c>
      <c r="O35">
        <v>8.7545822533663902</v>
      </c>
      <c r="P35">
        <v>8.85481558480123</v>
      </c>
      <c r="Q35">
        <v>8.9369965510312994</v>
      </c>
      <c r="R35">
        <v>8.9992733347567206</v>
      </c>
      <c r="S35">
        <v>9.0378505679743792</v>
      </c>
      <c r="T35">
        <v>9.0534123262474608</v>
      </c>
      <c r="U35">
        <v>9.0513085000434508</v>
      </c>
      <c r="V35">
        <v>9.0370296630208493</v>
      </c>
      <c r="W35">
        <v>5</v>
      </c>
      <c r="AG35" s="130" t="s">
        <v>347</v>
      </c>
      <c r="AI35">
        <v>1</v>
      </c>
      <c r="AJ35">
        <v>1.00806756087954</v>
      </c>
      <c r="AK35">
        <v>1.04840536527724</v>
      </c>
      <c r="AL35">
        <v>1.0873227533038701</v>
      </c>
      <c r="AM35">
        <v>1.1235471790115701</v>
      </c>
      <c r="AN35">
        <v>1.15782359835946</v>
      </c>
      <c r="AO35">
        <v>1.19166808768815</v>
      </c>
      <c r="AP35">
        <v>1.22608843109086</v>
      </c>
      <c r="AQ35">
        <v>1.25818767846711</v>
      </c>
      <c r="AR35">
        <v>1.2879630673590201</v>
      </c>
      <c r="AS35">
        <v>1.3137584648121901</v>
      </c>
      <c r="AT35">
        <v>1.3360422258259601</v>
      </c>
      <c r="AU35">
        <v>1.3547587855335399</v>
      </c>
      <c r="AV35">
        <v>1.36928268401038</v>
      </c>
      <c r="AW35">
        <v>1.3784900744691599</v>
      </c>
      <c r="AX35">
        <v>1.38228774368874</v>
      </c>
      <c r="AY35">
        <v>1.3817633107947001</v>
      </c>
      <c r="AZ35">
        <v>1.3781303235276201</v>
      </c>
      <c r="BA35">
        <v>0</v>
      </c>
      <c r="BB35">
        <v>0</v>
      </c>
      <c r="BC35">
        <v>0</v>
      </c>
      <c r="BD35">
        <v>0</v>
      </c>
      <c r="BE35">
        <v>0</v>
      </c>
      <c r="BF35">
        <v>0</v>
      </c>
      <c r="BG35">
        <v>0</v>
      </c>
      <c r="BH35">
        <v>0</v>
      </c>
      <c r="BJ35" t="s">
        <v>357</v>
      </c>
      <c r="BL35">
        <v>0.80</v>
      </c>
      <c r="BM35">
        <v>0.79756097560975603</v>
      </c>
      <c r="BN35">
        <v>0.78536585365853595</v>
      </c>
      <c r="BO35">
        <v>0.77317073170731698</v>
      </c>
      <c r="BP35">
        <v>0.76097560975609702</v>
      </c>
      <c r="BQ35">
        <v>0.74878048780487805</v>
      </c>
      <c r="BR35">
        <v>0.73658536585365797</v>
      </c>
      <c r="BS35">
        <v>0.724390243902439</v>
      </c>
      <c r="BT35">
        <v>0.71219512195122003</v>
      </c>
      <c r="BU35">
        <v>0.69999999999999896</v>
      </c>
      <c r="BV35">
        <v>0.687499999999999</v>
      </c>
      <c r="BW35">
        <v>0.675</v>
      </c>
      <c r="BX35">
        <v>0.6625</v>
      </c>
      <c r="BY35">
        <v>0.64999999999999902</v>
      </c>
      <c r="BZ35">
        <v>0.63749999999999896</v>
      </c>
      <c r="CA35">
        <v>0.625</v>
      </c>
      <c r="CB35">
        <v>0.6125</v>
      </c>
      <c r="CC35">
        <v>0.60</v>
      </c>
      <c r="CD35" t="e">
        <v>#VALUE!</v>
      </c>
      <c r="CE35" t="e">
        <v>#VALUE!</v>
      </c>
      <c r="CF35" t="e">
        <v>#VALUE!</v>
      </c>
      <c r="CG35" t="e">
        <v>#VALUE!</v>
      </c>
      <c r="CH35" t="e">
        <v>#VALUE!</v>
      </c>
      <c r="CI35" t="e">
        <v>#VALUE!</v>
      </c>
      <c r="CJ35" t="e">
        <v>#VALUE!</v>
      </c>
      <c r="CK35" t="e">
        <v>#VALUE!</v>
      </c>
    </row>
    <row r="36" spans="1:89" ht="12.5">
      <c r="A36" t="s">
        <v>6</v>
      </c>
      <c r="B36" t="s">
        <v>353</v>
      </c>
      <c r="C36" t="s">
        <v>353</v>
      </c>
      <c r="D36">
        <v>242.172</v>
      </c>
      <c r="E36">
        <v>243.57361289185701</v>
      </c>
      <c r="F36"/>
      <c r="G36">
        <v>263.82985357069299</v>
      </c>
      <c r="H36">
        <v>283.89926429791097</v>
      </c>
      <c r="I36">
        <v>304.43924659958299</v>
      </c>
      <c r="J36">
        <v>325.39016331396402</v>
      </c>
      <c r="K36">
        <v>346.59371487919401</v>
      </c>
      <c r="L36">
        <v>366.76723306219998</v>
      </c>
      <c r="M36">
        <v>386.05377883782199</v>
      </c>
      <c r="N36">
        <v>405.173342067379</v>
      </c>
      <c r="O36">
        <v>424.47797761371601</v>
      </c>
      <c r="P36">
        <v>443.25069806268601</v>
      </c>
      <c r="Q36">
        <v>461.19898721796397</v>
      </c>
      <c r="R36">
        <v>478.306581903341</v>
      </c>
      <c r="S36">
        <v>494.77435642131098</v>
      </c>
      <c r="T36">
        <v>510.745611134922</v>
      </c>
      <c r="U36">
        <v>526.17621538494495</v>
      </c>
      <c r="V36">
        <v>540.86581570717794</v>
      </c>
      <c r="W36">
        <v>5</v>
      </c>
      <c r="AG36" s="130" t="s">
        <v>354</v>
      </c>
      <c r="AI36">
        <v>1</v>
      </c>
      <c r="AJ36">
        <v>1.0072567182096499</v>
      </c>
      <c r="AK36">
        <v>1.1139155366497899</v>
      </c>
      <c r="AL36">
        <v>1.2235097290138801</v>
      </c>
      <c r="AM36">
        <v>1.3398345754165599</v>
      </c>
      <c r="AN36">
        <v>1.4629745484173899</v>
      </c>
      <c r="AO36">
        <v>1.59239945951045</v>
      </c>
      <c r="AP36">
        <v>1.7203494889139399</v>
      </c>
      <c r="AQ36">
        <v>1.8473722683573699</v>
      </c>
      <c r="AR36">
        <v>1.9780755642250401</v>
      </c>
      <c r="AS36">
        <v>2.1151608743139301</v>
      </c>
      <c r="AT36">
        <v>2.25374442396418</v>
      </c>
      <c r="AU36">
        <v>2.3914946791284</v>
      </c>
      <c r="AV36">
        <v>2.5279707999707899</v>
      </c>
      <c r="AW36">
        <v>2.6644983883074902</v>
      </c>
      <c r="AX36">
        <v>2.80211387105471</v>
      </c>
      <c r="AY36">
        <v>2.9403297616738899</v>
      </c>
      <c r="AZ36">
        <v>3.0771415614463198</v>
      </c>
      <c r="BA36">
        <v>0</v>
      </c>
      <c r="BB36">
        <v>0</v>
      </c>
      <c r="BC36">
        <v>0</v>
      </c>
      <c r="BD36">
        <v>0</v>
      </c>
      <c r="BE36">
        <v>0</v>
      </c>
      <c r="BF36">
        <v>0</v>
      </c>
      <c r="BG36">
        <v>0</v>
      </c>
      <c r="BH36">
        <v>0</v>
      </c>
      <c r="BJ36" t="s">
        <v>357</v>
      </c>
      <c r="BL36">
        <v>0.80</v>
      </c>
      <c r="BM36">
        <v>0.79756097560975603</v>
      </c>
      <c r="BN36">
        <v>0.78536585365853595</v>
      </c>
      <c r="BO36">
        <v>0.77317073170731698</v>
      </c>
      <c r="BP36">
        <v>0.76097560975609702</v>
      </c>
      <c r="BQ36">
        <v>0.74878048780487805</v>
      </c>
      <c r="BR36">
        <v>0.73658536585365797</v>
      </c>
      <c r="BS36">
        <v>0.724390243902439</v>
      </c>
      <c r="BT36">
        <v>0.71219512195122003</v>
      </c>
      <c r="BU36">
        <v>0.69999999999999896</v>
      </c>
      <c r="BV36">
        <v>0.687499999999999</v>
      </c>
      <c r="BW36">
        <v>0.675</v>
      </c>
      <c r="BX36">
        <v>0.6625</v>
      </c>
      <c r="BY36">
        <v>0.64999999999999902</v>
      </c>
      <c r="BZ36">
        <v>0.63749999999999896</v>
      </c>
      <c r="CA36">
        <v>0.625</v>
      </c>
      <c r="CB36">
        <v>0.6125</v>
      </c>
      <c r="CC36">
        <v>0.60</v>
      </c>
      <c r="CD36" t="e">
        <v>#VALUE!</v>
      </c>
      <c r="CE36" t="e">
        <v>#VALUE!</v>
      </c>
      <c r="CF36" t="e">
        <v>#VALUE!</v>
      </c>
      <c r="CG36" t="e">
        <v>#VALUE!</v>
      </c>
      <c r="CH36" t="e">
        <v>#VALUE!</v>
      </c>
      <c r="CI36" t="e">
        <v>#VALUE!</v>
      </c>
      <c r="CJ36" t="e">
        <v>#VALUE!</v>
      </c>
      <c r="CK36" t="e">
        <v>#VALUE!</v>
      </c>
    </row>
    <row r="37" spans="1:89" ht="12.5">
      <c r="A37" t="s">
        <v>6</v>
      </c>
      <c r="B37" t="s">
        <v>355</v>
      </c>
      <c r="C37" t="s">
        <v>355</v>
      </c>
      <c r="D37">
        <v>51.10</v>
      </c>
      <c r="E37">
        <v>51.726932583511697</v>
      </c>
      <c r="F37"/>
      <c r="G37">
        <v>57.826410028518502</v>
      </c>
      <c r="H37">
        <v>64.048172660243196</v>
      </c>
      <c r="I37">
        <v>70.460161847689207</v>
      </c>
      <c r="J37">
        <v>77.066562949325203</v>
      </c>
      <c r="K37">
        <v>83.894621175068806</v>
      </c>
      <c r="L37">
        <v>90.6741208445533</v>
      </c>
      <c r="M37">
        <v>97.257728931037704</v>
      </c>
      <c r="N37">
        <v>103.799614110601</v>
      </c>
      <c r="O37">
        <v>110.273482654212</v>
      </c>
      <c r="P37">
        <v>116.495643536256</v>
      </c>
      <c r="Q37">
        <v>122.360104321629</v>
      </c>
      <c r="R37">
        <v>127.800214002118</v>
      </c>
      <c r="S37">
        <v>132.77771861781699</v>
      </c>
      <c r="T37">
        <v>137.30419707376501</v>
      </c>
      <c r="U37">
        <v>141.41893966689901</v>
      </c>
      <c r="V37">
        <v>145.13354824274299</v>
      </c>
      <c r="W37">
        <v>5</v>
      </c>
      <c r="AG37" s="130" t="s">
        <v>342</v>
      </c>
      <c r="AI37">
        <v>1</v>
      </c>
      <c r="AJ37">
        <v>1.0153828231051301</v>
      </c>
      <c r="AK37">
        <v>1.1678350250893199</v>
      </c>
      <c r="AL37">
        <v>1.33034996724544</v>
      </c>
      <c r="AM37">
        <v>1.5053673575514499</v>
      </c>
      <c r="AN37">
        <v>1.6938664559569401</v>
      </c>
      <c r="AO37">
        <v>1.8976116187504599</v>
      </c>
      <c r="AP37">
        <v>2.10930060579047</v>
      </c>
      <c r="AQ37">
        <v>2.3243410255890802</v>
      </c>
      <c r="AR37">
        <v>2.54768827116721</v>
      </c>
      <c r="AS37">
        <v>2.7788105030694701</v>
      </c>
      <c r="AT37">
        <v>3.0110977166359398</v>
      </c>
      <c r="AU37">
        <v>3.2398984271059201</v>
      </c>
      <c r="AV37">
        <v>3.46150664208387</v>
      </c>
      <c r="AW37">
        <v>3.6729845817209301</v>
      </c>
      <c r="AX37">
        <v>3.87332766037914</v>
      </c>
      <c r="AY37">
        <v>4.0628397863187304</v>
      </c>
      <c r="AZ37">
        <v>4.2407020956162897</v>
      </c>
      <c r="BA37">
        <v>0</v>
      </c>
      <c r="BB37">
        <v>0</v>
      </c>
      <c r="BC37">
        <v>0</v>
      </c>
      <c r="BD37">
        <v>0</v>
      </c>
      <c r="BE37">
        <v>0</v>
      </c>
      <c r="BF37">
        <v>0</v>
      </c>
      <c r="BG37">
        <v>0</v>
      </c>
      <c r="BH37">
        <v>0</v>
      </c>
      <c r="BJ37" t="s">
        <v>357</v>
      </c>
      <c r="BL37">
        <v>0.80</v>
      </c>
      <c r="BM37">
        <v>0.79756097560975603</v>
      </c>
      <c r="BN37">
        <v>0.78536585365853595</v>
      </c>
      <c r="BO37">
        <v>0.77317073170731698</v>
      </c>
      <c r="BP37">
        <v>0.76097560975609702</v>
      </c>
      <c r="BQ37">
        <v>0.74878048780487805</v>
      </c>
      <c r="BR37">
        <v>0.73658536585365797</v>
      </c>
      <c r="BS37">
        <v>0.724390243902439</v>
      </c>
      <c r="BT37">
        <v>0.71219512195122003</v>
      </c>
      <c r="BU37">
        <v>0.69999999999999896</v>
      </c>
      <c r="BV37">
        <v>0.687499999999999</v>
      </c>
      <c r="BW37">
        <v>0.675</v>
      </c>
      <c r="BX37">
        <v>0.6625</v>
      </c>
      <c r="BY37">
        <v>0.64999999999999902</v>
      </c>
      <c r="BZ37">
        <v>0.63749999999999896</v>
      </c>
      <c r="CA37">
        <v>0.625</v>
      </c>
      <c r="CB37">
        <v>0.6125</v>
      </c>
      <c r="CC37">
        <v>0.60</v>
      </c>
      <c r="CD37" t="e">
        <v>#VALUE!</v>
      </c>
      <c r="CE37" t="e">
        <v>#VALUE!</v>
      </c>
      <c r="CF37" t="e">
        <v>#VALUE!</v>
      </c>
      <c r="CG37" t="e">
        <v>#VALUE!</v>
      </c>
      <c r="CH37" t="e">
        <v>#VALUE!</v>
      </c>
      <c r="CI37" t="e">
        <v>#VALUE!</v>
      </c>
      <c r="CJ37" t="e">
        <v>#VALUE!</v>
      </c>
      <c r="CK37" t="e">
        <v>#VALUE!</v>
      </c>
    </row>
    <row r="38" spans="1:89" ht="12.5">
      <c r="A38" t="s">
        <v>6</v>
      </c>
      <c r="B38" t="s">
        <v>356</v>
      </c>
      <c r="C38" t="s">
        <v>356</v>
      </c>
      <c r="D38">
        <v>64.16</v>
      </c>
      <c r="E38">
        <v>64.947162320119602</v>
      </c>
      <c r="F38"/>
      <c r="G38">
        <v>72.605527738351199</v>
      </c>
      <c r="H38">
        <v>80.4174316610803</v>
      </c>
      <c r="I38">
        <v>88.4681797289185</v>
      </c>
      <c r="J38">
        <v>96.7630269829491</v>
      </c>
      <c r="K38">
        <v>105.336181890262</v>
      </c>
      <c r="L38">
        <v>113.84836777664501</v>
      </c>
      <c r="M38">
        <v>122.11459663826599</v>
      </c>
      <c r="N38">
        <v>130.328439165091</v>
      </c>
      <c r="O38">
        <v>138.45688154783301</v>
      </c>
      <c r="P38">
        <v>146.26928550462199</v>
      </c>
      <c r="Q38">
        <v>153.632569340033</v>
      </c>
      <c r="R38">
        <v>160.463047561172</v>
      </c>
      <c r="S38">
        <v>166.71268936436601</v>
      </c>
      <c r="T38">
        <v>172.396032959937</v>
      </c>
      <c r="U38">
        <v>177.562410352803</v>
      </c>
      <c r="V38">
        <v>182.226388556838</v>
      </c>
      <c r="W38">
        <v>5</v>
      </c>
      <c r="AG38" s="130" t="s">
        <v>342</v>
      </c>
      <c r="AI38">
        <v>1</v>
      </c>
      <c r="AJ38">
        <v>1.0153828231051301</v>
      </c>
      <c r="AK38">
        <v>1.1678350250893199</v>
      </c>
      <c r="AL38">
        <v>1.33034996724544</v>
      </c>
      <c r="AM38">
        <v>1.5053673575514499</v>
      </c>
      <c r="AN38">
        <v>1.6938664559569401</v>
      </c>
      <c r="AO38">
        <v>1.8976116187504599</v>
      </c>
      <c r="AP38">
        <v>2.10930060579047</v>
      </c>
      <c r="AQ38">
        <v>2.3243410255890802</v>
      </c>
      <c r="AR38">
        <v>2.54768827116721</v>
      </c>
      <c r="AS38">
        <v>2.7788105030694701</v>
      </c>
      <c r="AT38">
        <v>3.0110977166359398</v>
      </c>
      <c r="AU38">
        <v>3.2398984271059201</v>
      </c>
      <c r="AV38">
        <v>3.46150664208387</v>
      </c>
      <c r="AW38">
        <v>3.6729845817209301</v>
      </c>
      <c r="AX38">
        <v>3.87332766037914</v>
      </c>
      <c r="AY38">
        <v>4.0628397863187304</v>
      </c>
      <c r="AZ38">
        <v>4.2407020956162897</v>
      </c>
      <c r="BA38">
        <v>0</v>
      </c>
      <c r="BB38">
        <v>0</v>
      </c>
      <c r="BC38">
        <v>0</v>
      </c>
      <c r="BD38">
        <v>0</v>
      </c>
      <c r="BE38">
        <v>0</v>
      </c>
      <c r="BF38">
        <v>0</v>
      </c>
      <c r="BG38">
        <v>0</v>
      </c>
      <c r="BH38">
        <v>0</v>
      </c>
      <c r="BJ38" t="s">
        <v>357</v>
      </c>
      <c r="BL38">
        <v>0.80</v>
      </c>
      <c r="BM38">
        <v>0.79756097560975603</v>
      </c>
      <c r="BN38">
        <v>0.78536585365853595</v>
      </c>
      <c r="BO38">
        <v>0.77317073170731698</v>
      </c>
      <c r="BP38">
        <v>0.76097560975609702</v>
      </c>
      <c r="BQ38">
        <v>0.74878048780487805</v>
      </c>
      <c r="BR38">
        <v>0.73658536585365797</v>
      </c>
      <c r="BS38">
        <v>0.724390243902439</v>
      </c>
      <c r="BT38">
        <v>0.71219512195122003</v>
      </c>
      <c r="BU38">
        <v>0.69999999999999896</v>
      </c>
      <c r="BV38">
        <v>0.687499999999999</v>
      </c>
      <c r="BW38">
        <v>0.675</v>
      </c>
      <c r="BX38">
        <v>0.6625</v>
      </c>
      <c r="BY38">
        <v>0.64999999999999902</v>
      </c>
      <c r="BZ38">
        <v>0.63749999999999896</v>
      </c>
      <c r="CA38">
        <v>0.625</v>
      </c>
      <c r="CB38">
        <v>0.6125</v>
      </c>
      <c r="CC38">
        <v>0.60</v>
      </c>
      <c r="CD38" t="e">
        <v>#VALUE!</v>
      </c>
      <c r="CE38" t="e">
        <v>#VALUE!</v>
      </c>
      <c r="CF38" t="e">
        <v>#VALUE!</v>
      </c>
      <c r="CG38" t="e">
        <v>#VALUE!</v>
      </c>
      <c r="CH38" t="e">
        <v>#VALUE!</v>
      </c>
      <c r="CI38" t="e">
        <v>#VALUE!</v>
      </c>
      <c r="CJ38" t="e">
        <v>#VALUE!</v>
      </c>
      <c r="CK38" t="e">
        <v>#VALUE!</v>
      </c>
    </row>
    <row r="39" spans="1:89" ht="12.5">
      <c r="A39" t="s">
        <v>7</v>
      </c>
      <c r="B39" t="s">
        <v>341</v>
      </c>
      <c r="C39" t="s">
        <v>341</v>
      </c>
      <c r="E39" s="2">
        <v>1.31029971791135</v>
      </c>
      <c r="F39" s="2">
        <f>E39</f>
        <v>1.31029971791135</v>
      </c>
      <c r="I39" s="2">
        <f>F39</f>
        <v>1.31029971791135</v>
      </c>
      <c r="J39" s="2">
        <f>I39</f>
        <v>1.31029971791135</v>
      </c>
      <c r="L39" s="2">
        <f>J39</f>
        <v>1.31029971791135</v>
      </c>
      <c r="V39" s="2">
        <f>L39</f>
        <v>1.31029971791135</v>
      </c>
      <c r="W39">
        <v>5</v>
      </c>
      <c r="AG39" s="130" t="s">
        <v>342</v>
      </c>
      <c r="AI39">
        <v>1</v>
      </c>
      <c r="AJ39">
        <v>1.00222228558761</v>
      </c>
      <c r="AK39">
        <v>1.1153693675960199</v>
      </c>
      <c r="AL39">
        <v>1.2269274602200799</v>
      </c>
      <c r="AM39">
        <v>1.3106517937873501</v>
      </c>
      <c r="AN39">
        <v>1.3941829651139801</v>
      </c>
      <c r="AO39">
        <v>1.4781464519315799</v>
      </c>
      <c r="AP39">
        <v>1.5584398561769099</v>
      </c>
      <c r="AQ39">
        <v>1.6366199735275699</v>
      </c>
      <c r="AR39">
        <v>1.7163131950966199</v>
      </c>
      <c r="AS39">
        <v>1.79843244242615</v>
      </c>
      <c r="AT39">
        <v>1.8800135949424599</v>
      </c>
      <c r="AU39">
        <v>1.9585731381229601</v>
      </c>
      <c r="AV39">
        <v>2.0297419260482998</v>
      </c>
      <c r="AW39">
        <v>2.09143656598008</v>
      </c>
      <c r="AX39">
        <v>2.1440134882433202</v>
      </c>
      <c r="AY39">
        <v>2.1889903961573598</v>
      </c>
      <c r="AZ39">
        <v>2.2269329791412402</v>
      </c>
      <c r="BA39">
        <v>0</v>
      </c>
      <c r="BB39">
        <v>0</v>
      </c>
      <c r="BC39">
        <v>0</v>
      </c>
      <c r="BD39">
        <v>0</v>
      </c>
      <c r="BE39">
        <v>0</v>
      </c>
      <c r="BF39">
        <v>0</v>
      </c>
      <c r="BG39">
        <v>0</v>
      </c>
      <c r="BH39">
        <v>0</v>
      </c>
      <c r="BJ39" t="s">
        <v>357</v>
      </c>
      <c r="BL39">
        <v>0.80</v>
      </c>
      <c r="BM39">
        <v>0.79756097560975603</v>
      </c>
      <c r="BN39">
        <v>0.78536585365853595</v>
      </c>
      <c r="BO39">
        <v>0.77317073170731698</v>
      </c>
      <c r="BP39">
        <v>0.76097560975609702</v>
      </c>
      <c r="BQ39">
        <v>0.74878048780487805</v>
      </c>
      <c r="BR39">
        <v>0.73658536585365797</v>
      </c>
      <c r="BS39">
        <v>0.724390243902439</v>
      </c>
      <c r="BT39">
        <v>0.71219512195122003</v>
      </c>
      <c r="BU39">
        <v>0.69999999999999896</v>
      </c>
      <c r="BV39">
        <v>0.687499999999999</v>
      </c>
      <c r="BW39">
        <v>0.675</v>
      </c>
      <c r="BX39">
        <v>0.6625</v>
      </c>
      <c r="BY39">
        <v>0.64999999999999902</v>
      </c>
      <c r="BZ39">
        <v>0.63749999999999896</v>
      </c>
      <c r="CA39">
        <v>0.625</v>
      </c>
      <c r="CB39">
        <v>0.6125</v>
      </c>
      <c r="CC39">
        <v>0.60</v>
      </c>
      <c r="CD39" t="e">
        <v>#VALUE!</v>
      </c>
      <c r="CE39" t="e">
        <v>#VALUE!</v>
      </c>
      <c r="CF39" t="e">
        <v>#VALUE!</v>
      </c>
      <c r="CG39" t="e">
        <v>#VALUE!</v>
      </c>
      <c r="CH39" t="e">
        <v>#VALUE!</v>
      </c>
      <c r="CI39" t="e">
        <v>#VALUE!</v>
      </c>
      <c r="CJ39" t="e">
        <v>#VALUE!</v>
      </c>
      <c r="CK39" t="e">
        <v>#VALUE!</v>
      </c>
    </row>
    <row r="40" spans="1:89" ht="12.5">
      <c r="A40" t="s">
        <v>7</v>
      </c>
      <c r="B40" t="s">
        <v>344</v>
      </c>
      <c r="C40" t="s">
        <v>344</v>
      </c>
      <c r="E40" s="2">
        <v>39.749737027366301</v>
      </c>
      <c r="F40" s="2">
        <f>E40</f>
        <v>39.749737027366301</v>
      </c>
      <c r="I40" s="2">
        <f>F40</f>
        <v>39.749737027366301</v>
      </c>
      <c r="J40" s="2">
        <f>I40</f>
        <v>39.749737027366301</v>
      </c>
      <c r="L40" s="2">
        <f>J40</f>
        <v>39.749737027366301</v>
      </c>
      <c r="V40" s="2">
        <f>L40</f>
        <v>39.749737027366301</v>
      </c>
      <c r="W40">
        <v>5</v>
      </c>
      <c r="AG40" s="130" t="s">
        <v>342</v>
      </c>
      <c r="AI40">
        <v>1</v>
      </c>
      <c r="AJ40">
        <v>1.00222228558761</v>
      </c>
      <c r="AK40">
        <v>1.1153693675960199</v>
      </c>
      <c r="AL40">
        <v>1.2269274602200799</v>
      </c>
      <c r="AM40">
        <v>1.3106517937873501</v>
      </c>
      <c r="AN40">
        <v>1.3941829651139801</v>
      </c>
      <c r="AO40">
        <v>1.4781464519315799</v>
      </c>
      <c r="AP40">
        <v>1.5584398561769099</v>
      </c>
      <c r="AQ40">
        <v>1.6366199735275699</v>
      </c>
      <c r="AR40">
        <v>1.7163131950966199</v>
      </c>
      <c r="AS40">
        <v>1.79843244242615</v>
      </c>
      <c r="AT40">
        <v>1.8800135949424599</v>
      </c>
      <c r="AU40">
        <v>1.9585731381229601</v>
      </c>
      <c r="AV40">
        <v>2.0297419260482998</v>
      </c>
      <c r="AW40">
        <v>2.09143656598008</v>
      </c>
      <c r="AX40">
        <v>2.1440134882433202</v>
      </c>
      <c r="AY40">
        <v>2.1889903961573598</v>
      </c>
      <c r="AZ40">
        <v>2.2269329791412402</v>
      </c>
      <c r="BA40">
        <v>0</v>
      </c>
      <c r="BB40">
        <v>0</v>
      </c>
      <c r="BC40">
        <v>0</v>
      </c>
      <c r="BD40">
        <v>0</v>
      </c>
      <c r="BE40">
        <v>0</v>
      </c>
      <c r="BF40">
        <v>0</v>
      </c>
      <c r="BG40">
        <v>0</v>
      </c>
      <c r="BH40">
        <v>0</v>
      </c>
      <c r="BJ40" t="s">
        <v>357</v>
      </c>
      <c r="BL40">
        <v>0.80</v>
      </c>
      <c r="BM40">
        <v>0.79756097560975603</v>
      </c>
      <c r="BN40">
        <v>0.78536585365853595</v>
      </c>
      <c r="BO40">
        <v>0.77317073170731698</v>
      </c>
      <c r="BP40">
        <v>0.76097560975609702</v>
      </c>
      <c r="BQ40">
        <v>0.74878048780487805</v>
      </c>
      <c r="BR40">
        <v>0.73658536585365797</v>
      </c>
      <c r="BS40">
        <v>0.724390243902439</v>
      </c>
      <c r="BT40">
        <v>0.71219512195122003</v>
      </c>
      <c r="BU40">
        <v>0.69999999999999896</v>
      </c>
      <c r="BV40">
        <v>0.687499999999999</v>
      </c>
      <c r="BW40">
        <v>0.675</v>
      </c>
      <c r="BX40">
        <v>0.6625</v>
      </c>
      <c r="BY40">
        <v>0.64999999999999902</v>
      </c>
      <c r="BZ40">
        <v>0.63749999999999896</v>
      </c>
      <c r="CA40">
        <v>0.625</v>
      </c>
      <c r="CB40">
        <v>0.6125</v>
      </c>
      <c r="CC40">
        <v>0.60</v>
      </c>
      <c r="CD40" t="e">
        <v>#VALUE!</v>
      </c>
      <c r="CE40" t="e">
        <v>#VALUE!</v>
      </c>
      <c r="CF40" t="e">
        <v>#VALUE!</v>
      </c>
      <c r="CG40" t="e">
        <v>#VALUE!</v>
      </c>
      <c r="CH40" t="e">
        <v>#VALUE!</v>
      </c>
      <c r="CI40" t="e">
        <v>#VALUE!</v>
      </c>
      <c r="CJ40" t="e">
        <v>#VALUE!</v>
      </c>
      <c r="CK40" t="e">
        <v>#VALUE!</v>
      </c>
    </row>
    <row r="41" spans="1:89" ht="12.5">
      <c r="A41" t="s">
        <v>7</v>
      </c>
      <c r="B41" t="s">
        <v>345</v>
      </c>
      <c r="C41" t="s">
        <v>345</v>
      </c>
      <c r="E41" s="2">
        <v>1.2701106949827701</v>
      </c>
      <c r="I41" s="2">
        <v>1.5670084073480399</v>
      </c>
      <c r="J41" s="2">
        <v>1.64178868795761</v>
      </c>
      <c r="L41" s="2">
        <v>1.7820875475286</v>
      </c>
      <c r="V41" s="2">
        <v>2.2647836130325198</v>
      </c>
      <c r="W41">
        <v>5</v>
      </c>
      <c r="AG41" s="130" t="s">
        <v>342</v>
      </c>
      <c r="AI41">
        <v>1</v>
      </c>
      <c r="AJ41">
        <v>1.00222228558761</v>
      </c>
      <c r="AK41">
        <v>1.1153693675960199</v>
      </c>
      <c r="AL41">
        <v>1.2269274602200799</v>
      </c>
      <c r="AM41">
        <v>1.3106517937873501</v>
      </c>
      <c r="AN41">
        <v>1.3941829651139801</v>
      </c>
      <c r="AO41">
        <v>1.4781464519315799</v>
      </c>
      <c r="AP41">
        <v>1.5584398561769099</v>
      </c>
      <c r="AQ41">
        <v>1.6366199735275699</v>
      </c>
      <c r="AR41">
        <v>1.7163131950966199</v>
      </c>
      <c r="AS41">
        <v>1.79843244242615</v>
      </c>
      <c r="AT41">
        <v>1.8800135949424599</v>
      </c>
      <c r="AU41">
        <v>1.9585731381229601</v>
      </c>
      <c r="AV41">
        <v>2.0297419260482998</v>
      </c>
      <c r="AW41">
        <v>2.09143656598008</v>
      </c>
      <c r="AX41">
        <v>2.1440134882433202</v>
      </c>
      <c r="AY41">
        <v>2.1889903961573598</v>
      </c>
      <c r="AZ41">
        <v>2.2269329791412402</v>
      </c>
      <c r="BA41">
        <v>0</v>
      </c>
      <c r="BB41">
        <v>0</v>
      </c>
      <c r="BC41">
        <v>0</v>
      </c>
      <c r="BD41">
        <v>0</v>
      </c>
      <c r="BE41">
        <v>0</v>
      </c>
      <c r="BF41">
        <v>0</v>
      </c>
      <c r="BG41">
        <v>0</v>
      </c>
      <c r="BH41">
        <v>0</v>
      </c>
      <c r="BJ41" t="s">
        <v>357</v>
      </c>
      <c r="BL41">
        <v>0.80</v>
      </c>
      <c r="BM41">
        <v>0.79756097560975603</v>
      </c>
      <c r="BN41">
        <v>0.78536585365853595</v>
      </c>
      <c r="BO41">
        <v>0.77317073170731698</v>
      </c>
      <c r="BP41">
        <v>0.76097560975609702</v>
      </c>
      <c r="BQ41">
        <v>0.74878048780487805</v>
      </c>
      <c r="BR41">
        <v>0.73658536585365797</v>
      </c>
      <c r="BS41">
        <v>0.724390243902439</v>
      </c>
      <c r="BT41">
        <v>0.71219512195122003</v>
      </c>
      <c r="BU41">
        <v>0.69999999999999896</v>
      </c>
      <c r="BV41">
        <v>0.687499999999999</v>
      </c>
      <c r="BW41">
        <v>0.675</v>
      </c>
      <c r="BX41">
        <v>0.6625</v>
      </c>
      <c r="BY41">
        <v>0.64999999999999902</v>
      </c>
      <c r="BZ41">
        <v>0.63749999999999896</v>
      </c>
      <c r="CA41">
        <v>0.625</v>
      </c>
      <c r="CB41">
        <v>0.6125</v>
      </c>
      <c r="CC41">
        <v>0.60</v>
      </c>
      <c r="CD41" t="e">
        <v>#VALUE!</v>
      </c>
      <c r="CE41" t="e">
        <v>#VALUE!</v>
      </c>
      <c r="CF41" t="e">
        <v>#VALUE!</v>
      </c>
      <c r="CG41" t="e">
        <v>#VALUE!</v>
      </c>
      <c r="CH41" t="e">
        <v>#VALUE!</v>
      </c>
      <c r="CI41" t="e">
        <v>#VALUE!</v>
      </c>
      <c r="CJ41" t="e">
        <v>#VALUE!</v>
      </c>
      <c r="CK41" t="e">
        <v>#VALUE!</v>
      </c>
    </row>
    <row r="42" spans="1:89" ht="12.5">
      <c r="A42" t="s">
        <v>7</v>
      </c>
      <c r="B42" t="s">
        <v>346</v>
      </c>
      <c r="C42" t="s">
        <v>346</v>
      </c>
      <c r="E42" s="2">
        <v>7.3114370414032797</v>
      </c>
      <c r="I42" s="2">
        <v>7.4712788225843001</v>
      </c>
      <c r="J42" s="2">
        <v>7.4944694209085201</v>
      </c>
      <c r="L42" s="2">
        <v>7.5399454633828702</v>
      </c>
      <c r="V42" s="2">
        <v>7.2603515156932197</v>
      </c>
      <c r="W42">
        <v>5</v>
      </c>
      <c r="AG42" s="130" t="s">
        <v>347</v>
      </c>
      <c r="AI42">
        <v>1</v>
      </c>
      <c r="AJ42">
        <v>1.0032383688323101</v>
      </c>
      <c r="AK42">
        <v>1.0194302129938699</v>
      </c>
      <c r="AL42">
        <v>1.02630425158199</v>
      </c>
      <c r="AM42">
        <v>1.0314803218261499</v>
      </c>
      <c r="AN42">
        <v>1.0357561814388201</v>
      </c>
      <c r="AO42">
        <v>1.04031122243802</v>
      </c>
      <c r="AP42">
        <v>1.04436031057323</v>
      </c>
      <c r="AQ42">
        <v>1.0460204085313001</v>
      </c>
      <c r="AR42">
        <v>1.0456323497853099</v>
      </c>
      <c r="AS42">
        <v>1.0433225943739</v>
      </c>
      <c r="AT42">
        <v>1.04070976316582</v>
      </c>
      <c r="AU42">
        <v>1.03733411418462</v>
      </c>
      <c r="AV42">
        <v>1.0315660937418301</v>
      </c>
      <c r="AW42">
        <v>1.02257818882174</v>
      </c>
      <c r="AX42">
        <v>1.0109046423683099</v>
      </c>
      <c r="AY42">
        <v>0.99749266486692201</v>
      </c>
      <c r="AZ42">
        <v>0.98295178919539805</v>
      </c>
      <c r="BA42">
        <v>0</v>
      </c>
      <c r="BB42">
        <v>0</v>
      </c>
      <c r="BC42">
        <v>0</v>
      </c>
      <c r="BD42">
        <v>0</v>
      </c>
      <c r="BE42">
        <v>0</v>
      </c>
      <c r="BF42">
        <v>0</v>
      </c>
      <c r="BG42">
        <v>0</v>
      </c>
      <c r="BH42">
        <v>0</v>
      </c>
      <c r="BJ42" t="s">
        <v>357</v>
      </c>
      <c r="BL42">
        <v>0.80</v>
      </c>
      <c r="BM42">
        <v>0.79756097560975603</v>
      </c>
      <c r="BN42">
        <v>0.78536585365853595</v>
      </c>
      <c r="BO42">
        <v>0.77317073170731698</v>
      </c>
      <c r="BP42">
        <v>0.76097560975609702</v>
      </c>
      <c r="BQ42">
        <v>0.74878048780487805</v>
      </c>
      <c r="BR42">
        <v>0.73658536585365797</v>
      </c>
      <c r="BS42">
        <v>0.724390243902439</v>
      </c>
      <c r="BT42">
        <v>0.71219512195122003</v>
      </c>
      <c r="BU42">
        <v>0.69999999999999896</v>
      </c>
      <c r="BV42">
        <v>0.687499999999999</v>
      </c>
      <c r="BW42">
        <v>0.675</v>
      </c>
      <c r="BX42">
        <v>0.6625</v>
      </c>
      <c r="BY42">
        <v>0.64999999999999902</v>
      </c>
      <c r="BZ42">
        <v>0.63749999999999896</v>
      </c>
      <c r="CA42">
        <v>0.625</v>
      </c>
      <c r="CB42">
        <v>0.6125</v>
      </c>
      <c r="CC42">
        <v>0.60</v>
      </c>
      <c r="CD42" t="e">
        <v>#VALUE!</v>
      </c>
      <c r="CE42" t="e">
        <v>#VALUE!</v>
      </c>
      <c r="CF42" t="e">
        <v>#VALUE!</v>
      </c>
      <c r="CG42" t="e">
        <v>#VALUE!</v>
      </c>
      <c r="CH42" t="e">
        <v>#VALUE!</v>
      </c>
      <c r="CI42" t="e">
        <v>#VALUE!</v>
      </c>
      <c r="CJ42" t="e">
        <v>#VALUE!</v>
      </c>
      <c r="CK42" t="e">
        <v>#VALUE!</v>
      </c>
    </row>
    <row r="43" spans="1:89" ht="12.5">
      <c r="A43" t="s">
        <v>7</v>
      </c>
      <c r="B43" t="s">
        <v>348</v>
      </c>
      <c r="C43" t="s">
        <v>348</v>
      </c>
      <c r="E43" s="2">
        <v>1.13972076127334</v>
      </c>
      <c r="F43" s="2">
        <f>E43</f>
        <v>1.13972076127334</v>
      </c>
      <c r="I43" s="2">
        <f>F43</f>
        <v>1.13972076127334</v>
      </c>
      <c r="J43" s="2">
        <f>I43</f>
        <v>1.13972076127334</v>
      </c>
      <c r="L43" s="2">
        <f>J43</f>
        <v>1.13972076127334</v>
      </c>
      <c r="V43" s="2">
        <f>L43</f>
        <v>1.13972076127334</v>
      </c>
      <c r="W43">
        <v>5</v>
      </c>
      <c r="AG43" s="130" t="s">
        <v>342</v>
      </c>
      <c r="AI43">
        <v>1</v>
      </c>
      <c r="AJ43">
        <v>1.00222228558761</v>
      </c>
      <c r="AK43">
        <v>1.1153693675960199</v>
      </c>
      <c r="AL43">
        <v>1.2269274602200799</v>
      </c>
      <c r="AM43">
        <v>1.3106517937873501</v>
      </c>
      <c r="AN43">
        <v>1.3941829651139801</v>
      </c>
      <c r="AO43">
        <v>1.4781464519315799</v>
      </c>
      <c r="AP43">
        <v>1.5584398561769099</v>
      </c>
      <c r="AQ43">
        <v>1.6366199735275699</v>
      </c>
      <c r="AR43">
        <v>1.7163131950966199</v>
      </c>
      <c r="AS43">
        <v>1.79843244242615</v>
      </c>
      <c r="AT43">
        <v>1.8800135949424599</v>
      </c>
      <c r="AU43">
        <v>1.9585731381229601</v>
      </c>
      <c r="AV43">
        <v>2.0297419260482998</v>
      </c>
      <c r="AW43">
        <v>2.09143656598008</v>
      </c>
      <c r="AX43">
        <v>2.1440134882433202</v>
      </c>
      <c r="AY43">
        <v>2.1889903961573598</v>
      </c>
      <c r="AZ43">
        <v>2.2269329791412402</v>
      </c>
      <c r="BA43">
        <v>0</v>
      </c>
      <c r="BB43">
        <v>0</v>
      </c>
      <c r="BC43">
        <v>0</v>
      </c>
      <c r="BD43">
        <v>0</v>
      </c>
      <c r="BE43">
        <v>0</v>
      </c>
      <c r="BF43">
        <v>0</v>
      </c>
      <c r="BG43">
        <v>0</v>
      </c>
      <c r="BH43">
        <v>0</v>
      </c>
      <c r="BJ43" t="s">
        <v>357</v>
      </c>
      <c r="BL43">
        <v>0.80</v>
      </c>
      <c r="BM43">
        <v>0.79756097560975603</v>
      </c>
      <c r="BN43">
        <v>0.78536585365853595</v>
      </c>
      <c r="BO43">
        <v>0.77317073170731698</v>
      </c>
      <c r="BP43">
        <v>0.76097560975609702</v>
      </c>
      <c r="BQ43">
        <v>0.74878048780487805</v>
      </c>
      <c r="BR43">
        <v>0.73658536585365797</v>
      </c>
      <c r="BS43">
        <v>0.724390243902439</v>
      </c>
      <c r="BT43">
        <v>0.71219512195122003</v>
      </c>
      <c r="BU43">
        <v>0.69999999999999896</v>
      </c>
      <c r="BV43">
        <v>0.687499999999999</v>
      </c>
      <c r="BW43">
        <v>0.675</v>
      </c>
      <c r="BX43">
        <v>0.6625</v>
      </c>
      <c r="BY43">
        <v>0.64999999999999902</v>
      </c>
      <c r="BZ43">
        <v>0.63749999999999896</v>
      </c>
      <c r="CA43">
        <v>0.625</v>
      </c>
      <c r="CB43">
        <v>0.6125</v>
      </c>
      <c r="CC43">
        <v>0.60</v>
      </c>
      <c r="CD43" t="e">
        <v>#VALUE!</v>
      </c>
      <c r="CE43" t="e">
        <v>#VALUE!</v>
      </c>
      <c r="CF43" t="e">
        <v>#VALUE!</v>
      </c>
      <c r="CG43" t="e">
        <v>#VALUE!</v>
      </c>
      <c r="CH43" t="e">
        <v>#VALUE!</v>
      </c>
      <c r="CI43" t="e">
        <v>#VALUE!</v>
      </c>
      <c r="CJ43" t="e">
        <v>#VALUE!</v>
      </c>
      <c r="CK43" t="e">
        <v>#VALUE!</v>
      </c>
    </row>
    <row r="44" spans="1:89" ht="12.5">
      <c r="A44" t="s">
        <v>7</v>
      </c>
      <c r="B44" t="s">
        <v>349</v>
      </c>
      <c r="C44" t="s">
        <v>349</v>
      </c>
      <c r="E44" s="2">
        <v>0.61410102077971696</v>
      </c>
      <c r="F44" s="2">
        <f>E44</f>
        <v>0.61410102077971696</v>
      </c>
      <c r="I44" s="2">
        <f>F44</f>
        <v>0.61410102077971696</v>
      </c>
      <c r="J44" s="2">
        <f>I44</f>
        <v>0.61410102077971696</v>
      </c>
      <c r="L44" s="2">
        <f>J44</f>
        <v>0.61410102077971696</v>
      </c>
      <c r="V44" s="2">
        <f>L44</f>
        <v>0.61410102077971696</v>
      </c>
      <c r="W44">
        <v>5</v>
      </c>
      <c r="AG44" s="130" t="s">
        <v>342</v>
      </c>
      <c r="AI44">
        <v>1</v>
      </c>
      <c r="AJ44">
        <v>1.00222228558761</v>
      </c>
      <c r="AK44">
        <v>1.1153693675960199</v>
      </c>
      <c r="AL44">
        <v>1.2269274602200799</v>
      </c>
      <c r="AM44">
        <v>1.3106517937873501</v>
      </c>
      <c r="AN44">
        <v>1.3941829651139801</v>
      </c>
      <c r="AO44">
        <v>1.4781464519315799</v>
      </c>
      <c r="AP44">
        <v>1.5584398561769099</v>
      </c>
      <c r="AQ44">
        <v>1.6366199735275699</v>
      </c>
      <c r="AR44">
        <v>1.7163131950966199</v>
      </c>
      <c r="AS44">
        <v>1.79843244242615</v>
      </c>
      <c r="AT44">
        <v>1.8800135949424599</v>
      </c>
      <c r="AU44">
        <v>1.9585731381229601</v>
      </c>
      <c r="AV44">
        <v>2.0297419260482998</v>
      </c>
      <c r="AW44">
        <v>2.09143656598008</v>
      </c>
      <c r="AX44">
        <v>2.1440134882433202</v>
      </c>
      <c r="AY44">
        <v>2.1889903961573598</v>
      </c>
      <c r="AZ44">
        <v>2.2269329791412402</v>
      </c>
      <c r="BA44">
        <v>0</v>
      </c>
      <c r="BB44">
        <v>0</v>
      </c>
      <c r="BC44">
        <v>0</v>
      </c>
      <c r="BD44">
        <v>0</v>
      </c>
      <c r="BE44">
        <v>0</v>
      </c>
      <c r="BF44">
        <v>0</v>
      </c>
      <c r="BG44">
        <v>0</v>
      </c>
      <c r="BH44">
        <v>0</v>
      </c>
      <c r="BJ44" t="s">
        <v>357</v>
      </c>
      <c r="BL44">
        <v>0.80</v>
      </c>
      <c r="BM44">
        <v>0.79756097560975603</v>
      </c>
      <c r="BN44">
        <v>0.78536585365853595</v>
      </c>
      <c r="BO44">
        <v>0.77317073170731698</v>
      </c>
      <c r="BP44">
        <v>0.76097560975609702</v>
      </c>
      <c r="BQ44">
        <v>0.74878048780487805</v>
      </c>
      <c r="BR44">
        <v>0.73658536585365797</v>
      </c>
      <c r="BS44">
        <v>0.724390243902439</v>
      </c>
      <c r="BT44">
        <v>0.71219512195122003</v>
      </c>
      <c r="BU44">
        <v>0.69999999999999896</v>
      </c>
      <c r="BV44">
        <v>0.687499999999999</v>
      </c>
      <c r="BW44">
        <v>0.675</v>
      </c>
      <c r="BX44">
        <v>0.6625</v>
      </c>
      <c r="BY44">
        <v>0.64999999999999902</v>
      </c>
      <c r="BZ44">
        <v>0.63749999999999896</v>
      </c>
      <c r="CA44">
        <v>0.625</v>
      </c>
      <c r="CB44">
        <v>0.6125</v>
      </c>
      <c r="CC44">
        <v>0.60</v>
      </c>
      <c r="CD44" t="e">
        <v>#VALUE!</v>
      </c>
      <c r="CE44" t="e">
        <v>#VALUE!</v>
      </c>
      <c r="CF44" t="e">
        <v>#VALUE!</v>
      </c>
      <c r="CG44" t="e">
        <v>#VALUE!</v>
      </c>
      <c r="CH44" t="e">
        <v>#VALUE!</v>
      </c>
      <c r="CI44" t="e">
        <v>#VALUE!</v>
      </c>
      <c r="CJ44" t="e">
        <v>#VALUE!</v>
      </c>
      <c r="CK44" t="e">
        <v>#VALUE!</v>
      </c>
    </row>
    <row r="45" spans="1:89" ht="12.5">
      <c r="A45" t="s">
        <v>7</v>
      </c>
      <c r="B45" t="s">
        <v>350</v>
      </c>
      <c r="C45" t="s">
        <v>350</v>
      </c>
      <c r="D45">
        <v>0.32900000000000001</v>
      </c>
      <c r="E45">
        <v>0.329849740083138</v>
      </c>
      <c r="F45"/>
      <c r="G45">
        <v>0.33403074177315401</v>
      </c>
      <c r="H45">
        <v>0.33577221302104499</v>
      </c>
      <c r="I45">
        <v>0.33706087650931799</v>
      </c>
      <c r="J45">
        <v>0.33810710213996997</v>
      </c>
      <c r="K45">
        <v>0.339202349301157</v>
      </c>
      <c r="L45">
        <v>0.340158718081574</v>
      </c>
      <c r="M45">
        <v>0.34054380960363101</v>
      </c>
      <c r="N45">
        <v>0.34045537375492102</v>
      </c>
      <c r="O45">
        <v>0.33993833883208302</v>
      </c>
      <c r="P45">
        <v>0.33936369776125103</v>
      </c>
      <c r="Q45">
        <v>0.33863444359812001</v>
      </c>
      <c r="R45">
        <v>0.33741052476783301</v>
      </c>
      <c r="S45">
        <v>0.33553639255715301</v>
      </c>
      <c r="T45">
        <v>0.33314238267351398</v>
      </c>
      <c r="U45">
        <v>0.33043519349189299</v>
      </c>
      <c r="V45">
        <v>0.327545056710765</v>
      </c>
      <c r="W45">
        <v>5</v>
      </c>
      <c r="AG45" s="130" t="s">
        <v>347</v>
      </c>
      <c r="AI45">
        <v>1</v>
      </c>
      <c r="AJ45">
        <v>1.0032383688323101</v>
      </c>
      <c r="AK45">
        <v>1.0194302129938699</v>
      </c>
      <c r="AL45">
        <v>1.02630425158199</v>
      </c>
      <c r="AM45">
        <v>1.0314803218261499</v>
      </c>
      <c r="AN45">
        <v>1.0357561814388201</v>
      </c>
      <c r="AO45">
        <v>1.04031122243802</v>
      </c>
      <c r="AP45">
        <v>1.04436031057323</v>
      </c>
      <c r="AQ45">
        <v>1.0460204085313001</v>
      </c>
      <c r="AR45">
        <v>1.0456323497853099</v>
      </c>
      <c r="AS45">
        <v>1.0433225943739</v>
      </c>
      <c r="AT45">
        <v>1.04070976316582</v>
      </c>
      <c r="AU45">
        <v>1.03733411418462</v>
      </c>
      <c r="AV45">
        <v>1.0315660937418301</v>
      </c>
      <c r="AW45">
        <v>1.02257818882174</v>
      </c>
      <c r="AX45">
        <v>1.0109046423683099</v>
      </c>
      <c r="AY45">
        <v>0.99749266486692201</v>
      </c>
      <c r="AZ45">
        <v>0.98295178919539805</v>
      </c>
      <c r="BA45">
        <v>0</v>
      </c>
      <c r="BB45">
        <v>0</v>
      </c>
      <c r="BC45">
        <v>0</v>
      </c>
      <c r="BD45">
        <v>0</v>
      </c>
      <c r="BE45">
        <v>0</v>
      </c>
      <c r="BF45">
        <v>0</v>
      </c>
      <c r="BG45">
        <v>0</v>
      </c>
      <c r="BH45">
        <v>0</v>
      </c>
      <c r="BJ45" t="s">
        <v>357</v>
      </c>
      <c r="BL45">
        <v>0.80</v>
      </c>
      <c r="BM45">
        <v>0.79756097560975603</v>
      </c>
      <c r="BN45">
        <v>0.78536585365853595</v>
      </c>
      <c r="BO45">
        <v>0.77317073170731698</v>
      </c>
      <c r="BP45">
        <v>0.76097560975609702</v>
      </c>
      <c r="BQ45">
        <v>0.74878048780487805</v>
      </c>
      <c r="BR45">
        <v>0.73658536585365797</v>
      </c>
      <c r="BS45">
        <v>0.724390243902439</v>
      </c>
      <c r="BT45">
        <v>0.71219512195122003</v>
      </c>
      <c r="BU45">
        <v>0.69999999999999896</v>
      </c>
      <c r="BV45">
        <v>0.687499999999999</v>
      </c>
      <c r="BW45">
        <v>0.675</v>
      </c>
      <c r="BX45">
        <v>0.6625</v>
      </c>
      <c r="BY45">
        <v>0.64999999999999902</v>
      </c>
      <c r="BZ45">
        <v>0.63749999999999896</v>
      </c>
      <c r="CA45">
        <v>0.625</v>
      </c>
      <c r="CB45">
        <v>0.6125</v>
      </c>
      <c r="CC45">
        <v>0.60</v>
      </c>
      <c r="CD45" t="e">
        <v>#VALUE!</v>
      </c>
      <c r="CE45" t="e">
        <v>#VALUE!</v>
      </c>
      <c r="CF45" t="e">
        <v>#VALUE!</v>
      </c>
      <c r="CG45" t="e">
        <v>#VALUE!</v>
      </c>
      <c r="CH45" t="e">
        <v>#VALUE!</v>
      </c>
      <c r="CI45" t="e">
        <v>#VALUE!</v>
      </c>
      <c r="CJ45" t="e">
        <v>#VALUE!</v>
      </c>
      <c r="CK45" t="e">
        <v>#VALUE!</v>
      </c>
    </row>
    <row r="46" spans="1:89" ht="12.5">
      <c r="A46" t="s">
        <v>7</v>
      </c>
      <c r="B46" t="s">
        <v>351</v>
      </c>
      <c r="C46" t="s">
        <v>351</v>
      </c>
      <c r="D46">
        <v>0.195</v>
      </c>
      <c r="E46">
        <v>0.19550364533803</v>
      </c>
      <c r="F46"/>
      <c r="G46">
        <v>0.197981746643663</v>
      </c>
      <c r="H46">
        <v>0.199013925650771</v>
      </c>
      <c r="I46">
        <v>0.19977772315901801</v>
      </c>
      <c r="J46">
        <v>0.200397826496335</v>
      </c>
      <c r="K46">
        <v>0.20104698514810199</v>
      </c>
      <c r="L46">
        <v>0.20161382986597801</v>
      </c>
      <c r="M46">
        <v>0.20184207560093601</v>
      </c>
      <c r="N46">
        <v>0.20178965921644201</v>
      </c>
      <c r="O46">
        <v>0.201483209946067</v>
      </c>
      <c r="P46">
        <v>0.201142617214116</v>
      </c>
      <c r="Q46">
        <v>0.200710384503445</v>
      </c>
      <c r="R46">
        <v>0.19998496148853301</v>
      </c>
      <c r="S46">
        <v>0.198874153643297</v>
      </c>
      <c r="T46">
        <v>0.19745521161500099</v>
      </c>
      <c r="U46">
        <v>0.19585064659853799</v>
      </c>
      <c r="V46">
        <v>0.19413764759452601</v>
      </c>
      <c r="W46">
        <v>5</v>
      </c>
      <c r="AG46" s="130" t="s">
        <v>347</v>
      </c>
      <c r="AI46">
        <v>1</v>
      </c>
      <c r="AJ46">
        <v>1.0032383688323101</v>
      </c>
      <c r="AK46">
        <v>1.0194302129938699</v>
      </c>
      <c r="AL46">
        <v>1.02630425158199</v>
      </c>
      <c r="AM46">
        <v>1.0314803218261499</v>
      </c>
      <c r="AN46">
        <v>1.0357561814388201</v>
      </c>
      <c r="AO46">
        <v>1.04031122243802</v>
      </c>
      <c r="AP46">
        <v>1.04436031057323</v>
      </c>
      <c r="AQ46">
        <v>1.0460204085313001</v>
      </c>
      <c r="AR46">
        <v>1.0456323497853099</v>
      </c>
      <c r="AS46">
        <v>1.0433225943739</v>
      </c>
      <c r="AT46">
        <v>1.04070976316582</v>
      </c>
      <c r="AU46">
        <v>1.03733411418462</v>
      </c>
      <c r="AV46">
        <v>1.0315660937418301</v>
      </c>
      <c r="AW46">
        <v>1.02257818882174</v>
      </c>
      <c r="AX46">
        <v>1.0109046423683099</v>
      </c>
      <c r="AY46">
        <v>0.99749266486692201</v>
      </c>
      <c r="AZ46">
        <v>0.98295178919539805</v>
      </c>
      <c r="BA46">
        <v>0</v>
      </c>
      <c r="BB46">
        <v>0</v>
      </c>
      <c r="BC46">
        <v>0</v>
      </c>
      <c r="BD46">
        <v>0</v>
      </c>
      <c r="BE46">
        <v>0</v>
      </c>
      <c r="BF46">
        <v>0</v>
      </c>
      <c r="BG46">
        <v>0</v>
      </c>
      <c r="BH46">
        <v>0</v>
      </c>
      <c r="BJ46" t="s">
        <v>357</v>
      </c>
      <c r="BL46">
        <v>0.80</v>
      </c>
      <c r="BM46">
        <v>0.79756097560975603</v>
      </c>
      <c r="BN46">
        <v>0.78536585365853595</v>
      </c>
      <c r="BO46">
        <v>0.77317073170731698</v>
      </c>
      <c r="BP46">
        <v>0.76097560975609702</v>
      </c>
      <c r="BQ46">
        <v>0.74878048780487805</v>
      </c>
      <c r="BR46">
        <v>0.73658536585365797</v>
      </c>
      <c r="BS46">
        <v>0.724390243902439</v>
      </c>
      <c r="BT46">
        <v>0.71219512195122003</v>
      </c>
      <c r="BU46">
        <v>0.69999999999999896</v>
      </c>
      <c r="BV46">
        <v>0.687499999999999</v>
      </c>
      <c r="BW46">
        <v>0.675</v>
      </c>
      <c r="BX46">
        <v>0.6625</v>
      </c>
      <c r="BY46">
        <v>0.64999999999999902</v>
      </c>
      <c r="BZ46">
        <v>0.63749999999999896</v>
      </c>
      <c r="CA46">
        <v>0.625</v>
      </c>
      <c r="CB46">
        <v>0.6125</v>
      </c>
      <c r="CC46">
        <v>0.60</v>
      </c>
      <c r="CD46" t="e">
        <v>#VALUE!</v>
      </c>
      <c r="CE46" t="e">
        <v>#VALUE!</v>
      </c>
      <c r="CF46" t="e">
        <v>#VALUE!</v>
      </c>
      <c r="CG46" t="e">
        <v>#VALUE!</v>
      </c>
      <c r="CH46" t="e">
        <v>#VALUE!</v>
      </c>
      <c r="CI46" t="e">
        <v>#VALUE!</v>
      </c>
      <c r="CJ46" t="e">
        <v>#VALUE!</v>
      </c>
      <c r="CK46" t="e">
        <v>#VALUE!</v>
      </c>
    </row>
    <row r="47" spans="1:89" ht="12.5">
      <c r="A47" t="s">
        <v>7</v>
      </c>
      <c r="B47" t="s">
        <v>352</v>
      </c>
      <c r="C47" t="s">
        <v>352</v>
      </c>
      <c r="D47">
        <v>0.77</v>
      </c>
      <c r="E47">
        <v>0.77198875338606698</v>
      </c>
      <c r="F47"/>
      <c r="G47">
        <v>0.78177407649036001</v>
      </c>
      <c r="H47">
        <v>0.78584986026201997</v>
      </c>
      <c r="I47">
        <v>0.78886588119201995</v>
      </c>
      <c r="J47">
        <v>0.79131449437014301</v>
      </c>
      <c r="K47">
        <v>0.793877838789942</v>
      </c>
      <c r="L47">
        <v>0.796116148701556</v>
      </c>
      <c r="M47">
        <v>0.79701742673190201</v>
      </c>
      <c r="N47">
        <v>0.79681044921364397</v>
      </c>
      <c r="O47">
        <v>0.79560036747934204</v>
      </c>
      <c r="P47">
        <v>0.79425546284548199</v>
      </c>
      <c r="Q47">
        <v>0.79254869778283399</v>
      </c>
      <c r="R47">
        <v>0.78968420690343999</v>
      </c>
      <c r="S47">
        <v>0.78529794002737896</v>
      </c>
      <c r="T47">
        <v>0.77969493817205404</v>
      </c>
      <c r="U47">
        <v>0.773358963491663</v>
      </c>
      <c r="V47">
        <v>0.76659481357838599</v>
      </c>
      <c r="W47">
        <v>5</v>
      </c>
      <c r="AG47" s="130" t="s">
        <v>347</v>
      </c>
      <c r="AI47">
        <v>1</v>
      </c>
      <c r="AJ47">
        <v>1.0032383688323101</v>
      </c>
      <c r="AK47">
        <v>1.0194302129938699</v>
      </c>
      <c r="AL47">
        <v>1.02630425158199</v>
      </c>
      <c r="AM47">
        <v>1.0314803218261499</v>
      </c>
      <c r="AN47">
        <v>1.0357561814388201</v>
      </c>
      <c r="AO47">
        <v>1.04031122243802</v>
      </c>
      <c r="AP47">
        <v>1.04436031057323</v>
      </c>
      <c r="AQ47">
        <v>1.0460204085313001</v>
      </c>
      <c r="AR47">
        <v>1.0456323497853099</v>
      </c>
      <c r="AS47">
        <v>1.0433225943739</v>
      </c>
      <c r="AT47">
        <v>1.04070976316582</v>
      </c>
      <c r="AU47">
        <v>1.03733411418462</v>
      </c>
      <c r="AV47">
        <v>1.0315660937418301</v>
      </c>
      <c r="AW47">
        <v>1.02257818882174</v>
      </c>
      <c r="AX47">
        <v>1.0109046423683099</v>
      </c>
      <c r="AY47">
        <v>0.99749266486692201</v>
      </c>
      <c r="AZ47">
        <v>0.98295178919539805</v>
      </c>
      <c r="BA47">
        <v>0</v>
      </c>
      <c r="BB47">
        <v>0</v>
      </c>
      <c r="BC47">
        <v>0</v>
      </c>
      <c r="BD47">
        <v>0</v>
      </c>
      <c r="BE47">
        <v>0</v>
      </c>
      <c r="BF47">
        <v>0</v>
      </c>
      <c r="BG47">
        <v>0</v>
      </c>
      <c r="BH47">
        <v>0</v>
      </c>
      <c r="BJ47" t="s">
        <v>357</v>
      </c>
      <c r="BL47">
        <v>0.80</v>
      </c>
      <c r="BM47">
        <v>0.79756097560975603</v>
      </c>
      <c r="BN47">
        <v>0.78536585365853595</v>
      </c>
      <c r="BO47">
        <v>0.77317073170731698</v>
      </c>
      <c r="BP47">
        <v>0.76097560975609702</v>
      </c>
      <c r="BQ47">
        <v>0.74878048780487805</v>
      </c>
      <c r="BR47">
        <v>0.73658536585365797</v>
      </c>
      <c r="BS47">
        <v>0.724390243902439</v>
      </c>
      <c r="BT47">
        <v>0.71219512195122003</v>
      </c>
      <c r="BU47">
        <v>0.69999999999999896</v>
      </c>
      <c r="BV47">
        <v>0.687499999999999</v>
      </c>
      <c r="BW47">
        <v>0.675</v>
      </c>
      <c r="BX47">
        <v>0.6625</v>
      </c>
      <c r="BY47">
        <v>0.64999999999999902</v>
      </c>
      <c r="BZ47">
        <v>0.63749999999999896</v>
      </c>
      <c r="CA47">
        <v>0.625</v>
      </c>
      <c r="CB47">
        <v>0.6125</v>
      </c>
      <c r="CC47">
        <v>0.60</v>
      </c>
      <c r="CD47" t="e">
        <v>#VALUE!</v>
      </c>
      <c r="CE47" t="e">
        <v>#VALUE!</v>
      </c>
      <c r="CF47" t="e">
        <v>#VALUE!</v>
      </c>
      <c r="CG47" t="e">
        <v>#VALUE!</v>
      </c>
      <c r="CH47" t="e">
        <v>#VALUE!</v>
      </c>
      <c r="CI47" t="e">
        <v>#VALUE!</v>
      </c>
      <c r="CJ47" t="e">
        <v>#VALUE!</v>
      </c>
      <c r="CK47" t="e">
        <v>#VALUE!</v>
      </c>
    </row>
    <row r="48" spans="1:89" ht="12.5">
      <c r="A48" t="s">
        <v>7</v>
      </c>
      <c r="B48" t="s">
        <v>353</v>
      </c>
      <c r="C48" t="s">
        <v>353</v>
      </c>
      <c r="D48">
        <v>60.552</v>
      </c>
      <c r="E48">
        <v>60.503087760868297</v>
      </c>
      <c r="F48"/>
      <c r="G48">
        <v>65.027653040856706</v>
      </c>
      <c r="H48">
        <v>69.685921638222098</v>
      </c>
      <c r="I48">
        <v>73.020323425038697</v>
      </c>
      <c r="J48">
        <v>76.264873785556702</v>
      </c>
      <c r="K48">
        <v>79.387221017614294</v>
      </c>
      <c r="L48">
        <v>82.275965176612601</v>
      </c>
      <c r="M48">
        <v>85.117836091616795</v>
      </c>
      <c r="N48">
        <v>88.042322035654394</v>
      </c>
      <c r="O48">
        <v>91.078829334182203</v>
      </c>
      <c r="P48">
        <v>94.028976759445698</v>
      </c>
      <c r="Q48">
        <v>96.8432309401162</v>
      </c>
      <c r="R48">
        <v>99.495344966720197</v>
      </c>
      <c r="S48">
        <v>101.99771284393699</v>
      </c>
      <c r="T48">
        <v>104.354947803445</v>
      </c>
      <c r="U48">
        <v>106.57324330363301</v>
      </c>
      <c r="V48">
        <v>108.643930898978</v>
      </c>
      <c r="W48">
        <v>5</v>
      </c>
      <c r="AG48" s="130" t="s">
        <v>354</v>
      </c>
      <c r="AI48">
        <v>1</v>
      </c>
      <c r="AJ48">
        <v>0.99898719658630897</v>
      </c>
      <c r="AK48">
        <v>1.09411056625485</v>
      </c>
      <c r="AL48">
        <v>1.1954812214105499</v>
      </c>
      <c r="AM48">
        <v>1.27065128248589</v>
      </c>
      <c r="AN48">
        <v>1.34605324119548</v>
      </c>
      <c r="AO48">
        <v>1.4208694668000099</v>
      </c>
      <c r="AP48">
        <v>1.49224347229503</v>
      </c>
      <c r="AQ48">
        <v>1.5646157189471399</v>
      </c>
      <c r="AR48">
        <v>1.64141172128905</v>
      </c>
      <c r="AS48">
        <v>1.72375490775736</v>
      </c>
      <c r="AT48">
        <v>1.8064725262339201</v>
      </c>
      <c r="AU48">
        <v>1.8880832234679401</v>
      </c>
      <c r="AV48">
        <v>1.9676314861084201</v>
      </c>
      <c r="AW48">
        <v>2.0452583370567701</v>
      </c>
      <c r="AX48">
        <v>2.1208859850721602</v>
      </c>
      <c r="AY48">
        <v>2.1944927248656998</v>
      </c>
      <c r="AZ48">
        <v>2.2655566667863698</v>
      </c>
      <c r="BA48">
        <v>0</v>
      </c>
      <c r="BB48">
        <v>0</v>
      </c>
      <c r="BC48">
        <v>0</v>
      </c>
      <c r="BD48">
        <v>0</v>
      </c>
      <c r="BE48">
        <v>0</v>
      </c>
      <c r="BF48">
        <v>0</v>
      </c>
      <c r="BG48">
        <v>0</v>
      </c>
      <c r="BH48">
        <v>0</v>
      </c>
      <c r="BJ48" t="s">
        <v>357</v>
      </c>
      <c r="BL48">
        <v>0.80</v>
      </c>
      <c r="BM48">
        <v>0.79756097560975603</v>
      </c>
      <c r="BN48">
        <v>0.78536585365853595</v>
      </c>
      <c r="BO48">
        <v>0.77317073170731698</v>
      </c>
      <c r="BP48">
        <v>0.76097560975609702</v>
      </c>
      <c r="BQ48">
        <v>0.74878048780487805</v>
      </c>
      <c r="BR48">
        <v>0.73658536585365797</v>
      </c>
      <c r="BS48">
        <v>0.724390243902439</v>
      </c>
      <c r="BT48">
        <v>0.71219512195122003</v>
      </c>
      <c r="BU48">
        <v>0.69999999999999896</v>
      </c>
      <c r="BV48">
        <v>0.687499999999999</v>
      </c>
      <c r="BW48">
        <v>0.675</v>
      </c>
      <c r="BX48">
        <v>0.6625</v>
      </c>
      <c r="BY48">
        <v>0.64999999999999902</v>
      </c>
      <c r="BZ48">
        <v>0.63749999999999896</v>
      </c>
      <c r="CA48">
        <v>0.625</v>
      </c>
      <c r="CB48">
        <v>0.6125</v>
      </c>
      <c r="CC48">
        <v>0.60</v>
      </c>
      <c r="CD48" t="e">
        <v>#VALUE!</v>
      </c>
      <c r="CE48" t="e">
        <v>#VALUE!</v>
      </c>
      <c r="CF48" t="e">
        <v>#VALUE!</v>
      </c>
      <c r="CG48" t="e">
        <v>#VALUE!</v>
      </c>
      <c r="CH48" t="e">
        <v>#VALUE!</v>
      </c>
      <c r="CI48" t="e">
        <v>#VALUE!</v>
      </c>
      <c r="CJ48" t="e">
        <v>#VALUE!</v>
      </c>
      <c r="CK48" t="e">
        <v>#VALUE!</v>
      </c>
    </row>
    <row r="49" spans="1:89" ht="12.5">
      <c r="A49" t="s">
        <v>7</v>
      </c>
      <c r="B49" t="s">
        <v>355</v>
      </c>
      <c r="C49" t="s">
        <v>355</v>
      </c>
      <c r="D49">
        <v>24.70</v>
      </c>
      <c r="E49">
        <v>24.743778484054999</v>
      </c>
      <c r="F49"/>
      <c r="G49">
        <v>26.9376810531496</v>
      </c>
      <c r="H49">
        <v>29.020818756191499</v>
      </c>
      <c r="I49">
        <v>30.527818612375299</v>
      </c>
      <c r="J49">
        <v>31.9846575364848</v>
      </c>
      <c r="K49">
        <v>33.4035042705639</v>
      </c>
      <c r="L49">
        <v>34.717902691023902</v>
      </c>
      <c r="M49">
        <v>35.958294094710602</v>
      </c>
      <c r="N49">
        <v>37.183955910783197</v>
      </c>
      <c r="O49">
        <v>38.407097442052297</v>
      </c>
      <c r="P49">
        <v>39.583107316064499</v>
      </c>
      <c r="Q49">
        <v>40.678913447130199</v>
      </c>
      <c r="R49">
        <v>41.639712301189</v>
      </c>
      <c r="S49">
        <v>42.446565491735903</v>
      </c>
      <c r="T49">
        <v>43.113484408409697</v>
      </c>
      <c r="U49">
        <v>43.667448097347801</v>
      </c>
      <c r="V49">
        <v>44.121590548416499</v>
      </c>
      <c r="W49">
        <v>5</v>
      </c>
      <c r="AG49" s="130" t="s">
        <v>342</v>
      </c>
      <c r="AI49">
        <v>1</v>
      </c>
      <c r="AJ49">
        <v>1.00222228558761</v>
      </c>
      <c r="AK49">
        <v>1.1153693675960199</v>
      </c>
      <c r="AL49">
        <v>1.2269274602200799</v>
      </c>
      <c r="AM49">
        <v>1.3106517937873501</v>
      </c>
      <c r="AN49">
        <v>1.3941829651139801</v>
      </c>
      <c r="AO49">
        <v>1.4781464519315799</v>
      </c>
      <c r="AP49">
        <v>1.5584398561769099</v>
      </c>
      <c r="AQ49">
        <v>1.6366199735275699</v>
      </c>
      <c r="AR49">
        <v>1.7163131950966199</v>
      </c>
      <c r="AS49">
        <v>1.79843244242615</v>
      </c>
      <c r="AT49">
        <v>1.8800135949424599</v>
      </c>
      <c r="AU49">
        <v>1.9585731381229601</v>
      </c>
      <c r="AV49">
        <v>2.0297419260482998</v>
      </c>
      <c r="AW49">
        <v>2.09143656598008</v>
      </c>
      <c r="AX49">
        <v>2.1440134882433202</v>
      </c>
      <c r="AY49">
        <v>2.1889903961573598</v>
      </c>
      <c r="AZ49">
        <v>2.2269329791412402</v>
      </c>
      <c r="BA49">
        <v>0</v>
      </c>
      <c r="BB49">
        <v>0</v>
      </c>
      <c r="BC49">
        <v>0</v>
      </c>
      <c r="BD49">
        <v>0</v>
      </c>
      <c r="BE49">
        <v>0</v>
      </c>
      <c r="BF49">
        <v>0</v>
      </c>
      <c r="BG49">
        <v>0</v>
      </c>
      <c r="BH49">
        <v>0</v>
      </c>
      <c r="BJ49" t="s">
        <v>357</v>
      </c>
      <c r="BL49">
        <v>0.80</v>
      </c>
      <c r="BM49">
        <v>0.79756097560975603</v>
      </c>
      <c r="BN49">
        <v>0.78536585365853595</v>
      </c>
      <c r="BO49">
        <v>0.77317073170731698</v>
      </c>
      <c r="BP49">
        <v>0.76097560975609702</v>
      </c>
      <c r="BQ49">
        <v>0.74878048780487805</v>
      </c>
      <c r="BR49">
        <v>0.73658536585365797</v>
      </c>
      <c r="BS49">
        <v>0.724390243902439</v>
      </c>
      <c r="BT49">
        <v>0.71219512195122003</v>
      </c>
      <c r="BU49">
        <v>0.69999999999999896</v>
      </c>
      <c r="BV49">
        <v>0.687499999999999</v>
      </c>
      <c r="BW49">
        <v>0.675</v>
      </c>
      <c r="BX49">
        <v>0.6625</v>
      </c>
      <c r="BY49">
        <v>0.64999999999999902</v>
      </c>
      <c r="BZ49">
        <v>0.63749999999999896</v>
      </c>
      <c r="CA49">
        <v>0.625</v>
      </c>
      <c r="CB49">
        <v>0.6125</v>
      </c>
      <c r="CC49">
        <v>0.60</v>
      </c>
      <c r="CD49" t="e">
        <v>#VALUE!</v>
      </c>
      <c r="CE49" t="e">
        <v>#VALUE!</v>
      </c>
      <c r="CF49" t="e">
        <v>#VALUE!</v>
      </c>
      <c r="CG49" t="e">
        <v>#VALUE!</v>
      </c>
      <c r="CH49" t="e">
        <v>#VALUE!</v>
      </c>
      <c r="CI49" t="e">
        <v>#VALUE!</v>
      </c>
      <c r="CJ49" t="e">
        <v>#VALUE!</v>
      </c>
      <c r="CK49" t="e">
        <v>#VALUE!</v>
      </c>
    </row>
    <row r="50" spans="1:89" ht="12.5">
      <c r="A50" t="s">
        <v>7</v>
      </c>
      <c r="B50" t="s">
        <v>356</v>
      </c>
      <c r="C50" t="s">
        <v>356</v>
      </c>
      <c r="D50">
        <v>13.36</v>
      </c>
      <c r="E50">
        <v>13.3836793743715</v>
      </c>
      <c r="F50"/>
      <c r="G50">
        <v>14.5703408449424</v>
      </c>
      <c r="H50">
        <v>15.6970906308793</v>
      </c>
      <c r="I50">
        <v>16.512212820296899</v>
      </c>
      <c r="J50">
        <v>17.300203428641101</v>
      </c>
      <c r="K50">
        <v>18.067644415171401</v>
      </c>
      <c r="L50">
        <v>18.778590281460701</v>
      </c>
      <c r="M50">
        <v>19.449506441511499</v>
      </c>
      <c r="N50">
        <v>20.112455504779899</v>
      </c>
      <c r="O50">
        <v>20.774041369466399</v>
      </c>
      <c r="P50">
        <v>21.410134159620299</v>
      </c>
      <c r="Q50">
        <v>22.002845492051001</v>
      </c>
      <c r="R50">
        <v>22.5225326455014</v>
      </c>
      <c r="S50">
        <v>22.958952023060402</v>
      </c>
      <c r="T50">
        <v>23.319682254913101</v>
      </c>
      <c r="U50">
        <v>23.6193160558934</v>
      </c>
      <c r="V50">
        <v>23.864957478819601</v>
      </c>
      <c r="W50">
        <v>5</v>
      </c>
      <c r="AG50" s="130" t="s">
        <v>342</v>
      </c>
      <c r="AI50">
        <v>1</v>
      </c>
      <c r="AJ50">
        <v>1.00222228558761</v>
      </c>
      <c r="AK50">
        <v>1.1153693675960199</v>
      </c>
      <c r="AL50">
        <v>1.2269274602200799</v>
      </c>
      <c r="AM50">
        <v>1.3106517937873501</v>
      </c>
      <c r="AN50">
        <v>1.3941829651139801</v>
      </c>
      <c r="AO50">
        <v>1.4781464519315799</v>
      </c>
      <c r="AP50">
        <v>1.5584398561769099</v>
      </c>
      <c r="AQ50">
        <v>1.6366199735275699</v>
      </c>
      <c r="AR50">
        <v>1.7163131950966199</v>
      </c>
      <c r="AS50">
        <v>1.79843244242615</v>
      </c>
      <c r="AT50">
        <v>1.8800135949424599</v>
      </c>
      <c r="AU50">
        <v>1.9585731381229601</v>
      </c>
      <c r="AV50">
        <v>2.0297419260482998</v>
      </c>
      <c r="AW50">
        <v>2.09143656598008</v>
      </c>
      <c r="AX50">
        <v>2.1440134882433202</v>
      </c>
      <c r="AY50">
        <v>2.1889903961573598</v>
      </c>
      <c r="AZ50">
        <v>2.2269329791412402</v>
      </c>
      <c r="BA50">
        <v>0</v>
      </c>
      <c r="BB50">
        <v>0</v>
      </c>
      <c r="BC50">
        <v>0</v>
      </c>
      <c r="BD50">
        <v>0</v>
      </c>
      <c r="BE50">
        <v>0</v>
      </c>
      <c r="BF50">
        <v>0</v>
      </c>
      <c r="BG50">
        <v>0</v>
      </c>
      <c r="BH50">
        <v>0</v>
      </c>
      <c r="BJ50" t="s">
        <v>357</v>
      </c>
      <c r="BL50">
        <v>0.80</v>
      </c>
      <c r="BM50">
        <v>0.79756097560975603</v>
      </c>
      <c r="BN50">
        <v>0.78536585365853595</v>
      </c>
      <c r="BO50">
        <v>0.77317073170731698</v>
      </c>
      <c r="BP50">
        <v>0.76097560975609702</v>
      </c>
      <c r="BQ50">
        <v>0.74878048780487805</v>
      </c>
      <c r="BR50">
        <v>0.73658536585365797</v>
      </c>
      <c r="BS50">
        <v>0.724390243902439</v>
      </c>
      <c r="BT50">
        <v>0.71219512195122003</v>
      </c>
      <c r="BU50">
        <v>0.69999999999999896</v>
      </c>
      <c r="BV50">
        <v>0.687499999999999</v>
      </c>
      <c r="BW50">
        <v>0.675</v>
      </c>
      <c r="BX50">
        <v>0.6625</v>
      </c>
      <c r="BY50">
        <v>0.64999999999999902</v>
      </c>
      <c r="BZ50">
        <v>0.63749999999999896</v>
      </c>
      <c r="CA50">
        <v>0.625</v>
      </c>
      <c r="CB50">
        <v>0.6125</v>
      </c>
      <c r="CC50">
        <v>0.60</v>
      </c>
      <c r="CD50" t="e">
        <v>#VALUE!</v>
      </c>
      <c r="CE50" t="e">
        <v>#VALUE!</v>
      </c>
      <c r="CF50" t="e">
        <v>#VALUE!</v>
      </c>
      <c r="CG50" t="e">
        <v>#VALUE!</v>
      </c>
      <c r="CH50" t="e">
        <v>#VALUE!</v>
      </c>
      <c r="CI50" t="e">
        <v>#VALUE!</v>
      </c>
      <c r="CJ50" t="e">
        <v>#VALUE!</v>
      </c>
      <c r="CK50" t="e">
        <v>#VALUE!</v>
      </c>
    </row>
    <row r="51" spans="1:89" ht="12.5">
      <c r="A51" t="s">
        <v>8</v>
      </c>
      <c r="B51" t="s">
        <v>341</v>
      </c>
      <c r="C51" t="s">
        <v>341</v>
      </c>
      <c r="E51" s="2">
        <v>0.090400766852338305</v>
      </c>
      <c r="F51" s="2">
        <f>E51</f>
        <v>0.090400766852338305</v>
      </c>
      <c r="I51" s="2">
        <f>F51</f>
        <v>0.090400766852338305</v>
      </c>
      <c r="J51" s="2">
        <f>I51</f>
        <v>0.090400766852338305</v>
      </c>
      <c r="L51" s="2">
        <f>J51</f>
        <v>0.090400766852338305</v>
      </c>
      <c r="V51" s="2">
        <f>L51</f>
        <v>0.090400766852338305</v>
      </c>
      <c r="W51">
        <v>5</v>
      </c>
      <c r="AG51" s="130" t="s">
        <v>342</v>
      </c>
      <c r="AI51">
        <v>1</v>
      </c>
      <c r="AJ51">
        <v>1.0245620765374499</v>
      </c>
      <c r="AK51">
        <v>1.1542510226618199</v>
      </c>
      <c r="AL51">
        <v>1.31001036569329</v>
      </c>
      <c r="AM51">
        <v>1.40143289909313</v>
      </c>
      <c r="AN51">
        <v>1.4613172033597199</v>
      </c>
      <c r="AO51">
        <v>1.49853726680739</v>
      </c>
      <c r="AP51">
        <v>1.5217425595890699</v>
      </c>
      <c r="AQ51">
        <v>1.53852305748937</v>
      </c>
      <c r="AR51">
        <v>1.5569251338669801</v>
      </c>
      <c r="AS51">
        <v>1.5786103282771</v>
      </c>
      <c r="AT51">
        <v>1.6003034097420701</v>
      </c>
      <c r="AU51">
        <v>1.6186939184392299</v>
      </c>
      <c r="AV51">
        <v>1.63377344151007</v>
      </c>
      <c r="AW51">
        <v>1.64683019791355</v>
      </c>
      <c r="AX51">
        <v>1.6598885317279899</v>
      </c>
      <c r="AY51">
        <v>1.6739506247231</v>
      </c>
      <c r="AZ51">
        <v>1.6874059402983601</v>
      </c>
      <c r="BA51">
        <v>0</v>
      </c>
      <c r="BB51">
        <v>0</v>
      </c>
      <c r="BC51">
        <v>0</v>
      </c>
      <c r="BD51">
        <v>0</v>
      </c>
      <c r="BE51">
        <v>0</v>
      </c>
      <c r="BF51">
        <v>0</v>
      </c>
      <c r="BG51">
        <v>0</v>
      </c>
      <c r="BH51">
        <v>0</v>
      </c>
      <c r="BJ51" t="s">
        <v>357</v>
      </c>
      <c r="BL51">
        <v>0.80</v>
      </c>
      <c r="BM51">
        <v>0.79756097560975603</v>
      </c>
      <c r="BN51">
        <v>0.78536585365853595</v>
      </c>
      <c r="BO51">
        <v>0.77317073170731698</v>
      </c>
      <c r="BP51">
        <v>0.76097560975609702</v>
      </c>
      <c r="BQ51">
        <v>0.74878048780487805</v>
      </c>
      <c r="BR51">
        <v>0.73658536585365797</v>
      </c>
      <c r="BS51">
        <v>0.724390243902439</v>
      </c>
      <c r="BT51">
        <v>0.71219512195122003</v>
      </c>
      <c r="BU51">
        <v>0.69999999999999896</v>
      </c>
      <c r="BV51">
        <v>0.687499999999999</v>
      </c>
      <c r="BW51">
        <v>0.675</v>
      </c>
      <c r="BX51">
        <v>0.6625</v>
      </c>
      <c r="BY51">
        <v>0.64999999999999902</v>
      </c>
      <c r="BZ51">
        <v>0.63749999999999896</v>
      </c>
      <c r="CA51">
        <v>0.625</v>
      </c>
      <c r="CB51">
        <v>0.6125</v>
      </c>
      <c r="CC51">
        <v>0.60</v>
      </c>
      <c r="CD51" t="e">
        <v>#VALUE!</v>
      </c>
      <c r="CE51" t="e">
        <v>#VALUE!</v>
      </c>
      <c r="CF51" t="e">
        <v>#VALUE!</v>
      </c>
      <c r="CG51" t="e">
        <v>#VALUE!</v>
      </c>
      <c r="CH51" t="e">
        <v>#VALUE!</v>
      </c>
      <c r="CI51" t="e">
        <v>#VALUE!</v>
      </c>
      <c r="CJ51" t="e">
        <v>#VALUE!</v>
      </c>
      <c r="CK51" t="e">
        <v>#VALUE!</v>
      </c>
    </row>
    <row r="52" spans="1:89" ht="12.5">
      <c r="A52" t="s">
        <v>8</v>
      </c>
      <c r="B52" t="s">
        <v>344</v>
      </c>
      <c r="C52" t="s">
        <v>344</v>
      </c>
      <c r="E52" s="2">
        <v>14.8181528799758</v>
      </c>
      <c r="F52" s="2">
        <f>E52</f>
        <v>14.8181528799758</v>
      </c>
      <c r="I52" s="2">
        <f>F52</f>
        <v>14.8181528799758</v>
      </c>
      <c r="J52" s="2">
        <f>I52</f>
        <v>14.8181528799758</v>
      </c>
      <c r="L52" s="2">
        <f>J52</f>
        <v>14.8181528799758</v>
      </c>
      <c r="V52" s="2">
        <f>L52</f>
        <v>14.8181528799758</v>
      </c>
      <c r="W52">
        <v>5</v>
      </c>
      <c r="AG52" s="130" t="s">
        <v>342</v>
      </c>
      <c r="AI52">
        <v>1</v>
      </c>
      <c r="AJ52">
        <v>1.0245620765374499</v>
      </c>
      <c r="AK52">
        <v>1.1542510226618199</v>
      </c>
      <c r="AL52">
        <v>1.31001036569329</v>
      </c>
      <c r="AM52">
        <v>1.40143289909313</v>
      </c>
      <c r="AN52">
        <v>1.4613172033597199</v>
      </c>
      <c r="AO52">
        <v>1.49853726680739</v>
      </c>
      <c r="AP52">
        <v>1.5217425595890699</v>
      </c>
      <c r="AQ52">
        <v>1.53852305748937</v>
      </c>
      <c r="AR52">
        <v>1.5569251338669801</v>
      </c>
      <c r="AS52">
        <v>1.5786103282771</v>
      </c>
      <c r="AT52">
        <v>1.6003034097420701</v>
      </c>
      <c r="AU52">
        <v>1.6186939184392299</v>
      </c>
      <c r="AV52">
        <v>1.63377344151007</v>
      </c>
      <c r="AW52">
        <v>1.64683019791355</v>
      </c>
      <c r="AX52">
        <v>1.6598885317279899</v>
      </c>
      <c r="AY52">
        <v>1.6739506247231</v>
      </c>
      <c r="AZ52">
        <v>1.6874059402983601</v>
      </c>
      <c r="BA52">
        <v>0</v>
      </c>
      <c r="BB52">
        <v>0</v>
      </c>
      <c r="BC52">
        <v>0</v>
      </c>
      <c r="BD52">
        <v>0</v>
      </c>
      <c r="BE52">
        <v>0</v>
      </c>
      <c r="BF52">
        <v>0</v>
      </c>
      <c r="BG52">
        <v>0</v>
      </c>
      <c r="BH52">
        <v>0</v>
      </c>
      <c r="BJ52" t="s">
        <v>357</v>
      </c>
      <c r="BL52">
        <v>0.80</v>
      </c>
      <c r="BM52">
        <v>0.79756097560975603</v>
      </c>
      <c r="BN52">
        <v>0.78536585365853595</v>
      </c>
      <c r="BO52">
        <v>0.77317073170731698</v>
      </c>
      <c r="BP52">
        <v>0.76097560975609702</v>
      </c>
      <c r="BQ52">
        <v>0.74878048780487805</v>
      </c>
      <c r="BR52">
        <v>0.73658536585365797</v>
      </c>
      <c r="BS52">
        <v>0.724390243902439</v>
      </c>
      <c r="BT52">
        <v>0.71219512195122003</v>
      </c>
      <c r="BU52">
        <v>0.69999999999999896</v>
      </c>
      <c r="BV52">
        <v>0.687499999999999</v>
      </c>
      <c r="BW52">
        <v>0.675</v>
      </c>
      <c r="BX52">
        <v>0.6625</v>
      </c>
      <c r="BY52">
        <v>0.64999999999999902</v>
      </c>
      <c r="BZ52">
        <v>0.63749999999999896</v>
      </c>
      <c r="CA52">
        <v>0.625</v>
      </c>
      <c r="CB52">
        <v>0.6125</v>
      </c>
      <c r="CC52">
        <v>0.60</v>
      </c>
      <c r="CD52" t="e">
        <v>#VALUE!</v>
      </c>
      <c r="CE52" t="e">
        <v>#VALUE!</v>
      </c>
      <c r="CF52" t="e">
        <v>#VALUE!</v>
      </c>
      <c r="CG52" t="e">
        <v>#VALUE!</v>
      </c>
      <c r="CH52" t="e">
        <v>#VALUE!</v>
      </c>
      <c r="CI52" t="e">
        <v>#VALUE!</v>
      </c>
      <c r="CJ52" t="e">
        <v>#VALUE!</v>
      </c>
      <c r="CK52" t="e">
        <v>#VALUE!</v>
      </c>
    </row>
    <row r="53" spans="1:89" ht="12.5">
      <c r="A53" t="s">
        <v>8</v>
      </c>
      <c r="B53" t="s">
        <v>345</v>
      </c>
      <c r="C53" t="s">
        <v>345</v>
      </c>
      <c r="E53" s="2">
        <v>4.4181587231383297</v>
      </c>
      <c r="I53" s="2">
        <v>5.6490410682388701</v>
      </c>
      <c r="J53" s="2">
        <v>5.8297875908449104</v>
      </c>
      <c r="L53" s="2">
        <v>6.0057820824498398</v>
      </c>
      <c r="V53" s="2">
        <v>6.4319653471760798</v>
      </c>
      <c r="W53">
        <v>5</v>
      </c>
      <c r="AG53" s="130" t="s">
        <v>342</v>
      </c>
      <c r="AI53">
        <v>1</v>
      </c>
      <c r="AJ53">
        <v>1.0245620765374499</v>
      </c>
      <c r="AK53">
        <v>1.1542510226618199</v>
      </c>
      <c r="AL53">
        <v>1.31001036569329</v>
      </c>
      <c r="AM53">
        <v>1.40143289909313</v>
      </c>
      <c r="AN53">
        <v>1.4613172033597199</v>
      </c>
      <c r="AO53">
        <v>1.49853726680739</v>
      </c>
      <c r="AP53">
        <v>1.5217425595890699</v>
      </c>
      <c r="AQ53">
        <v>1.53852305748937</v>
      </c>
      <c r="AR53">
        <v>1.5569251338669801</v>
      </c>
      <c r="AS53">
        <v>1.5786103282771</v>
      </c>
      <c r="AT53">
        <v>1.6003034097420701</v>
      </c>
      <c r="AU53">
        <v>1.6186939184392299</v>
      </c>
      <c r="AV53">
        <v>1.63377344151007</v>
      </c>
      <c r="AW53">
        <v>1.64683019791355</v>
      </c>
      <c r="AX53">
        <v>1.6598885317279899</v>
      </c>
      <c r="AY53">
        <v>1.6739506247231</v>
      </c>
      <c r="AZ53">
        <v>1.6874059402983601</v>
      </c>
      <c r="BA53">
        <v>0</v>
      </c>
      <c r="BB53">
        <v>0</v>
      </c>
      <c r="BC53">
        <v>0</v>
      </c>
      <c r="BD53">
        <v>0</v>
      </c>
      <c r="BE53">
        <v>0</v>
      </c>
      <c r="BF53">
        <v>0</v>
      </c>
      <c r="BG53">
        <v>0</v>
      </c>
      <c r="BH53">
        <v>0</v>
      </c>
      <c r="BJ53" t="s">
        <v>357</v>
      </c>
      <c r="BL53">
        <v>0.80</v>
      </c>
      <c r="BM53">
        <v>0.79756097560975603</v>
      </c>
      <c r="BN53">
        <v>0.78536585365853595</v>
      </c>
      <c r="BO53">
        <v>0.77317073170731698</v>
      </c>
      <c r="BP53">
        <v>0.76097560975609702</v>
      </c>
      <c r="BQ53">
        <v>0.74878048780487805</v>
      </c>
      <c r="BR53">
        <v>0.73658536585365797</v>
      </c>
      <c r="BS53">
        <v>0.724390243902439</v>
      </c>
      <c r="BT53">
        <v>0.71219512195122003</v>
      </c>
      <c r="BU53">
        <v>0.69999999999999896</v>
      </c>
      <c r="BV53">
        <v>0.687499999999999</v>
      </c>
      <c r="BW53">
        <v>0.675</v>
      </c>
      <c r="BX53">
        <v>0.6625</v>
      </c>
      <c r="BY53">
        <v>0.64999999999999902</v>
      </c>
      <c r="BZ53">
        <v>0.63749999999999896</v>
      </c>
      <c r="CA53">
        <v>0.625</v>
      </c>
      <c r="CB53">
        <v>0.6125</v>
      </c>
      <c r="CC53">
        <v>0.60</v>
      </c>
      <c r="CD53" t="e">
        <v>#VALUE!</v>
      </c>
      <c r="CE53" t="e">
        <v>#VALUE!</v>
      </c>
      <c r="CF53" t="e">
        <v>#VALUE!</v>
      </c>
      <c r="CG53" t="e">
        <v>#VALUE!</v>
      </c>
      <c r="CH53" t="e">
        <v>#VALUE!</v>
      </c>
      <c r="CI53" t="e">
        <v>#VALUE!</v>
      </c>
      <c r="CJ53" t="e">
        <v>#VALUE!</v>
      </c>
      <c r="CK53" t="e">
        <v>#VALUE!</v>
      </c>
    </row>
    <row r="54" spans="1:89" ht="12.5">
      <c r="A54" t="s">
        <v>8</v>
      </c>
      <c r="B54" t="s">
        <v>346</v>
      </c>
      <c r="C54" t="s">
        <v>346</v>
      </c>
      <c r="E54" s="2">
        <v>0.74329530607279704</v>
      </c>
      <c r="I54" s="2">
        <v>0.67722354883296798</v>
      </c>
      <c r="J54" s="2">
        <v>0.65620927787005501</v>
      </c>
      <c r="L54" s="2">
        <v>0.62247470653343995</v>
      </c>
      <c r="V54" s="2">
        <v>0.52445213549862202</v>
      </c>
      <c r="W54">
        <v>5</v>
      </c>
      <c r="AG54" s="130" t="s">
        <v>347</v>
      </c>
      <c r="AI54">
        <v>1</v>
      </c>
      <c r="AJ54">
        <v>0.99465563554391401</v>
      </c>
      <c r="AK54">
        <v>0.96793381326348404</v>
      </c>
      <c r="AL54">
        <v>0.92251082686474395</v>
      </c>
      <c r="AM54">
        <v>0.88103846302403699</v>
      </c>
      <c r="AN54">
        <v>0.84452755563329296</v>
      </c>
      <c r="AO54">
        <v>0.81315206443862098</v>
      </c>
      <c r="AP54">
        <v>0.78540368309147002</v>
      </c>
      <c r="AQ54">
        <v>0.75904714351708502</v>
      </c>
      <c r="AR54">
        <v>0.73384640428972303</v>
      </c>
      <c r="AS54">
        <v>0.71088683007765996</v>
      </c>
      <c r="AT54">
        <v>0.690423954971224</v>
      </c>
      <c r="AU54">
        <v>0.672374402783251</v>
      </c>
      <c r="AV54">
        <v>0.65641842829302299</v>
      </c>
      <c r="AW54">
        <v>0.64206183512200099</v>
      </c>
      <c r="AX54">
        <v>0.62905433090478702</v>
      </c>
      <c r="AY54">
        <v>0.61725553569560598</v>
      </c>
      <c r="AZ54">
        <v>0.60607870391012697</v>
      </c>
      <c r="BA54">
        <v>0</v>
      </c>
      <c r="BB54">
        <v>0</v>
      </c>
      <c r="BC54">
        <v>0</v>
      </c>
      <c r="BD54">
        <v>0</v>
      </c>
      <c r="BE54">
        <v>0</v>
      </c>
      <c r="BF54">
        <v>0</v>
      </c>
      <c r="BG54">
        <v>0</v>
      </c>
      <c r="BH54">
        <v>0</v>
      </c>
      <c r="BJ54" t="s">
        <v>357</v>
      </c>
      <c r="BL54">
        <v>0.80</v>
      </c>
      <c r="BM54">
        <v>0.79756097560975603</v>
      </c>
      <c r="BN54">
        <v>0.78536585365853595</v>
      </c>
      <c r="BO54">
        <v>0.77317073170731698</v>
      </c>
      <c r="BP54">
        <v>0.76097560975609702</v>
      </c>
      <c r="BQ54">
        <v>0.74878048780487805</v>
      </c>
      <c r="BR54">
        <v>0.73658536585365797</v>
      </c>
      <c r="BS54">
        <v>0.724390243902439</v>
      </c>
      <c r="BT54">
        <v>0.71219512195122003</v>
      </c>
      <c r="BU54">
        <v>0.69999999999999896</v>
      </c>
      <c r="BV54">
        <v>0.687499999999999</v>
      </c>
      <c r="BW54">
        <v>0.675</v>
      </c>
      <c r="BX54">
        <v>0.6625</v>
      </c>
      <c r="BY54">
        <v>0.64999999999999902</v>
      </c>
      <c r="BZ54">
        <v>0.63749999999999896</v>
      </c>
      <c r="CA54">
        <v>0.625</v>
      </c>
      <c r="CB54">
        <v>0.6125</v>
      </c>
      <c r="CC54">
        <v>0.60</v>
      </c>
      <c r="CD54" t="e">
        <v>#VALUE!</v>
      </c>
      <c r="CE54" t="e">
        <v>#VALUE!</v>
      </c>
      <c r="CF54" t="e">
        <v>#VALUE!</v>
      </c>
      <c r="CG54" t="e">
        <v>#VALUE!</v>
      </c>
      <c r="CH54" t="e">
        <v>#VALUE!</v>
      </c>
      <c r="CI54" t="e">
        <v>#VALUE!</v>
      </c>
      <c r="CJ54" t="e">
        <v>#VALUE!</v>
      </c>
      <c r="CK54" t="e">
        <v>#VALUE!</v>
      </c>
    </row>
    <row r="55" spans="1:89" ht="12.5">
      <c r="A55" t="s">
        <v>8</v>
      </c>
      <c r="B55" t="s">
        <v>348</v>
      </c>
      <c r="C55" t="s">
        <v>348</v>
      </c>
      <c r="E55" s="2">
        <v>0.53141239378321004</v>
      </c>
      <c r="F55" s="2">
        <f>E55</f>
        <v>0.53141239378321004</v>
      </c>
      <c r="I55" s="2">
        <f>F55</f>
        <v>0.53141239378321004</v>
      </c>
      <c r="J55" s="2">
        <f>I55</f>
        <v>0.53141239378321004</v>
      </c>
      <c r="L55" s="2">
        <f>J55</f>
        <v>0.53141239378321004</v>
      </c>
      <c r="V55" s="2">
        <f>L55</f>
        <v>0.53141239378321004</v>
      </c>
      <c r="W55">
        <v>5</v>
      </c>
      <c r="AG55" s="130" t="s">
        <v>342</v>
      </c>
      <c r="AI55">
        <v>1</v>
      </c>
      <c r="AJ55">
        <v>1.0245620765374499</v>
      </c>
      <c r="AK55">
        <v>1.1542510226618199</v>
      </c>
      <c r="AL55">
        <v>1.31001036569329</v>
      </c>
      <c r="AM55">
        <v>1.40143289909313</v>
      </c>
      <c r="AN55">
        <v>1.4613172033597199</v>
      </c>
      <c r="AO55">
        <v>1.49853726680739</v>
      </c>
      <c r="AP55">
        <v>1.5217425595890699</v>
      </c>
      <c r="AQ55">
        <v>1.53852305748937</v>
      </c>
      <c r="AR55">
        <v>1.5569251338669801</v>
      </c>
      <c r="AS55">
        <v>1.5786103282771</v>
      </c>
      <c r="AT55">
        <v>1.6003034097420701</v>
      </c>
      <c r="AU55">
        <v>1.6186939184392299</v>
      </c>
      <c r="AV55">
        <v>1.63377344151007</v>
      </c>
      <c r="AW55">
        <v>1.64683019791355</v>
      </c>
      <c r="AX55">
        <v>1.6598885317279899</v>
      </c>
      <c r="AY55">
        <v>1.6739506247231</v>
      </c>
      <c r="AZ55">
        <v>1.6874059402983601</v>
      </c>
      <c r="BA55">
        <v>0</v>
      </c>
      <c r="BB55">
        <v>0</v>
      </c>
      <c r="BC55">
        <v>0</v>
      </c>
      <c r="BD55">
        <v>0</v>
      </c>
      <c r="BE55">
        <v>0</v>
      </c>
      <c r="BF55">
        <v>0</v>
      </c>
      <c r="BG55">
        <v>0</v>
      </c>
      <c r="BH55">
        <v>0</v>
      </c>
      <c r="BJ55" t="s">
        <v>357</v>
      </c>
      <c r="BL55">
        <v>0.80</v>
      </c>
      <c r="BM55">
        <v>0.79756097560975603</v>
      </c>
      <c r="BN55">
        <v>0.78536585365853595</v>
      </c>
      <c r="BO55">
        <v>0.77317073170731698</v>
      </c>
      <c r="BP55">
        <v>0.76097560975609702</v>
      </c>
      <c r="BQ55">
        <v>0.74878048780487805</v>
      </c>
      <c r="BR55">
        <v>0.73658536585365797</v>
      </c>
      <c r="BS55">
        <v>0.724390243902439</v>
      </c>
      <c r="BT55">
        <v>0.71219512195122003</v>
      </c>
      <c r="BU55">
        <v>0.69999999999999896</v>
      </c>
      <c r="BV55">
        <v>0.687499999999999</v>
      </c>
      <c r="BW55">
        <v>0.675</v>
      </c>
      <c r="BX55">
        <v>0.6625</v>
      </c>
      <c r="BY55">
        <v>0.64999999999999902</v>
      </c>
      <c r="BZ55">
        <v>0.63749999999999896</v>
      </c>
      <c r="CA55">
        <v>0.625</v>
      </c>
      <c r="CB55">
        <v>0.6125</v>
      </c>
      <c r="CC55">
        <v>0.60</v>
      </c>
      <c r="CD55" t="e">
        <v>#VALUE!</v>
      </c>
      <c r="CE55" t="e">
        <v>#VALUE!</v>
      </c>
      <c r="CF55" t="e">
        <v>#VALUE!</v>
      </c>
      <c r="CG55" t="e">
        <v>#VALUE!</v>
      </c>
      <c r="CH55" t="e">
        <v>#VALUE!</v>
      </c>
      <c r="CI55" t="e">
        <v>#VALUE!</v>
      </c>
      <c r="CJ55" t="e">
        <v>#VALUE!</v>
      </c>
      <c r="CK55" t="e">
        <v>#VALUE!</v>
      </c>
    </row>
    <row r="56" spans="1:89" ht="12.5">
      <c r="A56" t="s">
        <v>8</v>
      </c>
      <c r="B56" t="s">
        <v>349</v>
      </c>
      <c r="C56" t="s">
        <v>349</v>
      </c>
      <c r="E56" s="2">
        <v>28.7369724475552</v>
      </c>
      <c r="F56" s="2">
        <f>E56</f>
        <v>28.7369724475552</v>
      </c>
      <c r="I56" s="2">
        <f>F56</f>
        <v>28.7369724475552</v>
      </c>
      <c r="J56" s="2">
        <f>I56</f>
        <v>28.7369724475552</v>
      </c>
      <c r="L56" s="2">
        <f>J56</f>
        <v>28.7369724475552</v>
      </c>
      <c r="V56" s="2">
        <f>L56</f>
        <v>28.7369724475552</v>
      </c>
      <c r="W56">
        <v>5</v>
      </c>
      <c r="AG56" s="130" t="s">
        <v>342</v>
      </c>
      <c r="AI56">
        <v>1</v>
      </c>
      <c r="AJ56">
        <v>1.0245620765374499</v>
      </c>
      <c r="AK56">
        <v>1.1542510226618199</v>
      </c>
      <c r="AL56">
        <v>1.31001036569329</v>
      </c>
      <c r="AM56">
        <v>1.40143289909313</v>
      </c>
      <c r="AN56">
        <v>1.4613172033597199</v>
      </c>
      <c r="AO56">
        <v>1.49853726680739</v>
      </c>
      <c r="AP56">
        <v>1.5217425595890699</v>
      </c>
      <c r="AQ56">
        <v>1.53852305748937</v>
      </c>
      <c r="AR56">
        <v>1.5569251338669801</v>
      </c>
      <c r="AS56">
        <v>1.5786103282771</v>
      </c>
      <c r="AT56">
        <v>1.6003034097420701</v>
      </c>
      <c r="AU56">
        <v>1.6186939184392299</v>
      </c>
      <c r="AV56">
        <v>1.63377344151007</v>
      </c>
      <c r="AW56">
        <v>1.64683019791355</v>
      </c>
      <c r="AX56">
        <v>1.6598885317279899</v>
      </c>
      <c r="AY56">
        <v>1.6739506247231</v>
      </c>
      <c r="AZ56">
        <v>1.6874059402983601</v>
      </c>
      <c r="BA56">
        <v>0</v>
      </c>
      <c r="BB56">
        <v>0</v>
      </c>
      <c r="BC56">
        <v>0</v>
      </c>
      <c r="BD56">
        <v>0</v>
      </c>
      <c r="BE56">
        <v>0</v>
      </c>
      <c r="BF56">
        <v>0</v>
      </c>
      <c r="BG56">
        <v>0</v>
      </c>
      <c r="BH56">
        <v>0</v>
      </c>
      <c r="BJ56" t="s">
        <v>357</v>
      </c>
      <c r="BL56">
        <v>0.80</v>
      </c>
      <c r="BM56">
        <v>0.79756097560975603</v>
      </c>
      <c r="BN56">
        <v>0.78536585365853595</v>
      </c>
      <c r="BO56">
        <v>0.77317073170731698</v>
      </c>
      <c r="BP56">
        <v>0.76097560975609702</v>
      </c>
      <c r="BQ56">
        <v>0.74878048780487805</v>
      </c>
      <c r="BR56">
        <v>0.73658536585365797</v>
      </c>
      <c r="BS56">
        <v>0.724390243902439</v>
      </c>
      <c r="BT56">
        <v>0.71219512195122003</v>
      </c>
      <c r="BU56">
        <v>0.69999999999999896</v>
      </c>
      <c r="BV56">
        <v>0.687499999999999</v>
      </c>
      <c r="BW56">
        <v>0.675</v>
      </c>
      <c r="BX56">
        <v>0.6625</v>
      </c>
      <c r="BY56">
        <v>0.64999999999999902</v>
      </c>
      <c r="BZ56">
        <v>0.63749999999999896</v>
      </c>
      <c r="CA56">
        <v>0.625</v>
      </c>
      <c r="CB56">
        <v>0.6125</v>
      </c>
      <c r="CC56">
        <v>0.60</v>
      </c>
      <c r="CD56" t="e">
        <v>#VALUE!</v>
      </c>
      <c r="CE56" t="e">
        <v>#VALUE!</v>
      </c>
      <c r="CF56" t="e">
        <v>#VALUE!</v>
      </c>
      <c r="CG56" t="e">
        <v>#VALUE!</v>
      </c>
      <c r="CH56" t="e">
        <v>#VALUE!</v>
      </c>
      <c r="CI56" t="e">
        <v>#VALUE!</v>
      </c>
      <c r="CJ56" t="e">
        <v>#VALUE!</v>
      </c>
      <c r="CK56" t="e">
        <v>#VALUE!</v>
      </c>
    </row>
    <row r="57" spans="1:89" ht="12.5">
      <c r="A57" t="s">
        <v>8</v>
      </c>
      <c r="B57" t="s">
        <v>350</v>
      </c>
      <c r="C57" t="s">
        <v>350</v>
      </c>
      <c r="D57">
        <v>0.30099999999999999</v>
      </c>
      <c r="E57">
        <v>0.299717000584587</v>
      </c>
      <c r="F57"/>
      <c r="G57">
        <v>0.29339322111322502</v>
      </c>
      <c r="H57">
        <v>0.28274797998279699</v>
      </c>
      <c r="I57">
        <v>0.27307506064297399</v>
      </c>
      <c r="J57">
        <v>0.26460153173593298</v>
      </c>
      <c r="K57">
        <v>0.25736063841314999</v>
      </c>
      <c r="L57">
        <v>0.25099882974870003</v>
      </c>
      <c r="M57">
        <v>0.245000005370027</v>
      </c>
      <c r="N57">
        <v>0.239306120729086</v>
      </c>
      <c r="O57">
        <v>0.23415875332122299</v>
      </c>
      <c r="P57">
        <v>0.22960907852482401</v>
      </c>
      <c r="Q57">
        <v>0.225632353900795</v>
      </c>
      <c r="R57">
        <v>0.22215197207145901</v>
      </c>
      <c r="S57">
        <v>0.219054545705653</v>
      </c>
      <c r="T57">
        <v>0.21628091008054501</v>
      </c>
      <c r="U57">
        <v>0.213796211065374</v>
      </c>
      <c r="V57">
        <v>0.211473447656124</v>
      </c>
      <c r="W57">
        <v>5</v>
      </c>
      <c r="AG57" s="130" t="s">
        <v>347</v>
      </c>
      <c r="AI57">
        <v>1</v>
      </c>
      <c r="AJ57">
        <v>0.99465563554391401</v>
      </c>
      <c r="AK57">
        <v>0.96793381326348404</v>
      </c>
      <c r="AL57">
        <v>0.92251082686474395</v>
      </c>
      <c r="AM57">
        <v>0.88103846302403699</v>
      </c>
      <c r="AN57">
        <v>0.84452755563329296</v>
      </c>
      <c r="AO57">
        <v>0.81315206443862098</v>
      </c>
      <c r="AP57">
        <v>0.78540368309147002</v>
      </c>
      <c r="AQ57">
        <v>0.75904714351708502</v>
      </c>
      <c r="AR57">
        <v>0.73384640428972303</v>
      </c>
      <c r="AS57">
        <v>0.71088683007765996</v>
      </c>
      <c r="AT57">
        <v>0.690423954971224</v>
      </c>
      <c r="AU57">
        <v>0.672374402783251</v>
      </c>
      <c r="AV57">
        <v>0.65641842829302299</v>
      </c>
      <c r="AW57">
        <v>0.64206183512200099</v>
      </c>
      <c r="AX57">
        <v>0.62905433090478702</v>
      </c>
      <c r="AY57">
        <v>0.61725553569560598</v>
      </c>
      <c r="AZ57">
        <v>0.60607870391012697</v>
      </c>
      <c r="BA57">
        <v>0</v>
      </c>
      <c r="BB57">
        <v>0</v>
      </c>
      <c r="BC57">
        <v>0</v>
      </c>
      <c r="BD57">
        <v>0</v>
      </c>
      <c r="BE57">
        <v>0</v>
      </c>
      <c r="BF57">
        <v>0</v>
      </c>
      <c r="BG57">
        <v>0</v>
      </c>
      <c r="BH57">
        <v>0</v>
      </c>
      <c r="BJ57" t="s">
        <v>357</v>
      </c>
      <c r="BL57">
        <v>0.80</v>
      </c>
      <c r="BM57">
        <v>0.79756097560975603</v>
      </c>
      <c r="BN57">
        <v>0.78536585365853595</v>
      </c>
      <c r="BO57">
        <v>0.77317073170731698</v>
      </c>
      <c r="BP57">
        <v>0.76097560975609702</v>
      </c>
      <c r="BQ57">
        <v>0.74878048780487805</v>
      </c>
      <c r="BR57">
        <v>0.73658536585365797</v>
      </c>
      <c r="BS57">
        <v>0.724390243902439</v>
      </c>
      <c r="BT57">
        <v>0.71219512195122003</v>
      </c>
      <c r="BU57">
        <v>0.69999999999999896</v>
      </c>
      <c r="BV57">
        <v>0.687499999999999</v>
      </c>
      <c r="BW57">
        <v>0.675</v>
      </c>
      <c r="BX57">
        <v>0.6625</v>
      </c>
      <c r="BY57">
        <v>0.64999999999999902</v>
      </c>
      <c r="BZ57">
        <v>0.63749999999999896</v>
      </c>
      <c r="CA57">
        <v>0.625</v>
      </c>
      <c r="CB57">
        <v>0.6125</v>
      </c>
      <c r="CC57">
        <v>0.60</v>
      </c>
      <c r="CD57" t="e">
        <v>#VALUE!</v>
      </c>
      <c r="CE57" t="e">
        <v>#VALUE!</v>
      </c>
      <c r="CF57" t="e">
        <v>#VALUE!</v>
      </c>
      <c r="CG57" t="e">
        <v>#VALUE!</v>
      </c>
      <c r="CH57" t="e">
        <v>#VALUE!</v>
      </c>
      <c r="CI57" t="e">
        <v>#VALUE!</v>
      </c>
      <c r="CJ57" t="e">
        <v>#VALUE!</v>
      </c>
      <c r="CK57" t="e">
        <v>#VALUE!</v>
      </c>
    </row>
    <row r="58" spans="1:89" ht="12.5">
      <c r="A58" t="s">
        <v>8</v>
      </c>
      <c r="B58" t="s">
        <v>351</v>
      </c>
      <c r="C58" t="s">
        <v>351</v>
      </c>
      <c r="D58">
        <v>0.06</v>
      </c>
      <c r="E58">
        <v>0.0597442526082234</v>
      </c>
      <c r="F58"/>
      <c r="G58">
        <v>0.058483698560775697</v>
      </c>
      <c r="H58">
        <v>0.056361723584610703</v>
      </c>
      <c r="I58">
        <v>0.0544335669055762</v>
      </c>
      <c r="J58">
        <v>0.0527444913759334</v>
      </c>
      <c r="K58">
        <v>0.051301123936176002</v>
      </c>
      <c r="L58">
        <v>0.050032989318677702</v>
      </c>
      <c r="M58">
        <v>0.048837210372762903</v>
      </c>
      <c r="N58">
        <v>0.0477022167566283</v>
      </c>
      <c r="O58">
        <v>0.046676163452735599</v>
      </c>
      <c r="P58">
        <v>0.045769251533187602</v>
      </c>
      <c r="Q58">
        <v>0.044976548950324602</v>
      </c>
      <c r="R58">
        <v>0.044282785130523403</v>
      </c>
      <c r="S58">
        <v>0.043665357947970697</v>
      </c>
      <c r="T58">
        <v>0.043112473770208298</v>
      </c>
      <c r="U58">
        <v>0.042617184929974801</v>
      </c>
      <c r="V58">
        <v>0.042154175612516498</v>
      </c>
      <c r="W58">
        <v>5</v>
      </c>
      <c r="AG58" s="130" t="s">
        <v>347</v>
      </c>
      <c r="AI58">
        <v>1</v>
      </c>
      <c r="AJ58">
        <v>0.99465563554391401</v>
      </c>
      <c r="AK58">
        <v>0.96793381326348404</v>
      </c>
      <c r="AL58">
        <v>0.92251082686474395</v>
      </c>
      <c r="AM58">
        <v>0.88103846302403699</v>
      </c>
      <c r="AN58">
        <v>0.84452755563329296</v>
      </c>
      <c r="AO58">
        <v>0.81315206443862098</v>
      </c>
      <c r="AP58">
        <v>0.78540368309147002</v>
      </c>
      <c r="AQ58">
        <v>0.75904714351708502</v>
      </c>
      <c r="AR58">
        <v>0.73384640428972303</v>
      </c>
      <c r="AS58">
        <v>0.71088683007765996</v>
      </c>
      <c r="AT58">
        <v>0.690423954971224</v>
      </c>
      <c r="AU58">
        <v>0.672374402783251</v>
      </c>
      <c r="AV58">
        <v>0.65641842829302299</v>
      </c>
      <c r="AW58">
        <v>0.64206183512200099</v>
      </c>
      <c r="AX58">
        <v>0.62905433090478702</v>
      </c>
      <c r="AY58">
        <v>0.61725553569560598</v>
      </c>
      <c r="AZ58">
        <v>0.60607870391012697</v>
      </c>
      <c r="BA58">
        <v>0</v>
      </c>
      <c r="BB58">
        <v>0</v>
      </c>
      <c r="BC58">
        <v>0</v>
      </c>
      <c r="BD58">
        <v>0</v>
      </c>
      <c r="BE58">
        <v>0</v>
      </c>
      <c r="BF58">
        <v>0</v>
      </c>
      <c r="BG58">
        <v>0</v>
      </c>
      <c r="BH58">
        <v>0</v>
      </c>
      <c r="BJ58" t="s">
        <v>357</v>
      </c>
      <c r="BL58">
        <v>0.80</v>
      </c>
      <c r="BM58">
        <v>0.79756097560975603</v>
      </c>
      <c r="BN58">
        <v>0.78536585365853595</v>
      </c>
      <c r="BO58">
        <v>0.77317073170731698</v>
      </c>
      <c r="BP58">
        <v>0.76097560975609702</v>
      </c>
      <c r="BQ58">
        <v>0.74878048780487805</v>
      </c>
      <c r="BR58">
        <v>0.73658536585365797</v>
      </c>
      <c r="BS58">
        <v>0.724390243902439</v>
      </c>
      <c r="BT58">
        <v>0.71219512195122003</v>
      </c>
      <c r="BU58">
        <v>0.69999999999999896</v>
      </c>
      <c r="BV58">
        <v>0.687499999999999</v>
      </c>
      <c r="BW58">
        <v>0.675</v>
      </c>
      <c r="BX58">
        <v>0.6625</v>
      </c>
      <c r="BY58">
        <v>0.64999999999999902</v>
      </c>
      <c r="BZ58">
        <v>0.63749999999999896</v>
      </c>
      <c r="CA58">
        <v>0.625</v>
      </c>
      <c r="CB58">
        <v>0.6125</v>
      </c>
      <c r="CC58">
        <v>0.60</v>
      </c>
      <c r="CD58" t="e">
        <v>#VALUE!</v>
      </c>
      <c r="CE58" t="e">
        <v>#VALUE!</v>
      </c>
      <c r="CF58" t="e">
        <v>#VALUE!</v>
      </c>
      <c r="CG58" t="e">
        <v>#VALUE!</v>
      </c>
      <c r="CH58" t="e">
        <v>#VALUE!</v>
      </c>
      <c r="CI58" t="e">
        <v>#VALUE!</v>
      </c>
      <c r="CJ58" t="e">
        <v>#VALUE!</v>
      </c>
      <c r="CK58" t="e">
        <v>#VALUE!</v>
      </c>
    </row>
    <row r="59" spans="1:89" ht="12.5">
      <c r="A59" t="s">
        <v>8</v>
      </c>
      <c r="B59" t="s">
        <v>352</v>
      </c>
      <c r="C59" t="s">
        <v>352</v>
      </c>
      <c r="D59">
        <v>1.015</v>
      </c>
      <c r="E59">
        <v>1.01067360662245</v>
      </c>
      <c r="F59"/>
      <c r="G59">
        <v>0.98934923398645502</v>
      </c>
      <c r="H59">
        <v>0.95345249063966497</v>
      </c>
      <c r="I59">
        <v>0.92083450681933099</v>
      </c>
      <c r="J59">
        <v>0.89226097910954005</v>
      </c>
      <c r="K59">
        <v>0.86784401325364502</v>
      </c>
      <c r="L59">
        <v>0.84639140264096502</v>
      </c>
      <c r="M59">
        <v>0.82616280880590598</v>
      </c>
      <c r="N59">
        <v>0.806962500132963</v>
      </c>
      <c r="O59">
        <v>0.78960509840877702</v>
      </c>
      <c r="P59">
        <v>0.77426317176975701</v>
      </c>
      <c r="Q59">
        <v>0.76085328640965699</v>
      </c>
      <c r="R59">
        <v>0.74911711512468804</v>
      </c>
      <c r="S59">
        <v>0.73867230528650396</v>
      </c>
      <c r="T59">
        <v>0.72931934794602504</v>
      </c>
      <c r="U59">
        <v>0.72094071173207397</v>
      </c>
      <c r="V59">
        <v>0.71310813744507096</v>
      </c>
      <c r="W59">
        <v>5</v>
      </c>
      <c r="AG59" s="130" t="s">
        <v>347</v>
      </c>
      <c r="AI59">
        <v>1</v>
      </c>
      <c r="AJ59">
        <v>0.99465563554391401</v>
      </c>
      <c r="AK59">
        <v>0.96793381326348404</v>
      </c>
      <c r="AL59">
        <v>0.92251082686474395</v>
      </c>
      <c r="AM59">
        <v>0.88103846302403699</v>
      </c>
      <c r="AN59">
        <v>0.84452755563329296</v>
      </c>
      <c r="AO59">
        <v>0.81315206443862098</v>
      </c>
      <c r="AP59">
        <v>0.78540368309147002</v>
      </c>
      <c r="AQ59">
        <v>0.75904714351708502</v>
      </c>
      <c r="AR59">
        <v>0.73384640428972303</v>
      </c>
      <c r="AS59">
        <v>0.71088683007765996</v>
      </c>
      <c r="AT59">
        <v>0.690423954971224</v>
      </c>
      <c r="AU59">
        <v>0.672374402783251</v>
      </c>
      <c r="AV59">
        <v>0.65641842829302299</v>
      </c>
      <c r="AW59">
        <v>0.64206183512200099</v>
      </c>
      <c r="AX59">
        <v>0.62905433090478702</v>
      </c>
      <c r="AY59">
        <v>0.61725553569560598</v>
      </c>
      <c r="AZ59">
        <v>0.60607870391012697</v>
      </c>
      <c r="BA59">
        <v>0</v>
      </c>
      <c r="BB59">
        <v>0</v>
      </c>
      <c r="BC59">
        <v>0</v>
      </c>
      <c r="BD59">
        <v>0</v>
      </c>
      <c r="BE59">
        <v>0</v>
      </c>
      <c r="BF59">
        <v>0</v>
      </c>
      <c r="BG59">
        <v>0</v>
      </c>
      <c r="BH59">
        <v>0</v>
      </c>
      <c r="BJ59" t="s">
        <v>357</v>
      </c>
      <c r="BL59">
        <v>0.80</v>
      </c>
      <c r="BM59">
        <v>0.79756097560975603</v>
      </c>
      <c r="BN59">
        <v>0.78536585365853595</v>
      </c>
      <c r="BO59">
        <v>0.77317073170731698</v>
      </c>
      <c r="BP59">
        <v>0.76097560975609702</v>
      </c>
      <c r="BQ59">
        <v>0.74878048780487805</v>
      </c>
      <c r="BR59">
        <v>0.73658536585365797</v>
      </c>
      <c r="BS59">
        <v>0.724390243902439</v>
      </c>
      <c r="BT59">
        <v>0.71219512195122003</v>
      </c>
      <c r="BU59">
        <v>0.69999999999999896</v>
      </c>
      <c r="BV59">
        <v>0.687499999999999</v>
      </c>
      <c r="BW59">
        <v>0.675</v>
      </c>
      <c r="BX59">
        <v>0.6625</v>
      </c>
      <c r="BY59">
        <v>0.64999999999999902</v>
      </c>
      <c r="BZ59">
        <v>0.63749999999999896</v>
      </c>
      <c r="CA59">
        <v>0.625</v>
      </c>
      <c r="CB59">
        <v>0.6125</v>
      </c>
      <c r="CC59">
        <v>0.60</v>
      </c>
      <c r="CD59" t="e">
        <v>#VALUE!</v>
      </c>
      <c r="CE59" t="e">
        <v>#VALUE!</v>
      </c>
      <c r="CF59" t="e">
        <v>#VALUE!</v>
      </c>
      <c r="CG59" t="e">
        <v>#VALUE!</v>
      </c>
      <c r="CH59" t="e">
        <v>#VALUE!</v>
      </c>
      <c r="CI59" t="e">
        <v>#VALUE!</v>
      </c>
      <c r="CJ59" t="e">
        <v>#VALUE!</v>
      </c>
      <c r="CK59" t="e">
        <v>#VALUE!</v>
      </c>
    </row>
    <row r="60" spans="1:89" ht="12.5">
      <c r="A60" t="s">
        <v>8</v>
      </c>
      <c r="B60" t="s">
        <v>353</v>
      </c>
      <c r="C60" t="s">
        <v>353</v>
      </c>
      <c r="D60">
        <v>14.676</v>
      </c>
      <c r="E60">
        <v>15.027935911490699</v>
      </c>
      <c r="F60"/>
      <c r="G60">
        <v>16.8889599183515</v>
      </c>
      <c r="H60">
        <v>19.380787641246801</v>
      </c>
      <c r="I60">
        <v>21.152720476584498</v>
      </c>
      <c r="J60">
        <v>22.543527989314001</v>
      </c>
      <c r="K60">
        <v>23.6234992372747</v>
      </c>
      <c r="L60">
        <v>24.502446488353801</v>
      </c>
      <c r="M60">
        <v>25.307495813449499</v>
      </c>
      <c r="N60">
        <v>26.135014568123498</v>
      </c>
      <c r="O60">
        <v>26.973665336265501</v>
      </c>
      <c r="P60">
        <v>27.770910501017202</v>
      </c>
      <c r="Q60">
        <v>28.481907804089399</v>
      </c>
      <c r="R60">
        <v>29.108579720138799</v>
      </c>
      <c r="S60">
        <v>29.6751278254503</v>
      </c>
      <c r="T60">
        <v>30.2087461262979</v>
      </c>
      <c r="U60">
        <v>30.7221740134875</v>
      </c>
      <c r="V60">
        <v>31.2130070740177</v>
      </c>
      <c r="W60">
        <v>5</v>
      </c>
      <c r="AG60" s="130" t="s">
        <v>354</v>
      </c>
      <c r="AI60">
        <v>1</v>
      </c>
      <c r="AJ60">
        <v>1.0300671306981399</v>
      </c>
      <c r="AK60">
        <v>1.19248961741522</v>
      </c>
      <c r="AL60">
        <v>1.4200487707504801</v>
      </c>
      <c r="AM60">
        <v>1.59066029226795</v>
      </c>
      <c r="AN60">
        <v>1.7303369127652699</v>
      </c>
      <c r="AO60">
        <v>1.84287457702262</v>
      </c>
      <c r="AP60">
        <v>1.93752918702806</v>
      </c>
      <c r="AQ60">
        <v>2.0269137044117498</v>
      </c>
      <c r="AR60">
        <v>2.1215953703199002</v>
      </c>
      <c r="AS60">
        <v>2.2206211473978898</v>
      </c>
      <c r="AT60">
        <v>2.3178561494274401</v>
      </c>
      <c r="AU60">
        <v>2.40742941988682</v>
      </c>
      <c r="AV60">
        <v>2.4889207418484598</v>
      </c>
      <c r="AW60">
        <v>2.5649090287396201</v>
      </c>
      <c r="AX60">
        <v>2.6387045604479402</v>
      </c>
      <c r="AY60">
        <v>2.7119248478454998</v>
      </c>
      <c r="AZ60">
        <v>2.7841366631297699</v>
      </c>
      <c r="BA60">
        <v>0</v>
      </c>
      <c r="BB60">
        <v>0</v>
      </c>
      <c r="BC60">
        <v>0</v>
      </c>
      <c r="BD60">
        <v>0</v>
      </c>
      <c r="BE60">
        <v>0</v>
      </c>
      <c r="BF60">
        <v>0</v>
      </c>
      <c r="BG60">
        <v>0</v>
      </c>
      <c r="BH60">
        <v>0</v>
      </c>
      <c r="BJ60" t="s">
        <v>357</v>
      </c>
      <c r="BL60">
        <v>0.80</v>
      </c>
      <c r="BM60">
        <v>0.79756097560975603</v>
      </c>
      <c r="BN60">
        <v>0.78536585365853595</v>
      </c>
      <c r="BO60">
        <v>0.77317073170731698</v>
      </c>
      <c r="BP60">
        <v>0.76097560975609702</v>
      </c>
      <c r="BQ60">
        <v>0.74878048780487805</v>
      </c>
      <c r="BR60">
        <v>0.73658536585365797</v>
      </c>
      <c r="BS60">
        <v>0.724390243902439</v>
      </c>
      <c r="BT60">
        <v>0.71219512195122003</v>
      </c>
      <c r="BU60">
        <v>0.69999999999999896</v>
      </c>
      <c r="BV60">
        <v>0.687499999999999</v>
      </c>
      <c r="BW60">
        <v>0.675</v>
      </c>
      <c r="BX60">
        <v>0.6625</v>
      </c>
      <c r="BY60">
        <v>0.64999999999999902</v>
      </c>
      <c r="BZ60">
        <v>0.63749999999999896</v>
      </c>
      <c r="CA60">
        <v>0.625</v>
      </c>
      <c r="CB60">
        <v>0.6125</v>
      </c>
      <c r="CC60">
        <v>0.60</v>
      </c>
      <c r="CD60" t="e">
        <v>#VALUE!</v>
      </c>
      <c r="CE60" t="e">
        <v>#VALUE!</v>
      </c>
      <c r="CF60" t="e">
        <v>#VALUE!</v>
      </c>
      <c r="CG60" t="e">
        <v>#VALUE!</v>
      </c>
      <c r="CH60" t="e">
        <v>#VALUE!</v>
      </c>
      <c r="CI60" t="e">
        <v>#VALUE!</v>
      </c>
      <c r="CJ60" t="e">
        <v>#VALUE!</v>
      </c>
      <c r="CK60" t="e">
        <v>#VALUE!</v>
      </c>
    </row>
    <row r="61" spans="1:89" ht="12.5">
      <c r="A61" t="s">
        <v>8</v>
      </c>
      <c r="B61" t="s">
        <v>355</v>
      </c>
      <c r="C61" t="s">
        <v>355</v>
      </c>
      <c r="D61">
        <v>13.80</v>
      </c>
      <c r="E61">
        <v>14.0703386014217</v>
      </c>
      <c r="F61"/>
      <c r="G61">
        <v>15.469092300914101</v>
      </c>
      <c r="H61">
        <v>17.083057161684199</v>
      </c>
      <c r="I61">
        <v>17.9902818310245</v>
      </c>
      <c r="J61">
        <v>18.565898266164702</v>
      </c>
      <c r="K61">
        <v>18.9142128548411</v>
      </c>
      <c r="L61">
        <v>19.126381092618601</v>
      </c>
      <c r="M61">
        <v>19.2765899198589</v>
      </c>
      <c r="N61">
        <v>19.437985288485201</v>
      </c>
      <c r="O61">
        <v>19.6241166447833</v>
      </c>
      <c r="P61">
        <v>19.8061454827833</v>
      </c>
      <c r="Q61">
        <v>19.956937120892899</v>
      </c>
      <c r="R61">
        <v>20.077782518964302</v>
      </c>
      <c r="S61">
        <v>20.180073985374101</v>
      </c>
      <c r="T61">
        <v>20.280083591265399</v>
      </c>
      <c r="U61">
        <v>20.385315361215099</v>
      </c>
      <c r="V61">
        <v>20.4836303941326</v>
      </c>
      <c r="W61">
        <v>5</v>
      </c>
      <c r="AG61" s="130" t="s">
        <v>342</v>
      </c>
      <c r="AI61">
        <v>1</v>
      </c>
      <c r="AJ61">
        <v>1.0245620765374499</v>
      </c>
      <c r="AK61">
        <v>1.1542510226618199</v>
      </c>
      <c r="AL61">
        <v>1.31001036569329</v>
      </c>
      <c r="AM61">
        <v>1.40143289909313</v>
      </c>
      <c r="AN61">
        <v>1.4613172033597199</v>
      </c>
      <c r="AO61">
        <v>1.49853726680739</v>
      </c>
      <c r="AP61">
        <v>1.5217425595890699</v>
      </c>
      <c r="AQ61">
        <v>1.53852305748937</v>
      </c>
      <c r="AR61">
        <v>1.5569251338669801</v>
      </c>
      <c r="AS61">
        <v>1.5786103282771</v>
      </c>
      <c r="AT61">
        <v>1.6003034097420701</v>
      </c>
      <c r="AU61">
        <v>1.6186939184392299</v>
      </c>
      <c r="AV61">
        <v>1.63377344151007</v>
      </c>
      <c r="AW61">
        <v>1.64683019791355</v>
      </c>
      <c r="AX61">
        <v>1.6598885317279899</v>
      </c>
      <c r="AY61">
        <v>1.6739506247231</v>
      </c>
      <c r="AZ61">
        <v>1.6874059402983601</v>
      </c>
      <c r="BA61">
        <v>0</v>
      </c>
      <c r="BB61">
        <v>0</v>
      </c>
      <c r="BC61">
        <v>0</v>
      </c>
      <c r="BD61">
        <v>0</v>
      </c>
      <c r="BE61">
        <v>0</v>
      </c>
      <c r="BF61">
        <v>0</v>
      </c>
      <c r="BG61">
        <v>0</v>
      </c>
      <c r="BH61">
        <v>0</v>
      </c>
      <c r="BJ61" t="s">
        <v>357</v>
      </c>
      <c r="BL61">
        <v>0.80</v>
      </c>
      <c r="BM61">
        <v>0.79756097560975603</v>
      </c>
      <c r="BN61">
        <v>0.78536585365853595</v>
      </c>
      <c r="BO61">
        <v>0.77317073170731698</v>
      </c>
      <c r="BP61">
        <v>0.76097560975609702</v>
      </c>
      <c r="BQ61">
        <v>0.74878048780487805</v>
      </c>
      <c r="BR61">
        <v>0.73658536585365797</v>
      </c>
      <c r="BS61">
        <v>0.724390243902439</v>
      </c>
      <c r="BT61">
        <v>0.71219512195122003</v>
      </c>
      <c r="BU61">
        <v>0.69999999999999896</v>
      </c>
      <c r="BV61">
        <v>0.687499999999999</v>
      </c>
      <c r="BW61">
        <v>0.675</v>
      </c>
      <c r="BX61">
        <v>0.6625</v>
      </c>
      <c r="BY61">
        <v>0.64999999999999902</v>
      </c>
      <c r="BZ61">
        <v>0.63749999999999896</v>
      </c>
      <c r="CA61">
        <v>0.625</v>
      </c>
      <c r="CB61">
        <v>0.6125</v>
      </c>
      <c r="CC61">
        <v>0.60</v>
      </c>
      <c r="CD61" t="e">
        <v>#VALUE!</v>
      </c>
      <c r="CE61" t="e">
        <v>#VALUE!</v>
      </c>
      <c r="CF61" t="e">
        <v>#VALUE!</v>
      </c>
      <c r="CG61" t="e">
        <v>#VALUE!</v>
      </c>
      <c r="CH61" t="e">
        <v>#VALUE!</v>
      </c>
      <c r="CI61" t="e">
        <v>#VALUE!</v>
      </c>
      <c r="CJ61" t="e">
        <v>#VALUE!</v>
      </c>
      <c r="CK61" t="e">
        <v>#VALUE!</v>
      </c>
    </row>
    <row r="62" spans="1:89" ht="12.5">
      <c r="A62" t="s">
        <v>8</v>
      </c>
      <c r="B62" t="s">
        <v>356</v>
      </c>
      <c r="C62" t="s">
        <v>356</v>
      </c>
      <c r="D62">
        <v>7.68</v>
      </c>
      <c r="E62">
        <v>7.8304493086172897</v>
      </c>
      <c r="F62"/>
      <c r="G62">
        <v>8.6088861500739409</v>
      </c>
      <c r="H62">
        <v>9.5070926812851209</v>
      </c>
      <c r="I62">
        <v>10.011982932048401</v>
      </c>
      <c r="J62">
        <v>10.3323259916047</v>
      </c>
      <c r="K62">
        <v>10.526170632259401</v>
      </c>
      <c r="L62">
        <v>10.6442468689356</v>
      </c>
      <c r="M62">
        <v>10.7278413467041</v>
      </c>
      <c r="N62">
        <v>10.817661377939601</v>
      </c>
      <c r="O62">
        <v>10.9212475240533</v>
      </c>
      <c r="P62">
        <v>11.0225505295489</v>
      </c>
      <c r="Q62">
        <v>11.106469354235999</v>
      </c>
      <c r="R62">
        <v>11.173722445336599</v>
      </c>
      <c r="S62">
        <v>11.2306498701212</v>
      </c>
      <c r="T62">
        <v>11.2863073899216</v>
      </c>
      <c r="U62">
        <v>11.3448711575458</v>
      </c>
      <c r="V62">
        <v>11.3995856106477</v>
      </c>
      <c r="W62">
        <v>5</v>
      </c>
      <c r="AG62" s="130" t="s">
        <v>342</v>
      </c>
      <c r="AI62">
        <v>1</v>
      </c>
      <c r="AJ62">
        <v>1.0245620765374499</v>
      </c>
      <c r="AK62">
        <v>1.1542510226618199</v>
      </c>
      <c r="AL62">
        <v>1.31001036569329</v>
      </c>
      <c r="AM62">
        <v>1.40143289909313</v>
      </c>
      <c r="AN62">
        <v>1.4613172033597199</v>
      </c>
      <c r="AO62">
        <v>1.49853726680739</v>
      </c>
      <c r="AP62">
        <v>1.5217425595890699</v>
      </c>
      <c r="AQ62">
        <v>1.53852305748937</v>
      </c>
      <c r="AR62">
        <v>1.5569251338669801</v>
      </c>
      <c r="AS62">
        <v>1.5786103282771</v>
      </c>
      <c r="AT62">
        <v>1.6003034097420701</v>
      </c>
      <c r="AU62">
        <v>1.6186939184392299</v>
      </c>
      <c r="AV62">
        <v>1.63377344151007</v>
      </c>
      <c r="AW62">
        <v>1.64683019791355</v>
      </c>
      <c r="AX62">
        <v>1.6598885317279899</v>
      </c>
      <c r="AY62">
        <v>1.6739506247231</v>
      </c>
      <c r="AZ62">
        <v>1.6874059402983601</v>
      </c>
      <c r="BA62">
        <v>0</v>
      </c>
      <c r="BB62">
        <v>0</v>
      </c>
      <c r="BC62">
        <v>0</v>
      </c>
      <c r="BD62">
        <v>0</v>
      </c>
      <c r="BE62">
        <v>0</v>
      </c>
      <c r="BF62">
        <v>0</v>
      </c>
      <c r="BG62">
        <v>0</v>
      </c>
      <c r="BH62">
        <v>0</v>
      </c>
      <c r="BJ62" t="s">
        <v>357</v>
      </c>
      <c r="BL62">
        <v>0.80</v>
      </c>
      <c r="BM62">
        <v>0.79756097560975603</v>
      </c>
      <c r="BN62">
        <v>0.78536585365853595</v>
      </c>
      <c r="BO62">
        <v>0.77317073170731698</v>
      </c>
      <c r="BP62">
        <v>0.76097560975609702</v>
      </c>
      <c r="BQ62">
        <v>0.74878048780487805</v>
      </c>
      <c r="BR62">
        <v>0.73658536585365797</v>
      </c>
      <c r="BS62">
        <v>0.724390243902439</v>
      </c>
      <c r="BT62">
        <v>0.71219512195122003</v>
      </c>
      <c r="BU62">
        <v>0.69999999999999896</v>
      </c>
      <c r="BV62">
        <v>0.687499999999999</v>
      </c>
      <c r="BW62">
        <v>0.675</v>
      </c>
      <c r="BX62">
        <v>0.6625</v>
      </c>
      <c r="BY62">
        <v>0.64999999999999902</v>
      </c>
      <c r="BZ62">
        <v>0.63749999999999896</v>
      </c>
      <c r="CA62">
        <v>0.625</v>
      </c>
      <c r="CB62">
        <v>0.6125</v>
      </c>
      <c r="CC62">
        <v>0.60</v>
      </c>
      <c r="CD62" t="e">
        <v>#VALUE!</v>
      </c>
      <c r="CE62" t="e">
        <v>#VALUE!</v>
      </c>
      <c r="CF62" t="e">
        <v>#VALUE!</v>
      </c>
      <c r="CG62" t="e">
        <v>#VALUE!</v>
      </c>
      <c r="CH62" t="e">
        <v>#VALUE!</v>
      </c>
      <c r="CI62" t="e">
        <v>#VALUE!</v>
      </c>
      <c r="CJ62" t="e">
        <v>#VALUE!</v>
      </c>
      <c r="CK62" t="e">
        <v>#VALUE!</v>
      </c>
    </row>
    <row r="63" spans="1:89" ht="12.5">
      <c r="A63" t="s">
        <v>9</v>
      </c>
      <c r="B63" t="s">
        <v>341</v>
      </c>
      <c r="C63" t="s">
        <v>341</v>
      </c>
      <c r="E63" s="2">
        <v>0.55609747139555199</v>
      </c>
      <c r="F63" s="2">
        <f>E63</f>
        <v>0.55609747139555199</v>
      </c>
      <c r="I63" s="2">
        <f>F63</f>
        <v>0.55609747139555199</v>
      </c>
      <c r="J63" s="2">
        <f>I63</f>
        <v>0.55609747139555199</v>
      </c>
      <c r="L63" s="2">
        <f>J63</f>
        <v>0.55609747139555199</v>
      </c>
      <c r="V63" s="2">
        <f>L63</f>
        <v>0.55609747139555199</v>
      </c>
      <c r="W63">
        <v>5</v>
      </c>
      <c r="AG63" s="130" t="s">
        <v>342</v>
      </c>
      <c r="AI63">
        <v>1</v>
      </c>
      <c r="AJ63">
        <v>1.00809088662721</v>
      </c>
      <c r="AK63">
        <v>1.1440033897955699</v>
      </c>
      <c r="AL63">
        <v>1.25050759781859</v>
      </c>
      <c r="AM63">
        <v>1.3377295644018801</v>
      </c>
      <c r="AN63">
        <v>1.41833893109734</v>
      </c>
      <c r="AO63">
        <v>1.4943227831594501</v>
      </c>
      <c r="AP63">
        <v>1.56678818974415</v>
      </c>
      <c r="AQ63">
        <v>1.6362194767434799</v>
      </c>
      <c r="AR63">
        <v>1.7058571756132199</v>
      </c>
      <c r="AS63">
        <v>1.7764588044268299</v>
      </c>
      <c r="AT63">
        <v>1.84470086225119</v>
      </c>
      <c r="AU63">
        <v>1.9094028890430701</v>
      </c>
      <c r="AV63">
        <v>1.9681216697873101</v>
      </c>
      <c r="AW63">
        <v>2.0190487396976899</v>
      </c>
      <c r="AX63">
        <v>2.0618313098584302</v>
      </c>
      <c r="AY63">
        <v>2.09672570873607</v>
      </c>
      <c r="AZ63">
        <v>2.1235653228273601</v>
      </c>
      <c r="BA63">
        <v>0</v>
      </c>
      <c r="BB63">
        <v>0</v>
      </c>
      <c r="BC63">
        <v>0</v>
      </c>
      <c r="BD63">
        <v>0</v>
      </c>
      <c r="BE63">
        <v>0</v>
      </c>
      <c r="BF63">
        <v>0</v>
      </c>
      <c r="BG63">
        <v>0</v>
      </c>
      <c r="BH63">
        <v>0</v>
      </c>
      <c r="BJ63" t="s">
        <v>357</v>
      </c>
      <c r="BL63">
        <v>0.80</v>
      </c>
      <c r="BM63">
        <v>0.79756097560975603</v>
      </c>
      <c r="BN63">
        <v>0.78536585365853595</v>
      </c>
      <c r="BO63">
        <v>0.77317073170731698</v>
      </c>
      <c r="BP63">
        <v>0.76097560975609702</v>
      </c>
      <c r="BQ63">
        <v>0.74878048780487805</v>
      </c>
      <c r="BR63">
        <v>0.73658536585365797</v>
      </c>
      <c r="BS63">
        <v>0.724390243902439</v>
      </c>
      <c r="BT63">
        <v>0.71219512195122003</v>
      </c>
      <c r="BU63">
        <v>0.69999999999999896</v>
      </c>
      <c r="BV63">
        <v>0.687499999999999</v>
      </c>
      <c r="BW63">
        <v>0.675</v>
      </c>
      <c r="BX63">
        <v>0.6625</v>
      </c>
      <c r="BY63">
        <v>0.64999999999999902</v>
      </c>
      <c r="BZ63">
        <v>0.63749999999999896</v>
      </c>
      <c r="CA63">
        <v>0.625</v>
      </c>
      <c r="CB63">
        <v>0.6125</v>
      </c>
      <c r="CC63">
        <v>0.60</v>
      </c>
      <c r="CD63" t="e">
        <v>#VALUE!</v>
      </c>
      <c r="CE63" t="e">
        <v>#VALUE!</v>
      </c>
      <c r="CF63" t="e">
        <v>#VALUE!</v>
      </c>
      <c r="CG63" t="e">
        <v>#VALUE!</v>
      </c>
      <c r="CH63" t="e">
        <v>#VALUE!</v>
      </c>
      <c r="CI63" t="e">
        <v>#VALUE!</v>
      </c>
      <c r="CJ63" t="e">
        <v>#VALUE!</v>
      </c>
      <c r="CK63" t="e">
        <v>#VALUE!</v>
      </c>
    </row>
    <row r="64" spans="1:89" ht="12.5">
      <c r="A64" t="s">
        <v>9</v>
      </c>
      <c r="B64" t="s">
        <v>344</v>
      </c>
      <c r="C64" t="s">
        <v>344</v>
      </c>
      <c r="E64" s="2">
        <v>262.50625171617997</v>
      </c>
      <c r="F64" s="2">
        <f>E64</f>
        <v>262.50625171617997</v>
      </c>
      <c r="I64" s="2">
        <f>F64</f>
        <v>262.50625171617997</v>
      </c>
      <c r="J64" s="2">
        <f>I64</f>
        <v>262.50625171617997</v>
      </c>
      <c r="L64" s="2">
        <f>J64</f>
        <v>262.50625171617997</v>
      </c>
      <c r="V64" s="2">
        <f>L64</f>
        <v>262.50625171617997</v>
      </c>
      <c r="W64">
        <v>5</v>
      </c>
      <c r="AG64" s="130" t="s">
        <v>342</v>
      </c>
      <c r="AI64">
        <v>1</v>
      </c>
      <c r="AJ64">
        <v>1.00809088662721</v>
      </c>
      <c r="AK64">
        <v>1.1440033897955699</v>
      </c>
      <c r="AL64">
        <v>1.25050759781859</v>
      </c>
      <c r="AM64">
        <v>1.3377295644018801</v>
      </c>
      <c r="AN64">
        <v>1.41833893109734</v>
      </c>
      <c r="AO64">
        <v>1.4943227831594501</v>
      </c>
      <c r="AP64">
        <v>1.56678818974415</v>
      </c>
      <c r="AQ64">
        <v>1.6362194767434799</v>
      </c>
      <c r="AR64">
        <v>1.7058571756132199</v>
      </c>
      <c r="AS64">
        <v>1.7764588044268299</v>
      </c>
      <c r="AT64">
        <v>1.84470086225119</v>
      </c>
      <c r="AU64">
        <v>1.9094028890430701</v>
      </c>
      <c r="AV64">
        <v>1.9681216697873101</v>
      </c>
      <c r="AW64">
        <v>2.0190487396976899</v>
      </c>
      <c r="AX64">
        <v>2.0618313098584302</v>
      </c>
      <c r="AY64">
        <v>2.09672570873607</v>
      </c>
      <c r="AZ64">
        <v>2.1235653228273601</v>
      </c>
      <c r="BA64">
        <v>0</v>
      </c>
      <c r="BB64">
        <v>0</v>
      </c>
      <c r="BC64">
        <v>0</v>
      </c>
      <c r="BD64">
        <v>0</v>
      </c>
      <c r="BE64">
        <v>0</v>
      </c>
      <c r="BF64">
        <v>0</v>
      </c>
      <c r="BG64">
        <v>0</v>
      </c>
      <c r="BH64">
        <v>0</v>
      </c>
      <c r="BJ64" t="s">
        <v>357</v>
      </c>
      <c r="BL64">
        <v>0.80</v>
      </c>
      <c r="BM64">
        <v>0.79756097560975603</v>
      </c>
      <c r="BN64">
        <v>0.78536585365853595</v>
      </c>
      <c r="BO64">
        <v>0.77317073170731698</v>
      </c>
      <c r="BP64">
        <v>0.76097560975609702</v>
      </c>
      <c r="BQ64">
        <v>0.74878048780487805</v>
      </c>
      <c r="BR64">
        <v>0.73658536585365797</v>
      </c>
      <c r="BS64">
        <v>0.724390243902439</v>
      </c>
      <c r="BT64">
        <v>0.71219512195122003</v>
      </c>
      <c r="BU64">
        <v>0.69999999999999896</v>
      </c>
      <c r="BV64">
        <v>0.687499999999999</v>
      </c>
      <c r="BW64">
        <v>0.675</v>
      </c>
      <c r="BX64">
        <v>0.6625</v>
      </c>
      <c r="BY64">
        <v>0.64999999999999902</v>
      </c>
      <c r="BZ64">
        <v>0.63749999999999896</v>
      </c>
      <c r="CA64">
        <v>0.625</v>
      </c>
      <c r="CB64">
        <v>0.6125</v>
      </c>
      <c r="CC64">
        <v>0.60</v>
      </c>
      <c r="CD64" t="e">
        <v>#VALUE!</v>
      </c>
      <c r="CE64" t="e">
        <v>#VALUE!</v>
      </c>
      <c r="CF64" t="e">
        <v>#VALUE!</v>
      </c>
      <c r="CG64" t="e">
        <v>#VALUE!</v>
      </c>
      <c r="CH64" t="e">
        <v>#VALUE!</v>
      </c>
      <c r="CI64" t="e">
        <v>#VALUE!</v>
      </c>
      <c r="CJ64" t="e">
        <v>#VALUE!</v>
      </c>
      <c r="CK64" t="e">
        <v>#VALUE!</v>
      </c>
    </row>
    <row r="65" spans="1:89" ht="12.5">
      <c r="A65" t="s">
        <v>9</v>
      </c>
      <c r="B65" t="s">
        <v>345</v>
      </c>
      <c r="C65" t="s">
        <v>345</v>
      </c>
      <c r="E65" s="2">
        <v>1.78356265105312</v>
      </c>
      <c r="I65" s="2">
        <v>2.2266158078563301</v>
      </c>
      <c r="J65" s="2">
        <v>2.3270813172609501</v>
      </c>
      <c r="L65" s="2">
        <v>2.5038820124705898</v>
      </c>
      <c r="V65" s="2">
        <v>3.0715202300968798</v>
      </c>
      <c r="W65">
        <v>5</v>
      </c>
      <c r="AG65" s="130" t="s">
        <v>342</v>
      </c>
      <c r="AI65">
        <v>1</v>
      </c>
      <c r="AJ65">
        <v>1.00809088662721</v>
      </c>
      <c r="AK65">
        <v>1.1440033897955699</v>
      </c>
      <c r="AL65">
        <v>1.25050759781859</v>
      </c>
      <c r="AM65">
        <v>1.3377295644018801</v>
      </c>
      <c r="AN65">
        <v>1.41833893109734</v>
      </c>
      <c r="AO65">
        <v>1.4943227831594501</v>
      </c>
      <c r="AP65">
        <v>1.56678818974415</v>
      </c>
      <c r="AQ65">
        <v>1.6362194767434799</v>
      </c>
      <c r="AR65">
        <v>1.7058571756132199</v>
      </c>
      <c r="AS65">
        <v>1.7764588044268299</v>
      </c>
      <c r="AT65">
        <v>1.84470086225119</v>
      </c>
      <c r="AU65">
        <v>1.9094028890430701</v>
      </c>
      <c r="AV65">
        <v>1.9681216697873101</v>
      </c>
      <c r="AW65">
        <v>2.0190487396976899</v>
      </c>
      <c r="AX65">
        <v>2.0618313098584302</v>
      </c>
      <c r="AY65">
        <v>2.09672570873607</v>
      </c>
      <c r="AZ65">
        <v>2.1235653228273601</v>
      </c>
      <c r="BA65">
        <v>0</v>
      </c>
      <c r="BB65">
        <v>0</v>
      </c>
      <c r="BC65">
        <v>0</v>
      </c>
      <c r="BD65">
        <v>0</v>
      </c>
      <c r="BE65">
        <v>0</v>
      </c>
      <c r="BF65">
        <v>0</v>
      </c>
      <c r="BG65">
        <v>0</v>
      </c>
      <c r="BH65">
        <v>0</v>
      </c>
      <c r="BJ65" t="s">
        <v>357</v>
      </c>
      <c r="BL65">
        <v>0.80</v>
      </c>
      <c r="BM65">
        <v>0.79756097560975603</v>
      </c>
      <c r="BN65">
        <v>0.78536585365853595</v>
      </c>
      <c r="BO65">
        <v>0.77317073170731698</v>
      </c>
      <c r="BP65">
        <v>0.76097560975609702</v>
      </c>
      <c r="BQ65">
        <v>0.74878048780487805</v>
      </c>
      <c r="BR65">
        <v>0.73658536585365797</v>
      </c>
      <c r="BS65">
        <v>0.724390243902439</v>
      </c>
      <c r="BT65">
        <v>0.71219512195122003</v>
      </c>
      <c r="BU65">
        <v>0.69999999999999896</v>
      </c>
      <c r="BV65">
        <v>0.687499999999999</v>
      </c>
      <c r="BW65">
        <v>0.675</v>
      </c>
      <c r="BX65">
        <v>0.6625</v>
      </c>
      <c r="BY65">
        <v>0.64999999999999902</v>
      </c>
      <c r="BZ65">
        <v>0.63749999999999896</v>
      </c>
      <c r="CA65">
        <v>0.625</v>
      </c>
      <c r="CB65">
        <v>0.6125</v>
      </c>
      <c r="CC65">
        <v>0.60</v>
      </c>
      <c r="CD65" t="e">
        <v>#VALUE!</v>
      </c>
      <c r="CE65" t="e">
        <v>#VALUE!</v>
      </c>
      <c r="CF65" t="e">
        <v>#VALUE!</v>
      </c>
      <c r="CG65" t="e">
        <v>#VALUE!</v>
      </c>
      <c r="CH65" t="e">
        <v>#VALUE!</v>
      </c>
      <c r="CI65" t="e">
        <v>#VALUE!</v>
      </c>
      <c r="CJ65" t="e">
        <v>#VALUE!</v>
      </c>
      <c r="CK65" t="e">
        <v>#VALUE!</v>
      </c>
    </row>
    <row r="66" spans="1:89" ht="12.5">
      <c r="A66" t="s">
        <v>9</v>
      </c>
      <c r="B66" t="s">
        <v>346</v>
      </c>
      <c r="C66" t="s">
        <v>346</v>
      </c>
      <c r="E66" s="2">
        <v>12.3807603168204</v>
      </c>
      <c r="I66" s="2">
        <v>12.6644810306856</v>
      </c>
      <c r="J66" s="2">
        <v>12.7260322944271</v>
      </c>
      <c r="L66" s="2">
        <v>12.8232854254518</v>
      </c>
      <c r="V66" s="2">
        <v>12.828033432102</v>
      </c>
      <c r="W66">
        <v>5</v>
      </c>
      <c r="AG66" s="130" t="s">
        <v>347</v>
      </c>
      <c r="AI66">
        <v>1</v>
      </c>
      <c r="AJ66">
        <v>1.00246027312928</v>
      </c>
      <c r="AK66">
        <v>1.0147616387756599</v>
      </c>
      <c r="AL66">
        <v>1.02400419008678</v>
      </c>
      <c r="AM66">
        <v>1.03216863359442</v>
      </c>
      <c r="AN66">
        <v>1.0388681848600601</v>
      </c>
      <c r="AO66">
        <v>1.04438293968798</v>
      </c>
      <c r="AP66">
        <v>1.0497424925560901</v>
      </c>
      <c r="AQ66">
        <v>1.05309357340416</v>
      </c>
      <c r="AR66">
        <v>1.0556544735446101</v>
      </c>
      <c r="AS66">
        <v>1.0579269041621</v>
      </c>
      <c r="AT66">
        <v>1.0608695712902201</v>
      </c>
      <c r="AU66">
        <v>1.0641070475582699</v>
      </c>
      <c r="AV66">
        <v>1.0660571408594599</v>
      </c>
      <c r="AW66">
        <v>1.06529950577906</v>
      </c>
      <c r="AX66">
        <v>1.0616659560080399</v>
      </c>
      <c r="AY66">
        <v>1.0558434415926801</v>
      </c>
      <c r="AZ66">
        <v>1.04844283717563</v>
      </c>
      <c r="BA66">
        <v>0</v>
      </c>
      <c r="BB66">
        <v>0</v>
      </c>
      <c r="BC66">
        <v>0</v>
      </c>
      <c r="BD66">
        <v>0</v>
      </c>
      <c r="BE66">
        <v>0</v>
      </c>
      <c r="BF66">
        <v>0</v>
      </c>
      <c r="BG66">
        <v>0</v>
      </c>
      <c r="BH66">
        <v>0</v>
      </c>
      <c r="BJ66" t="s">
        <v>357</v>
      </c>
      <c r="BL66">
        <v>0.80</v>
      </c>
      <c r="BM66">
        <v>0.79756097560975603</v>
      </c>
      <c r="BN66">
        <v>0.78536585365853595</v>
      </c>
      <c r="BO66">
        <v>0.77317073170731698</v>
      </c>
      <c r="BP66">
        <v>0.76097560975609702</v>
      </c>
      <c r="BQ66">
        <v>0.74878048780487805</v>
      </c>
      <c r="BR66">
        <v>0.73658536585365797</v>
      </c>
      <c r="BS66">
        <v>0.724390243902439</v>
      </c>
      <c r="BT66">
        <v>0.71219512195122003</v>
      </c>
      <c r="BU66">
        <v>0.69999999999999896</v>
      </c>
      <c r="BV66">
        <v>0.687499999999999</v>
      </c>
      <c r="BW66">
        <v>0.675</v>
      </c>
      <c r="BX66">
        <v>0.6625</v>
      </c>
      <c r="BY66">
        <v>0.64999999999999902</v>
      </c>
      <c r="BZ66">
        <v>0.63749999999999896</v>
      </c>
      <c r="CA66">
        <v>0.625</v>
      </c>
      <c r="CB66">
        <v>0.6125</v>
      </c>
      <c r="CC66">
        <v>0.60</v>
      </c>
      <c r="CD66" t="e">
        <v>#VALUE!</v>
      </c>
      <c r="CE66" t="e">
        <v>#VALUE!</v>
      </c>
      <c r="CF66" t="e">
        <v>#VALUE!</v>
      </c>
      <c r="CG66" t="e">
        <v>#VALUE!</v>
      </c>
      <c r="CH66" t="e">
        <v>#VALUE!</v>
      </c>
      <c r="CI66" t="e">
        <v>#VALUE!</v>
      </c>
      <c r="CJ66" t="e">
        <v>#VALUE!</v>
      </c>
      <c r="CK66" t="e">
        <v>#VALUE!</v>
      </c>
    </row>
    <row r="67" spans="1:89" ht="12.5">
      <c r="A67" t="s">
        <v>9</v>
      </c>
      <c r="B67" t="s">
        <v>348</v>
      </c>
      <c r="C67" t="s">
        <v>348</v>
      </c>
      <c r="E67" s="2">
        <v>18.0740611496268</v>
      </c>
      <c r="F67" s="2">
        <f>E67</f>
        <v>18.0740611496268</v>
      </c>
      <c r="I67" s="2">
        <f>F67</f>
        <v>18.0740611496268</v>
      </c>
      <c r="J67" s="2">
        <f>I67</f>
        <v>18.0740611496268</v>
      </c>
      <c r="L67" s="2">
        <f>J67</f>
        <v>18.0740611496268</v>
      </c>
      <c r="V67" s="2">
        <f>L67</f>
        <v>18.0740611496268</v>
      </c>
      <c r="W67">
        <v>5</v>
      </c>
      <c r="AG67" s="130" t="s">
        <v>342</v>
      </c>
      <c r="AI67">
        <v>1</v>
      </c>
      <c r="AJ67">
        <v>1.00809088662721</v>
      </c>
      <c r="AK67">
        <v>1.1440033897955699</v>
      </c>
      <c r="AL67">
        <v>1.25050759781859</v>
      </c>
      <c r="AM67">
        <v>1.3377295644018801</v>
      </c>
      <c r="AN67">
        <v>1.41833893109734</v>
      </c>
      <c r="AO67">
        <v>1.4943227831594501</v>
      </c>
      <c r="AP67">
        <v>1.56678818974415</v>
      </c>
      <c r="AQ67">
        <v>1.6362194767434799</v>
      </c>
      <c r="AR67">
        <v>1.7058571756132199</v>
      </c>
      <c r="AS67">
        <v>1.7764588044268299</v>
      </c>
      <c r="AT67">
        <v>1.84470086225119</v>
      </c>
      <c r="AU67">
        <v>1.9094028890430701</v>
      </c>
      <c r="AV67">
        <v>1.9681216697873101</v>
      </c>
      <c r="AW67">
        <v>2.0190487396976899</v>
      </c>
      <c r="AX67">
        <v>2.0618313098584302</v>
      </c>
      <c r="AY67">
        <v>2.09672570873607</v>
      </c>
      <c r="AZ67">
        <v>2.1235653228273601</v>
      </c>
      <c r="BA67">
        <v>0</v>
      </c>
      <c r="BB67">
        <v>0</v>
      </c>
      <c r="BC67">
        <v>0</v>
      </c>
      <c r="BD67">
        <v>0</v>
      </c>
      <c r="BE67">
        <v>0</v>
      </c>
      <c r="BF67">
        <v>0</v>
      </c>
      <c r="BG67">
        <v>0</v>
      </c>
      <c r="BH67">
        <v>0</v>
      </c>
      <c r="BJ67" t="s">
        <v>357</v>
      </c>
      <c r="BL67">
        <v>0.80</v>
      </c>
      <c r="BM67">
        <v>0.79756097560975603</v>
      </c>
      <c r="BN67">
        <v>0.78536585365853595</v>
      </c>
      <c r="BO67">
        <v>0.77317073170731698</v>
      </c>
      <c r="BP67">
        <v>0.76097560975609702</v>
      </c>
      <c r="BQ67">
        <v>0.74878048780487805</v>
      </c>
      <c r="BR67">
        <v>0.73658536585365797</v>
      </c>
      <c r="BS67">
        <v>0.724390243902439</v>
      </c>
      <c r="BT67">
        <v>0.71219512195122003</v>
      </c>
      <c r="BU67">
        <v>0.69999999999999896</v>
      </c>
      <c r="BV67">
        <v>0.687499999999999</v>
      </c>
      <c r="BW67">
        <v>0.675</v>
      </c>
      <c r="BX67">
        <v>0.6625</v>
      </c>
      <c r="BY67">
        <v>0.64999999999999902</v>
      </c>
      <c r="BZ67">
        <v>0.63749999999999896</v>
      </c>
      <c r="CA67">
        <v>0.625</v>
      </c>
      <c r="CB67">
        <v>0.6125</v>
      </c>
      <c r="CC67">
        <v>0.60</v>
      </c>
      <c r="CD67" t="e">
        <v>#VALUE!</v>
      </c>
      <c r="CE67" t="e">
        <v>#VALUE!</v>
      </c>
      <c r="CF67" t="e">
        <v>#VALUE!</v>
      </c>
      <c r="CG67" t="e">
        <v>#VALUE!</v>
      </c>
      <c r="CH67" t="e">
        <v>#VALUE!</v>
      </c>
      <c r="CI67" t="e">
        <v>#VALUE!</v>
      </c>
      <c r="CJ67" t="e">
        <v>#VALUE!</v>
      </c>
      <c r="CK67" t="e">
        <v>#VALUE!</v>
      </c>
    </row>
    <row r="68" spans="1:89" ht="12.5">
      <c r="A68" t="s">
        <v>9</v>
      </c>
      <c r="B68" t="s">
        <v>349</v>
      </c>
      <c r="C68" t="s">
        <v>349</v>
      </c>
      <c r="E68" s="2">
        <v>816.25477278624305</v>
      </c>
      <c r="F68" s="2">
        <f>E68</f>
        <v>816.25477278624305</v>
      </c>
      <c r="I68" s="2">
        <f>F68</f>
        <v>816.25477278624305</v>
      </c>
      <c r="J68" s="2">
        <f>I68</f>
        <v>816.25477278624305</v>
      </c>
      <c r="L68" s="2">
        <f>J68</f>
        <v>816.25477278624305</v>
      </c>
      <c r="V68" s="2">
        <f>L68</f>
        <v>816.25477278624305</v>
      </c>
      <c r="W68">
        <v>5</v>
      </c>
      <c r="AG68" s="130" t="s">
        <v>342</v>
      </c>
      <c r="AI68">
        <v>1</v>
      </c>
      <c r="AJ68">
        <v>1.00809088662721</v>
      </c>
      <c r="AK68">
        <v>1.1440033897955699</v>
      </c>
      <c r="AL68">
        <v>1.25050759781859</v>
      </c>
      <c r="AM68">
        <v>1.3377295644018801</v>
      </c>
      <c r="AN68">
        <v>1.41833893109734</v>
      </c>
      <c r="AO68">
        <v>1.4943227831594501</v>
      </c>
      <c r="AP68">
        <v>1.56678818974415</v>
      </c>
      <c r="AQ68">
        <v>1.6362194767434799</v>
      </c>
      <c r="AR68">
        <v>1.7058571756132199</v>
      </c>
      <c r="AS68">
        <v>1.7764588044268299</v>
      </c>
      <c r="AT68">
        <v>1.84470086225119</v>
      </c>
      <c r="AU68">
        <v>1.9094028890430701</v>
      </c>
      <c r="AV68">
        <v>1.9681216697873101</v>
      </c>
      <c r="AW68">
        <v>2.0190487396976899</v>
      </c>
      <c r="AX68">
        <v>2.0618313098584302</v>
      </c>
      <c r="AY68">
        <v>2.09672570873607</v>
      </c>
      <c r="AZ68">
        <v>2.1235653228273601</v>
      </c>
      <c r="BA68">
        <v>0</v>
      </c>
      <c r="BB68">
        <v>0</v>
      </c>
      <c r="BC68">
        <v>0</v>
      </c>
      <c r="BD68">
        <v>0</v>
      </c>
      <c r="BE68">
        <v>0</v>
      </c>
      <c r="BF68">
        <v>0</v>
      </c>
      <c r="BG68">
        <v>0</v>
      </c>
      <c r="BH68">
        <v>0</v>
      </c>
      <c r="BJ68" t="s">
        <v>357</v>
      </c>
      <c r="BL68">
        <v>0.80</v>
      </c>
      <c r="BM68">
        <v>0.79756097560975603</v>
      </c>
      <c r="BN68">
        <v>0.78536585365853595</v>
      </c>
      <c r="BO68">
        <v>0.77317073170731698</v>
      </c>
      <c r="BP68">
        <v>0.76097560975609702</v>
      </c>
      <c r="BQ68">
        <v>0.74878048780487805</v>
      </c>
      <c r="BR68">
        <v>0.73658536585365797</v>
      </c>
      <c r="BS68">
        <v>0.724390243902439</v>
      </c>
      <c r="BT68">
        <v>0.71219512195122003</v>
      </c>
      <c r="BU68">
        <v>0.69999999999999896</v>
      </c>
      <c r="BV68">
        <v>0.687499999999999</v>
      </c>
      <c r="BW68">
        <v>0.675</v>
      </c>
      <c r="BX68">
        <v>0.6625</v>
      </c>
      <c r="BY68">
        <v>0.64999999999999902</v>
      </c>
      <c r="BZ68">
        <v>0.63749999999999896</v>
      </c>
      <c r="CA68">
        <v>0.625</v>
      </c>
      <c r="CB68">
        <v>0.6125</v>
      </c>
      <c r="CC68">
        <v>0.60</v>
      </c>
      <c r="CD68" t="e">
        <v>#VALUE!</v>
      </c>
      <c r="CE68" t="e">
        <v>#VALUE!</v>
      </c>
      <c r="CF68" t="e">
        <v>#VALUE!</v>
      </c>
      <c r="CG68" t="e">
        <v>#VALUE!</v>
      </c>
      <c r="CH68" t="e">
        <v>#VALUE!</v>
      </c>
      <c r="CI68" t="e">
        <v>#VALUE!</v>
      </c>
      <c r="CJ68" t="e">
        <v>#VALUE!</v>
      </c>
      <c r="CK68" t="e">
        <v>#VALUE!</v>
      </c>
    </row>
    <row r="69" spans="1:89" ht="12.5">
      <c r="A69" t="s">
        <v>9</v>
      </c>
      <c r="B69" t="s">
        <v>350</v>
      </c>
      <c r="C69" t="s">
        <v>350</v>
      </c>
      <c r="D69">
        <v>1.288</v>
      </c>
      <c r="E69">
        <v>1.2905273365743799</v>
      </c>
      <c r="F69"/>
      <c r="G69">
        <v>1.30296461567403</v>
      </c>
      <c r="H69">
        <v>1.3121402449094099</v>
      </c>
      <c r="I69">
        <v>1.3201013956649299</v>
      </c>
      <c r="J69">
        <v>1.3265172850308899</v>
      </c>
      <c r="K69">
        <v>1.3317041120309101</v>
      </c>
      <c r="L69">
        <v>1.3366546127024601</v>
      </c>
      <c r="M69">
        <v>1.33969354009986</v>
      </c>
      <c r="N69">
        <v>1.3419740354168499</v>
      </c>
      <c r="O69">
        <v>1.34396006473482</v>
      </c>
      <c r="P69">
        <v>1.3464834038092801</v>
      </c>
      <c r="Q69">
        <v>1.34920567563357</v>
      </c>
      <c r="R69">
        <v>1.35081284478202</v>
      </c>
      <c r="S69">
        <v>1.3502008397929</v>
      </c>
      <c r="T69">
        <v>1.34732252838514</v>
      </c>
      <c r="U69">
        <v>1.34279667640736</v>
      </c>
      <c r="V69">
        <v>1.33714952837964</v>
      </c>
      <c r="W69">
        <v>5</v>
      </c>
      <c r="AG69" s="130" t="s">
        <v>347</v>
      </c>
      <c r="AI69">
        <v>1</v>
      </c>
      <c r="AJ69">
        <v>1.00246027312928</v>
      </c>
      <c r="AK69">
        <v>1.0147616387756599</v>
      </c>
      <c r="AL69">
        <v>1.02400419008678</v>
      </c>
      <c r="AM69">
        <v>1.03216863359442</v>
      </c>
      <c r="AN69">
        <v>1.0388681848600601</v>
      </c>
      <c r="AO69">
        <v>1.04438293968798</v>
      </c>
      <c r="AP69">
        <v>1.0497424925560901</v>
      </c>
      <c r="AQ69">
        <v>1.05309357340416</v>
      </c>
      <c r="AR69">
        <v>1.0556544735446101</v>
      </c>
      <c r="AS69">
        <v>1.0579269041621</v>
      </c>
      <c r="AT69">
        <v>1.0608695712902201</v>
      </c>
      <c r="AU69">
        <v>1.0641070475582699</v>
      </c>
      <c r="AV69">
        <v>1.0660571408594599</v>
      </c>
      <c r="AW69">
        <v>1.06529950577906</v>
      </c>
      <c r="AX69">
        <v>1.0616659560080399</v>
      </c>
      <c r="AY69">
        <v>1.0558434415926801</v>
      </c>
      <c r="AZ69">
        <v>1.04844283717563</v>
      </c>
      <c r="BA69">
        <v>0</v>
      </c>
      <c r="BB69">
        <v>0</v>
      </c>
      <c r="BC69">
        <v>0</v>
      </c>
      <c r="BD69">
        <v>0</v>
      </c>
      <c r="BE69">
        <v>0</v>
      </c>
      <c r="BF69">
        <v>0</v>
      </c>
      <c r="BG69">
        <v>0</v>
      </c>
      <c r="BH69">
        <v>0</v>
      </c>
      <c r="BJ69" t="s">
        <v>357</v>
      </c>
      <c r="BL69">
        <v>0.80</v>
      </c>
      <c r="BM69">
        <v>0.79756097560975603</v>
      </c>
      <c r="BN69">
        <v>0.78536585365853595</v>
      </c>
      <c r="BO69">
        <v>0.77317073170731698</v>
      </c>
      <c r="BP69">
        <v>0.76097560975609702</v>
      </c>
      <c r="BQ69">
        <v>0.74878048780487805</v>
      </c>
      <c r="BR69">
        <v>0.73658536585365797</v>
      </c>
      <c r="BS69">
        <v>0.724390243902439</v>
      </c>
      <c r="BT69">
        <v>0.71219512195122003</v>
      </c>
      <c r="BU69">
        <v>0.69999999999999896</v>
      </c>
      <c r="BV69">
        <v>0.687499999999999</v>
      </c>
      <c r="BW69">
        <v>0.675</v>
      </c>
      <c r="BX69">
        <v>0.6625</v>
      </c>
      <c r="BY69">
        <v>0.64999999999999902</v>
      </c>
      <c r="BZ69">
        <v>0.63749999999999896</v>
      </c>
      <c r="CA69">
        <v>0.625</v>
      </c>
      <c r="CB69">
        <v>0.6125</v>
      </c>
      <c r="CC69">
        <v>0.60</v>
      </c>
      <c r="CD69" t="e">
        <v>#VALUE!</v>
      </c>
      <c r="CE69" t="e">
        <v>#VALUE!</v>
      </c>
      <c r="CF69" t="e">
        <v>#VALUE!</v>
      </c>
      <c r="CG69" t="e">
        <v>#VALUE!</v>
      </c>
      <c r="CH69" t="e">
        <v>#VALUE!</v>
      </c>
      <c r="CI69" t="e">
        <v>#VALUE!</v>
      </c>
      <c r="CJ69" t="e">
        <v>#VALUE!</v>
      </c>
      <c r="CK69" t="e">
        <v>#VALUE!</v>
      </c>
    </row>
    <row r="70" spans="1:89" ht="12.5">
      <c r="A70" t="s">
        <v>9</v>
      </c>
      <c r="B70" t="s">
        <v>351</v>
      </c>
      <c r="C70" t="s">
        <v>351</v>
      </c>
      <c r="D70">
        <v>0.765</v>
      </c>
      <c r="E70">
        <v>0.76650109664550004</v>
      </c>
      <c r="F70"/>
      <c r="G70">
        <v>0.77388814517906501</v>
      </c>
      <c r="H70">
        <v>0.77933795602150202</v>
      </c>
      <c r="I70">
        <v>0.78406643453701097</v>
      </c>
      <c r="J70">
        <v>0.78787711416818895</v>
      </c>
      <c r="K70">
        <v>0.79095779945935296</v>
      </c>
      <c r="L70">
        <v>0.79389812012218897</v>
      </c>
      <c r="M70">
        <v>0.795703073118319</v>
      </c>
      <c r="N70">
        <v>0.79705755985550697</v>
      </c>
      <c r="O70">
        <v>0.798237150250104</v>
      </c>
      <c r="P70">
        <v>0.79973587260411505</v>
      </c>
      <c r="Q70">
        <v>0.80135274989105498</v>
      </c>
      <c r="R70">
        <v>0.80230731852348203</v>
      </c>
      <c r="S70">
        <v>0.801943821771405</v>
      </c>
      <c r="T70">
        <v>0.800234265694592</v>
      </c>
      <c r="U70">
        <v>0.79754616261772604</v>
      </c>
      <c r="V70">
        <v>0.79419207236834199</v>
      </c>
      <c r="W70">
        <v>5</v>
      </c>
      <c r="AG70" s="130" t="s">
        <v>347</v>
      </c>
      <c r="AI70">
        <v>1</v>
      </c>
      <c r="AJ70">
        <v>1.00246027312928</v>
      </c>
      <c r="AK70">
        <v>1.0147616387756599</v>
      </c>
      <c r="AL70">
        <v>1.02400419008678</v>
      </c>
      <c r="AM70">
        <v>1.03216863359442</v>
      </c>
      <c r="AN70">
        <v>1.0388681848600601</v>
      </c>
      <c r="AO70">
        <v>1.04438293968798</v>
      </c>
      <c r="AP70">
        <v>1.0497424925560901</v>
      </c>
      <c r="AQ70">
        <v>1.05309357340416</v>
      </c>
      <c r="AR70">
        <v>1.0556544735446101</v>
      </c>
      <c r="AS70">
        <v>1.0579269041621</v>
      </c>
      <c r="AT70">
        <v>1.0608695712902201</v>
      </c>
      <c r="AU70">
        <v>1.0641070475582699</v>
      </c>
      <c r="AV70">
        <v>1.0660571408594599</v>
      </c>
      <c r="AW70">
        <v>1.06529950577906</v>
      </c>
      <c r="AX70">
        <v>1.0616659560080399</v>
      </c>
      <c r="AY70">
        <v>1.0558434415926801</v>
      </c>
      <c r="AZ70">
        <v>1.04844283717563</v>
      </c>
      <c r="BA70">
        <v>0</v>
      </c>
      <c r="BB70">
        <v>0</v>
      </c>
      <c r="BC70">
        <v>0</v>
      </c>
      <c r="BD70">
        <v>0</v>
      </c>
      <c r="BE70">
        <v>0</v>
      </c>
      <c r="BF70">
        <v>0</v>
      </c>
      <c r="BG70">
        <v>0</v>
      </c>
      <c r="BH70">
        <v>0</v>
      </c>
      <c r="BJ70" t="s">
        <v>357</v>
      </c>
      <c r="BL70">
        <v>0.80</v>
      </c>
      <c r="BM70">
        <v>0.79756097560975603</v>
      </c>
      <c r="BN70">
        <v>0.78536585365853595</v>
      </c>
      <c r="BO70">
        <v>0.77317073170731698</v>
      </c>
      <c r="BP70">
        <v>0.76097560975609702</v>
      </c>
      <c r="BQ70">
        <v>0.74878048780487805</v>
      </c>
      <c r="BR70">
        <v>0.73658536585365797</v>
      </c>
      <c r="BS70">
        <v>0.724390243902439</v>
      </c>
      <c r="BT70">
        <v>0.71219512195122003</v>
      </c>
      <c r="BU70">
        <v>0.69999999999999896</v>
      </c>
      <c r="BV70">
        <v>0.687499999999999</v>
      </c>
      <c r="BW70">
        <v>0.675</v>
      </c>
      <c r="BX70">
        <v>0.6625</v>
      </c>
      <c r="BY70">
        <v>0.64999999999999902</v>
      </c>
      <c r="BZ70">
        <v>0.63749999999999896</v>
      </c>
      <c r="CA70">
        <v>0.625</v>
      </c>
      <c r="CB70">
        <v>0.6125</v>
      </c>
      <c r="CC70">
        <v>0.60</v>
      </c>
      <c r="CD70" t="e">
        <v>#VALUE!</v>
      </c>
      <c r="CE70" t="e">
        <v>#VALUE!</v>
      </c>
      <c r="CF70" t="e">
        <v>#VALUE!</v>
      </c>
      <c r="CG70" t="e">
        <v>#VALUE!</v>
      </c>
      <c r="CH70" t="e">
        <v>#VALUE!</v>
      </c>
      <c r="CI70" t="e">
        <v>#VALUE!</v>
      </c>
      <c r="CJ70" t="e">
        <v>#VALUE!</v>
      </c>
      <c r="CK70" t="e">
        <v>#VALUE!</v>
      </c>
    </row>
    <row r="71" spans="1:89" ht="12.5">
      <c r="A71" t="s">
        <v>9</v>
      </c>
      <c r="B71" t="s">
        <v>352</v>
      </c>
      <c r="C71" t="s">
        <v>352</v>
      </c>
      <c r="D71">
        <v>1.785</v>
      </c>
      <c r="E71">
        <v>1.7885025588395</v>
      </c>
      <c r="F71"/>
      <c r="G71">
        <v>1.80573900541782</v>
      </c>
      <c r="H71">
        <v>1.81845523071684</v>
      </c>
      <c r="I71">
        <v>1.8294883472530299</v>
      </c>
      <c r="J71">
        <v>1.83837993305911</v>
      </c>
      <c r="K71">
        <v>1.84556819873849</v>
      </c>
      <c r="L71">
        <v>1.8524289469517801</v>
      </c>
      <c r="M71">
        <v>1.85664050394275</v>
      </c>
      <c r="N71">
        <v>1.85980097299618</v>
      </c>
      <c r="O71">
        <v>1.8625533505835801</v>
      </c>
      <c r="P71">
        <v>1.8660503694096</v>
      </c>
      <c r="Q71">
        <v>1.86982308307913</v>
      </c>
      <c r="R71">
        <v>1.8720504098881301</v>
      </c>
      <c r="S71">
        <v>1.87120225079995</v>
      </c>
      <c r="T71">
        <v>1.8672132866207201</v>
      </c>
      <c r="U71">
        <v>1.86094104610803</v>
      </c>
      <c r="V71">
        <v>1.85311483552613</v>
      </c>
      <c r="W71">
        <v>5</v>
      </c>
      <c r="AG71" s="130" t="s">
        <v>347</v>
      </c>
      <c r="AI71">
        <v>1</v>
      </c>
      <c r="AJ71">
        <v>1.00246027312928</v>
      </c>
      <c r="AK71">
        <v>1.0147616387756599</v>
      </c>
      <c r="AL71">
        <v>1.02400419008678</v>
      </c>
      <c r="AM71">
        <v>1.03216863359442</v>
      </c>
      <c r="AN71">
        <v>1.0388681848600601</v>
      </c>
      <c r="AO71">
        <v>1.04438293968798</v>
      </c>
      <c r="AP71">
        <v>1.0497424925560901</v>
      </c>
      <c r="AQ71">
        <v>1.05309357340416</v>
      </c>
      <c r="AR71">
        <v>1.0556544735446101</v>
      </c>
      <c r="AS71">
        <v>1.0579269041621</v>
      </c>
      <c r="AT71">
        <v>1.0608695712902201</v>
      </c>
      <c r="AU71">
        <v>1.0641070475582699</v>
      </c>
      <c r="AV71">
        <v>1.0660571408594599</v>
      </c>
      <c r="AW71">
        <v>1.06529950577906</v>
      </c>
      <c r="AX71">
        <v>1.0616659560080399</v>
      </c>
      <c r="AY71">
        <v>1.0558434415926801</v>
      </c>
      <c r="AZ71">
        <v>1.04844283717563</v>
      </c>
      <c r="BA71">
        <v>0</v>
      </c>
      <c r="BB71">
        <v>0</v>
      </c>
      <c r="BC71">
        <v>0</v>
      </c>
      <c r="BD71">
        <v>0</v>
      </c>
      <c r="BE71">
        <v>0</v>
      </c>
      <c r="BF71">
        <v>0</v>
      </c>
      <c r="BG71">
        <v>0</v>
      </c>
      <c r="BH71">
        <v>0</v>
      </c>
      <c r="BJ71" t="s">
        <v>357</v>
      </c>
      <c r="BL71">
        <v>0.80</v>
      </c>
      <c r="BM71">
        <v>0.79756097560975603</v>
      </c>
      <c r="BN71">
        <v>0.78536585365853595</v>
      </c>
      <c r="BO71">
        <v>0.77317073170731698</v>
      </c>
      <c r="BP71">
        <v>0.76097560975609702</v>
      </c>
      <c r="BQ71">
        <v>0.74878048780487805</v>
      </c>
      <c r="BR71">
        <v>0.73658536585365797</v>
      </c>
      <c r="BS71">
        <v>0.724390243902439</v>
      </c>
      <c r="BT71">
        <v>0.71219512195122003</v>
      </c>
      <c r="BU71">
        <v>0.69999999999999896</v>
      </c>
      <c r="BV71">
        <v>0.687499999999999</v>
      </c>
      <c r="BW71">
        <v>0.675</v>
      </c>
      <c r="BX71">
        <v>0.6625</v>
      </c>
      <c r="BY71">
        <v>0.64999999999999902</v>
      </c>
      <c r="BZ71">
        <v>0.63749999999999896</v>
      </c>
      <c r="CA71">
        <v>0.625</v>
      </c>
      <c r="CB71">
        <v>0.6125</v>
      </c>
      <c r="CC71">
        <v>0.60</v>
      </c>
      <c r="CD71" t="e">
        <v>#VALUE!</v>
      </c>
      <c r="CE71" t="e">
        <v>#VALUE!</v>
      </c>
      <c r="CF71" t="e">
        <v>#VALUE!</v>
      </c>
      <c r="CG71" t="e">
        <v>#VALUE!</v>
      </c>
      <c r="CH71" t="e">
        <v>#VALUE!</v>
      </c>
      <c r="CI71" t="e">
        <v>#VALUE!</v>
      </c>
      <c r="CJ71" t="e">
        <v>#VALUE!</v>
      </c>
      <c r="CK71" t="e">
        <v>#VALUE!</v>
      </c>
    </row>
    <row r="72" spans="1:89" ht="12.5">
      <c r="A72" t="s">
        <v>9</v>
      </c>
      <c r="B72" t="s">
        <v>353</v>
      </c>
      <c r="C72" t="s">
        <v>353</v>
      </c>
      <c r="D72">
        <v>188.41200000000001</v>
      </c>
      <c r="E72">
        <v>189.256036060692</v>
      </c>
      <c r="F72"/>
      <c r="G72">
        <v>207.25054400789099</v>
      </c>
      <c r="H72">
        <v>220.587584191758</v>
      </c>
      <c r="I72">
        <v>230.87541985967201</v>
      </c>
      <c r="J72">
        <v>240.110549584008</v>
      </c>
      <c r="K72">
        <v>248.601538699814</v>
      </c>
      <c r="L72">
        <v>256.37049935059002</v>
      </c>
      <c r="M72">
        <v>263.85492231354499</v>
      </c>
      <c r="N72">
        <v>271.24858325491903</v>
      </c>
      <c r="O72">
        <v>278.54957028226801</v>
      </c>
      <c r="P72">
        <v>285.23075917517701</v>
      </c>
      <c r="Q72">
        <v>291.26355242085799</v>
      </c>
      <c r="R72">
        <v>296.72867535095003</v>
      </c>
      <c r="S72">
        <v>301.76150620979797</v>
      </c>
      <c r="T72">
        <v>306.41702384853397</v>
      </c>
      <c r="U72">
        <v>310.64581559321903</v>
      </c>
      <c r="V72">
        <v>314.36419868529299</v>
      </c>
      <c r="W72">
        <v>5</v>
      </c>
      <c r="AG72" s="130" t="s">
        <v>354</v>
      </c>
      <c r="AI72">
        <v>1</v>
      </c>
      <c r="AJ72">
        <v>1.00561679464899</v>
      </c>
      <c r="AK72">
        <v>1.1273616838490701</v>
      </c>
      <c r="AL72">
        <v>1.22119382901413</v>
      </c>
      <c r="AM72">
        <v>1.2960377993113199</v>
      </c>
      <c r="AN72">
        <v>1.36527323847963</v>
      </c>
      <c r="AO72">
        <v>1.4308188370119199</v>
      </c>
      <c r="AP72">
        <v>1.4925452678676301</v>
      </c>
      <c r="AQ72">
        <v>1.5537265804921201</v>
      </c>
      <c r="AR72">
        <v>1.6159237879089401</v>
      </c>
      <c r="AS72">
        <v>1.67918860692349</v>
      </c>
      <c r="AT72">
        <v>1.7388573602009201</v>
      </c>
      <c r="AU72">
        <v>1.79437105827317</v>
      </c>
      <c r="AV72">
        <v>1.84616902261036</v>
      </c>
      <c r="AW72">
        <v>1.89528740860642</v>
      </c>
      <c r="AX72">
        <v>1.9420716075432201</v>
      </c>
      <c r="AY72">
        <v>1.9858301203948201</v>
      </c>
      <c r="AZ72">
        <v>2.02544692712859</v>
      </c>
      <c r="BA72">
        <v>0</v>
      </c>
      <c r="BB72">
        <v>0</v>
      </c>
      <c r="BC72">
        <v>0</v>
      </c>
      <c r="BD72">
        <v>0</v>
      </c>
      <c r="BE72">
        <v>0</v>
      </c>
      <c r="BF72">
        <v>0</v>
      </c>
      <c r="BG72">
        <v>0</v>
      </c>
      <c r="BH72">
        <v>0</v>
      </c>
      <c r="BJ72" t="s">
        <v>357</v>
      </c>
      <c r="BL72">
        <v>0.80</v>
      </c>
      <c r="BM72">
        <v>0.79756097560975603</v>
      </c>
      <c r="BN72">
        <v>0.78536585365853595</v>
      </c>
      <c r="BO72">
        <v>0.77317073170731698</v>
      </c>
      <c r="BP72">
        <v>0.76097560975609702</v>
      </c>
      <c r="BQ72">
        <v>0.74878048780487805</v>
      </c>
      <c r="BR72">
        <v>0.73658536585365797</v>
      </c>
      <c r="BS72">
        <v>0.724390243902439</v>
      </c>
      <c r="BT72">
        <v>0.71219512195122003</v>
      </c>
      <c r="BU72">
        <v>0.69999999999999896</v>
      </c>
      <c r="BV72">
        <v>0.687499999999999</v>
      </c>
      <c r="BW72">
        <v>0.675</v>
      </c>
      <c r="BX72">
        <v>0.6625</v>
      </c>
      <c r="BY72">
        <v>0.64999999999999902</v>
      </c>
      <c r="BZ72">
        <v>0.63749999999999896</v>
      </c>
      <c r="CA72">
        <v>0.625</v>
      </c>
      <c r="CB72">
        <v>0.6125</v>
      </c>
      <c r="CC72">
        <v>0.60</v>
      </c>
      <c r="CD72" t="e">
        <v>#VALUE!</v>
      </c>
      <c r="CE72" t="e">
        <v>#VALUE!</v>
      </c>
      <c r="CF72" t="e">
        <v>#VALUE!</v>
      </c>
      <c r="CG72" t="e">
        <v>#VALUE!</v>
      </c>
      <c r="CH72" t="e">
        <v>#VALUE!</v>
      </c>
      <c r="CI72" t="e">
        <v>#VALUE!</v>
      </c>
      <c r="CJ72" t="e">
        <v>#VALUE!</v>
      </c>
      <c r="CK72" t="e">
        <v>#VALUE!</v>
      </c>
    </row>
    <row r="73" spans="1:89" ht="12.5">
      <c r="A73" t="s">
        <v>9</v>
      </c>
      <c r="B73" t="s">
        <v>355</v>
      </c>
      <c r="C73" t="s">
        <v>355</v>
      </c>
      <c r="D73">
        <v>52.20</v>
      </c>
      <c r="E73">
        <v>52.536845317547602</v>
      </c>
      <c r="F73"/>
      <c r="G73">
        <v>58.0996745557037</v>
      </c>
      <c r="H73">
        <v>62.281718202807099</v>
      </c>
      <c r="I73">
        <v>65.587474715218406</v>
      </c>
      <c r="J73">
        <v>68.546799370409502</v>
      </c>
      <c r="K73">
        <v>71.251701466464496</v>
      </c>
      <c r="L73">
        <v>73.754662840066203</v>
      </c>
      <c r="M73">
        <v>76.082397123734495</v>
      </c>
      <c r="N73">
        <v>78.349050341623595</v>
      </c>
      <c r="O73">
        <v>80.578401556556997</v>
      </c>
      <c r="P73">
        <v>82.667790991978805</v>
      </c>
      <c r="Q73">
        <v>84.588732539083097</v>
      </c>
      <c r="R73">
        <v>86.279583497848094</v>
      </c>
      <c r="S73">
        <v>87.702845896029302</v>
      </c>
      <c r="T73">
        <v>88.8643313409043</v>
      </c>
      <c r="U73">
        <v>89.785493653261696</v>
      </c>
      <c r="V73">
        <v>90.475085426933106</v>
      </c>
      <c r="W73">
        <v>5</v>
      </c>
      <c r="AG73" s="130" t="s">
        <v>342</v>
      </c>
      <c r="AI73">
        <v>1</v>
      </c>
      <c r="AJ73">
        <v>1.00809088662721</v>
      </c>
      <c r="AK73">
        <v>1.1440033897955699</v>
      </c>
      <c r="AL73">
        <v>1.25050759781859</v>
      </c>
      <c r="AM73">
        <v>1.3377295644018801</v>
      </c>
      <c r="AN73">
        <v>1.41833893109734</v>
      </c>
      <c r="AO73">
        <v>1.4943227831594501</v>
      </c>
      <c r="AP73">
        <v>1.56678818974415</v>
      </c>
      <c r="AQ73">
        <v>1.6362194767434799</v>
      </c>
      <c r="AR73">
        <v>1.7058571756132199</v>
      </c>
      <c r="AS73">
        <v>1.7764588044268299</v>
      </c>
      <c r="AT73">
        <v>1.84470086225119</v>
      </c>
      <c r="AU73">
        <v>1.9094028890430701</v>
      </c>
      <c r="AV73">
        <v>1.9681216697873101</v>
      </c>
      <c r="AW73">
        <v>2.0190487396976899</v>
      </c>
      <c r="AX73">
        <v>2.0618313098584302</v>
      </c>
      <c r="AY73">
        <v>2.09672570873607</v>
      </c>
      <c r="AZ73">
        <v>2.1235653228273601</v>
      </c>
      <c r="BA73">
        <v>0</v>
      </c>
      <c r="BB73">
        <v>0</v>
      </c>
      <c r="BC73">
        <v>0</v>
      </c>
      <c r="BD73">
        <v>0</v>
      </c>
      <c r="BE73">
        <v>0</v>
      </c>
      <c r="BF73">
        <v>0</v>
      </c>
      <c r="BG73">
        <v>0</v>
      </c>
      <c r="BH73">
        <v>0</v>
      </c>
      <c r="BJ73" t="s">
        <v>357</v>
      </c>
      <c r="BL73">
        <v>0.80</v>
      </c>
      <c r="BM73">
        <v>0.79756097560975603</v>
      </c>
      <c r="BN73">
        <v>0.78536585365853595</v>
      </c>
      <c r="BO73">
        <v>0.77317073170731698</v>
      </c>
      <c r="BP73">
        <v>0.76097560975609702</v>
      </c>
      <c r="BQ73">
        <v>0.74878048780487805</v>
      </c>
      <c r="BR73">
        <v>0.73658536585365797</v>
      </c>
      <c r="BS73">
        <v>0.724390243902439</v>
      </c>
      <c r="BT73">
        <v>0.71219512195122003</v>
      </c>
      <c r="BU73">
        <v>0.69999999999999896</v>
      </c>
      <c r="BV73">
        <v>0.687499999999999</v>
      </c>
      <c r="BW73">
        <v>0.675</v>
      </c>
      <c r="BX73">
        <v>0.6625</v>
      </c>
      <c r="BY73">
        <v>0.64999999999999902</v>
      </c>
      <c r="BZ73">
        <v>0.63749999999999896</v>
      </c>
      <c r="CA73">
        <v>0.625</v>
      </c>
      <c r="CB73">
        <v>0.6125</v>
      </c>
      <c r="CC73">
        <v>0.60</v>
      </c>
      <c r="CD73" t="e">
        <v>#VALUE!</v>
      </c>
      <c r="CE73" t="e">
        <v>#VALUE!</v>
      </c>
      <c r="CF73" t="e">
        <v>#VALUE!</v>
      </c>
      <c r="CG73" t="e">
        <v>#VALUE!</v>
      </c>
      <c r="CH73" t="e">
        <v>#VALUE!</v>
      </c>
      <c r="CI73" t="e">
        <v>#VALUE!</v>
      </c>
      <c r="CJ73" t="e">
        <v>#VALUE!</v>
      </c>
      <c r="CK73" t="e">
        <v>#VALUE!</v>
      </c>
    </row>
    <row r="74" spans="1:89" ht="12.5">
      <c r="A74" t="s">
        <v>9</v>
      </c>
      <c r="B74" t="s">
        <v>356</v>
      </c>
      <c r="C74" t="s">
        <v>356</v>
      </c>
      <c r="D74">
        <v>30.40</v>
      </c>
      <c r="E74">
        <v>30.596170453131101</v>
      </c>
      <c r="F74"/>
      <c r="G74">
        <v>33.8358257948926</v>
      </c>
      <c r="H74">
        <v>36.271345466768899</v>
      </c>
      <c r="I74">
        <v>38.196536998901102</v>
      </c>
      <c r="J74">
        <v>39.9199751122691</v>
      </c>
      <c r="K74">
        <v>41.495243765910402</v>
      </c>
      <c r="L74">
        <v>42.952907094597997</v>
      </c>
      <c r="M74">
        <v>44.308522462864502</v>
      </c>
      <c r="N74">
        <v>45.628565716194601</v>
      </c>
      <c r="O74">
        <v>46.926885197688399</v>
      </c>
      <c r="P74">
        <v>48.143694370807602</v>
      </c>
      <c r="Q74">
        <v>49.262403624293597</v>
      </c>
      <c r="R74">
        <v>50.247113761198896</v>
      </c>
      <c r="S74">
        <v>51.0759868819787</v>
      </c>
      <c r="T74">
        <v>51.752407524204799</v>
      </c>
      <c r="U74">
        <v>52.288869867033704</v>
      </c>
      <c r="V74">
        <v>52.690471206489804</v>
      </c>
      <c r="W74">
        <v>5</v>
      </c>
      <c r="AG74" s="130" t="s">
        <v>342</v>
      </c>
      <c r="AI74">
        <v>1</v>
      </c>
      <c r="AJ74">
        <v>1.00809088662721</v>
      </c>
      <c r="AK74">
        <v>1.1440033897955699</v>
      </c>
      <c r="AL74">
        <v>1.25050759781859</v>
      </c>
      <c r="AM74">
        <v>1.3377295644018801</v>
      </c>
      <c r="AN74">
        <v>1.41833893109734</v>
      </c>
      <c r="AO74">
        <v>1.4943227831594501</v>
      </c>
      <c r="AP74">
        <v>1.56678818974415</v>
      </c>
      <c r="AQ74">
        <v>1.6362194767434799</v>
      </c>
      <c r="AR74">
        <v>1.7058571756132199</v>
      </c>
      <c r="AS74">
        <v>1.7764588044268299</v>
      </c>
      <c r="AT74">
        <v>1.84470086225119</v>
      </c>
      <c r="AU74">
        <v>1.9094028890430701</v>
      </c>
      <c r="AV74">
        <v>1.9681216697873101</v>
      </c>
      <c r="AW74">
        <v>2.0190487396976899</v>
      </c>
      <c r="AX74">
        <v>2.0618313098584302</v>
      </c>
      <c r="AY74">
        <v>2.09672570873607</v>
      </c>
      <c r="AZ74">
        <v>2.1235653228273601</v>
      </c>
      <c r="BA74">
        <v>0</v>
      </c>
      <c r="BB74">
        <v>0</v>
      </c>
      <c r="BC74">
        <v>0</v>
      </c>
      <c r="BD74">
        <v>0</v>
      </c>
      <c r="BE74">
        <v>0</v>
      </c>
      <c r="BF74">
        <v>0</v>
      </c>
      <c r="BG74">
        <v>0</v>
      </c>
      <c r="BH74">
        <v>0</v>
      </c>
      <c r="BJ74" t="s">
        <v>357</v>
      </c>
      <c r="BL74">
        <v>0.80</v>
      </c>
      <c r="BM74">
        <v>0.79756097560975603</v>
      </c>
      <c r="BN74">
        <v>0.78536585365853595</v>
      </c>
      <c r="BO74">
        <v>0.77317073170731698</v>
      </c>
      <c r="BP74">
        <v>0.76097560975609702</v>
      </c>
      <c r="BQ74">
        <v>0.74878048780487805</v>
      </c>
      <c r="BR74">
        <v>0.73658536585365797</v>
      </c>
      <c r="BS74">
        <v>0.724390243902439</v>
      </c>
      <c r="BT74">
        <v>0.71219512195122003</v>
      </c>
      <c r="BU74">
        <v>0.69999999999999896</v>
      </c>
      <c r="BV74">
        <v>0.687499999999999</v>
      </c>
      <c r="BW74">
        <v>0.675</v>
      </c>
      <c r="BX74">
        <v>0.6625</v>
      </c>
      <c r="BY74">
        <v>0.64999999999999902</v>
      </c>
      <c r="BZ74">
        <v>0.63749999999999896</v>
      </c>
      <c r="CA74">
        <v>0.625</v>
      </c>
      <c r="CB74">
        <v>0.6125</v>
      </c>
      <c r="CC74">
        <v>0.60</v>
      </c>
      <c r="CD74" t="e">
        <v>#VALUE!</v>
      </c>
      <c r="CE74" t="e">
        <v>#VALUE!</v>
      </c>
      <c r="CF74" t="e">
        <v>#VALUE!</v>
      </c>
      <c r="CG74" t="e">
        <v>#VALUE!</v>
      </c>
      <c r="CH74" t="e">
        <v>#VALUE!</v>
      </c>
      <c r="CI74" t="e">
        <v>#VALUE!</v>
      </c>
      <c r="CJ74" t="e">
        <v>#VALUE!</v>
      </c>
      <c r="CK74" t="e">
        <v>#VALUE!</v>
      </c>
    </row>
    <row r="75" spans="1:89" ht="12.5">
      <c r="A75" t="s">
        <v>10</v>
      </c>
      <c r="B75" t="s">
        <v>341</v>
      </c>
      <c r="C75" t="s">
        <v>341</v>
      </c>
      <c r="E75" s="2">
        <v>139.408253389821</v>
      </c>
      <c r="F75" s="2">
        <f>E75</f>
        <v>139.408253389821</v>
      </c>
      <c r="I75" s="2">
        <f>F75</f>
        <v>139.408253389821</v>
      </c>
      <c r="J75" s="2">
        <f>I75</f>
        <v>139.408253389821</v>
      </c>
      <c r="L75" s="2">
        <f>J75</f>
        <v>139.408253389821</v>
      </c>
      <c r="V75" s="2">
        <f>L75</f>
        <v>139.408253389821</v>
      </c>
      <c r="W75">
        <v>5</v>
      </c>
      <c r="AG75" s="130" t="s">
        <v>342</v>
      </c>
      <c r="AI75">
        <v>1</v>
      </c>
      <c r="AJ75">
        <v>0.99455805173916101</v>
      </c>
      <c r="AK75">
        <v>1.1551368549712699</v>
      </c>
      <c r="AL75">
        <v>1.25563538404626</v>
      </c>
      <c r="AM75">
        <v>1.42788808774329</v>
      </c>
      <c r="AN75">
        <v>1.65347960827729</v>
      </c>
      <c r="AO75">
        <v>1.9282871549153</v>
      </c>
      <c r="AP75">
        <v>2.2437331548258701</v>
      </c>
      <c r="AQ75">
        <v>2.5928966043381099</v>
      </c>
      <c r="AR75">
        <v>2.9664478685476801</v>
      </c>
      <c r="AS75">
        <v>3.36388557273931</v>
      </c>
      <c r="AT75">
        <v>3.7716590489328201</v>
      </c>
      <c r="AU75">
        <v>4.1876306792543296</v>
      </c>
      <c r="AV75">
        <v>4.6009260526497604</v>
      </c>
      <c r="AW75">
        <v>5.0116467991289602</v>
      </c>
      <c r="AX75">
        <v>5.4192508919727196</v>
      </c>
      <c r="AY75">
        <v>5.8237044545110903</v>
      </c>
      <c r="AZ75">
        <v>6.2248719800642602</v>
      </c>
      <c r="BA75">
        <v>0</v>
      </c>
      <c r="BB75">
        <v>0</v>
      </c>
      <c r="BC75">
        <v>0</v>
      </c>
      <c r="BD75">
        <v>0</v>
      </c>
      <c r="BE75">
        <v>0</v>
      </c>
      <c r="BF75">
        <v>0</v>
      </c>
      <c r="BG75">
        <v>0</v>
      </c>
      <c r="BH75">
        <v>0</v>
      </c>
      <c r="BJ75" t="s">
        <v>343</v>
      </c>
      <c r="BL75">
        <v>1</v>
      </c>
      <c r="BM75">
        <v>0.99756097560975698</v>
      </c>
      <c r="BN75">
        <v>0.98536585365853702</v>
      </c>
      <c r="BO75">
        <v>0.97317073170731705</v>
      </c>
      <c r="BP75">
        <v>0.96097560975609797</v>
      </c>
      <c r="BQ75">
        <v>0.948780487804878</v>
      </c>
      <c r="BR75">
        <v>0.93658536585365804</v>
      </c>
      <c r="BS75">
        <v>0.92439024390243896</v>
      </c>
      <c r="BT75">
        <v>0.91219512195121999</v>
      </c>
      <c r="BU75">
        <v>0.90</v>
      </c>
      <c r="BV75">
        <v>0.8875</v>
      </c>
      <c r="BW75">
        <v>0.875000000000001</v>
      </c>
      <c r="BX75">
        <v>0.86250000000000104</v>
      </c>
      <c r="BY75">
        <v>0.85000000000000098</v>
      </c>
      <c r="BZ75">
        <v>0.8375</v>
      </c>
      <c r="CA75">
        <v>0.82500000000000095</v>
      </c>
      <c r="CB75">
        <v>0.812500000000001</v>
      </c>
      <c r="CC75">
        <v>0.80000000000000104</v>
      </c>
      <c r="CD75" t="e">
        <v>#VALUE!</v>
      </c>
      <c r="CE75" t="e">
        <v>#VALUE!</v>
      </c>
      <c r="CF75" t="e">
        <v>#VALUE!</v>
      </c>
      <c r="CG75" t="e">
        <v>#VALUE!</v>
      </c>
      <c r="CH75" t="e">
        <v>#VALUE!</v>
      </c>
      <c r="CI75" t="e">
        <v>#VALUE!</v>
      </c>
      <c r="CJ75" t="e">
        <v>#VALUE!</v>
      </c>
      <c r="CK75" t="e">
        <v>#VALUE!</v>
      </c>
    </row>
    <row r="76" spans="1:89" ht="12.5">
      <c r="A76" t="s">
        <v>10</v>
      </c>
      <c r="B76" t="s">
        <v>344</v>
      </c>
      <c r="C76" t="s">
        <v>344</v>
      </c>
      <c r="E76" s="2">
        <v>100.89549985663</v>
      </c>
      <c r="F76" s="2">
        <f>E76</f>
        <v>100.89549985663</v>
      </c>
      <c r="I76" s="2">
        <f>F76</f>
        <v>100.89549985663</v>
      </c>
      <c r="J76" s="2">
        <f>I76</f>
        <v>100.89549985663</v>
      </c>
      <c r="L76" s="2">
        <f>J76</f>
        <v>100.89549985663</v>
      </c>
      <c r="V76" s="2">
        <f>L76</f>
        <v>100.89549985663</v>
      </c>
      <c r="W76">
        <v>5</v>
      </c>
      <c r="AG76" s="130" t="s">
        <v>342</v>
      </c>
      <c r="AI76">
        <v>1</v>
      </c>
      <c r="AJ76">
        <v>0.99455805173916101</v>
      </c>
      <c r="AK76">
        <v>1.1551368549712699</v>
      </c>
      <c r="AL76">
        <v>1.25563538404626</v>
      </c>
      <c r="AM76">
        <v>1.42788808774329</v>
      </c>
      <c r="AN76">
        <v>1.65347960827729</v>
      </c>
      <c r="AO76">
        <v>1.9282871549153</v>
      </c>
      <c r="AP76">
        <v>2.2437331548258701</v>
      </c>
      <c r="AQ76">
        <v>2.5928966043381099</v>
      </c>
      <c r="AR76">
        <v>2.9664478685476801</v>
      </c>
      <c r="AS76">
        <v>3.36388557273931</v>
      </c>
      <c r="AT76">
        <v>3.7716590489328201</v>
      </c>
      <c r="AU76">
        <v>4.1876306792543296</v>
      </c>
      <c r="AV76">
        <v>4.6009260526497604</v>
      </c>
      <c r="AW76">
        <v>5.0116467991289602</v>
      </c>
      <c r="AX76">
        <v>5.4192508919727196</v>
      </c>
      <c r="AY76">
        <v>5.8237044545110903</v>
      </c>
      <c r="AZ76">
        <v>6.2248719800642602</v>
      </c>
      <c r="BA76">
        <v>0</v>
      </c>
      <c r="BB76">
        <v>0</v>
      </c>
      <c r="BC76">
        <v>0</v>
      </c>
      <c r="BD76">
        <v>0</v>
      </c>
      <c r="BE76">
        <v>0</v>
      </c>
      <c r="BF76">
        <v>0</v>
      </c>
      <c r="BG76">
        <v>0</v>
      </c>
      <c r="BH76">
        <v>0</v>
      </c>
      <c r="BJ76" t="s">
        <v>343</v>
      </c>
      <c r="BL76">
        <v>1</v>
      </c>
      <c r="BM76">
        <v>0.99756097560975698</v>
      </c>
      <c r="BN76">
        <v>0.98536585365853702</v>
      </c>
      <c r="BO76">
        <v>0.97317073170731705</v>
      </c>
      <c r="BP76">
        <v>0.96097560975609797</v>
      </c>
      <c r="BQ76">
        <v>0.948780487804878</v>
      </c>
      <c r="BR76">
        <v>0.93658536585365804</v>
      </c>
      <c r="BS76">
        <v>0.92439024390243896</v>
      </c>
      <c r="BT76">
        <v>0.91219512195121999</v>
      </c>
      <c r="BU76">
        <v>0.90</v>
      </c>
      <c r="BV76">
        <v>0.8875</v>
      </c>
      <c r="BW76">
        <v>0.875000000000001</v>
      </c>
      <c r="BX76">
        <v>0.86250000000000104</v>
      </c>
      <c r="BY76">
        <v>0.85000000000000098</v>
      </c>
      <c r="BZ76">
        <v>0.8375</v>
      </c>
      <c r="CA76">
        <v>0.82500000000000095</v>
      </c>
      <c r="CB76">
        <v>0.812500000000001</v>
      </c>
      <c r="CC76">
        <v>0.80000000000000104</v>
      </c>
      <c r="CD76" t="e">
        <v>#VALUE!</v>
      </c>
      <c r="CE76" t="e">
        <v>#VALUE!</v>
      </c>
      <c r="CF76" t="e">
        <v>#VALUE!</v>
      </c>
      <c r="CG76" t="e">
        <v>#VALUE!</v>
      </c>
      <c r="CH76" t="e">
        <v>#VALUE!</v>
      </c>
      <c r="CI76" t="e">
        <v>#VALUE!</v>
      </c>
      <c r="CJ76" t="e">
        <v>#VALUE!</v>
      </c>
      <c r="CK76" t="e">
        <v>#VALUE!</v>
      </c>
    </row>
    <row r="77" spans="1:89" ht="12.5">
      <c r="A77" t="s">
        <v>10</v>
      </c>
      <c r="B77" t="s">
        <v>345</v>
      </c>
      <c r="C77" t="s">
        <v>345</v>
      </c>
      <c r="E77" s="2">
        <v>36.3491412681947</v>
      </c>
      <c r="I77" s="2">
        <v>51.723850360663498</v>
      </c>
      <c r="J77" s="2">
        <v>59.47712543275</v>
      </c>
      <c r="L77" s="2">
        <v>79.129482360445095</v>
      </c>
      <c r="V77" s="2">
        <v>192.459870143503</v>
      </c>
      <c r="W77">
        <v>5</v>
      </c>
      <c r="AG77" s="130" t="s">
        <v>342</v>
      </c>
      <c r="AI77">
        <v>1</v>
      </c>
      <c r="AJ77">
        <v>0.99455805173916101</v>
      </c>
      <c r="AK77">
        <v>1.1551368549712699</v>
      </c>
      <c r="AL77">
        <v>1.25563538404626</v>
      </c>
      <c r="AM77">
        <v>1.42788808774329</v>
      </c>
      <c r="AN77">
        <v>1.65347960827729</v>
      </c>
      <c r="AO77">
        <v>1.9282871549153</v>
      </c>
      <c r="AP77">
        <v>2.2437331548258701</v>
      </c>
      <c r="AQ77">
        <v>2.5928966043381099</v>
      </c>
      <c r="AR77">
        <v>2.9664478685476801</v>
      </c>
      <c r="AS77">
        <v>3.36388557273931</v>
      </c>
      <c r="AT77">
        <v>3.7716590489328201</v>
      </c>
      <c r="AU77">
        <v>4.1876306792543296</v>
      </c>
      <c r="AV77">
        <v>4.6009260526497604</v>
      </c>
      <c r="AW77">
        <v>5.0116467991289602</v>
      </c>
      <c r="AX77">
        <v>5.4192508919727196</v>
      </c>
      <c r="AY77">
        <v>5.8237044545110903</v>
      </c>
      <c r="AZ77">
        <v>6.2248719800642602</v>
      </c>
      <c r="BA77">
        <v>0</v>
      </c>
      <c r="BB77">
        <v>0</v>
      </c>
      <c r="BC77">
        <v>0</v>
      </c>
      <c r="BD77">
        <v>0</v>
      </c>
      <c r="BE77">
        <v>0</v>
      </c>
      <c r="BF77">
        <v>0</v>
      </c>
      <c r="BG77">
        <v>0</v>
      </c>
      <c r="BH77">
        <v>0</v>
      </c>
      <c r="BJ77" t="s">
        <v>343</v>
      </c>
      <c r="BL77">
        <v>1</v>
      </c>
      <c r="BM77">
        <v>0.99756097560975698</v>
      </c>
      <c r="BN77">
        <v>0.98536585365853702</v>
      </c>
      <c r="BO77">
        <v>0.97317073170731705</v>
      </c>
      <c r="BP77">
        <v>0.96097560975609797</v>
      </c>
      <c r="BQ77">
        <v>0.948780487804878</v>
      </c>
      <c r="BR77">
        <v>0.93658536585365804</v>
      </c>
      <c r="BS77">
        <v>0.92439024390243896</v>
      </c>
      <c r="BT77">
        <v>0.91219512195121999</v>
      </c>
      <c r="BU77">
        <v>0.90</v>
      </c>
      <c r="BV77">
        <v>0.8875</v>
      </c>
      <c r="BW77">
        <v>0.875000000000001</v>
      </c>
      <c r="BX77">
        <v>0.86250000000000104</v>
      </c>
      <c r="BY77">
        <v>0.85000000000000098</v>
      </c>
      <c r="BZ77">
        <v>0.8375</v>
      </c>
      <c r="CA77">
        <v>0.82500000000000095</v>
      </c>
      <c r="CB77">
        <v>0.812500000000001</v>
      </c>
      <c r="CC77">
        <v>0.80000000000000104</v>
      </c>
      <c r="CD77" t="e">
        <v>#VALUE!</v>
      </c>
      <c r="CE77" t="e">
        <v>#VALUE!</v>
      </c>
      <c r="CF77" t="e">
        <v>#VALUE!</v>
      </c>
      <c r="CG77" t="e">
        <v>#VALUE!</v>
      </c>
      <c r="CH77" t="e">
        <v>#VALUE!</v>
      </c>
      <c r="CI77" t="e">
        <v>#VALUE!</v>
      </c>
      <c r="CJ77" t="e">
        <v>#VALUE!</v>
      </c>
      <c r="CK77" t="e">
        <v>#VALUE!</v>
      </c>
    </row>
    <row r="78" spans="1:89" ht="12.5">
      <c r="A78" t="s">
        <v>10</v>
      </c>
      <c r="B78" t="s">
        <v>346</v>
      </c>
      <c r="C78" t="s">
        <v>346</v>
      </c>
      <c r="E78" s="2">
        <v>16.8114020843873</v>
      </c>
      <c r="I78" s="2">
        <v>17.816095132392899</v>
      </c>
      <c r="J78" s="2">
        <v>17.9690096349578</v>
      </c>
      <c r="L78" s="2">
        <v>17.982102652099599</v>
      </c>
      <c r="V78" s="2">
        <v>14.884459865754399</v>
      </c>
      <c r="W78">
        <v>5</v>
      </c>
      <c r="AG78" s="130" t="s">
        <v>347</v>
      </c>
      <c r="AI78">
        <v>1</v>
      </c>
      <c r="AJ78">
        <v>1.0047238440708699</v>
      </c>
      <c r="AK78">
        <v>1.02834306442523</v>
      </c>
      <c r="AL78">
        <v>1.05036327197554</v>
      </c>
      <c r="AM78">
        <v>1.06635006298857</v>
      </c>
      <c r="AN78">
        <v>1.0759965727385701</v>
      </c>
      <c r="AO78">
        <v>1.0794869616556599</v>
      </c>
      <c r="AP78">
        <v>1.07679812106107</v>
      </c>
      <c r="AQ78">
        <v>1.0689551990234001</v>
      </c>
      <c r="AR78">
        <v>1.05654016651334</v>
      </c>
      <c r="AS78">
        <v>1.0398045673369201</v>
      </c>
      <c r="AT78">
        <v>1.01936448955287</v>
      </c>
      <c r="AU78">
        <v>0.99576985259764605</v>
      </c>
      <c r="AV78">
        <v>0.96951061340022004</v>
      </c>
      <c r="AW78">
        <v>0.94207203750446</v>
      </c>
      <c r="AX78">
        <v>0.91426561814188601</v>
      </c>
      <c r="AY78">
        <v>0.88684445056356798</v>
      </c>
      <c r="AZ78">
        <v>0.86030636632699897</v>
      </c>
      <c r="BA78">
        <v>0</v>
      </c>
      <c r="BB78">
        <v>0</v>
      </c>
      <c r="BC78">
        <v>0</v>
      </c>
      <c r="BD78">
        <v>0</v>
      </c>
      <c r="BE78">
        <v>0</v>
      </c>
      <c r="BF78">
        <v>0</v>
      </c>
      <c r="BG78">
        <v>0</v>
      </c>
      <c r="BH78">
        <v>0</v>
      </c>
      <c r="BJ78" t="s">
        <v>343</v>
      </c>
      <c r="BL78">
        <v>1</v>
      </c>
      <c r="BM78">
        <v>0.99756097560975698</v>
      </c>
      <c r="BN78">
        <v>0.98536585365853702</v>
      </c>
      <c r="BO78">
        <v>0.97317073170731705</v>
      </c>
      <c r="BP78">
        <v>0.96097560975609797</v>
      </c>
      <c r="BQ78">
        <v>0.948780487804878</v>
      </c>
      <c r="BR78">
        <v>0.93658536585365804</v>
      </c>
      <c r="BS78">
        <v>0.92439024390243896</v>
      </c>
      <c r="BT78">
        <v>0.91219512195121999</v>
      </c>
      <c r="BU78">
        <v>0.90</v>
      </c>
      <c r="BV78">
        <v>0.8875</v>
      </c>
      <c r="BW78">
        <v>0.875000000000001</v>
      </c>
      <c r="BX78">
        <v>0.86250000000000104</v>
      </c>
      <c r="BY78">
        <v>0.85000000000000098</v>
      </c>
      <c r="BZ78">
        <v>0.8375</v>
      </c>
      <c r="CA78">
        <v>0.82500000000000095</v>
      </c>
      <c r="CB78">
        <v>0.812500000000001</v>
      </c>
      <c r="CC78">
        <v>0.80000000000000104</v>
      </c>
      <c r="CD78" t="e">
        <v>#VALUE!</v>
      </c>
      <c r="CE78" t="e">
        <v>#VALUE!</v>
      </c>
      <c r="CF78" t="e">
        <v>#VALUE!</v>
      </c>
      <c r="CG78" t="e">
        <v>#VALUE!</v>
      </c>
      <c r="CH78" t="e">
        <v>#VALUE!</v>
      </c>
      <c r="CI78" t="e">
        <v>#VALUE!</v>
      </c>
      <c r="CJ78" t="e">
        <v>#VALUE!</v>
      </c>
      <c r="CK78" t="e">
        <v>#VALUE!</v>
      </c>
    </row>
    <row r="79" spans="1:89" ht="12.5">
      <c r="A79" t="s">
        <v>10</v>
      </c>
      <c r="B79" t="s">
        <v>348</v>
      </c>
      <c r="C79" t="s">
        <v>348</v>
      </c>
      <c r="E79" s="2">
        <v>54.016694173820603</v>
      </c>
      <c r="F79" s="2">
        <f>E79</f>
        <v>54.016694173820603</v>
      </c>
      <c r="I79" s="2">
        <f>F79</f>
        <v>54.016694173820603</v>
      </c>
      <c r="J79" s="2">
        <f>I79</f>
        <v>54.016694173820603</v>
      </c>
      <c r="L79" s="2">
        <f>J79</f>
        <v>54.016694173820603</v>
      </c>
      <c r="V79" s="2">
        <f>L79</f>
        <v>54.016694173820603</v>
      </c>
      <c r="W79">
        <v>5</v>
      </c>
      <c r="AG79" s="130" t="s">
        <v>342</v>
      </c>
      <c r="AI79">
        <v>1</v>
      </c>
      <c r="AJ79">
        <v>0.99455805173916101</v>
      </c>
      <c r="AK79">
        <v>1.1551368549712699</v>
      </c>
      <c r="AL79">
        <v>1.25563538404626</v>
      </c>
      <c r="AM79">
        <v>1.42788808774329</v>
      </c>
      <c r="AN79">
        <v>1.65347960827729</v>
      </c>
      <c r="AO79">
        <v>1.9282871549153</v>
      </c>
      <c r="AP79">
        <v>2.2437331548258701</v>
      </c>
      <c r="AQ79">
        <v>2.5928966043381099</v>
      </c>
      <c r="AR79">
        <v>2.9664478685476801</v>
      </c>
      <c r="AS79">
        <v>3.36388557273931</v>
      </c>
      <c r="AT79">
        <v>3.7716590489328201</v>
      </c>
      <c r="AU79">
        <v>4.1876306792543296</v>
      </c>
      <c r="AV79">
        <v>4.6009260526497604</v>
      </c>
      <c r="AW79">
        <v>5.0116467991289602</v>
      </c>
      <c r="AX79">
        <v>5.4192508919727196</v>
      </c>
      <c r="AY79">
        <v>5.8237044545110903</v>
      </c>
      <c r="AZ79">
        <v>6.2248719800642602</v>
      </c>
      <c r="BA79">
        <v>0</v>
      </c>
      <c r="BB79">
        <v>0</v>
      </c>
      <c r="BC79">
        <v>0</v>
      </c>
      <c r="BD79">
        <v>0</v>
      </c>
      <c r="BE79">
        <v>0</v>
      </c>
      <c r="BF79">
        <v>0</v>
      </c>
      <c r="BG79">
        <v>0</v>
      </c>
      <c r="BH79">
        <v>0</v>
      </c>
      <c r="BJ79" t="s">
        <v>343</v>
      </c>
      <c r="BL79">
        <v>1</v>
      </c>
      <c r="BM79">
        <v>0.99756097560975698</v>
      </c>
      <c r="BN79">
        <v>0.98536585365853702</v>
      </c>
      <c r="BO79">
        <v>0.97317073170731705</v>
      </c>
      <c r="BP79">
        <v>0.96097560975609797</v>
      </c>
      <c r="BQ79">
        <v>0.948780487804878</v>
      </c>
      <c r="BR79">
        <v>0.93658536585365804</v>
      </c>
      <c r="BS79">
        <v>0.92439024390243896</v>
      </c>
      <c r="BT79">
        <v>0.91219512195121999</v>
      </c>
      <c r="BU79">
        <v>0.90</v>
      </c>
      <c r="BV79">
        <v>0.8875</v>
      </c>
      <c r="BW79">
        <v>0.875000000000001</v>
      </c>
      <c r="BX79">
        <v>0.86250000000000104</v>
      </c>
      <c r="BY79">
        <v>0.85000000000000098</v>
      </c>
      <c r="BZ79">
        <v>0.8375</v>
      </c>
      <c r="CA79">
        <v>0.82500000000000095</v>
      </c>
      <c r="CB79">
        <v>0.812500000000001</v>
      </c>
      <c r="CC79">
        <v>0.80000000000000104</v>
      </c>
      <c r="CD79" t="e">
        <v>#VALUE!</v>
      </c>
      <c r="CE79" t="e">
        <v>#VALUE!</v>
      </c>
      <c r="CF79" t="e">
        <v>#VALUE!</v>
      </c>
      <c r="CG79" t="e">
        <v>#VALUE!</v>
      </c>
      <c r="CH79" t="e">
        <v>#VALUE!</v>
      </c>
      <c r="CI79" t="e">
        <v>#VALUE!</v>
      </c>
      <c r="CJ79" t="e">
        <v>#VALUE!</v>
      </c>
      <c r="CK79" t="e">
        <v>#VALUE!</v>
      </c>
    </row>
    <row r="80" spans="1:89" ht="12.5">
      <c r="A80" t="s">
        <v>10</v>
      </c>
      <c r="B80" t="s">
        <v>349</v>
      </c>
      <c r="C80" t="s">
        <v>349</v>
      </c>
      <c r="E80" s="2">
        <v>138.398524415336</v>
      </c>
      <c r="F80" s="2">
        <f>E80</f>
        <v>138.398524415336</v>
      </c>
      <c r="I80" s="2">
        <f>F80</f>
        <v>138.398524415336</v>
      </c>
      <c r="J80" s="2">
        <f>I80</f>
        <v>138.398524415336</v>
      </c>
      <c r="L80" s="2">
        <f>J80</f>
        <v>138.398524415336</v>
      </c>
      <c r="V80" s="2">
        <f>L80</f>
        <v>138.398524415336</v>
      </c>
      <c r="W80">
        <v>5</v>
      </c>
      <c r="AG80" s="130" t="s">
        <v>342</v>
      </c>
      <c r="AI80">
        <v>1</v>
      </c>
      <c r="AJ80">
        <v>0.99455805173916101</v>
      </c>
      <c r="AK80">
        <v>1.1551368549712699</v>
      </c>
      <c r="AL80">
        <v>1.25563538404626</v>
      </c>
      <c r="AM80">
        <v>1.42788808774329</v>
      </c>
      <c r="AN80">
        <v>1.65347960827729</v>
      </c>
      <c r="AO80">
        <v>1.9282871549153</v>
      </c>
      <c r="AP80">
        <v>2.2437331548258701</v>
      </c>
      <c r="AQ80">
        <v>2.5928966043381099</v>
      </c>
      <c r="AR80">
        <v>2.9664478685476801</v>
      </c>
      <c r="AS80">
        <v>3.36388557273931</v>
      </c>
      <c r="AT80">
        <v>3.7716590489328201</v>
      </c>
      <c r="AU80">
        <v>4.1876306792543296</v>
      </c>
      <c r="AV80">
        <v>4.6009260526497604</v>
      </c>
      <c r="AW80">
        <v>5.0116467991289602</v>
      </c>
      <c r="AX80">
        <v>5.4192508919727196</v>
      </c>
      <c r="AY80">
        <v>5.8237044545110903</v>
      </c>
      <c r="AZ80">
        <v>6.2248719800642602</v>
      </c>
      <c r="BA80">
        <v>0</v>
      </c>
      <c r="BB80">
        <v>0</v>
      </c>
      <c r="BC80">
        <v>0</v>
      </c>
      <c r="BD80">
        <v>0</v>
      </c>
      <c r="BE80">
        <v>0</v>
      </c>
      <c r="BF80">
        <v>0</v>
      </c>
      <c r="BG80">
        <v>0</v>
      </c>
      <c r="BH80">
        <v>0</v>
      </c>
      <c r="BJ80" t="s">
        <v>343</v>
      </c>
      <c r="BL80">
        <v>1</v>
      </c>
      <c r="BM80">
        <v>0.99756097560975698</v>
      </c>
      <c r="BN80">
        <v>0.98536585365853702</v>
      </c>
      <c r="BO80">
        <v>0.97317073170731705</v>
      </c>
      <c r="BP80">
        <v>0.96097560975609797</v>
      </c>
      <c r="BQ80">
        <v>0.948780487804878</v>
      </c>
      <c r="BR80">
        <v>0.93658536585365804</v>
      </c>
      <c r="BS80">
        <v>0.92439024390243896</v>
      </c>
      <c r="BT80">
        <v>0.91219512195121999</v>
      </c>
      <c r="BU80">
        <v>0.90</v>
      </c>
      <c r="BV80">
        <v>0.8875</v>
      </c>
      <c r="BW80">
        <v>0.875000000000001</v>
      </c>
      <c r="BX80">
        <v>0.86250000000000104</v>
      </c>
      <c r="BY80">
        <v>0.85000000000000098</v>
      </c>
      <c r="BZ80">
        <v>0.8375</v>
      </c>
      <c r="CA80">
        <v>0.82500000000000095</v>
      </c>
      <c r="CB80">
        <v>0.812500000000001</v>
      </c>
      <c r="CC80">
        <v>0.80000000000000104</v>
      </c>
      <c r="CD80" t="e">
        <v>#VALUE!</v>
      </c>
      <c r="CE80" t="e">
        <v>#VALUE!</v>
      </c>
      <c r="CF80" t="e">
        <v>#VALUE!</v>
      </c>
      <c r="CG80" t="e">
        <v>#VALUE!</v>
      </c>
      <c r="CH80" t="e">
        <v>#VALUE!</v>
      </c>
      <c r="CI80" t="e">
        <v>#VALUE!</v>
      </c>
      <c r="CJ80" t="e">
        <v>#VALUE!</v>
      </c>
      <c r="CK80" t="e">
        <v>#VALUE!</v>
      </c>
    </row>
    <row r="81" spans="1:89" ht="12.5">
      <c r="A81" t="s">
        <v>10</v>
      </c>
      <c r="B81" t="s">
        <v>350</v>
      </c>
      <c r="C81" t="s">
        <v>350</v>
      </c>
      <c r="D81">
        <v>12.005</v>
      </c>
      <c r="E81">
        <v>12.0615714316121</v>
      </c>
      <c r="F81"/>
      <c r="G81">
        <v>12.340967474221801</v>
      </c>
      <c r="H81">
        <v>12.5981382597297</v>
      </c>
      <c r="I81">
        <v>12.782402264432299</v>
      </c>
      <c r="J81">
        <v>12.892112875502001</v>
      </c>
      <c r="K81">
        <v>12.931281146404601</v>
      </c>
      <c r="L81">
        <v>12.901506640561999</v>
      </c>
      <c r="M81">
        <v>12.8157886888742</v>
      </c>
      <c r="N81">
        <v>12.681828360112201</v>
      </c>
      <c r="O81">
        <v>12.5035471857187</v>
      </c>
      <c r="P81">
        <v>12.288481009395101</v>
      </c>
      <c r="Q81">
        <v>12.0431564060854</v>
      </c>
      <c r="R81">
        <v>11.7732069741516</v>
      </c>
      <c r="S81">
        <v>11.494152754446199</v>
      </c>
      <c r="T81">
        <v>11.2142598633916</v>
      </c>
      <c r="U81">
        <v>10.9409800577595</v>
      </c>
      <c r="V81">
        <v>10.679060258661501</v>
      </c>
      <c r="W81">
        <v>5</v>
      </c>
      <c r="AG81" s="130" t="s">
        <v>347</v>
      </c>
      <c r="AI81">
        <v>1</v>
      </c>
      <c r="AJ81">
        <v>1.0047238440708699</v>
      </c>
      <c r="AK81">
        <v>1.02834306442523</v>
      </c>
      <c r="AL81">
        <v>1.05036327197554</v>
      </c>
      <c r="AM81">
        <v>1.06635006298857</v>
      </c>
      <c r="AN81">
        <v>1.0759965727385701</v>
      </c>
      <c r="AO81">
        <v>1.0794869616556599</v>
      </c>
      <c r="AP81">
        <v>1.07679812106107</v>
      </c>
      <c r="AQ81">
        <v>1.0689551990234001</v>
      </c>
      <c r="AR81">
        <v>1.05654016651334</v>
      </c>
      <c r="AS81">
        <v>1.0398045673369201</v>
      </c>
      <c r="AT81">
        <v>1.01936448955287</v>
      </c>
      <c r="AU81">
        <v>0.99576985259764605</v>
      </c>
      <c r="AV81">
        <v>0.96951061340022004</v>
      </c>
      <c r="AW81">
        <v>0.94207203750446</v>
      </c>
      <c r="AX81">
        <v>0.91426561814188601</v>
      </c>
      <c r="AY81">
        <v>0.88684445056356798</v>
      </c>
      <c r="AZ81">
        <v>0.86030636632699897</v>
      </c>
      <c r="BA81">
        <v>0</v>
      </c>
      <c r="BB81">
        <v>0</v>
      </c>
      <c r="BC81">
        <v>0</v>
      </c>
      <c r="BD81">
        <v>0</v>
      </c>
      <c r="BE81">
        <v>0</v>
      </c>
      <c r="BF81">
        <v>0</v>
      </c>
      <c r="BG81">
        <v>0</v>
      </c>
      <c r="BH81">
        <v>0</v>
      </c>
      <c r="BJ81" t="s">
        <v>343</v>
      </c>
      <c r="BL81">
        <v>1</v>
      </c>
      <c r="BM81">
        <v>0.99756097560975698</v>
      </c>
      <c r="BN81">
        <v>0.98536585365853702</v>
      </c>
      <c r="BO81">
        <v>0.97317073170731705</v>
      </c>
      <c r="BP81">
        <v>0.96097560975609797</v>
      </c>
      <c r="BQ81">
        <v>0.948780487804878</v>
      </c>
      <c r="BR81">
        <v>0.93658536585365804</v>
      </c>
      <c r="BS81">
        <v>0.92439024390243896</v>
      </c>
      <c r="BT81">
        <v>0.91219512195121999</v>
      </c>
      <c r="BU81">
        <v>0.90</v>
      </c>
      <c r="BV81">
        <v>0.8875</v>
      </c>
      <c r="BW81">
        <v>0.875000000000001</v>
      </c>
      <c r="BX81">
        <v>0.86250000000000104</v>
      </c>
      <c r="BY81">
        <v>0.85000000000000098</v>
      </c>
      <c r="BZ81">
        <v>0.8375</v>
      </c>
      <c r="CA81">
        <v>0.82500000000000095</v>
      </c>
      <c r="CB81">
        <v>0.812500000000001</v>
      </c>
      <c r="CC81">
        <v>0.80000000000000104</v>
      </c>
      <c r="CD81" t="e">
        <v>#VALUE!</v>
      </c>
      <c r="CE81" t="e">
        <v>#VALUE!</v>
      </c>
      <c r="CF81" t="e">
        <v>#VALUE!</v>
      </c>
      <c r="CG81" t="e">
        <v>#VALUE!</v>
      </c>
      <c r="CH81" t="e">
        <v>#VALUE!</v>
      </c>
      <c r="CI81" t="e">
        <v>#VALUE!</v>
      </c>
      <c r="CJ81" t="e">
        <v>#VALUE!</v>
      </c>
      <c r="CK81" t="e">
        <v>#VALUE!</v>
      </c>
    </row>
    <row r="82" spans="1:89" ht="12.5">
      <c r="A82" t="s">
        <v>10</v>
      </c>
      <c r="B82" t="s">
        <v>351</v>
      </c>
      <c r="C82" t="s">
        <v>351</v>
      </c>
      <c r="D82">
        <v>3.225</v>
      </c>
      <c r="E82">
        <v>3.2401972400623902</v>
      </c>
      <c r="F82"/>
      <c r="G82">
        <v>3.3152536530083498</v>
      </c>
      <c r="H82">
        <v>3.3843395158374299</v>
      </c>
      <c r="I82">
        <v>3.43383984196536</v>
      </c>
      <c r="J82">
        <v>3.4633122885042802</v>
      </c>
      <c r="K82">
        <v>3.4738343771057698</v>
      </c>
      <c r="L82">
        <v>3.4658358113962899</v>
      </c>
      <c r="M82">
        <v>3.4428087065072202</v>
      </c>
      <c r="N82">
        <v>3.4068218626707099</v>
      </c>
      <c r="O82">
        <v>3.35892875251503</v>
      </c>
      <c r="P82">
        <v>3.3011537905288701</v>
      </c>
      <c r="Q82">
        <v>3.2352502631924498</v>
      </c>
      <c r="R82">
        <v>3.1627315694826299</v>
      </c>
      <c r="S82">
        <v>3.0877669831810901</v>
      </c>
      <c r="T82">
        <v>3.0125770978290798</v>
      </c>
      <c r="U82">
        <v>2.9391637389649699</v>
      </c>
      <c r="V82">
        <v>2.86880211030266</v>
      </c>
      <c r="W82">
        <v>5</v>
      </c>
      <c r="AG82" s="130" t="s">
        <v>347</v>
      </c>
      <c r="AI82">
        <v>1</v>
      </c>
      <c r="AJ82">
        <v>1.0047238440708699</v>
      </c>
      <c r="AK82">
        <v>1.02834306442523</v>
      </c>
      <c r="AL82">
        <v>1.05036327197554</v>
      </c>
      <c r="AM82">
        <v>1.06635006298857</v>
      </c>
      <c r="AN82">
        <v>1.0759965727385701</v>
      </c>
      <c r="AO82">
        <v>1.0794869616556599</v>
      </c>
      <c r="AP82">
        <v>1.07679812106107</v>
      </c>
      <c r="AQ82">
        <v>1.0689551990234001</v>
      </c>
      <c r="AR82">
        <v>1.05654016651334</v>
      </c>
      <c r="AS82">
        <v>1.0398045673369201</v>
      </c>
      <c r="AT82">
        <v>1.01936448955287</v>
      </c>
      <c r="AU82">
        <v>0.99576985259764605</v>
      </c>
      <c r="AV82">
        <v>0.96951061340022004</v>
      </c>
      <c r="AW82">
        <v>0.94207203750446</v>
      </c>
      <c r="AX82">
        <v>0.91426561814188601</v>
      </c>
      <c r="AY82">
        <v>0.88684445056356798</v>
      </c>
      <c r="AZ82">
        <v>0.86030636632699897</v>
      </c>
      <c r="BA82">
        <v>0</v>
      </c>
      <c r="BB82">
        <v>0</v>
      </c>
      <c r="BC82">
        <v>0</v>
      </c>
      <c r="BD82">
        <v>0</v>
      </c>
      <c r="BE82">
        <v>0</v>
      </c>
      <c r="BF82">
        <v>0</v>
      </c>
      <c r="BG82">
        <v>0</v>
      </c>
      <c r="BH82">
        <v>0</v>
      </c>
      <c r="BJ82" t="s">
        <v>343</v>
      </c>
      <c r="BL82">
        <v>1</v>
      </c>
      <c r="BM82">
        <v>0.99756097560975698</v>
      </c>
      <c r="BN82">
        <v>0.98536585365853702</v>
      </c>
      <c r="BO82">
        <v>0.97317073170731705</v>
      </c>
      <c r="BP82">
        <v>0.96097560975609797</v>
      </c>
      <c r="BQ82">
        <v>0.948780487804878</v>
      </c>
      <c r="BR82">
        <v>0.93658536585365804</v>
      </c>
      <c r="BS82">
        <v>0.92439024390243896</v>
      </c>
      <c r="BT82">
        <v>0.91219512195121999</v>
      </c>
      <c r="BU82">
        <v>0.90</v>
      </c>
      <c r="BV82">
        <v>0.8875</v>
      </c>
      <c r="BW82">
        <v>0.875000000000001</v>
      </c>
      <c r="BX82">
        <v>0.86250000000000104</v>
      </c>
      <c r="BY82">
        <v>0.85000000000000098</v>
      </c>
      <c r="BZ82">
        <v>0.8375</v>
      </c>
      <c r="CA82">
        <v>0.82500000000000095</v>
      </c>
      <c r="CB82">
        <v>0.812500000000001</v>
      </c>
      <c r="CC82">
        <v>0.80000000000000104</v>
      </c>
      <c r="CD82" t="e">
        <v>#VALUE!</v>
      </c>
      <c r="CE82" t="e">
        <v>#VALUE!</v>
      </c>
      <c r="CF82" t="e">
        <v>#VALUE!</v>
      </c>
      <c r="CG82" t="e">
        <v>#VALUE!</v>
      </c>
      <c r="CH82" t="e">
        <v>#VALUE!</v>
      </c>
      <c r="CI82" t="e">
        <v>#VALUE!</v>
      </c>
      <c r="CJ82" t="e">
        <v>#VALUE!</v>
      </c>
      <c r="CK82" t="e">
        <v>#VALUE!</v>
      </c>
    </row>
    <row r="83" spans="1:89" ht="12.5">
      <c r="A83" t="s">
        <v>10</v>
      </c>
      <c r="B83" t="s">
        <v>352</v>
      </c>
      <c r="C83" t="s">
        <v>352</v>
      </c>
      <c r="D83">
        <v>16.415</v>
      </c>
      <c r="E83">
        <v>16.492352773836899</v>
      </c>
      <c r="F83"/>
      <c r="G83">
        <v>16.874384097405301</v>
      </c>
      <c r="H83">
        <v>17.226025783712</v>
      </c>
      <c r="I83">
        <v>17.4779786064686</v>
      </c>
      <c r="J83">
        <v>17.6279910746659</v>
      </c>
      <c r="K83">
        <v>17.681547689981699</v>
      </c>
      <c r="L83">
        <v>17.640835610564402</v>
      </c>
      <c r="M83">
        <v>17.523629431725901</v>
      </c>
      <c r="N83">
        <v>17.340459186275901</v>
      </c>
      <c r="O83">
        <v>17.096686968227701</v>
      </c>
      <c r="P83">
        <v>16.802616890397299</v>
      </c>
      <c r="Q83">
        <v>16.4671730450555</v>
      </c>
      <c r="R83">
        <v>16.098058515676701</v>
      </c>
      <c r="S83">
        <v>15.7164945826101</v>
      </c>
      <c r="T83">
        <v>15.3337838948416</v>
      </c>
      <c r="U83">
        <v>14.960115589181401</v>
      </c>
      <c r="V83">
        <v>14.6019803536801</v>
      </c>
      <c r="W83">
        <v>5</v>
      </c>
      <c r="AG83" s="130" t="s">
        <v>347</v>
      </c>
      <c r="AI83">
        <v>1</v>
      </c>
      <c r="AJ83">
        <v>1.0047238440708699</v>
      </c>
      <c r="AK83">
        <v>1.02834306442523</v>
      </c>
      <c r="AL83">
        <v>1.05036327197554</v>
      </c>
      <c r="AM83">
        <v>1.06635006298857</v>
      </c>
      <c r="AN83">
        <v>1.0759965727385701</v>
      </c>
      <c r="AO83">
        <v>1.0794869616556599</v>
      </c>
      <c r="AP83">
        <v>1.07679812106107</v>
      </c>
      <c r="AQ83">
        <v>1.0689551990234001</v>
      </c>
      <c r="AR83">
        <v>1.05654016651334</v>
      </c>
      <c r="AS83">
        <v>1.0398045673369201</v>
      </c>
      <c r="AT83">
        <v>1.01936448955287</v>
      </c>
      <c r="AU83">
        <v>0.99576985259764605</v>
      </c>
      <c r="AV83">
        <v>0.96951061340022004</v>
      </c>
      <c r="AW83">
        <v>0.94207203750446</v>
      </c>
      <c r="AX83">
        <v>0.91426561814188601</v>
      </c>
      <c r="AY83">
        <v>0.88684445056356798</v>
      </c>
      <c r="AZ83">
        <v>0.86030636632699897</v>
      </c>
      <c r="BA83">
        <v>0</v>
      </c>
      <c r="BB83">
        <v>0</v>
      </c>
      <c r="BC83">
        <v>0</v>
      </c>
      <c r="BD83">
        <v>0</v>
      </c>
      <c r="BE83">
        <v>0</v>
      </c>
      <c r="BF83">
        <v>0</v>
      </c>
      <c r="BG83">
        <v>0</v>
      </c>
      <c r="BH83">
        <v>0</v>
      </c>
      <c r="BJ83" t="s">
        <v>343</v>
      </c>
      <c r="BL83">
        <v>1</v>
      </c>
      <c r="BM83">
        <v>0.99756097560975698</v>
      </c>
      <c r="BN83">
        <v>0.98536585365853702</v>
      </c>
      <c r="BO83">
        <v>0.97317073170731705</v>
      </c>
      <c r="BP83">
        <v>0.96097560975609797</v>
      </c>
      <c r="BQ83">
        <v>0.948780487804878</v>
      </c>
      <c r="BR83">
        <v>0.93658536585365804</v>
      </c>
      <c r="BS83">
        <v>0.92439024390243896</v>
      </c>
      <c r="BT83">
        <v>0.91219512195121999</v>
      </c>
      <c r="BU83">
        <v>0.90</v>
      </c>
      <c r="BV83">
        <v>0.8875</v>
      </c>
      <c r="BW83">
        <v>0.875000000000001</v>
      </c>
      <c r="BX83">
        <v>0.86250000000000104</v>
      </c>
      <c r="BY83">
        <v>0.85000000000000098</v>
      </c>
      <c r="BZ83">
        <v>0.8375</v>
      </c>
      <c r="CA83">
        <v>0.82500000000000095</v>
      </c>
      <c r="CB83">
        <v>0.812500000000001</v>
      </c>
      <c r="CC83">
        <v>0.80000000000000104</v>
      </c>
      <c r="CD83" t="e">
        <v>#VALUE!</v>
      </c>
      <c r="CE83" t="e">
        <v>#VALUE!</v>
      </c>
      <c r="CF83" t="e">
        <v>#VALUE!</v>
      </c>
      <c r="CG83" t="e">
        <v>#VALUE!</v>
      </c>
      <c r="CH83" t="e">
        <v>#VALUE!</v>
      </c>
      <c r="CI83" t="e">
        <v>#VALUE!</v>
      </c>
      <c r="CJ83" t="e">
        <v>#VALUE!</v>
      </c>
      <c r="CK83" t="e">
        <v>#VALUE!</v>
      </c>
    </row>
    <row r="84" spans="1:89" ht="12.5">
      <c r="A84" t="s">
        <v>10</v>
      </c>
      <c r="B84" t="s">
        <v>353</v>
      </c>
      <c r="C84" t="s">
        <v>353</v>
      </c>
      <c r="D84">
        <v>463.596</v>
      </c>
      <c r="E84">
        <v>458.91677793812102</v>
      </c>
      <c r="F84"/>
      <c r="G84">
        <v>519.864790981081</v>
      </c>
      <c r="H84">
        <v>552.35130354692797</v>
      </c>
      <c r="I84">
        <v>616.11847715059298</v>
      </c>
      <c r="J84">
        <v>702.40441093919696</v>
      </c>
      <c r="K84">
        <v>809.26007930992705</v>
      </c>
      <c r="L84">
        <v>933.80980005959998</v>
      </c>
      <c r="M84">
        <v>1073.5894790412799</v>
      </c>
      <c r="N84">
        <v>1225.7811234989399</v>
      </c>
      <c r="O84">
        <v>1391.38807440142</v>
      </c>
      <c r="P84">
        <v>1566.34193666892</v>
      </c>
      <c r="Q84">
        <v>1750.88026123174</v>
      </c>
      <c r="R84">
        <v>1942.0494786331701</v>
      </c>
      <c r="S84">
        <v>2138.8437088220398</v>
      </c>
      <c r="T84">
        <v>2340.38824623336</v>
      </c>
      <c r="U84">
        <v>2545.4916888418002</v>
      </c>
      <c r="V84">
        <v>2752.9135272842</v>
      </c>
      <c r="W84">
        <v>5</v>
      </c>
      <c r="AG84" s="130" t="s">
        <v>354</v>
      </c>
      <c r="AI84">
        <v>1</v>
      </c>
      <c r="AJ84">
        <v>0.98988200350603395</v>
      </c>
      <c r="AK84">
        <v>1.1232991157643599</v>
      </c>
      <c r="AL84">
        <v>1.1954296361530701</v>
      </c>
      <c r="AM84">
        <v>1.3390425314379999</v>
      </c>
      <c r="AN84">
        <v>1.53669598042394</v>
      </c>
      <c r="AO84">
        <v>1.78629962510875</v>
      </c>
      <c r="AP84">
        <v>2.0837082745045099</v>
      </c>
      <c r="AQ84">
        <v>2.4256363659646101</v>
      </c>
      <c r="AR84">
        <v>2.8077000407255399</v>
      </c>
      <c r="AS84">
        <v>3.2351132880236202</v>
      </c>
      <c r="AT84">
        <v>3.7000102393082299</v>
      </c>
      <c r="AU84">
        <v>4.2054202267021301</v>
      </c>
      <c r="AV84">
        <v>4.7456170041435897</v>
      </c>
      <c r="AW84">
        <v>5.3198127102941797</v>
      </c>
      <c r="AX84">
        <v>5.9274359490697801</v>
      </c>
      <c r="AY84">
        <v>6.5667710395101002</v>
      </c>
      <c r="AZ84">
        <v>7.2356456068560799</v>
      </c>
      <c r="BA84">
        <v>0</v>
      </c>
      <c r="BB84">
        <v>0</v>
      </c>
      <c r="BC84">
        <v>0</v>
      </c>
      <c r="BD84">
        <v>0</v>
      </c>
      <c r="BE84">
        <v>0</v>
      </c>
      <c r="BF84">
        <v>0</v>
      </c>
      <c r="BG84">
        <v>0</v>
      </c>
      <c r="BH84">
        <v>0</v>
      </c>
      <c r="BJ84" t="s">
        <v>343</v>
      </c>
      <c r="BL84">
        <v>1</v>
      </c>
      <c r="BM84">
        <v>0.99756097560975698</v>
      </c>
      <c r="BN84">
        <v>0.98536585365853702</v>
      </c>
      <c r="BO84">
        <v>0.97317073170731705</v>
      </c>
      <c r="BP84">
        <v>0.96097560975609797</v>
      </c>
      <c r="BQ84">
        <v>0.948780487804878</v>
      </c>
      <c r="BR84">
        <v>0.93658536585365804</v>
      </c>
      <c r="BS84">
        <v>0.92439024390243896</v>
      </c>
      <c r="BT84">
        <v>0.91219512195121999</v>
      </c>
      <c r="BU84">
        <v>0.90</v>
      </c>
      <c r="BV84">
        <v>0.8875</v>
      </c>
      <c r="BW84">
        <v>0.875000000000001</v>
      </c>
      <c r="BX84">
        <v>0.86250000000000104</v>
      </c>
      <c r="BY84">
        <v>0.85000000000000098</v>
      </c>
      <c r="BZ84">
        <v>0.8375</v>
      </c>
      <c r="CA84">
        <v>0.82500000000000095</v>
      </c>
      <c r="CB84">
        <v>0.812500000000001</v>
      </c>
      <c r="CC84">
        <v>0.80000000000000104</v>
      </c>
      <c r="CD84" t="e">
        <v>#VALUE!</v>
      </c>
      <c r="CE84" t="e">
        <v>#VALUE!</v>
      </c>
      <c r="CF84" t="e">
        <v>#VALUE!</v>
      </c>
      <c r="CG84" t="e">
        <v>#VALUE!</v>
      </c>
      <c r="CH84" t="e">
        <v>#VALUE!</v>
      </c>
      <c r="CI84" t="e">
        <v>#VALUE!</v>
      </c>
      <c r="CJ84" t="e">
        <v>#VALUE!</v>
      </c>
      <c r="CK84" t="e">
        <v>#VALUE!</v>
      </c>
    </row>
    <row r="85" spans="1:89" ht="12.5">
      <c r="A85" t="s">
        <v>10</v>
      </c>
      <c r="B85" t="s">
        <v>355</v>
      </c>
      <c r="C85" t="s">
        <v>355</v>
      </c>
      <c r="D85">
        <v>220.20</v>
      </c>
      <c r="E85">
        <v>219.00460571737099</v>
      </c>
      <c r="F85"/>
      <c r="G85">
        <v>253.84706777688501</v>
      </c>
      <c r="H85">
        <v>275.33959349649899</v>
      </c>
      <c r="I85">
        <v>311.63766348266199</v>
      </c>
      <c r="J85">
        <v>358.351365400742</v>
      </c>
      <c r="K85">
        <v>414.13235861399198</v>
      </c>
      <c r="L85">
        <v>476.75737253612499</v>
      </c>
      <c r="M85">
        <v>544.43462719342199</v>
      </c>
      <c r="N85">
        <v>615.02626537697904</v>
      </c>
      <c r="O85">
        <v>688.156062701103</v>
      </c>
      <c r="P85">
        <v>761.14764068748195</v>
      </c>
      <c r="Q85">
        <v>833.55109644264701</v>
      </c>
      <c r="R85">
        <v>903.47784317125604</v>
      </c>
      <c r="S85">
        <v>971.02447678696899</v>
      </c>
      <c r="T85">
        <v>1036.1786451979101</v>
      </c>
      <c r="U85">
        <v>1099.0115900411799</v>
      </c>
      <c r="V85">
        <v>1159.57616897197</v>
      </c>
      <c r="W85">
        <v>5</v>
      </c>
      <c r="AG85" s="130" t="s">
        <v>342</v>
      </c>
      <c r="AI85">
        <v>1</v>
      </c>
      <c r="AJ85">
        <v>0.99455805173916101</v>
      </c>
      <c r="AK85">
        <v>1.1551368549712699</v>
      </c>
      <c r="AL85">
        <v>1.25563538404626</v>
      </c>
      <c r="AM85">
        <v>1.42788808774329</v>
      </c>
      <c r="AN85">
        <v>1.65347960827729</v>
      </c>
      <c r="AO85">
        <v>1.9282871549153</v>
      </c>
      <c r="AP85">
        <v>2.2437331548258701</v>
      </c>
      <c r="AQ85">
        <v>2.5928966043381099</v>
      </c>
      <c r="AR85">
        <v>2.9664478685476801</v>
      </c>
      <c r="AS85">
        <v>3.36388557273931</v>
      </c>
      <c r="AT85">
        <v>3.7716590489328201</v>
      </c>
      <c r="AU85">
        <v>4.1876306792543296</v>
      </c>
      <c r="AV85">
        <v>4.6009260526497604</v>
      </c>
      <c r="AW85">
        <v>5.0116467991289602</v>
      </c>
      <c r="AX85">
        <v>5.4192508919727196</v>
      </c>
      <c r="AY85">
        <v>5.8237044545110903</v>
      </c>
      <c r="AZ85">
        <v>6.2248719800642602</v>
      </c>
      <c r="BA85">
        <v>0</v>
      </c>
      <c r="BB85">
        <v>0</v>
      </c>
      <c r="BC85">
        <v>0</v>
      </c>
      <c r="BD85">
        <v>0</v>
      </c>
      <c r="BE85">
        <v>0</v>
      </c>
      <c r="BF85">
        <v>0</v>
      </c>
      <c r="BG85">
        <v>0</v>
      </c>
      <c r="BH85">
        <v>0</v>
      </c>
      <c r="BJ85" t="s">
        <v>343</v>
      </c>
      <c r="BL85">
        <v>1</v>
      </c>
      <c r="BM85">
        <v>0.99756097560975698</v>
      </c>
      <c r="BN85">
        <v>0.98536585365853702</v>
      </c>
      <c r="BO85">
        <v>0.97317073170731705</v>
      </c>
      <c r="BP85">
        <v>0.96097560975609797</v>
      </c>
      <c r="BQ85">
        <v>0.948780487804878</v>
      </c>
      <c r="BR85">
        <v>0.93658536585365804</v>
      </c>
      <c r="BS85">
        <v>0.92439024390243896</v>
      </c>
      <c r="BT85">
        <v>0.91219512195121999</v>
      </c>
      <c r="BU85">
        <v>0.90</v>
      </c>
      <c r="BV85">
        <v>0.8875</v>
      </c>
      <c r="BW85">
        <v>0.875000000000001</v>
      </c>
      <c r="BX85">
        <v>0.86250000000000104</v>
      </c>
      <c r="BY85">
        <v>0.85000000000000098</v>
      </c>
      <c r="BZ85">
        <v>0.8375</v>
      </c>
      <c r="CA85">
        <v>0.82500000000000095</v>
      </c>
      <c r="CB85">
        <v>0.812500000000001</v>
      </c>
      <c r="CC85">
        <v>0.80000000000000104</v>
      </c>
      <c r="CD85" t="e">
        <v>#VALUE!</v>
      </c>
      <c r="CE85" t="e">
        <v>#VALUE!</v>
      </c>
      <c r="CF85" t="e">
        <v>#VALUE!</v>
      </c>
      <c r="CG85" t="e">
        <v>#VALUE!</v>
      </c>
      <c r="CH85" t="e">
        <v>#VALUE!</v>
      </c>
      <c r="CI85" t="e">
        <v>#VALUE!</v>
      </c>
      <c r="CJ85" t="e">
        <v>#VALUE!</v>
      </c>
      <c r="CK85" t="e">
        <v>#VALUE!</v>
      </c>
    </row>
    <row r="86" spans="1:89" ht="12.5">
      <c r="A86" t="s">
        <v>10</v>
      </c>
      <c r="B86" t="s">
        <v>356</v>
      </c>
      <c r="C86" t="s">
        <v>356</v>
      </c>
      <c r="D86">
        <v>98.64</v>
      </c>
      <c r="E86">
        <v>98.104515476664105</v>
      </c>
      <c r="F86"/>
      <c r="G86">
        <v>113.712419461907</v>
      </c>
      <c r="H86">
        <v>123.340133980448</v>
      </c>
      <c r="I86">
        <v>139.60008685708399</v>
      </c>
      <c r="J86">
        <v>160.52578875172199</v>
      </c>
      <c r="K86">
        <v>185.513241842344</v>
      </c>
      <c r="L86">
        <v>213.56651783362099</v>
      </c>
      <c r="M86">
        <v>243.882977413075</v>
      </c>
      <c r="N86">
        <v>275.50495375470098</v>
      </c>
      <c r="O86">
        <v>308.26391473586199</v>
      </c>
      <c r="P86">
        <v>340.96095947962402</v>
      </c>
      <c r="Q86">
        <v>373.394551104009</v>
      </c>
      <c r="R86">
        <v>404.71868506091101</v>
      </c>
      <c r="S86">
        <v>434.97663210838601</v>
      </c>
      <c r="T86">
        <v>464.16285904778499</v>
      </c>
      <c r="U86">
        <v>492.30927902662103</v>
      </c>
      <c r="V86">
        <v>519.43956997000703</v>
      </c>
      <c r="W86">
        <v>5</v>
      </c>
      <c r="AG86" s="130" t="s">
        <v>342</v>
      </c>
      <c r="AI86">
        <v>1</v>
      </c>
      <c r="AJ86">
        <v>0.99455805173916101</v>
      </c>
      <c r="AK86">
        <v>1.1551368549712699</v>
      </c>
      <c r="AL86">
        <v>1.25563538404626</v>
      </c>
      <c r="AM86">
        <v>1.42788808774329</v>
      </c>
      <c r="AN86">
        <v>1.65347960827729</v>
      </c>
      <c r="AO86">
        <v>1.9282871549153</v>
      </c>
      <c r="AP86">
        <v>2.2437331548258701</v>
      </c>
      <c r="AQ86">
        <v>2.5928966043381099</v>
      </c>
      <c r="AR86">
        <v>2.9664478685476801</v>
      </c>
      <c r="AS86">
        <v>3.36388557273931</v>
      </c>
      <c r="AT86">
        <v>3.7716590489328201</v>
      </c>
      <c r="AU86">
        <v>4.1876306792543296</v>
      </c>
      <c r="AV86">
        <v>4.6009260526497604</v>
      </c>
      <c r="AW86">
        <v>5.0116467991289602</v>
      </c>
      <c r="AX86">
        <v>5.4192508919727196</v>
      </c>
      <c r="AY86">
        <v>5.8237044545110903</v>
      </c>
      <c r="AZ86">
        <v>6.2248719800642602</v>
      </c>
      <c r="BA86">
        <v>0</v>
      </c>
      <c r="BB86">
        <v>0</v>
      </c>
      <c r="BC86">
        <v>0</v>
      </c>
      <c r="BD86">
        <v>0</v>
      </c>
      <c r="BE86">
        <v>0</v>
      </c>
      <c r="BF86">
        <v>0</v>
      </c>
      <c r="BG86">
        <v>0</v>
      </c>
      <c r="BH86">
        <v>0</v>
      </c>
      <c r="BJ86" t="s">
        <v>343</v>
      </c>
      <c r="BL86">
        <v>1</v>
      </c>
      <c r="BM86">
        <v>0.99756097560975698</v>
      </c>
      <c r="BN86">
        <v>0.98536585365853702</v>
      </c>
      <c r="BO86">
        <v>0.97317073170731705</v>
      </c>
      <c r="BP86">
        <v>0.96097560975609797</v>
      </c>
      <c r="BQ86">
        <v>0.948780487804878</v>
      </c>
      <c r="BR86">
        <v>0.93658536585365804</v>
      </c>
      <c r="BS86">
        <v>0.92439024390243896</v>
      </c>
      <c r="BT86">
        <v>0.91219512195121999</v>
      </c>
      <c r="BU86">
        <v>0.90</v>
      </c>
      <c r="BV86">
        <v>0.8875</v>
      </c>
      <c r="BW86">
        <v>0.875000000000001</v>
      </c>
      <c r="BX86">
        <v>0.86250000000000104</v>
      </c>
      <c r="BY86">
        <v>0.85000000000000098</v>
      </c>
      <c r="BZ86">
        <v>0.8375</v>
      </c>
      <c r="CA86">
        <v>0.82500000000000095</v>
      </c>
      <c r="CB86">
        <v>0.812500000000001</v>
      </c>
      <c r="CC86">
        <v>0.80000000000000104</v>
      </c>
      <c r="CD86" t="e">
        <v>#VALUE!</v>
      </c>
      <c r="CE86" t="e">
        <v>#VALUE!</v>
      </c>
      <c r="CF86" t="e">
        <v>#VALUE!</v>
      </c>
      <c r="CG86" t="e">
        <v>#VALUE!</v>
      </c>
      <c r="CH86" t="e">
        <v>#VALUE!</v>
      </c>
      <c r="CI86" t="e">
        <v>#VALUE!</v>
      </c>
      <c r="CJ86" t="e">
        <v>#VALUE!</v>
      </c>
      <c r="CK86" t="e">
        <v>#VALUE!</v>
      </c>
    </row>
    <row r="87" spans="1:89" s="1" customFormat="1" ht="12.5">
      <c r="A87" s="1" t="s">
        <v>11</v>
      </c>
      <c r="B87" s="1" t="s">
        <v>341</v>
      </c>
      <c r="C87" s="1" t="s">
        <v>341</v>
      </c>
      <c r="E87" s="2">
        <v>1188.1671141181801</v>
      </c>
      <c r="F87" s="2">
        <f>E87</f>
        <v>1188.1671141181801</v>
      </c>
      <c r="I87" s="2">
        <f>F87</f>
        <v>1188.1671141181801</v>
      </c>
      <c r="J87" s="2">
        <f>I87</f>
        <v>1188.1671141181801</v>
      </c>
      <c r="L87" s="2">
        <f>J87</f>
        <v>1188.1671141181801</v>
      </c>
      <c r="V87" s="2">
        <f>L87</f>
        <v>1188.1671141181801</v>
      </c>
      <c r="W87" s="1">
        <v>5</v>
      </c>
      <c r="AG87" s="131" t="s">
        <v>342</v>
      </c>
      <c r="AI87" s="1">
        <v>1</v>
      </c>
      <c r="AJ87" s="1">
        <v>1.0511285414424301</v>
      </c>
      <c r="AK87" s="1">
        <v>1.3474824157080401</v>
      </c>
      <c r="AL87" s="1">
        <v>1.6193908164761299</v>
      </c>
      <c r="AM87" s="1">
        <v>1.8663710026354099</v>
      </c>
      <c r="AN87" s="1">
        <v>2.0643216772214101</v>
      </c>
      <c r="AO87" s="1">
        <v>2.2538243823595701</v>
      </c>
      <c r="AP87" s="1">
        <v>2.4307668789535599</v>
      </c>
      <c r="AQ87" s="1">
        <v>2.58432772042495</v>
      </c>
      <c r="AR87" s="1">
        <v>2.7323593882418602</v>
      </c>
      <c r="AS87" s="1">
        <v>2.8725062845740998</v>
      </c>
      <c r="AT87" s="1">
        <v>2.98524868318952</v>
      </c>
      <c r="AU87" s="1">
        <v>3.06916517970485</v>
      </c>
      <c r="AV87" s="1">
        <v>3.1308711152750002</v>
      </c>
      <c r="AW87" s="1">
        <v>3.1763068874641101</v>
      </c>
      <c r="AX87" s="1">
        <v>3.2130711989501299</v>
      </c>
      <c r="AY87" s="1">
        <v>3.2429609194251401</v>
      </c>
      <c r="AZ87" s="1">
        <v>3.2599015565718901</v>
      </c>
      <c r="BA87" s="1">
        <v>0</v>
      </c>
      <c r="BB87" s="1">
        <v>0</v>
      </c>
      <c r="BC87" s="1">
        <v>0</v>
      </c>
      <c r="BD87" s="1">
        <v>0</v>
      </c>
      <c r="BE87" s="1">
        <v>0</v>
      </c>
      <c r="BF87" s="1">
        <v>0</v>
      </c>
      <c r="BG87" s="1">
        <v>0</v>
      </c>
      <c r="BH87" s="1">
        <v>0</v>
      </c>
      <c r="BJ87" s="1" t="s">
        <v>358</v>
      </c>
      <c r="BL87" s="1">
        <v>0.79999999999999905</v>
      </c>
      <c r="BM87" s="1">
        <v>0.79512195121951201</v>
      </c>
      <c r="BN87" s="1">
        <v>0.77073170731707197</v>
      </c>
      <c r="BO87" s="1">
        <v>0.74634146341463403</v>
      </c>
      <c r="BP87" s="1">
        <v>0.72195121951219399</v>
      </c>
      <c r="BQ87" s="1">
        <v>0.69756097560975605</v>
      </c>
      <c r="BR87" s="1">
        <v>0.67317073170731601</v>
      </c>
      <c r="BS87" s="1">
        <v>0.64878048780487796</v>
      </c>
      <c r="BT87" s="1">
        <v>0.62439024390244002</v>
      </c>
      <c r="BU87" s="1">
        <v>0.60</v>
      </c>
      <c r="BV87" s="1">
        <v>0.57499999999999896</v>
      </c>
      <c r="BW87" s="1">
        <v>0.55000000000000104</v>
      </c>
      <c r="BX87" s="1">
        <v>0.525</v>
      </c>
      <c r="BY87" s="1">
        <v>0.50</v>
      </c>
      <c r="BZ87" s="1">
        <v>0.475</v>
      </c>
      <c r="CA87" s="1">
        <v>0.44999999999999901</v>
      </c>
      <c r="CB87" s="1">
        <v>0.42500000000000099</v>
      </c>
      <c r="CC87" s="1">
        <v>0.40</v>
      </c>
      <c r="CD87" s="1" t="e">
        <v>#VALUE!</v>
      </c>
      <c r="CE87" s="1" t="e">
        <v>#VALUE!</v>
      </c>
      <c r="CF87" s="1" t="e">
        <v>#VALUE!</v>
      </c>
      <c r="CG87" s="1" t="e">
        <v>#VALUE!</v>
      </c>
      <c r="CH87" s="1" t="e">
        <v>#VALUE!</v>
      </c>
      <c r="CI87" s="1" t="e">
        <v>#VALUE!</v>
      </c>
      <c r="CJ87" s="1" t="e">
        <v>#VALUE!</v>
      </c>
      <c r="CK87" s="1" t="e">
        <v>#VALUE!</v>
      </c>
    </row>
    <row r="88" spans="1:89" ht="12.5">
      <c r="A88" t="s">
        <v>11</v>
      </c>
      <c r="B88" t="s">
        <v>344</v>
      </c>
      <c r="C88" t="s">
        <v>344</v>
      </c>
      <c r="E88" s="2">
        <v>467.44475840983802</v>
      </c>
      <c r="F88" s="2">
        <f>E88</f>
        <v>467.44475840983802</v>
      </c>
      <c r="I88" s="2">
        <f>F88</f>
        <v>467.44475840983802</v>
      </c>
      <c r="J88" s="2">
        <f>I88</f>
        <v>467.44475840983802</v>
      </c>
      <c r="L88" s="2">
        <f>J88</f>
        <v>467.44475840983802</v>
      </c>
      <c r="V88" s="2">
        <f>L88</f>
        <v>467.44475840983802</v>
      </c>
      <c r="W88">
        <v>5</v>
      </c>
      <c r="AG88" s="130" t="s">
        <v>342</v>
      </c>
      <c r="AI88">
        <v>1</v>
      </c>
      <c r="AJ88">
        <v>1.0511285414424301</v>
      </c>
      <c r="AK88">
        <v>1.3474824157080401</v>
      </c>
      <c r="AL88">
        <v>1.6193908164761299</v>
      </c>
      <c r="AM88">
        <v>1.8663710026354099</v>
      </c>
      <c r="AN88">
        <v>2.0643216772214101</v>
      </c>
      <c r="AO88">
        <v>2.2538243823595701</v>
      </c>
      <c r="AP88">
        <v>2.4307668789535599</v>
      </c>
      <c r="AQ88">
        <v>2.58432772042495</v>
      </c>
      <c r="AR88">
        <v>2.7323593882418602</v>
      </c>
      <c r="AS88">
        <v>2.8725062845740998</v>
      </c>
      <c r="AT88">
        <v>2.98524868318952</v>
      </c>
      <c r="AU88">
        <v>3.06916517970485</v>
      </c>
      <c r="AV88">
        <v>3.1308711152750002</v>
      </c>
      <c r="AW88">
        <v>3.1763068874641101</v>
      </c>
      <c r="AX88">
        <v>3.2130711989501299</v>
      </c>
      <c r="AY88">
        <v>3.2429609194251401</v>
      </c>
      <c r="AZ88">
        <v>3.2599015565718901</v>
      </c>
      <c r="BA88">
        <v>0</v>
      </c>
      <c r="BB88">
        <v>0</v>
      </c>
      <c r="BC88">
        <v>0</v>
      </c>
      <c r="BD88">
        <v>0</v>
      </c>
      <c r="BE88">
        <v>0</v>
      </c>
      <c r="BF88">
        <v>0</v>
      </c>
      <c r="BG88">
        <v>0</v>
      </c>
      <c r="BH88">
        <v>0</v>
      </c>
      <c r="BJ88" t="s">
        <v>358</v>
      </c>
      <c r="BL88">
        <v>0.79999999999999905</v>
      </c>
      <c r="BM88">
        <v>0.79512195121951201</v>
      </c>
      <c r="BN88">
        <v>0.77073170731707197</v>
      </c>
      <c r="BO88">
        <v>0.74634146341463403</v>
      </c>
      <c r="BP88">
        <v>0.72195121951219399</v>
      </c>
      <c r="BQ88">
        <v>0.69756097560975605</v>
      </c>
      <c r="BR88">
        <v>0.67317073170731601</v>
      </c>
      <c r="BS88">
        <v>0.64878048780487796</v>
      </c>
      <c r="BT88">
        <v>0.62439024390244002</v>
      </c>
      <c r="BU88">
        <v>0.60</v>
      </c>
      <c r="BV88">
        <v>0.57499999999999896</v>
      </c>
      <c r="BW88">
        <v>0.55000000000000104</v>
      </c>
      <c r="BX88">
        <v>0.525</v>
      </c>
      <c r="BY88">
        <v>0.50</v>
      </c>
      <c r="BZ88">
        <v>0.475</v>
      </c>
      <c r="CA88">
        <v>0.44999999999999901</v>
      </c>
      <c r="CB88">
        <v>0.42500000000000099</v>
      </c>
      <c r="CC88">
        <v>0.40</v>
      </c>
      <c r="CD88" t="e">
        <v>#VALUE!</v>
      </c>
      <c r="CE88" t="e">
        <v>#VALUE!</v>
      </c>
      <c r="CF88" t="e">
        <v>#VALUE!</v>
      </c>
      <c r="CG88" t="e">
        <v>#VALUE!</v>
      </c>
      <c r="CH88" t="e">
        <v>#VALUE!</v>
      </c>
      <c r="CI88" t="e">
        <v>#VALUE!</v>
      </c>
      <c r="CJ88" t="e">
        <v>#VALUE!</v>
      </c>
      <c r="CK88" t="e">
        <v>#VALUE!</v>
      </c>
    </row>
    <row r="89" spans="1:89" ht="12.5">
      <c r="A89" t="s">
        <v>11</v>
      </c>
      <c r="B89" t="s">
        <v>345</v>
      </c>
      <c r="C89" t="s">
        <v>345</v>
      </c>
      <c r="E89" s="2">
        <v>144.32757090727901</v>
      </c>
      <c r="I89" s="2">
        <v>224.40769662237801</v>
      </c>
      <c r="J89" s="2">
        <v>241.01040471551801</v>
      </c>
      <c r="L89" s="2">
        <v>268.938258912685</v>
      </c>
      <c r="V89" s="2">
        <v>317.39063228655698</v>
      </c>
      <c r="W89">
        <v>5</v>
      </c>
      <c r="AG89" s="130" t="s">
        <v>342</v>
      </c>
      <c r="AI89">
        <v>1</v>
      </c>
      <c r="AJ89">
        <v>1.0511285414424301</v>
      </c>
      <c r="AK89">
        <v>1.3474824157080401</v>
      </c>
      <c r="AL89">
        <v>1.6193908164761299</v>
      </c>
      <c r="AM89">
        <v>1.8663710026354099</v>
      </c>
      <c r="AN89">
        <v>2.0643216772214101</v>
      </c>
      <c r="AO89">
        <v>2.2538243823595701</v>
      </c>
      <c r="AP89">
        <v>2.4307668789535599</v>
      </c>
      <c r="AQ89">
        <v>2.58432772042495</v>
      </c>
      <c r="AR89">
        <v>2.7323593882418602</v>
      </c>
      <c r="AS89">
        <v>2.8725062845740998</v>
      </c>
      <c r="AT89">
        <v>2.98524868318952</v>
      </c>
      <c r="AU89">
        <v>3.06916517970485</v>
      </c>
      <c r="AV89">
        <v>3.1308711152750002</v>
      </c>
      <c r="AW89">
        <v>3.1763068874641101</v>
      </c>
      <c r="AX89">
        <v>3.2130711989501299</v>
      </c>
      <c r="AY89">
        <v>3.2429609194251401</v>
      </c>
      <c r="AZ89">
        <v>3.2599015565718901</v>
      </c>
      <c r="BA89">
        <v>0</v>
      </c>
      <c r="BB89">
        <v>0</v>
      </c>
      <c r="BC89">
        <v>0</v>
      </c>
      <c r="BD89">
        <v>0</v>
      </c>
      <c r="BE89">
        <v>0</v>
      </c>
      <c r="BF89">
        <v>0</v>
      </c>
      <c r="BG89">
        <v>0</v>
      </c>
      <c r="BH89">
        <v>0</v>
      </c>
      <c r="BJ89" t="s">
        <v>358</v>
      </c>
      <c r="BL89">
        <v>0.79999999999999905</v>
      </c>
      <c r="BM89">
        <v>0.79512195121951201</v>
      </c>
      <c r="BN89">
        <v>0.77073170731707197</v>
      </c>
      <c r="BO89">
        <v>0.74634146341463403</v>
      </c>
      <c r="BP89">
        <v>0.72195121951219399</v>
      </c>
      <c r="BQ89">
        <v>0.69756097560975605</v>
      </c>
      <c r="BR89">
        <v>0.67317073170731601</v>
      </c>
      <c r="BS89">
        <v>0.64878048780487796</v>
      </c>
      <c r="BT89">
        <v>0.62439024390244002</v>
      </c>
      <c r="BU89">
        <v>0.60</v>
      </c>
      <c r="BV89">
        <v>0.57499999999999896</v>
      </c>
      <c r="BW89">
        <v>0.55000000000000104</v>
      </c>
      <c r="BX89">
        <v>0.525</v>
      </c>
      <c r="BY89">
        <v>0.50</v>
      </c>
      <c r="BZ89">
        <v>0.475</v>
      </c>
      <c r="CA89">
        <v>0.44999999999999901</v>
      </c>
      <c r="CB89">
        <v>0.42500000000000099</v>
      </c>
      <c r="CC89">
        <v>0.40</v>
      </c>
      <c r="CD89" t="e">
        <v>#VALUE!</v>
      </c>
      <c r="CE89" t="e">
        <v>#VALUE!</v>
      </c>
      <c r="CF89" t="e">
        <v>#VALUE!</v>
      </c>
      <c r="CG89" t="e">
        <v>#VALUE!</v>
      </c>
      <c r="CH89" t="e">
        <v>#VALUE!</v>
      </c>
      <c r="CI89" t="e">
        <v>#VALUE!</v>
      </c>
      <c r="CJ89" t="e">
        <v>#VALUE!</v>
      </c>
      <c r="CK89" t="e">
        <v>#VALUE!</v>
      </c>
    </row>
    <row r="90" spans="1:89" ht="12.5">
      <c r="A90" t="s">
        <v>11</v>
      </c>
      <c r="B90" t="s">
        <v>346</v>
      </c>
      <c r="C90" t="s">
        <v>346</v>
      </c>
      <c r="E90" s="2">
        <v>326.60766832713398</v>
      </c>
      <c r="I90" s="2">
        <v>322.41109467305699</v>
      </c>
      <c r="J90" s="2">
        <v>318.688567557196</v>
      </c>
      <c r="L90" s="2">
        <v>308.001346625873</v>
      </c>
      <c r="V90" s="2">
        <v>240.98519894761199</v>
      </c>
      <c r="W90">
        <v>5</v>
      </c>
      <c r="AG90" s="130" t="s">
        <v>347</v>
      </c>
      <c r="AI90">
        <v>1</v>
      </c>
      <c r="AJ90">
        <v>1.00033331616148</v>
      </c>
      <c r="AK90">
        <v>1.0019998969688999</v>
      </c>
      <c r="AL90">
        <v>0.99490643011593705</v>
      </c>
      <c r="AM90">
        <v>0.98267151190847002</v>
      </c>
      <c r="AN90">
        <v>0.966406511398471</v>
      </c>
      <c r="AO90">
        <v>0.94506652067617103</v>
      </c>
      <c r="AP90">
        <v>0.917459642340542</v>
      </c>
      <c r="AQ90">
        <v>0.883436545527019</v>
      </c>
      <c r="AR90">
        <v>0.84523773973524996</v>
      </c>
      <c r="AS90">
        <v>0.80557125255242101</v>
      </c>
      <c r="AT90">
        <v>0.76687108026887596</v>
      </c>
      <c r="AU90">
        <v>0.72967472295534896</v>
      </c>
      <c r="AV90">
        <v>0.69310207433299897</v>
      </c>
      <c r="AW90">
        <v>0.65724585573510996</v>
      </c>
      <c r="AX90">
        <v>0.623388841880121</v>
      </c>
      <c r="AY90">
        <v>0.59204060635980804</v>
      </c>
      <c r="AZ90">
        <v>0.56213739366591697</v>
      </c>
      <c r="BA90">
        <v>0</v>
      </c>
      <c r="BB90">
        <v>0</v>
      </c>
      <c r="BC90">
        <v>0</v>
      </c>
      <c r="BD90">
        <v>0</v>
      </c>
      <c r="BE90">
        <v>0</v>
      </c>
      <c r="BF90">
        <v>0</v>
      </c>
      <c r="BG90">
        <v>0</v>
      </c>
      <c r="BH90">
        <v>0</v>
      </c>
      <c r="BJ90" t="s">
        <v>358</v>
      </c>
      <c r="BL90">
        <v>0.79999999999999905</v>
      </c>
      <c r="BM90">
        <v>0.79512195121951201</v>
      </c>
      <c r="BN90">
        <v>0.77073170731707197</v>
      </c>
      <c r="BO90">
        <v>0.74634146341463403</v>
      </c>
      <c r="BP90">
        <v>0.72195121951219399</v>
      </c>
      <c r="BQ90">
        <v>0.69756097560975605</v>
      </c>
      <c r="BR90">
        <v>0.67317073170731601</v>
      </c>
      <c r="BS90">
        <v>0.64878048780487796</v>
      </c>
      <c r="BT90">
        <v>0.62439024390244002</v>
      </c>
      <c r="BU90">
        <v>0.60</v>
      </c>
      <c r="BV90">
        <v>0.57499999999999896</v>
      </c>
      <c r="BW90">
        <v>0.55000000000000104</v>
      </c>
      <c r="BX90">
        <v>0.525</v>
      </c>
      <c r="BY90">
        <v>0.50</v>
      </c>
      <c r="BZ90">
        <v>0.475</v>
      </c>
      <c r="CA90">
        <v>0.44999999999999901</v>
      </c>
      <c r="CB90">
        <v>0.42500000000000099</v>
      </c>
      <c r="CC90">
        <v>0.40</v>
      </c>
      <c r="CD90" t="e">
        <v>#VALUE!</v>
      </c>
      <c r="CE90" t="e">
        <v>#VALUE!</v>
      </c>
      <c r="CF90" t="e">
        <v>#VALUE!</v>
      </c>
      <c r="CG90" t="e">
        <v>#VALUE!</v>
      </c>
      <c r="CH90" t="e">
        <v>#VALUE!</v>
      </c>
      <c r="CI90" t="e">
        <v>#VALUE!</v>
      </c>
      <c r="CJ90" t="e">
        <v>#VALUE!</v>
      </c>
      <c r="CK90" t="e">
        <v>#VALUE!</v>
      </c>
    </row>
    <row r="91" spans="1:89" ht="12.5">
      <c r="A91" t="s">
        <v>11</v>
      </c>
      <c r="B91" t="s">
        <v>348</v>
      </c>
      <c r="C91" t="s">
        <v>348</v>
      </c>
      <c r="E91" s="2">
        <v>1059.4123150425601</v>
      </c>
      <c r="F91" s="2">
        <f>E91</f>
        <v>1059.4123150425601</v>
      </c>
      <c r="I91" s="2">
        <f>F91</f>
        <v>1059.4123150425601</v>
      </c>
      <c r="J91" s="2">
        <f>I91</f>
        <v>1059.4123150425601</v>
      </c>
      <c r="L91" s="2">
        <f>J91</f>
        <v>1059.4123150425601</v>
      </c>
      <c r="V91" s="2">
        <f>L91</f>
        <v>1059.4123150425601</v>
      </c>
      <c r="W91">
        <v>5</v>
      </c>
      <c r="AG91" s="130" t="s">
        <v>342</v>
      </c>
      <c r="AI91">
        <v>1</v>
      </c>
      <c r="AJ91">
        <v>1.0511285414424301</v>
      </c>
      <c r="AK91">
        <v>1.3474824157080401</v>
      </c>
      <c r="AL91">
        <v>1.6193908164761299</v>
      </c>
      <c r="AM91">
        <v>1.8663710026354099</v>
      </c>
      <c r="AN91">
        <v>2.0643216772214101</v>
      </c>
      <c r="AO91">
        <v>2.2538243823595701</v>
      </c>
      <c r="AP91">
        <v>2.4307668789535599</v>
      </c>
      <c r="AQ91">
        <v>2.58432772042495</v>
      </c>
      <c r="AR91">
        <v>2.7323593882418602</v>
      </c>
      <c r="AS91">
        <v>2.8725062845740998</v>
      </c>
      <c r="AT91">
        <v>2.98524868318952</v>
      </c>
      <c r="AU91">
        <v>3.06916517970485</v>
      </c>
      <c r="AV91">
        <v>3.1308711152750002</v>
      </c>
      <c r="AW91">
        <v>3.1763068874641101</v>
      </c>
      <c r="AX91">
        <v>3.2130711989501299</v>
      </c>
      <c r="AY91">
        <v>3.2429609194251401</v>
      </c>
      <c r="AZ91">
        <v>3.2599015565718901</v>
      </c>
      <c r="BA91">
        <v>0</v>
      </c>
      <c r="BB91">
        <v>0</v>
      </c>
      <c r="BC91">
        <v>0</v>
      </c>
      <c r="BD91">
        <v>0</v>
      </c>
      <c r="BE91">
        <v>0</v>
      </c>
      <c r="BF91">
        <v>0</v>
      </c>
      <c r="BG91">
        <v>0</v>
      </c>
      <c r="BH91">
        <v>0</v>
      </c>
      <c r="BJ91" t="s">
        <v>358</v>
      </c>
      <c r="BL91">
        <v>0.79999999999999905</v>
      </c>
      <c r="BM91">
        <v>0.79512195121951201</v>
      </c>
      <c r="BN91">
        <v>0.77073170731707197</v>
      </c>
      <c r="BO91">
        <v>0.74634146341463403</v>
      </c>
      <c r="BP91">
        <v>0.72195121951219399</v>
      </c>
      <c r="BQ91">
        <v>0.69756097560975605</v>
      </c>
      <c r="BR91">
        <v>0.67317073170731601</v>
      </c>
      <c r="BS91">
        <v>0.64878048780487796</v>
      </c>
      <c r="BT91">
        <v>0.62439024390244002</v>
      </c>
      <c r="BU91">
        <v>0.60</v>
      </c>
      <c r="BV91">
        <v>0.57499999999999896</v>
      </c>
      <c r="BW91">
        <v>0.55000000000000104</v>
      </c>
      <c r="BX91">
        <v>0.525</v>
      </c>
      <c r="BY91">
        <v>0.50</v>
      </c>
      <c r="BZ91">
        <v>0.475</v>
      </c>
      <c r="CA91">
        <v>0.44999999999999901</v>
      </c>
      <c r="CB91">
        <v>0.42500000000000099</v>
      </c>
      <c r="CC91">
        <v>0.40</v>
      </c>
      <c r="CD91" t="e">
        <v>#VALUE!</v>
      </c>
      <c r="CE91" t="e">
        <v>#VALUE!</v>
      </c>
      <c r="CF91" t="e">
        <v>#VALUE!</v>
      </c>
      <c r="CG91" t="e">
        <v>#VALUE!</v>
      </c>
      <c r="CH91" t="e">
        <v>#VALUE!</v>
      </c>
      <c r="CI91" t="e">
        <v>#VALUE!</v>
      </c>
      <c r="CJ91" t="e">
        <v>#VALUE!</v>
      </c>
      <c r="CK91" t="e">
        <v>#VALUE!</v>
      </c>
    </row>
    <row r="92" spans="1:89" ht="12.5">
      <c r="A92" t="s">
        <v>11</v>
      </c>
      <c r="B92" t="s">
        <v>349</v>
      </c>
      <c r="C92" t="s">
        <v>349</v>
      </c>
      <c r="E92" s="2">
        <v>494.94154683613101</v>
      </c>
      <c r="F92" s="2">
        <f>E92</f>
        <v>494.94154683613101</v>
      </c>
      <c r="I92" s="2">
        <f>F92</f>
        <v>494.94154683613101</v>
      </c>
      <c r="J92" s="2">
        <f>I92</f>
        <v>494.94154683613101</v>
      </c>
      <c r="L92" s="2">
        <f>J92</f>
        <v>494.94154683613101</v>
      </c>
      <c r="V92" s="2">
        <f>L92</f>
        <v>494.94154683613101</v>
      </c>
      <c r="W92">
        <v>5</v>
      </c>
      <c r="AG92" s="130" t="s">
        <v>342</v>
      </c>
      <c r="AI92">
        <v>1</v>
      </c>
      <c r="AJ92">
        <v>1.0511285414424301</v>
      </c>
      <c r="AK92">
        <v>1.3474824157080401</v>
      </c>
      <c r="AL92">
        <v>1.6193908164761299</v>
      </c>
      <c r="AM92">
        <v>1.8663710026354099</v>
      </c>
      <c r="AN92">
        <v>2.0643216772214101</v>
      </c>
      <c r="AO92">
        <v>2.2538243823595701</v>
      </c>
      <c r="AP92">
        <v>2.4307668789535599</v>
      </c>
      <c r="AQ92">
        <v>2.58432772042495</v>
      </c>
      <c r="AR92">
        <v>2.7323593882418602</v>
      </c>
      <c r="AS92">
        <v>2.8725062845740998</v>
      </c>
      <c r="AT92">
        <v>2.98524868318952</v>
      </c>
      <c r="AU92">
        <v>3.06916517970485</v>
      </c>
      <c r="AV92">
        <v>3.1308711152750002</v>
      </c>
      <c r="AW92">
        <v>3.1763068874641101</v>
      </c>
      <c r="AX92">
        <v>3.2130711989501299</v>
      </c>
      <c r="AY92">
        <v>3.2429609194251401</v>
      </c>
      <c r="AZ92">
        <v>3.2599015565718901</v>
      </c>
      <c r="BA92">
        <v>0</v>
      </c>
      <c r="BB92">
        <v>0</v>
      </c>
      <c r="BC92">
        <v>0</v>
      </c>
      <c r="BD92">
        <v>0</v>
      </c>
      <c r="BE92">
        <v>0</v>
      </c>
      <c r="BF92">
        <v>0</v>
      </c>
      <c r="BG92">
        <v>0</v>
      </c>
      <c r="BH92">
        <v>0</v>
      </c>
      <c r="BJ92" t="s">
        <v>358</v>
      </c>
      <c r="BL92">
        <v>0.79999999999999905</v>
      </c>
      <c r="BM92">
        <v>0.79512195121951201</v>
      </c>
      <c r="BN92">
        <v>0.77073170731707197</v>
      </c>
      <c r="BO92">
        <v>0.74634146341463403</v>
      </c>
      <c r="BP92">
        <v>0.72195121951219399</v>
      </c>
      <c r="BQ92">
        <v>0.69756097560975605</v>
      </c>
      <c r="BR92">
        <v>0.67317073170731601</v>
      </c>
      <c r="BS92">
        <v>0.64878048780487796</v>
      </c>
      <c r="BT92">
        <v>0.62439024390244002</v>
      </c>
      <c r="BU92">
        <v>0.60</v>
      </c>
      <c r="BV92">
        <v>0.57499999999999896</v>
      </c>
      <c r="BW92">
        <v>0.55000000000000104</v>
      </c>
      <c r="BX92">
        <v>0.525</v>
      </c>
      <c r="BY92">
        <v>0.50</v>
      </c>
      <c r="BZ92">
        <v>0.475</v>
      </c>
      <c r="CA92">
        <v>0.44999999999999901</v>
      </c>
      <c r="CB92">
        <v>0.42500000000000099</v>
      </c>
      <c r="CC92">
        <v>0.40</v>
      </c>
      <c r="CD92" t="e">
        <v>#VALUE!</v>
      </c>
      <c r="CE92" t="e">
        <v>#VALUE!</v>
      </c>
      <c r="CF92" t="e">
        <v>#VALUE!</v>
      </c>
      <c r="CG92" t="e">
        <v>#VALUE!</v>
      </c>
      <c r="CH92" t="e">
        <v>#VALUE!</v>
      </c>
      <c r="CI92" t="e">
        <v>#VALUE!</v>
      </c>
      <c r="CJ92" t="e">
        <v>#VALUE!</v>
      </c>
      <c r="CK92" t="e">
        <v>#VALUE!</v>
      </c>
    </row>
    <row r="93" spans="1:89" ht="12.5">
      <c r="A93" t="s">
        <v>11</v>
      </c>
      <c r="B93" t="s">
        <v>350</v>
      </c>
      <c r="C93" t="s">
        <v>350</v>
      </c>
      <c r="D93">
        <v>1604.309</v>
      </c>
      <c r="E93">
        <v>1604.73418519603</v>
      </c>
      <c r="F93"/>
      <c r="G93">
        <v>1606.7947580453199</v>
      </c>
      <c r="H93">
        <v>1598.30512648533</v>
      </c>
      <c r="I93">
        <v>1584.1149963145101</v>
      </c>
      <c r="J93">
        <v>1565.82495876353</v>
      </c>
      <c r="K93">
        <v>1542.5492553051999</v>
      </c>
      <c r="L93">
        <v>1513.31501966419</v>
      </c>
      <c r="M93">
        <v>1478.27435603251</v>
      </c>
      <c r="N93">
        <v>1439.9230005318</v>
      </c>
      <c r="O93">
        <v>1401.0675476552201</v>
      </c>
      <c r="P93">
        <v>1364.0480345869</v>
      </c>
      <c r="Q93">
        <v>1329.3130573773001</v>
      </c>
      <c r="R93">
        <v>1295.9992410786799</v>
      </c>
      <c r="S93">
        <v>1264.15245247344</v>
      </c>
      <c r="T93">
        <v>1234.8480574344601</v>
      </c>
      <c r="U93">
        <v>1208.45701594855</v>
      </c>
      <c r="V93">
        <v>1184.0419695539999</v>
      </c>
      <c r="W93">
        <v>5</v>
      </c>
      <c r="AG93" s="130" t="s">
        <v>347</v>
      </c>
      <c r="AI93">
        <v>1</v>
      </c>
      <c r="AJ93">
        <v>1.00033331616148</v>
      </c>
      <c r="AK93">
        <v>1.0019998969688999</v>
      </c>
      <c r="AL93">
        <v>0.99490643011593705</v>
      </c>
      <c r="AM93">
        <v>0.98267151190847002</v>
      </c>
      <c r="AN93">
        <v>0.966406511398471</v>
      </c>
      <c r="AO93">
        <v>0.94506652067617103</v>
      </c>
      <c r="AP93">
        <v>0.917459642340542</v>
      </c>
      <c r="AQ93">
        <v>0.883436545527019</v>
      </c>
      <c r="AR93">
        <v>0.84523773973524996</v>
      </c>
      <c r="AS93">
        <v>0.80557125255242101</v>
      </c>
      <c r="AT93">
        <v>0.76687108026887596</v>
      </c>
      <c r="AU93">
        <v>0.72967472295534896</v>
      </c>
      <c r="AV93">
        <v>0.69310207433299897</v>
      </c>
      <c r="AW93">
        <v>0.65724585573510996</v>
      </c>
      <c r="AX93">
        <v>0.623388841880121</v>
      </c>
      <c r="AY93">
        <v>0.59204060635980804</v>
      </c>
      <c r="AZ93">
        <v>0.56213739366591697</v>
      </c>
      <c r="BA93">
        <v>0</v>
      </c>
      <c r="BB93">
        <v>0</v>
      </c>
      <c r="BC93">
        <v>0</v>
      </c>
      <c r="BD93">
        <v>0</v>
      </c>
      <c r="BE93">
        <v>0</v>
      </c>
      <c r="BF93">
        <v>0</v>
      </c>
      <c r="BG93">
        <v>0</v>
      </c>
      <c r="BH93">
        <v>0</v>
      </c>
      <c r="BJ93" t="s">
        <v>358</v>
      </c>
      <c r="BL93">
        <v>0.79999999999999905</v>
      </c>
      <c r="BM93">
        <v>0.79512195121951201</v>
      </c>
      <c r="BN93">
        <v>0.77073170731707197</v>
      </c>
      <c r="BO93">
        <v>0.74634146341463403</v>
      </c>
      <c r="BP93">
        <v>0.72195121951219399</v>
      </c>
      <c r="BQ93">
        <v>0.69756097560975605</v>
      </c>
      <c r="BR93">
        <v>0.67317073170731601</v>
      </c>
      <c r="BS93">
        <v>0.64878048780487796</v>
      </c>
      <c r="BT93">
        <v>0.62439024390244002</v>
      </c>
      <c r="BU93">
        <v>0.60</v>
      </c>
      <c r="BV93">
        <v>0.57499999999999896</v>
      </c>
      <c r="BW93">
        <v>0.55000000000000104</v>
      </c>
      <c r="BX93">
        <v>0.525</v>
      </c>
      <c r="BY93">
        <v>0.50</v>
      </c>
      <c r="BZ93">
        <v>0.475</v>
      </c>
      <c r="CA93">
        <v>0.44999999999999901</v>
      </c>
      <c r="CB93">
        <v>0.42500000000000099</v>
      </c>
      <c r="CC93">
        <v>0.40</v>
      </c>
      <c r="CD93" t="e">
        <v>#VALUE!</v>
      </c>
      <c r="CE93" t="e">
        <v>#VALUE!</v>
      </c>
      <c r="CF93" t="e">
        <v>#VALUE!</v>
      </c>
      <c r="CG93" t="e">
        <v>#VALUE!</v>
      </c>
      <c r="CH93" t="e">
        <v>#VALUE!</v>
      </c>
      <c r="CI93" t="e">
        <v>#VALUE!</v>
      </c>
      <c r="CJ93" t="e">
        <v>#VALUE!</v>
      </c>
      <c r="CK93" t="e">
        <v>#VALUE!</v>
      </c>
    </row>
    <row r="94" spans="1:89" ht="12.5">
      <c r="A94" t="s">
        <v>11</v>
      </c>
      <c r="B94" t="s">
        <v>351</v>
      </c>
      <c r="C94" t="s">
        <v>351</v>
      </c>
      <c r="D94">
        <v>138.03</v>
      </c>
      <c r="E94">
        <v>138.066581676353</v>
      </c>
      <c r="F94"/>
      <c r="G94">
        <v>138.24386726808601</v>
      </c>
      <c r="H94">
        <v>137.51344448530199</v>
      </c>
      <c r="I94">
        <v>136.292567667009</v>
      </c>
      <c r="J94">
        <v>134.71894694733399</v>
      </c>
      <c r="K94">
        <v>132.71637428311899</v>
      </c>
      <c r="L94">
        <v>130.201147138268</v>
      </c>
      <c r="M94">
        <v>127.18635210746</v>
      </c>
      <c r="N94">
        <v>123.88671494294699</v>
      </c>
      <c r="O94">
        <v>120.54370673159001</v>
      </c>
      <c r="P94">
        <v>117.358657349694</v>
      </c>
      <c r="Q94">
        <v>114.370162674266</v>
      </c>
      <c r="R94">
        <v>111.503940479104</v>
      </c>
      <c r="S94">
        <v>108.763937006468</v>
      </c>
      <c r="T94">
        <v>106.242673554582</v>
      </c>
      <c r="U94">
        <v>103.972066423226</v>
      </c>
      <c r="V94">
        <v>101.871468063533</v>
      </c>
      <c r="W94">
        <v>5</v>
      </c>
      <c r="AG94" s="130" t="s">
        <v>347</v>
      </c>
      <c r="AI94">
        <v>1</v>
      </c>
      <c r="AJ94">
        <v>1.00033331616148</v>
      </c>
      <c r="AK94">
        <v>1.0019998969688999</v>
      </c>
      <c r="AL94">
        <v>0.99490643011593705</v>
      </c>
      <c r="AM94">
        <v>0.98267151190847002</v>
      </c>
      <c r="AN94">
        <v>0.966406511398471</v>
      </c>
      <c r="AO94">
        <v>0.94506652067617103</v>
      </c>
      <c r="AP94">
        <v>0.917459642340542</v>
      </c>
      <c r="AQ94">
        <v>0.883436545527019</v>
      </c>
      <c r="AR94">
        <v>0.84523773973524996</v>
      </c>
      <c r="AS94">
        <v>0.80557125255242101</v>
      </c>
      <c r="AT94">
        <v>0.76687108026887596</v>
      </c>
      <c r="AU94">
        <v>0.72967472295534896</v>
      </c>
      <c r="AV94">
        <v>0.69310207433299897</v>
      </c>
      <c r="AW94">
        <v>0.65724585573510996</v>
      </c>
      <c r="AX94">
        <v>0.623388841880121</v>
      </c>
      <c r="AY94">
        <v>0.59204060635980804</v>
      </c>
      <c r="AZ94">
        <v>0.56213739366591697</v>
      </c>
      <c r="BA94">
        <v>0</v>
      </c>
      <c r="BB94">
        <v>0</v>
      </c>
      <c r="BC94">
        <v>0</v>
      </c>
      <c r="BD94">
        <v>0</v>
      </c>
      <c r="BE94">
        <v>0</v>
      </c>
      <c r="BF94">
        <v>0</v>
      </c>
      <c r="BG94">
        <v>0</v>
      </c>
      <c r="BH94">
        <v>0</v>
      </c>
      <c r="BJ94" t="s">
        <v>358</v>
      </c>
      <c r="BL94">
        <v>0.79999999999999905</v>
      </c>
      <c r="BM94">
        <v>0.79512195121951201</v>
      </c>
      <c r="BN94">
        <v>0.77073170731707197</v>
      </c>
      <c r="BO94">
        <v>0.74634146341463403</v>
      </c>
      <c r="BP94">
        <v>0.72195121951219399</v>
      </c>
      <c r="BQ94">
        <v>0.69756097560975605</v>
      </c>
      <c r="BR94">
        <v>0.67317073170731601</v>
      </c>
      <c r="BS94">
        <v>0.64878048780487796</v>
      </c>
      <c r="BT94">
        <v>0.62439024390244002</v>
      </c>
      <c r="BU94">
        <v>0.60</v>
      </c>
      <c r="BV94">
        <v>0.57499999999999896</v>
      </c>
      <c r="BW94">
        <v>0.55000000000000104</v>
      </c>
      <c r="BX94">
        <v>0.525</v>
      </c>
      <c r="BY94">
        <v>0.50</v>
      </c>
      <c r="BZ94">
        <v>0.475</v>
      </c>
      <c r="CA94">
        <v>0.44999999999999901</v>
      </c>
      <c r="CB94">
        <v>0.42500000000000099</v>
      </c>
      <c r="CC94">
        <v>0.40</v>
      </c>
      <c r="CD94" t="e">
        <v>#VALUE!</v>
      </c>
      <c r="CE94" t="e">
        <v>#VALUE!</v>
      </c>
      <c r="CF94" t="e">
        <v>#VALUE!</v>
      </c>
      <c r="CG94" t="e">
        <v>#VALUE!</v>
      </c>
      <c r="CH94" t="e">
        <v>#VALUE!</v>
      </c>
      <c r="CI94" t="e">
        <v>#VALUE!</v>
      </c>
      <c r="CJ94" t="e">
        <v>#VALUE!</v>
      </c>
      <c r="CK94" t="e">
        <v>#VALUE!</v>
      </c>
    </row>
    <row r="95" spans="1:89" ht="12.5">
      <c r="A95" t="s">
        <v>11</v>
      </c>
      <c r="B95" t="s">
        <v>352</v>
      </c>
      <c r="C95" t="s">
        <v>352</v>
      </c>
      <c r="D95">
        <v>134.54</v>
      </c>
      <c r="E95">
        <v>134.575656732135</v>
      </c>
      <c r="F95"/>
      <c r="G95">
        <v>134.74845977141399</v>
      </c>
      <c r="H95">
        <v>134.03650526010699</v>
      </c>
      <c r="I95">
        <v>132.84649752893901</v>
      </c>
      <c r="J95">
        <v>131.31266479964</v>
      </c>
      <c r="K95">
        <v>129.36072590053499</v>
      </c>
      <c r="L95">
        <v>126.909094660455</v>
      </c>
      <c r="M95">
        <v>123.97052678792799</v>
      </c>
      <c r="N95">
        <v>120.75431883231199</v>
      </c>
      <c r="O95">
        <v>117.495836438948</v>
      </c>
      <c r="P95">
        <v>114.391318987378</v>
      </c>
      <c r="Q95">
        <v>111.47838648261801</v>
      </c>
      <c r="R95">
        <v>108.684634876901</v>
      </c>
      <c r="S95">
        <v>106.01391063428299</v>
      </c>
      <c r="T95">
        <v>103.55639571131999</v>
      </c>
      <c r="U95">
        <v>101.343199424624</v>
      </c>
      <c r="V95">
        <v>99.295713346864801</v>
      </c>
      <c r="W95">
        <v>5</v>
      </c>
      <c r="AG95" s="130" t="s">
        <v>347</v>
      </c>
      <c r="AI95">
        <v>1</v>
      </c>
      <c r="AJ95">
        <v>1.00033331616148</v>
      </c>
      <c r="AK95">
        <v>1.0019998969688999</v>
      </c>
      <c r="AL95">
        <v>0.99490643011593705</v>
      </c>
      <c r="AM95">
        <v>0.98267151190847002</v>
      </c>
      <c r="AN95">
        <v>0.966406511398471</v>
      </c>
      <c r="AO95">
        <v>0.94506652067617103</v>
      </c>
      <c r="AP95">
        <v>0.917459642340542</v>
      </c>
      <c r="AQ95">
        <v>0.883436545527019</v>
      </c>
      <c r="AR95">
        <v>0.84523773973524996</v>
      </c>
      <c r="AS95">
        <v>0.80557125255242101</v>
      </c>
      <c r="AT95">
        <v>0.76687108026887596</v>
      </c>
      <c r="AU95">
        <v>0.72967472295534896</v>
      </c>
      <c r="AV95">
        <v>0.69310207433299897</v>
      </c>
      <c r="AW95">
        <v>0.65724585573510996</v>
      </c>
      <c r="AX95">
        <v>0.623388841880121</v>
      </c>
      <c r="AY95">
        <v>0.59204060635980804</v>
      </c>
      <c r="AZ95">
        <v>0.56213739366591697</v>
      </c>
      <c r="BA95">
        <v>0</v>
      </c>
      <c r="BB95">
        <v>0</v>
      </c>
      <c r="BC95">
        <v>0</v>
      </c>
      <c r="BD95">
        <v>0</v>
      </c>
      <c r="BE95">
        <v>0</v>
      </c>
      <c r="BF95">
        <v>0</v>
      </c>
      <c r="BG95">
        <v>0</v>
      </c>
      <c r="BH95">
        <v>0</v>
      </c>
      <c r="BJ95" t="s">
        <v>358</v>
      </c>
      <c r="BL95">
        <v>0.79999999999999905</v>
      </c>
      <c r="BM95">
        <v>0.79512195121951201</v>
      </c>
      <c r="BN95">
        <v>0.77073170731707197</v>
      </c>
      <c r="BO95">
        <v>0.74634146341463403</v>
      </c>
      <c r="BP95">
        <v>0.72195121951219399</v>
      </c>
      <c r="BQ95">
        <v>0.69756097560975605</v>
      </c>
      <c r="BR95">
        <v>0.67317073170731601</v>
      </c>
      <c r="BS95">
        <v>0.64878048780487796</v>
      </c>
      <c r="BT95">
        <v>0.62439024390244002</v>
      </c>
      <c r="BU95">
        <v>0.60</v>
      </c>
      <c r="BV95">
        <v>0.57499999999999896</v>
      </c>
      <c r="BW95">
        <v>0.55000000000000104</v>
      </c>
      <c r="BX95">
        <v>0.525</v>
      </c>
      <c r="BY95">
        <v>0.50</v>
      </c>
      <c r="BZ95">
        <v>0.475</v>
      </c>
      <c r="CA95">
        <v>0.44999999999999901</v>
      </c>
      <c r="CB95">
        <v>0.42500000000000099</v>
      </c>
      <c r="CC95">
        <v>0.40</v>
      </c>
      <c r="CD95" t="e">
        <v>#VALUE!</v>
      </c>
      <c r="CE95" t="e">
        <v>#VALUE!</v>
      </c>
      <c r="CF95" t="e">
        <v>#VALUE!</v>
      </c>
      <c r="CG95" t="e">
        <v>#VALUE!</v>
      </c>
      <c r="CH95" t="e">
        <v>#VALUE!</v>
      </c>
      <c r="CI95" t="e">
        <v>#VALUE!</v>
      </c>
      <c r="CJ95" t="e">
        <v>#VALUE!</v>
      </c>
      <c r="CK95" t="e">
        <v>#VALUE!</v>
      </c>
    </row>
    <row r="96" spans="1:89" ht="12.5">
      <c r="A96" t="s">
        <v>11</v>
      </c>
      <c r="B96" t="s">
        <v>353</v>
      </c>
      <c r="C96" t="s">
        <v>353</v>
      </c>
      <c r="D96">
        <v>2265.18</v>
      </c>
      <c r="E96">
        <v>2356.6365088943899</v>
      </c>
      <c r="F96"/>
      <c r="G96">
        <v>2864.8588233374699</v>
      </c>
      <c r="H96">
        <v>3314.6394518903398</v>
      </c>
      <c r="I96">
        <v>3713.9459321817599</v>
      </c>
      <c r="J96">
        <v>4036.9477700902198</v>
      </c>
      <c r="K96">
        <v>4353.4132828950897</v>
      </c>
      <c r="L96">
        <v>4666.8113881113804</v>
      </c>
      <c r="M96">
        <v>4970.20494638726</v>
      </c>
      <c r="N96">
        <v>5283.513293256</v>
      </c>
      <c r="O96">
        <v>5596.60354725042</v>
      </c>
      <c r="P96">
        <v>5878.8513563105998</v>
      </c>
      <c r="Q96">
        <v>6127.3680044049097</v>
      </c>
      <c r="R96">
        <v>6353.8741653266798</v>
      </c>
      <c r="S96">
        <v>6564.7154080550599</v>
      </c>
      <c r="T96">
        <v>6761.2070642026201</v>
      </c>
      <c r="U96">
        <v>6941.5044083799303</v>
      </c>
      <c r="V96">
        <v>7104.4833251419996</v>
      </c>
      <c r="W96">
        <v>5</v>
      </c>
      <c r="AG96" s="130" t="s">
        <v>354</v>
      </c>
      <c r="AI96">
        <v>1</v>
      </c>
      <c r="AJ96">
        <v>1.0507783000528901</v>
      </c>
      <c r="AK96">
        <v>1.34479296832689</v>
      </c>
      <c r="AL96">
        <v>1.62768152607821</v>
      </c>
      <c r="AM96">
        <v>1.89928270028984</v>
      </c>
      <c r="AN96">
        <v>2.1360800583122899</v>
      </c>
      <c r="AO96">
        <v>2.3848314727592101</v>
      </c>
      <c r="AP96">
        <v>2.6494537380984</v>
      </c>
      <c r="AQ96">
        <v>2.92531221796271</v>
      </c>
      <c r="AR96">
        <v>3.2326519034724002</v>
      </c>
      <c r="AS96">
        <v>3.5658003875792201</v>
      </c>
      <c r="AT96">
        <v>3.8927647162582502</v>
      </c>
      <c r="AU96">
        <v>4.2062100867000503</v>
      </c>
      <c r="AV96">
        <v>4.51718618543737</v>
      </c>
      <c r="AW96">
        <v>4.8327530097721398</v>
      </c>
      <c r="AX96">
        <v>5.1542006899892803</v>
      </c>
      <c r="AY96">
        <v>5.4775988075626501</v>
      </c>
      <c r="AZ96">
        <v>5.7991188511990197</v>
      </c>
      <c r="BA96">
        <v>0</v>
      </c>
      <c r="BB96">
        <v>0</v>
      </c>
      <c r="BC96">
        <v>0</v>
      </c>
      <c r="BD96">
        <v>0</v>
      </c>
      <c r="BE96">
        <v>0</v>
      </c>
      <c r="BF96">
        <v>0</v>
      </c>
      <c r="BG96">
        <v>0</v>
      </c>
      <c r="BH96">
        <v>0</v>
      </c>
      <c r="BJ96" t="s">
        <v>358</v>
      </c>
      <c r="BL96">
        <v>0.79999999999999905</v>
      </c>
      <c r="BM96">
        <v>0.79512195121951201</v>
      </c>
      <c r="BN96">
        <v>0.77073170731707197</v>
      </c>
      <c r="BO96">
        <v>0.74634146341463403</v>
      </c>
      <c r="BP96">
        <v>0.72195121951219399</v>
      </c>
      <c r="BQ96">
        <v>0.69756097560975605</v>
      </c>
      <c r="BR96">
        <v>0.67317073170731601</v>
      </c>
      <c r="BS96">
        <v>0.64878048780487796</v>
      </c>
      <c r="BT96">
        <v>0.62439024390244002</v>
      </c>
      <c r="BU96">
        <v>0.60</v>
      </c>
      <c r="BV96">
        <v>0.57499999999999896</v>
      </c>
      <c r="BW96">
        <v>0.55000000000000104</v>
      </c>
      <c r="BX96">
        <v>0.525</v>
      </c>
      <c r="BY96">
        <v>0.50</v>
      </c>
      <c r="BZ96">
        <v>0.475</v>
      </c>
      <c r="CA96">
        <v>0.44999999999999901</v>
      </c>
      <c r="CB96">
        <v>0.42500000000000099</v>
      </c>
      <c r="CC96">
        <v>0.40</v>
      </c>
      <c r="CD96" t="e">
        <v>#VALUE!</v>
      </c>
      <c r="CE96" t="e">
        <v>#VALUE!</v>
      </c>
      <c r="CF96" t="e">
        <v>#VALUE!</v>
      </c>
      <c r="CG96" t="e">
        <v>#VALUE!</v>
      </c>
      <c r="CH96" t="e">
        <v>#VALUE!</v>
      </c>
      <c r="CI96" t="e">
        <v>#VALUE!</v>
      </c>
      <c r="CJ96" t="e">
        <v>#VALUE!</v>
      </c>
      <c r="CK96" t="e">
        <v>#VALUE!</v>
      </c>
    </row>
    <row r="97" spans="1:89" ht="12.5">
      <c r="A97" t="s">
        <v>11</v>
      </c>
      <c r="B97" t="s">
        <v>355</v>
      </c>
      <c r="C97" t="s">
        <v>355</v>
      </c>
      <c r="D97">
        <v>278.80</v>
      </c>
      <c r="E97">
        <v>290.13417506695799</v>
      </c>
      <c r="F97"/>
      <c r="G97">
        <v>353.18008162741597</v>
      </c>
      <c r="H97">
        <v>406.37048593530699</v>
      </c>
      <c r="I97">
        <v>451.11506782053101</v>
      </c>
      <c r="J97">
        <v>484.49062445326399</v>
      </c>
      <c r="K97">
        <v>514.43040711744902</v>
      </c>
      <c r="L97">
        <v>540.63253059045599</v>
      </c>
      <c r="M97">
        <v>561.95784564169105</v>
      </c>
      <c r="N97">
        <v>581.27139240489896</v>
      </c>
      <c r="O97">
        <v>598.414614707802</v>
      </c>
      <c r="P97">
        <v>611.33249226477801</v>
      </c>
      <c r="Q97">
        <v>620.354508639497</v>
      </c>
      <c r="R97">
        <v>626.59065969351798</v>
      </c>
      <c r="S97">
        <v>630.909928668568</v>
      </c>
      <c r="T97">
        <v>634.196051981442</v>
      </c>
      <c r="U97">
        <v>636.70339625027304</v>
      </c>
      <c r="V97">
        <v>638.03380527757497</v>
      </c>
      <c r="W97">
        <v>5</v>
      </c>
      <c r="AG97" s="130" t="s">
        <v>342</v>
      </c>
      <c r="AI97">
        <v>1</v>
      </c>
      <c r="AJ97">
        <v>1.0511285414424301</v>
      </c>
      <c r="AK97">
        <v>1.3474824157080401</v>
      </c>
      <c r="AL97">
        <v>1.6193908164761299</v>
      </c>
      <c r="AM97">
        <v>1.8663710026354099</v>
      </c>
      <c r="AN97">
        <v>2.0643216772214101</v>
      </c>
      <c r="AO97">
        <v>2.2538243823595701</v>
      </c>
      <c r="AP97">
        <v>2.4307668789535599</v>
      </c>
      <c r="AQ97">
        <v>2.58432772042495</v>
      </c>
      <c r="AR97">
        <v>2.7323593882418602</v>
      </c>
      <c r="AS97">
        <v>2.8725062845740998</v>
      </c>
      <c r="AT97">
        <v>2.98524868318952</v>
      </c>
      <c r="AU97">
        <v>3.06916517970485</v>
      </c>
      <c r="AV97">
        <v>3.1308711152750002</v>
      </c>
      <c r="AW97">
        <v>3.1763068874641101</v>
      </c>
      <c r="AX97">
        <v>3.2130711989501299</v>
      </c>
      <c r="AY97">
        <v>3.2429609194251401</v>
      </c>
      <c r="AZ97">
        <v>3.2599015565718901</v>
      </c>
      <c r="BA97">
        <v>0</v>
      </c>
      <c r="BB97">
        <v>0</v>
      </c>
      <c r="BC97">
        <v>0</v>
      </c>
      <c r="BD97">
        <v>0</v>
      </c>
      <c r="BE97">
        <v>0</v>
      </c>
      <c r="BF97">
        <v>0</v>
      </c>
      <c r="BG97">
        <v>0</v>
      </c>
      <c r="BH97">
        <v>0</v>
      </c>
      <c r="BJ97" t="s">
        <v>358</v>
      </c>
      <c r="BL97">
        <v>0.79999999999999905</v>
      </c>
      <c r="BM97">
        <v>0.79512195121951201</v>
      </c>
      <c r="BN97">
        <v>0.77073170731707197</v>
      </c>
      <c r="BO97">
        <v>0.74634146341463403</v>
      </c>
      <c r="BP97">
        <v>0.72195121951219399</v>
      </c>
      <c r="BQ97">
        <v>0.69756097560975605</v>
      </c>
      <c r="BR97">
        <v>0.67317073170731601</v>
      </c>
      <c r="BS97">
        <v>0.64878048780487796</v>
      </c>
      <c r="BT97">
        <v>0.62439024390244002</v>
      </c>
      <c r="BU97">
        <v>0.60</v>
      </c>
      <c r="BV97">
        <v>0.57499999999999896</v>
      </c>
      <c r="BW97">
        <v>0.55000000000000104</v>
      </c>
      <c r="BX97">
        <v>0.525</v>
      </c>
      <c r="BY97">
        <v>0.50</v>
      </c>
      <c r="BZ97">
        <v>0.475</v>
      </c>
      <c r="CA97">
        <v>0.44999999999999901</v>
      </c>
      <c r="CB97">
        <v>0.42500000000000099</v>
      </c>
      <c r="CC97">
        <v>0.40</v>
      </c>
      <c r="CD97" t="e">
        <v>#VALUE!</v>
      </c>
      <c r="CE97" t="e">
        <v>#VALUE!</v>
      </c>
      <c r="CF97" t="e">
        <v>#VALUE!</v>
      </c>
      <c r="CG97" t="e">
        <v>#VALUE!</v>
      </c>
      <c r="CH97" t="e">
        <v>#VALUE!</v>
      </c>
      <c r="CI97" t="e">
        <v>#VALUE!</v>
      </c>
      <c r="CJ97" t="e">
        <v>#VALUE!</v>
      </c>
      <c r="CK97" t="e">
        <v>#VALUE!</v>
      </c>
    </row>
    <row r="98" spans="1:89" ht="12.5">
      <c r="A98" t="s">
        <v>11</v>
      </c>
      <c r="B98" t="s">
        <v>356</v>
      </c>
      <c r="C98" t="s">
        <v>356</v>
      </c>
      <c r="D98">
        <v>375.92</v>
      </c>
      <c r="E98">
        <v>391.20243576460098</v>
      </c>
      <c r="F98"/>
      <c r="G98">
        <v>476.21038839805698</v>
      </c>
      <c r="H98">
        <v>547.92967386226996</v>
      </c>
      <c r="I98">
        <v>608.26103405700906</v>
      </c>
      <c r="J98">
        <v>653.26296823698397</v>
      </c>
      <c r="K98">
        <v>693.63227633999804</v>
      </c>
      <c r="L98">
        <v>728.96191140446194</v>
      </c>
      <c r="M98">
        <v>757.71590148358803</v>
      </c>
      <c r="N98">
        <v>783.75732364723694</v>
      </c>
      <c r="O98">
        <v>806.87238866914197</v>
      </c>
      <c r="P98">
        <v>824.29020979976804</v>
      </c>
      <c r="Q98">
        <v>836.45504622582405</v>
      </c>
      <c r="R98">
        <v>844.86356094687005</v>
      </c>
      <c r="S98">
        <v>850.68744757922605</v>
      </c>
      <c r="T98">
        <v>855.11829218387197</v>
      </c>
      <c r="U98">
        <v>858.49907000861799</v>
      </c>
      <c r="V98">
        <v>860.29292711601897</v>
      </c>
      <c r="W98">
        <v>5</v>
      </c>
      <c r="AG98" s="130" t="s">
        <v>342</v>
      </c>
      <c r="AI98">
        <v>1</v>
      </c>
      <c r="AJ98">
        <v>1.0511285414424301</v>
      </c>
      <c r="AK98">
        <v>1.3474824157080401</v>
      </c>
      <c r="AL98">
        <v>1.6193908164761299</v>
      </c>
      <c r="AM98">
        <v>1.8663710026354099</v>
      </c>
      <c r="AN98">
        <v>2.0643216772214101</v>
      </c>
      <c r="AO98">
        <v>2.2538243823595701</v>
      </c>
      <c r="AP98">
        <v>2.4307668789535599</v>
      </c>
      <c r="AQ98">
        <v>2.58432772042495</v>
      </c>
      <c r="AR98">
        <v>2.7323593882418602</v>
      </c>
      <c r="AS98">
        <v>2.8725062845740998</v>
      </c>
      <c r="AT98">
        <v>2.98524868318952</v>
      </c>
      <c r="AU98">
        <v>3.06916517970485</v>
      </c>
      <c r="AV98">
        <v>3.1308711152750002</v>
      </c>
      <c r="AW98">
        <v>3.1763068874641101</v>
      </c>
      <c r="AX98">
        <v>3.2130711989501299</v>
      </c>
      <c r="AY98">
        <v>3.2429609194251401</v>
      </c>
      <c r="AZ98">
        <v>3.2599015565718901</v>
      </c>
      <c r="BA98">
        <v>0</v>
      </c>
      <c r="BB98">
        <v>0</v>
      </c>
      <c r="BC98">
        <v>0</v>
      </c>
      <c r="BD98">
        <v>0</v>
      </c>
      <c r="BE98">
        <v>0</v>
      </c>
      <c r="BF98">
        <v>0</v>
      </c>
      <c r="BG98">
        <v>0</v>
      </c>
      <c r="BH98">
        <v>0</v>
      </c>
      <c r="BJ98" t="s">
        <v>358</v>
      </c>
      <c r="BL98">
        <v>0.79999999999999905</v>
      </c>
      <c r="BM98">
        <v>0.79512195121951201</v>
      </c>
      <c r="BN98">
        <v>0.77073170731707197</v>
      </c>
      <c r="BO98">
        <v>0.74634146341463403</v>
      </c>
      <c r="BP98">
        <v>0.72195121951219399</v>
      </c>
      <c r="BQ98">
        <v>0.69756097560975605</v>
      </c>
      <c r="BR98">
        <v>0.67317073170731601</v>
      </c>
      <c r="BS98">
        <v>0.64878048780487796</v>
      </c>
      <c r="BT98">
        <v>0.62439024390244002</v>
      </c>
      <c r="BU98">
        <v>0.60</v>
      </c>
      <c r="BV98">
        <v>0.57499999999999896</v>
      </c>
      <c r="BW98">
        <v>0.55000000000000104</v>
      </c>
      <c r="BX98">
        <v>0.525</v>
      </c>
      <c r="BY98">
        <v>0.50</v>
      </c>
      <c r="BZ98">
        <v>0.475</v>
      </c>
      <c r="CA98">
        <v>0.44999999999999901</v>
      </c>
      <c r="CB98">
        <v>0.42500000000000099</v>
      </c>
      <c r="CC98">
        <v>0.40</v>
      </c>
      <c r="CD98" t="e">
        <v>#VALUE!</v>
      </c>
      <c r="CE98" t="e">
        <v>#VALUE!</v>
      </c>
      <c r="CF98" t="e">
        <v>#VALUE!</v>
      </c>
      <c r="CG98" t="e">
        <v>#VALUE!</v>
      </c>
      <c r="CH98" t="e">
        <v>#VALUE!</v>
      </c>
      <c r="CI98" t="e">
        <v>#VALUE!</v>
      </c>
      <c r="CJ98" t="e">
        <v>#VALUE!</v>
      </c>
      <c r="CK98" t="e">
        <v>#VALUE!</v>
      </c>
    </row>
    <row r="99" spans="1:89" ht="12.5">
      <c r="A99" t="s">
        <v>12</v>
      </c>
      <c r="B99" t="s">
        <v>341</v>
      </c>
      <c r="C99" t="s">
        <v>341</v>
      </c>
      <c r="E99" s="2">
        <v>0.47474972762768702</v>
      </c>
      <c r="F99" s="2">
        <f>E99</f>
        <v>0.47474972762768702</v>
      </c>
      <c r="I99" s="2">
        <f>F99</f>
        <v>0.47474972762768702</v>
      </c>
      <c r="J99" s="2">
        <f>I99</f>
        <v>0.47474972762768702</v>
      </c>
      <c r="L99" s="2">
        <f>J99</f>
        <v>0.47474972762768702</v>
      </c>
      <c r="V99" s="2">
        <f>L99</f>
        <v>0.47474972762768702</v>
      </c>
      <c r="W99">
        <v>5</v>
      </c>
      <c r="AG99" s="130" t="s">
        <v>342</v>
      </c>
      <c r="AI99">
        <v>1</v>
      </c>
      <c r="AJ99">
        <v>1.01354665343015</v>
      </c>
      <c r="AK99">
        <v>1.26651860911973</v>
      </c>
      <c r="AL99">
        <v>1.43442777575904</v>
      </c>
      <c r="AM99">
        <v>1.5558229074443699</v>
      </c>
      <c r="AN99">
        <v>1.6407510312740501</v>
      </c>
      <c r="AO99">
        <v>1.7000649397985299</v>
      </c>
      <c r="AP99">
        <v>1.7485666779258699</v>
      </c>
      <c r="AQ99">
        <v>1.79128115037486</v>
      </c>
      <c r="AR99">
        <v>1.83354488386238</v>
      </c>
      <c r="AS99">
        <v>1.87489601006984</v>
      </c>
      <c r="AT99">
        <v>1.9137485956142499</v>
      </c>
      <c r="AU99">
        <v>1.949028657538</v>
      </c>
      <c r="AV99">
        <v>1.9805915141991099</v>
      </c>
      <c r="AW99">
        <v>2.0106073902269799</v>
      </c>
      <c r="AX99">
        <v>2.0409293235743702</v>
      </c>
      <c r="AY99">
        <v>2.07188563027497</v>
      </c>
      <c r="AZ99">
        <v>2.1020517526233302</v>
      </c>
      <c r="BA99">
        <v>0</v>
      </c>
      <c r="BB99">
        <v>0</v>
      </c>
      <c r="BC99">
        <v>0</v>
      </c>
      <c r="BD99">
        <v>0</v>
      </c>
      <c r="BE99">
        <v>0</v>
      </c>
      <c r="BF99">
        <v>0</v>
      </c>
      <c r="BG99">
        <v>0</v>
      </c>
      <c r="BH99">
        <v>0</v>
      </c>
      <c r="BJ99" t="s">
        <v>357</v>
      </c>
      <c r="BL99">
        <v>0.80</v>
      </c>
      <c r="BM99">
        <v>0.79756097560975603</v>
      </c>
      <c r="BN99">
        <v>0.78536585365853595</v>
      </c>
      <c r="BO99">
        <v>0.77317073170731698</v>
      </c>
      <c r="BP99">
        <v>0.76097560975609702</v>
      </c>
      <c r="BQ99">
        <v>0.74878048780487805</v>
      </c>
      <c r="BR99">
        <v>0.73658536585365797</v>
      </c>
      <c r="BS99">
        <v>0.724390243902439</v>
      </c>
      <c r="BT99">
        <v>0.71219512195122003</v>
      </c>
      <c r="BU99">
        <v>0.69999999999999896</v>
      </c>
      <c r="BV99">
        <v>0.687499999999999</v>
      </c>
      <c r="BW99">
        <v>0.675</v>
      </c>
      <c r="BX99">
        <v>0.6625</v>
      </c>
      <c r="BY99">
        <v>0.64999999999999902</v>
      </c>
      <c r="BZ99">
        <v>0.63749999999999896</v>
      </c>
      <c r="CA99">
        <v>0.625</v>
      </c>
      <c r="CB99">
        <v>0.6125</v>
      </c>
      <c r="CC99">
        <v>0.60</v>
      </c>
      <c r="CD99" t="e">
        <v>#VALUE!</v>
      </c>
      <c r="CE99" t="e">
        <v>#VALUE!</v>
      </c>
      <c r="CF99" t="e">
        <v>#VALUE!</v>
      </c>
      <c r="CG99" t="e">
        <v>#VALUE!</v>
      </c>
      <c r="CH99" t="e">
        <v>#VALUE!</v>
      </c>
      <c r="CI99" t="e">
        <v>#VALUE!</v>
      </c>
      <c r="CJ99" t="e">
        <v>#VALUE!</v>
      </c>
      <c r="CK99" t="e">
        <v>#VALUE!</v>
      </c>
    </row>
    <row r="100" spans="1:89" ht="12.5">
      <c r="A100" t="s">
        <v>12</v>
      </c>
      <c r="B100" t="s">
        <v>344</v>
      </c>
      <c r="C100" t="s">
        <v>344</v>
      </c>
      <c r="E100" s="2">
        <v>9.5965253130771497</v>
      </c>
      <c r="F100" s="2">
        <f>E100</f>
        <v>9.5965253130771497</v>
      </c>
      <c r="I100" s="2">
        <f>F100</f>
        <v>9.5965253130771497</v>
      </c>
      <c r="J100" s="2">
        <f>I100</f>
        <v>9.5965253130771497</v>
      </c>
      <c r="L100" s="2">
        <f>J100</f>
        <v>9.5965253130771497</v>
      </c>
      <c r="V100" s="2">
        <f>L100</f>
        <v>9.5965253130771497</v>
      </c>
      <c r="W100">
        <v>5</v>
      </c>
      <c r="AG100" s="130" t="s">
        <v>342</v>
      </c>
      <c r="AI100">
        <v>1</v>
      </c>
      <c r="AJ100">
        <v>1.01354665343015</v>
      </c>
      <c r="AK100">
        <v>1.26651860911973</v>
      </c>
      <c r="AL100">
        <v>1.43442777575904</v>
      </c>
      <c r="AM100">
        <v>1.5558229074443699</v>
      </c>
      <c r="AN100">
        <v>1.6407510312740501</v>
      </c>
      <c r="AO100">
        <v>1.7000649397985299</v>
      </c>
      <c r="AP100">
        <v>1.7485666779258699</v>
      </c>
      <c r="AQ100">
        <v>1.79128115037486</v>
      </c>
      <c r="AR100">
        <v>1.83354488386238</v>
      </c>
      <c r="AS100">
        <v>1.87489601006984</v>
      </c>
      <c r="AT100">
        <v>1.9137485956142499</v>
      </c>
      <c r="AU100">
        <v>1.949028657538</v>
      </c>
      <c r="AV100">
        <v>1.9805915141991099</v>
      </c>
      <c r="AW100">
        <v>2.0106073902269799</v>
      </c>
      <c r="AX100">
        <v>2.0409293235743702</v>
      </c>
      <c r="AY100">
        <v>2.07188563027497</v>
      </c>
      <c r="AZ100">
        <v>2.1020517526233302</v>
      </c>
      <c r="BA100">
        <v>0</v>
      </c>
      <c r="BB100">
        <v>0</v>
      </c>
      <c r="BC100">
        <v>0</v>
      </c>
      <c r="BD100">
        <v>0</v>
      </c>
      <c r="BE100">
        <v>0</v>
      </c>
      <c r="BF100">
        <v>0</v>
      </c>
      <c r="BG100">
        <v>0</v>
      </c>
      <c r="BH100">
        <v>0</v>
      </c>
      <c r="BJ100" t="s">
        <v>357</v>
      </c>
      <c r="BL100">
        <v>0.80</v>
      </c>
      <c r="BM100">
        <v>0.79756097560975603</v>
      </c>
      <c r="BN100">
        <v>0.78536585365853595</v>
      </c>
      <c r="BO100">
        <v>0.77317073170731698</v>
      </c>
      <c r="BP100">
        <v>0.76097560975609702</v>
      </c>
      <c r="BQ100">
        <v>0.74878048780487805</v>
      </c>
      <c r="BR100">
        <v>0.73658536585365797</v>
      </c>
      <c r="BS100">
        <v>0.724390243902439</v>
      </c>
      <c r="BT100">
        <v>0.71219512195122003</v>
      </c>
      <c r="BU100">
        <v>0.69999999999999896</v>
      </c>
      <c r="BV100">
        <v>0.687499999999999</v>
      </c>
      <c r="BW100">
        <v>0.675</v>
      </c>
      <c r="BX100">
        <v>0.6625</v>
      </c>
      <c r="BY100">
        <v>0.64999999999999902</v>
      </c>
      <c r="BZ100">
        <v>0.63749999999999896</v>
      </c>
      <c r="CA100">
        <v>0.625</v>
      </c>
      <c r="CB100">
        <v>0.6125</v>
      </c>
      <c r="CC100">
        <v>0.60</v>
      </c>
      <c r="CD100" t="e">
        <v>#VALUE!</v>
      </c>
      <c r="CE100" t="e">
        <v>#VALUE!</v>
      </c>
      <c r="CF100" t="e">
        <v>#VALUE!</v>
      </c>
      <c r="CG100" t="e">
        <v>#VALUE!</v>
      </c>
      <c r="CH100" t="e">
        <v>#VALUE!</v>
      </c>
      <c r="CI100" t="e">
        <v>#VALUE!</v>
      </c>
      <c r="CJ100" t="e">
        <v>#VALUE!</v>
      </c>
      <c r="CK100" t="e">
        <v>#VALUE!</v>
      </c>
    </row>
    <row r="101" spans="1:89" ht="12.5">
      <c r="A101" t="s">
        <v>12</v>
      </c>
      <c r="B101" t="s">
        <v>345</v>
      </c>
      <c r="C101" t="s">
        <v>345</v>
      </c>
      <c r="E101" s="2">
        <v>1.0092989614180099</v>
      </c>
      <c r="I101" s="2">
        <v>1.4165880140598199</v>
      </c>
      <c r="J101" s="2">
        <v>1.47448946544171</v>
      </c>
      <c r="L101" s="2">
        <v>1.5450357985071099</v>
      </c>
      <c r="V101" s="2">
        <v>1.7463099549866501</v>
      </c>
      <c r="W101">
        <v>5</v>
      </c>
      <c r="AG101" s="130" t="s">
        <v>342</v>
      </c>
      <c r="AI101">
        <v>1</v>
      </c>
      <c r="AJ101">
        <v>1.01354665343015</v>
      </c>
      <c r="AK101">
        <v>1.26651860911973</v>
      </c>
      <c r="AL101">
        <v>1.43442777575904</v>
      </c>
      <c r="AM101">
        <v>1.5558229074443699</v>
      </c>
      <c r="AN101">
        <v>1.6407510312740501</v>
      </c>
      <c r="AO101">
        <v>1.7000649397985299</v>
      </c>
      <c r="AP101">
        <v>1.7485666779258699</v>
      </c>
      <c r="AQ101">
        <v>1.79128115037486</v>
      </c>
      <c r="AR101">
        <v>1.83354488386238</v>
      </c>
      <c r="AS101">
        <v>1.87489601006984</v>
      </c>
      <c r="AT101">
        <v>1.9137485956142499</v>
      </c>
      <c r="AU101">
        <v>1.949028657538</v>
      </c>
      <c r="AV101">
        <v>1.9805915141991099</v>
      </c>
      <c r="AW101">
        <v>2.0106073902269799</v>
      </c>
      <c r="AX101">
        <v>2.0409293235743702</v>
      </c>
      <c r="AY101">
        <v>2.07188563027497</v>
      </c>
      <c r="AZ101">
        <v>2.1020517526233302</v>
      </c>
      <c r="BA101">
        <v>0</v>
      </c>
      <c r="BB101">
        <v>0</v>
      </c>
      <c r="BC101">
        <v>0</v>
      </c>
      <c r="BD101">
        <v>0</v>
      </c>
      <c r="BE101">
        <v>0</v>
      </c>
      <c r="BF101">
        <v>0</v>
      </c>
      <c r="BG101">
        <v>0</v>
      </c>
      <c r="BH101">
        <v>0</v>
      </c>
      <c r="BJ101" t="s">
        <v>357</v>
      </c>
      <c r="BL101">
        <v>0.80</v>
      </c>
      <c r="BM101">
        <v>0.79756097560975603</v>
      </c>
      <c r="BN101">
        <v>0.78536585365853595</v>
      </c>
      <c r="BO101">
        <v>0.77317073170731698</v>
      </c>
      <c r="BP101">
        <v>0.76097560975609702</v>
      </c>
      <c r="BQ101">
        <v>0.74878048780487805</v>
      </c>
      <c r="BR101">
        <v>0.73658536585365797</v>
      </c>
      <c r="BS101">
        <v>0.724390243902439</v>
      </c>
      <c r="BT101">
        <v>0.71219512195122003</v>
      </c>
      <c r="BU101">
        <v>0.69999999999999896</v>
      </c>
      <c r="BV101">
        <v>0.687499999999999</v>
      </c>
      <c r="BW101">
        <v>0.675</v>
      </c>
      <c r="BX101">
        <v>0.6625</v>
      </c>
      <c r="BY101">
        <v>0.64999999999999902</v>
      </c>
      <c r="BZ101">
        <v>0.63749999999999896</v>
      </c>
      <c r="CA101">
        <v>0.625</v>
      </c>
      <c r="CB101">
        <v>0.6125</v>
      </c>
      <c r="CC101">
        <v>0.60</v>
      </c>
      <c r="CD101" t="e">
        <v>#VALUE!</v>
      </c>
      <c r="CE101" t="e">
        <v>#VALUE!</v>
      </c>
      <c r="CF101" t="e">
        <v>#VALUE!</v>
      </c>
      <c r="CG101" t="e">
        <v>#VALUE!</v>
      </c>
      <c r="CH101" t="e">
        <v>#VALUE!</v>
      </c>
      <c r="CI101" t="e">
        <v>#VALUE!</v>
      </c>
      <c r="CJ101" t="e">
        <v>#VALUE!</v>
      </c>
      <c r="CK101" t="e">
        <v>#VALUE!</v>
      </c>
    </row>
    <row r="102" spans="1:89" ht="12.5">
      <c r="A102" t="s">
        <v>12</v>
      </c>
      <c r="B102" t="s">
        <v>346</v>
      </c>
      <c r="C102" t="s">
        <v>346</v>
      </c>
      <c r="E102" s="2">
        <v>1.58463004706926</v>
      </c>
      <c r="I102" s="2">
        <v>1.5016720867950499</v>
      </c>
      <c r="J102" s="2">
        <v>1.4756695173752801</v>
      </c>
      <c r="L102" s="2">
        <v>1.42900847026344</v>
      </c>
      <c r="V102" s="2">
        <v>1.25848141112579</v>
      </c>
      <c r="W102">
        <v>5</v>
      </c>
      <c r="AG102" s="130" t="s">
        <v>347</v>
      </c>
      <c r="AI102">
        <v>1</v>
      </c>
      <c r="AJ102">
        <v>0.99565414200687996</v>
      </c>
      <c r="AK102">
        <v>0.97392485204127899</v>
      </c>
      <c r="AL102">
        <v>0.95094102731041197</v>
      </c>
      <c r="AM102">
        <v>0.92856473552790098</v>
      </c>
      <c r="AN102">
        <v>0.90709143393243796</v>
      </c>
      <c r="AO102">
        <v>0.88690127004746899</v>
      </c>
      <c r="AP102">
        <v>0.86794966162875598</v>
      </c>
      <c r="AQ102">
        <v>0.849906636151745</v>
      </c>
      <c r="AR102">
        <v>0.83290673931409998</v>
      </c>
      <c r="AS102">
        <v>0.81659027709510701</v>
      </c>
      <c r="AT102">
        <v>0.80087751279270702</v>
      </c>
      <c r="AU102">
        <v>0.78552907650773296</v>
      </c>
      <c r="AV102">
        <v>0.77061224108901605</v>
      </c>
      <c r="AW102">
        <v>0.75624509355623903</v>
      </c>
      <c r="AX102">
        <v>0.74244057714160006</v>
      </c>
      <c r="AY102">
        <v>0.72884395140708003</v>
      </c>
      <c r="AZ102">
        <v>0.714934291204956</v>
      </c>
      <c r="BA102">
        <v>0</v>
      </c>
      <c r="BB102">
        <v>0</v>
      </c>
      <c r="BC102">
        <v>0</v>
      </c>
      <c r="BD102">
        <v>0</v>
      </c>
      <c r="BE102">
        <v>0</v>
      </c>
      <c r="BF102">
        <v>0</v>
      </c>
      <c r="BG102">
        <v>0</v>
      </c>
      <c r="BH102">
        <v>0</v>
      </c>
      <c r="BJ102" t="s">
        <v>357</v>
      </c>
      <c r="BL102">
        <v>0.80</v>
      </c>
      <c r="BM102">
        <v>0.79756097560975603</v>
      </c>
      <c r="BN102">
        <v>0.78536585365853595</v>
      </c>
      <c r="BO102">
        <v>0.77317073170731698</v>
      </c>
      <c r="BP102">
        <v>0.76097560975609702</v>
      </c>
      <c r="BQ102">
        <v>0.74878048780487805</v>
      </c>
      <c r="BR102">
        <v>0.73658536585365797</v>
      </c>
      <c r="BS102">
        <v>0.724390243902439</v>
      </c>
      <c r="BT102">
        <v>0.71219512195122003</v>
      </c>
      <c r="BU102">
        <v>0.69999999999999896</v>
      </c>
      <c r="BV102">
        <v>0.687499999999999</v>
      </c>
      <c r="BW102">
        <v>0.675</v>
      </c>
      <c r="BX102">
        <v>0.6625</v>
      </c>
      <c r="BY102">
        <v>0.64999999999999902</v>
      </c>
      <c r="BZ102">
        <v>0.63749999999999896</v>
      </c>
      <c r="CA102">
        <v>0.625</v>
      </c>
      <c r="CB102">
        <v>0.6125</v>
      </c>
      <c r="CC102">
        <v>0.60</v>
      </c>
      <c r="CD102" t="e">
        <v>#VALUE!</v>
      </c>
      <c r="CE102" t="e">
        <v>#VALUE!</v>
      </c>
      <c r="CF102" t="e">
        <v>#VALUE!</v>
      </c>
      <c r="CG102" t="e">
        <v>#VALUE!</v>
      </c>
      <c r="CH102" t="e">
        <v>#VALUE!</v>
      </c>
      <c r="CI102" t="e">
        <v>#VALUE!</v>
      </c>
      <c r="CJ102" t="e">
        <v>#VALUE!</v>
      </c>
      <c r="CK102" t="e">
        <v>#VALUE!</v>
      </c>
    </row>
    <row r="103" spans="1:89" ht="12.5">
      <c r="A103" t="s">
        <v>12</v>
      </c>
      <c r="B103" t="s">
        <v>348</v>
      </c>
      <c r="C103" t="s">
        <v>348</v>
      </c>
      <c r="E103" s="2">
        <v>2.1197164831145501</v>
      </c>
      <c r="F103" s="2">
        <f>E103</f>
        <v>2.1197164831145501</v>
      </c>
      <c r="I103" s="2">
        <f>F103</f>
        <v>2.1197164831145501</v>
      </c>
      <c r="J103" s="2">
        <f>I103</f>
        <v>2.1197164831145501</v>
      </c>
      <c r="L103" s="2">
        <f>J103</f>
        <v>2.1197164831145501</v>
      </c>
      <c r="V103" s="2">
        <f>L103</f>
        <v>2.1197164831145501</v>
      </c>
      <c r="W103">
        <v>5</v>
      </c>
      <c r="AG103" s="130" t="s">
        <v>342</v>
      </c>
      <c r="AI103">
        <v>1</v>
      </c>
      <c r="AJ103">
        <v>1.01354665343015</v>
      </c>
      <c r="AK103">
        <v>1.26651860911973</v>
      </c>
      <c r="AL103">
        <v>1.43442777575904</v>
      </c>
      <c r="AM103">
        <v>1.5558229074443699</v>
      </c>
      <c r="AN103">
        <v>1.6407510312740501</v>
      </c>
      <c r="AO103">
        <v>1.7000649397985299</v>
      </c>
      <c r="AP103">
        <v>1.7485666779258699</v>
      </c>
      <c r="AQ103">
        <v>1.79128115037486</v>
      </c>
      <c r="AR103">
        <v>1.83354488386238</v>
      </c>
      <c r="AS103">
        <v>1.87489601006984</v>
      </c>
      <c r="AT103">
        <v>1.9137485956142499</v>
      </c>
      <c r="AU103">
        <v>1.949028657538</v>
      </c>
      <c r="AV103">
        <v>1.9805915141991099</v>
      </c>
      <c r="AW103">
        <v>2.0106073902269799</v>
      </c>
      <c r="AX103">
        <v>2.0409293235743702</v>
      </c>
      <c r="AY103">
        <v>2.07188563027497</v>
      </c>
      <c r="AZ103">
        <v>2.1020517526233302</v>
      </c>
      <c r="BA103">
        <v>0</v>
      </c>
      <c r="BB103">
        <v>0</v>
      </c>
      <c r="BC103">
        <v>0</v>
      </c>
      <c r="BD103">
        <v>0</v>
      </c>
      <c r="BE103">
        <v>0</v>
      </c>
      <c r="BF103">
        <v>0</v>
      </c>
      <c r="BG103">
        <v>0</v>
      </c>
      <c r="BH103">
        <v>0</v>
      </c>
      <c r="BJ103" t="s">
        <v>357</v>
      </c>
      <c r="BL103">
        <v>0.80</v>
      </c>
      <c r="BM103">
        <v>0.79756097560975603</v>
      </c>
      <c r="BN103">
        <v>0.78536585365853595</v>
      </c>
      <c r="BO103">
        <v>0.77317073170731698</v>
      </c>
      <c r="BP103">
        <v>0.76097560975609702</v>
      </c>
      <c r="BQ103">
        <v>0.74878048780487805</v>
      </c>
      <c r="BR103">
        <v>0.73658536585365797</v>
      </c>
      <c r="BS103">
        <v>0.724390243902439</v>
      </c>
      <c r="BT103">
        <v>0.71219512195122003</v>
      </c>
      <c r="BU103">
        <v>0.69999999999999896</v>
      </c>
      <c r="BV103">
        <v>0.687499999999999</v>
      </c>
      <c r="BW103">
        <v>0.675</v>
      </c>
      <c r="BX103">
        <v>0.6625</v>
      </c>
      <c r="BY103">
        <v>0.64999999999999902</v>
      </c>
      <c r="BZ103">
        <v>0.63749999999999896</v>
      </c>
      <c r="CA103">
        <v>0.625</v>
      </c>
      <c r="CB103">
        <v>0.6125</v>
      </c>
      <c r="CC103">
        <v>0.60</v>
      </c>
      <c r="CD103" t="e">
        <v>#VALUE!</v>
      </c>
      <c r="CE103" t="e">
        <v>#VALUE!</v>
      </c>
      <c r="CF103" t="e">
        <v>#VALUE!</v>
      </c>
      <c r="CG103" t="e">
        <v>#VALUE!</v>
      </c>
      <c r="CH103" t="e">
        <v>#VALUE!</v>
      </c>
      <c r="CI103" t="e">
        <v>#VALUE!</v>
      </c>
      <c r="CJ103" t="e">
        <v>#VALUE!</v>
      </c>
      <c r="CK103" t="e">
        <v>#VALUE!</v>
      </c>
    </row>
    <row r="104" spans="1:89" ht="12.5">
      <c r="A104" t="s">
        <v>12</v>
      </c>
      <c r="B104" t="s">
        <v>349</v>
      </c>
      <c r="C104" t="s">
        <v>349</v>
      </c>
      <c r="E104" s="2">
        <v>8.9404921184084607</v>
      </c>
      <c r="F104" s="2">
        <f>E104</f>
        <v>8.9404921184084607</v>
      </c>
      <c r="I104" s="2">
        <f>F104</f>
        <v>8.9404921184084607</v>
      </c>
      <c r="J104" s="2">
        <f>I104</f>
        <v>8.9404921184084607</v>
      </c>
      <c r="L104" s="2">
        <f>J104</f>
        <v>8.9404921184084607</v>
      </c>
      <c r="V104" s="2">
        <f>L104</f>
        <v>8.9404921184084607</v>
      </c>
      <c r="W104">
        <v>5</v>
      </c>
      <c r="AG104" s="130" t="s">
        <v>342</v>
      </c>
      <c r="AI104">
        <v>1</v>
      </c>
      <c r="AJ104">
        <v>1.01354665343015</v>
      </c>
      <c r="AK104">
        <v>1.26651860911973</v>
      </c>
      <c r="AL104">
        <v>1.43442777575904</v>
      </c>
      <c r="AM104">
        <v>1.5558229074443699</v>
      </c>
      <c r="AN104">
        <v>1.6407510312740501</v>
      </c>
      <c r="AO104">
        <v>1.7000649397985299</v>
      </c>
      <c r="AP104">
        <v>1.7485666779258699</v>
      </c>
      <c r="AQ104">
        <v>1.79128115037486</v>
      </c>
      <c r="AR104">
        <v>1.83354488386238</v>
      </c>
      <c r="AS104">
        <v>1.87489601006984</v>
      </c>
      <c r="AT104">
        <v>1.9137485956142499</v>
      </c>
      <c r="AU104">
        <v>1.949028657538</v>
      </c>
      <c r="AV104">
        <v>1.9805915141991099</v>
      </c>
      <c r="AW104">
        <v>2.0106073902269799</v>
      </c>
      <c r="AX104">
        <v>2.0409293235743702</v>
      </c>
      <c r="AY104">
        <v>2.07188563027497</v>
      </c>
      <c r="AZ104">
        <v>2.1020517526233302</v>
      </c>
      <c r="BA104">
        <v>0</v>
      </c>
      <c r="BB104">
        <v>0</v>
      </c>
      <c r="BC104">
        <v>0</v>
      </c>
      <c r="BD104">
        <v>0</v>
      </c>
      <c r="BE104">
        <v>0</v>
      </c>
      <c r="BF104">
        <v>0</v>
      </c>
      <c r="BG104">
        <v>0</v>
      </c>
      <c r="BH104">
        <v>0</v>
      </c>
      <c r="BJ104" t="s">
        <v>357</v>
      </c>
      <c r="BL104">
        <v>0.80</v>
      </c>
      <c r="BM104">
        <v>0.79756097560975603</v>
      </c>
      <c r="BN104">
        <v>0.78536585365853595</v>
      </c>
      <c r="BO104">
        <v>0.77317073170731698</v>
      </c>
      <c r="BP104">
        <v>0.76097560975609702</v>
      </c>
      <c r="BQ104">
        <v>0.74878048780487805</v>
      </c>
      <c r="BR104">
        <v>0.73658536585365797</v>
      </c>
      <c r="BS104">
        <v>0.724390243902439</v>
      </c>
      <c r="BT104">
        <v>0.71219512195122003</v>
      </c>
      <c r="BU104">
        <v>0.69999999999999896</v>
      </c>
      <c r="BV104">
        <v>0.687499999999999</v>
      </c>
      <c r="BW104">
        <v>0.675</v>
      </c>
      <c r="BX104">
        <v>0.6625</v>
      </c>
      <c r="BY104">
        <v>0.64999999999999902</v>
      </c>
      <c r="BZ104">
        <v>0.63749999999999896</v>
      </c>
      <c r="CA104">
        <v>0.625</v>
      </c>
      <c r="CB104">
        <v>0.6125</v>
      </c>
      <c r="CC104">
        <v>0.60</v>
      </c>
      <c r="CD104" t="e">
        <v>#VALUE!</v>
      </c>
      <c r="CE104" t="e">
        <v>#VALUE!</v>
      </c>
      <c r="CF104" t="e">
        <v>#VALUE!</v>
      </c>
      <c r="CG104" t="e">
        <v>#VALUE!</v>
      </c>
      <c r="CH104" t="e">
        <v>#VALUE!</v>
      </c>
      <c r="CI104" t="e">
        <v>#VALUE!</v>
      </c>
      <c r="CJ104" t="e">
        <v>#VALUE!</v>
      </c>
      <c r="CK104" t="e">
        <v>#VALUE!</v>
      </c>
    </row>
    <row r="105" spans="1:89" ht="12.5">
      <c r="A105" t="s">
        <v>12</v>
      </c>
      <c r="B105" t="s">
        <v>350</v>
      </c>
      <c r="C105" t="s">
        <v>350</v>
      </c>
      <c r="D105">
        <v>0.504</v>
      </c>
      <c r="E105">
        <v>0.50225309228260995</v>
      </c>
      <c r="F105"/>
      <c r="G105">
        <v>0.49364450940580301</v>
      </c>
      <c r="H105">
        <v>0.48463737653201699</v>
      </c>
      <c r="I105">
        <v>0.47595932601569102</v>
      </c>
      <c r="J105">
        <v>0.467717736174244</v>
      </c>
      <c r="K105">
        <v>0.46004949605603901</v>
      </c>
      <c r="L105">
        <v>0.45292838187390899</v>
      </c>
      <c r="M105">
        <v>0.44622269369177098</v>
      </c>
      <c r="N105">
        <v>0.43997492763642398</v>
      </c>
      <c r="O105">
        <v>0.43404935597593802</v>
      </c>
      <c r="P105">
        <v>0.42841179463493601</v>
      </c>
      <c r="Q105">
        <v>0.42297246551595902</v>
      </c>
      <c r="R105">
        <v>0.41775163149690497</v>
      </c>
      <c r="S105">
        <v>0.412786474426179</v>
      </c>
      <c r="T105">
        <v>0.408077090432723</v>
      </c>
      <c r="U105">
        <v>0.40349970218150499</v>
      </c>
      <c r="V105">
        <v>0.39887933558190503</v>
      </c>
      <c r="W105">
        <v>5</v>
      </c>
      <c r="AG105" s="130" t="s">
        <v>347</v>
      </c>
      <c r="AI105">
        <v>1</v>
      </c>
      <c r="AJ105">
        <v>0.99565414200687996</v>
      </c>
      <c r="AK105">
        <v>0.97392485204127899</v>
      </c>
      <c r="AL105">
        <v>0.95094102731041197</v>
      </c>
      <c r="AM105">
        <v>0.92856473552790098</v>
      </c>
      <c r="AN105">
        <v>0.90709143393243796</v>
      </c>
      <c r="AO105">
        <v>0.88690127004746899</v>
      </c>
      <c r="AP105">
        <v>0.86794966162875598</v>
      </c>
      <c r="AQ105">
        <v>0.849906636151745</v>
      </c>
      <c r="AR105">
        <v>0.83290673931409998</v>
      </c>
      <c r="AS105">
        <v>0.81659027709510701</v>
      </c>
      <c r="AT105">
        <v>0.80087751279270702</v>
      </c>
      <c r="AU105">
        <v>0.78552907650773296</v>
      </c>
      <c r="AV105">
        <v>0.77061224108901605</v>
      </c>
      <c r="AW105">
        <v>0.75624509355623903</v>
      </c>
      <c r="AX105">
        <v>0.74244057714160006</v>
      </c>
      <c r="AY105">
        <v>0.72884395140708003</v>
      </c>
      <c r="AZ105">
        <v>0.714934291204956</v>
      </c>
      <c r="BA105">
        <v>0</v>
      </c>
      <c r="BB105">
        <v>0</v>
      </c>
      <c r="BC105">
        <v>0</v>
      </c>
      <c r="BD105">
        <v>0</v>
      </c>
      <c r="BE105">
        <v>0</v>
      </c>
      <c r="BF105">
        <v>0</v>
      </c>
      <c r="BG105">
        <v>0</v>
      </c>
      <c r="BH105">
        <v>0</v>
      </c>
      <c r="BJ105" t="s">
        <v>357</v>
      </c>
      <c r="BL105">
        <v>0.80</v>
      </c>
      <c r="BM105">
        <v>0.79756097560975603</v>
      </c>
      <c r="BN105">
        <v>0.78536585365853595</v>
      </c>
      <c r="BO105">
        <v>0.77317073170731698</v>
      </c>
      <c r="BP105">
        <v>0.76097560975609702</v>
      </c>
      <c r="BQ105">
        <v>0.74878048780487805</v>
      </c>
      <c r="BR105">
        <v>0.73658536585365797</v>
      </c>
      <c r="BS105">
        <v>0.724390243902439</v>
      </c>
      <c r="BT105">
        <v>0.71219512195122003</v>
      </c>
      <c r="BU105">
        <v>0.69999999999999896</v>
      </c>
      <c r="BV105">
        <v>0.687499999999999</v>
      </c>
      <c r="BW105">
        <v>0.675</v>
      </c>
      <c r="BX105">
        <v>0.6625</v>
      </c>
      <c r="BY105">
        <v>0.64999999999999902</v>
      </c>
      <c r="BZ105">
        <v>0.63749999999999896</v>
      </c>
      <c r="CA105">
        <v>0.625</v>
      </c>
      <c r="CB105">
        <v>0.6125</v>
      </c>
      <c r="CC105">
        <v>0.60</v>
      </c>
      <c r="CD105" t="e">
        <v>#VALUE!</v>
      </c>
      <c r="CE105" t="e">
        <v>#VALUE!</v>
      </c>
      <c r="CF105" t="e">
        <v>#VALUE!</v>
      </c>
      <c r="CG105" t="e">
        <v>#VALUE!</v>
      </c>
      <c r="CH105" t="e">
        <v>#VALUE!</v>
      </c>
      <c r="CI105" t="e">
        <v>#VALUE!</v>
      </c>
      <c r="CJ105" t="e">
        <v>#VALUE!</v>
      </c>
      <c r="CK105" t="e">
        <v>#VALUE!</v>
      </c>
    </row>
    <row r="106" spans="1:89" ht="12.5">
      <c r="A106" t="s">
        <v>12</v>
      </c>
      <c r="B106" t="s">
        <v>351</v>
      </c>
      <c r="C106" t="s">
        <v>351</v>
      </c>
      <c r="D106">
        <v>0.105</v>
      </c>
      <c r="E106">
        <v>0.10463606089221</v>
      </c>
      <c r="F106"/>
      <c r="G106">
        <v>0.102842606126209</v>
      </c>
      <c r="H106">
        <v>0.100966120110837</v>
      </c>
      <c r="I106">
        <v>0.099158192919935606</v>
      </c>
      <c r="J106">
        <v>0.097441195036300901</v>
      </c>
      <c r="K106">
        <v>0.095843645011674805</v>
      </c>
      <c r="L106">
        <v>0.094360079557064297</v>
      </c>
      <c r="M106">
        <v>0.092963061185785706</v>
      </c>
      <c r="N106">
        <v>0.091661443257588293</v>
      </c>
      <c r="O106">
        <v>0.090426949161653697</v>
      </c>
      <c r="P106">
        <v>0.089252457215611605</v>
      </c>
      <c r="Q106">
        <v>0.088119263649158203</v>
      </c>
      <c r="R106">
        <v>0.087031589895188596</v>
      </c>
      <c r="S106">
        <v>0.085997182172120601</v>
      </c>
      <c r="T106">
        <v>0.085016060506817398</v>
      </c>
      <c r="U106">
        <v>0.084062437954480304</v>
      </c>
      <c r="V106">
        <v>0.083099861579563603</v>
      </c>
      <c r="W106">
        <v>5</v>
      </c>
      <c r="AG106" s="130" t="s">
        <v>347</v>
      </c>
      <c r="AI106">
        <v>1</v>
      </c>
      <c r="AJ106">
        <v>0.99565414200687996</v>
      </c>
      <c r="AK106">
        <v>0.97392485204127899</v>
      </c>
      <c r="AL106">
        <v>0.95094102731041197</v>
      </c>
      <c r="AM106">
        <v>0.92856473552790098</v>
      </c>
      <c r="AN106">
        <v>0.90709143393243796</v>
      </c>
      <c r="AO106">
        <v>0.88690127004746899</v>
      </c>
      <c r="AP106">
        <v>0.86794966162875598</v>
      </c>
      <c r="AQ106">
        <v>0.849906636151745</v>
      </c>
      <c r="AR106">
        <v>0.83290673931409998</v>
      </c>
      <c r="AS106">
        <v>0.81659027709510701</v>
      </c>
      <c r="AT106">
        <v>0.80087751279270702</v>
      </c>
      <c r="AU106">
        <v>0.78552907650773296</v>
      </c>
      <c r="AV106">
        <v>0.77061224108901605</v>
      </c>
      <c r="AW106">
        <v>0.75624509355623903</v>
      </c>
      <c r="AX106">
        <v>0.74244057714160006</v>
      </c>
      <c r="AY106">
        <v>0.72884395140708003</v>
      </c>
      <c r="AZ106">
        <v>0.714934291204956</v>
      </c>
      <c r="BA106">
        <v>0</v>
      </c>
      <c r="BB106">
        <v>0</v>
      </c>
      <c r="BC106">
        <v>0</v>
      </c>
      <c r="BD106">
        <v>0</v>
      </c>
      <c r="BE106">
        <v>0</v>
      </c>
      <c r="BF106">
        <v>0</v>
      </c>
      <c r="BG106">
        <v>0</v>
      </c>
      <c r="BH106">
        <v>0</v>
      </c>
      <c r="BJ106" t="s">
        <v>357</v>
      </c>
      <c r="BL106">
        <v>0.80</v>
      </c>
      <c r="BM106">
        <v>0.79756097560975603</v>
      </c>
      <c r="BN106">
        <v>0.78536585365853595</v>
      </c>
      <c r="BO106">
        <v>0.77317073170731698</v>
      </c>
      <c r="BP106">
        <v>0.76097560975609702</v>
      </c>
      <c r="BQ106">
        <v>0.74878048780487805</v>
      </c>
      <c r="BR106">
        <v>0.73658536585365797</v>
      </c>
      <c r="BS106">
        <v>0.724390243902439</v>
      </c>
      <c r="BT106">
        <v>0.71219512195122003</v>
      </c>
      <c r="BU106">
        <v>0.69999999999999896</v>
      </c>
      <c r="BV106">
        <v>0.687499999999999</v>
      </c>
      <c r="BW106">
        <v>0.675</v>
      </c>
      <c r="BX106">
        <v>0.6625</v>
      </c>
      <c r="BY106">
        <v>0.64999999999999902</v>
      </c>
      <c r="BZ106">
        <v>0.63749999999999896</v>
      </c>
      <c r="CA106">
        <v>0.625</v>
      </c>
      <c r="CB106">
        <v>0.6125</v>
      </c>
      <c r="CC106">
        <v>0.60</v>
      </c>
      <c r="CD106" t="e">
        <v>#VALUE!</v>
      </c>
      <c r="CE106" t="e">
        <v>#VALUE!</v>
      </c>
      <c r="CF106" t="e">
        <v>#VALUE!</v>
      </c>
      <c r="CG106" t="e">
        <v>#VALUE!</v>
      </c>
      <c r="CH106" t="e">
        <v>#VALUE!</v>
      </c>
      <c r="CI106" t="e">
        <v>#VALUE!</v>
      </c>
      <c r="CJ106" t="e">
        <v>#VALUE!</v>
      </c>
      <c r="CK106" t="e">
        <v>#VALUE!</v>
      </c>
    </row>
    <row r="107" spans="1:89" ht="12.5">
      <c r="A107" t="s">
        <v>12</v>
      </c>
      <c r="B107" t="s">
        <v>352</v>
      </c>
      <c r="C107" t="s">
        <v>352</v>
      </c>
      <c r="D107">
        <v>0.805</v>
      </c>
      <c r="E107">
        <v>0.80220980017361199</v>
      </c>
      <c r="F107"/>
      <c r="G107">
        <v>0.788459980300935</v>
      </c>
      <c r="H107">
        <v>0.77407358751641597</v>
      </c>
      <c r="I107">
        <v>0.760212812386173</v>
      </c>
      <c r="J107">
        <v>0.74704916194497295</v>
      </c>
      <c r="K107">
        <v>0.73480127842284004</v>
      </c>
      <c r="L107">
        <v>0.72342727660415995</v>
      </c>
      <c r="M107">
        <v>0.71271680242435698</v>
      </c>
      <c r="N107">
        <v>0.70273773164151099</v>
      </c>
      <c r="O107">
        <v>0.69327327690601204</v>
      </c>
      <c r="P107">
        <v>0.68426883865302202</v>
      </c>
      <c r="Q107">
        <v>0.67558102131021303</v>
      </c>
      <c r="R107">
        <v>0.66724218919644596</v>
      </c>
      <c r="S107">
        <v>0.65931172998625798</v>
      </c>
      <c r="T107">
        <v>0.65178979721893304</v>
      </c>
      <c r="U107">
        <v>0.64447869098434896</v>
      </c>
      <c r="V107">
        <v>0.63709893877665402</v>
      </c>
      <c r="W107">
        <v>5</v>
      </c>
      <c r="AG107" s="130" t="s">
        <v>347</v>
      </c>
      <c r="AI107">
        <v>1</v>
      </c>
      <c r="AJ107">
        <v>0.99565414200687996</v>
      </c>
      <c r="AK107">
        <v>0.97392485204127899</v>
      </c>
      <c r="AL107">
        <v>0.95094102731041197</v>
      </c>
      <c r="AM107">
        <v>0.92856473552790098</v>
      </c>
      <c r="AN107">
        <v>0.90709143393243796</v>
      </c>
      <c r="AO107">
        <v>0.88690127004746899</v>
      </c>
      <c r="AP107">
        <v>0.86794966162875598</v>
      </c>
      <c r="AQ107">
        <v>0.849906636151745</v>
      </c>
      <c r="AR107">
        <v>0.83290673931409998</v>
      </c>
      <c r="AS107">
        <v>0.81659027709510701</v>
      </c>
      <c r="AT107">
        <v>0.80087751279270702</v>
      </c>
      <c r="AU107">
        <v>0.78552907650773296</v>
      </c>
      <c r="AV107">
        <v>0.77061224108901605</v>
      </c>
      <c r="AW107">
        <v>0.75624509355623903</v>
      </c>
      <c r="AX107">
        <v>0.74244057714160006</v>
      </c>
      <c r="AY107">
        <v>0.72884395140708003</v>
      </c>
      <c r="AZ107">
        <v>0.714934291204956</v>
      </c>
      <c r="BA107">
        <v>0</v>
      </c>
      <c r="BB107">
        <v>0</v>
      </c>
      <c r="BC107">
        <v>0</v>
      </c>
      <c r="BD107">
        <v>0</v>
      </c>
      <c r="BE107">
        <v>0</v>
      </c>
      <c r="BF107">
        <v>0</v>
      </c>
      <c r="BG107">
        <v>0</v>
      </c>
      <c r="BH107">
        <v>0</v>
      </c>
      <c r="BJ107" t="s">
        <v>357</v>
      </c>
      <c r="BL107">
        <v>0.80</v>
      </c>
      <c r="BM107">
        <v>0.79756097560975603</v>
      </c>
      <c r="BN107">
        <v>0.78536585365853595</v>
      </c>
      <c r="BO107">
        <v>0.77317073170731698</v>
      </c>
      <c r="BP107">
        <v>0.76097560975609702</v>
      </c>
      <c r="BQ107">
        <v>0.74878048780487805</v>
      </c>
      <c r="BR107">
        <v>0.73658536585365797</v>
      </c>
      <c r="BS107">
        <v>0.724390243902439</v>
      </c>
      <c r="BT107">
        <v>0.71219512195122003</v>
      </c>
      <c r="BU107">
        <v>0.69999999999999896</v>
      </c>
      <c r="BV107">
        <v>0.687499999999999</v>
      </c>
      <c r="BW107">
        <v>0.675</v>
      </c>
      <c r="BX107">
        <v>0.6625</v>
      </c>
      <c r="BY107">
        <v>0.64999999999999902</v>
      </c>
      <c r="BZ107">
        <v>0.63749999999999896</v>
      </c>
      <c r="CA107">
        <v>0.625</v>
      </c>
      <c r="CB107">
        <v>0.6125</v>
      </c>
      <c r="CC107">
        <v>0.60</v>
      </c>
      <c r="CD107" t="e">
        <v>#VALUE!</v>
      </c>
      <c r="CE107" t="e">
        <v>#VALUE!</v>
      </c>
      <c r="CF107" t="e">
        <v>#VALUE!</v>
      </c>
      <c r="CG107" t="e">
        <v>#VALUE!</v>
      </c>
      <c r="CH107" t="e">
        <v>#VALUE!</v>
      </c>
      <c r="CI107" t="e">
        <v>#VALUE!</v>
      </c>
      <c r="CJ107" t="e">
        <v>#VALUE!</v>
      </c>
      <c r="CK107" t="e">
        <v>#VALUE!</v>
      </c>
    </row>
    <row r="108" spans="1:89" ht="12.5">
      <c r="A108" t="s">
        <v>12</v>
      </c>
      <c r="B108" t="s">
        <v>353</v>
      </c>
      <c r="C108" t="s">
        <v>353</v>
      </c>
      <c r="D108">
        <v>29.832000000000001</v>
      </c>
      <c r="E108">
        <v>30.259571810405902</v>
      </c>
      <c r="F108"/>
      <c r="G108">
        <v>36.8536128709613</v>
      </c>
      <c r="H108">
        <v>41.411227262837599</v>
      </c>
      <c r="I108">
        <v>44.901812790865499</v>
      </c>
      <c r="J108">
        <v>47.576484976960501</v>
      </c>
      <c r="K108">
        <v>49.669961079822997</v>
      </c>
      <c r="L108">
        <v>51.504502610094001</v>
      </c>
      <c r="M108">
        <v>53.1983071427684</v>
      </c>
      <c r="N108">
        <v>54.854914029776303</v>
      </c>
      <c r="O108">
        <v>56.475973928802901</v>
      </c>
      <c r="P108">
        <v>58.029360054918598</v>
      </c>
      <c r="Q108">
        <v>59.503098754213802</v>
      </c>
      <c r="R108">
        <v>60.890239868270498</v>
      </c>
      <c r="S108">
        <v>62.227151437081197</v>
      </c>
      <c r="T108">
        <v>63.547721198218902</v>
      </c>
      <c r="U108">
        <v>64.875219107200195</v>
      </c>
      <c r="V108">
        <v>66.210307268523707</v>
      </c>
      <c r="W108">
        <v>5</v>
      </c>
      <c r="AG108" s="130" t="s">
        <v>354</v>
      </c>
      <c r="AI108">
        <v>1</v>
      </c>
      <c r="AJ108">
        <v>1.01797060913864</v>
      </c>
      <c r="AK108">
        <v>1.30042744721546</v>
      </c>
      <c r="AL108">
        <v>1.5084297917149401</v>
      </c>
      <c r="AM108">
        <v>1.6755136695557</v>
      </c>
      <c r="AN108">
        <v>1.80880445994407</v>
      </c>
      <c r="AO108">
        <v>1.91685929112215</v>
      </c>
      <c r="AP108">
        <v>2.0145945729670398</v>
      </c>
      <c r="AQ108">
        <v>2.1076210894005101</v>
      </c>
      <c r="AR108">
        <v>2.2013807756824102</v>
      </c>
      <c r="AS108">
        <v>2.29600579710488</v>
      </c>
      <c r="AT108">
        <v>2.3895646525782799</v>
      </c>
      <c r="AU108">
        <v>2.4811667904171002</v>
      </c>
      <c r="AV108">
        <v>2.5701531958539601</v>
      </c>
      <c r="AW108">
        <v>2.6586716493883098</v>
      </c>
      <c r="AX108">
        <v>2.7489463620536001</v>
      </c>
      <c r="AY108">
        <v>2.8427012754583001</v>
      </c>
      <c r="AZ108">
        <v>2.9402027269954001</v>
      </c>
      <c r="BA108">
        <v>0</v>
      </c>
      <c r="BB108">
        <v>0</v>
      </c>
      <c r="BC108">
        <v>0</v>
      </c>
      <c r="BD108">
        <v>0</v>
      </c>
      <c r="BE108">
        <v>0</v>
      </c>
      <c r="BF108">
        <v>0</v>
      </c>
      <c r="BG108">
        <v>0</v>
      </c>
      <c r="BH108">
        <v>0</v>
      </c>
      <c r="BJ108" t="s">
        <v>357</v>
      </c>
      <c r="BL108">
        <v>0.80</v>
      </c>
      <c r="BM108">
        <v>0.79756097560975603</v>
      </c>
      <c r="BN108">
        <v>0.78536585365853595</v>
      </c>
      <c r="BO108">
        <v>0.77317073170731698</v>
      </c>
      <c r="BP108">
        <v>0.76097560975609702</v>
      </c>
      <c r="BQ108">
        <v>0.74878048780487805</v>
      </c>
      <c r="BR108">
        <v>0.73658536585365797</v>
      </c>
      <c r="BS108">
        <v>0.724390243902439</v>
      </c>
      <c r="BT108">
        <v>0.71219512195122003</v>
      </c>
      <c r="BU108">
        <v>0.69999999999999896</v>
      </c>
      <c r="BV108">
        <v>0.687499999999999</v>
      </c>
      <c r="BW108">
        <v>0.675</v>
      </c>
      <c r="BX108">
        <v>0.6625</v>
      </c>
      <c r="BY108">
        <v>0.64999999999999902</v>
      </c>
      <c r="BZ108">
        <v>0.63749999999999896</v>
      </c>
      <c r="CA108">
        <v>0.625</v>
      </c>
      <c r="CB108">
        <v>0.6125</v>
      </c>
      <c r="CC108">
        <v>0.60</v>
      </c>
      <c r="CD108" t="e">
        <v>#VALUE!</v>
      </c>
      <c r="CE108" t="e">
        <v>#VALUE!</v>
      </c>
      <c r="CF108" t="e">
        <v>#VALUE!</v>
      </c>
      <c r="CG108" t="e">
        <v>#VALUE!</v>
      </c>
      <c r="CH108" t="e">
        <v>#VALUE!</v>
      </c>
      <c r="CI108" t="e">
        <v>#VALUE!</v>
      </c>
      <c r="CJ108" t="e">
        <v>#VALUE!</v>
      </c>
      <c r="CK108" t="e">
        <v>#VALUE!</v>
      </c>
    </row>
    <row r="109" spans="1:89" ht="12.5">
      <c r="A109" t="s">
        <v>12</v>
      </c>
      <c r="B109" t="s">
        <v>355</v>
      </c>
      <c r="C109" t="s">
        <v>355</v>
      </c>
      <c r="D109">
        <v>10.80</v>
      </c>
      <c r="E109">
        <v>10.916686246960801</v>
      </c>
      <c r="F109"/>
      <c r="G109">
        <v>13.056576387561901</v>
      </c>
      <c r="H109">
        <v>14.394919752771299</v>
      </c>
      <c r="I109">
        <v>15.3219684967966</v>
      </c>
      <c r="J109">
        <v>15.948236829711201</v>
      </c>
      <c r="K109">
        <v>16.372904910704801</v>
      </c>
      <c r="L109">
        <v>16.711273564502498</v>
      </c>
      <c r="M109">
        <v>17.002011292632002</v>
      </c>
      <c r="N109">
        <v>17.282814745351398</v>
      </c>
      <c r="O109">
        <v>17.550782769358399</v>
      </c>
      <c r="P109">
        <v>17.796277968850799</v>
      </c>
      <c r="Q109">
        <v>18.013627904993001</v>
      </c>
      <c r="R109">
        <v>18.203242875328801</v>
      </c>
      <c r="S109">
        <v>18.379110161403698</v>
      </c>
      <c r="T109">
        <v>18.5523445519189</v>
      </c>
      <c r="U109">
        <v>18.724700418222099</v>
      </c>
      <c r="V109">
        <v>18.8882765139772</v>
      </c>
      <c r="W109">
        <v>5</v>
      </c>
      <c r="AG109" s="130" t="s">
        <v>342</v>
      </c>
      <c r="AI109">
        <v>1</v>
      </c>
      <c r="AJ109">
        <v>1.01354665343015</v>
      </c>
      <c r="AK109">
        <v>1.26651860911973</v>
      </c>
      <c r="AL109">
        <v>1.43442777575904</v>
      </c>
      <c r="AM109">
        <v>1.5558229074443699</v>
      </c>
      <c r="AN109">
        <v>1.6407510312740501</v>
      </c>
      <c r="AO109">
        <v>1.7000649397985299</v>
      </c>
      <c r="AP109">
        <v>1.7485666779258699</v>
      </c>
      <c r="AQ109">
        <v>1.79128115037486</v>
      </c>
      <c r="AR109">
        <v>1.83354488386238</v>
      </c>
      <c r="AS109">
        <v>1.87489601006984</v>
      </c>
      <c r="AT109">
        <v>1.9137485956142499</v>
      </c>
      <c r="AU109">
        <v>1.949028657538</v>
      </c>
      <c r="AV109">
        <v>1.9805915141991099</v>
      </c>
      <c r="AW109">
        <v>2.0106073902269799</v>
      </c>
      <c r="AX109">
        <v>2.0409293235743702</v>
      </c>
      <c r="AY109">
        <v>2.07188563027497</v>
      </c>
      <c r="AZ109">
        <v>2.1020517526233302</v>
      </c>
      <c r="BA109">
        <v>0</v>
      </c>
      <c r="BB109">
        <v>0</v>
      </c>
      <c r="BC109">
        <v>0</v>
      </c>
      <c r="BD109">
        <v>0</v>
      </c>
      <c r="BE109">
        <v>0</v>
      </c>
      <c r="BF109">
        <v>0</v>
      </c>
      <c r="BG109">
        <v>0</v>
      </c>
      <c r="BH109">
        <v>0</v>
      </c>
      <c r="BJ109" t="s">
        <v>357</v>
      </c>
      <c r="BL109">
        <v>0.80</v>
      </c>
      <c r="BM109">
        <v>0.79756097560975603</v>
      </c>
      <c r="BN109">
        <v>0.78536585365853595</v>
      </c>
      <c r="BO109">
        <v>0.77317073170731698</v>
      </c>
      <c r="BP109">
        <v>0.76097560975609702</v>
      </c>
      <c r="BQ109">
        <v>0.74878048780487805</v>
      </c>
      <c r="BR109">
        <v>0.73658536585365797</v>
      </c>
      <c r="BS109">
        <v>0.724390243902439</v>
      </c>
      <c r="BT109">
        <v>0.71219512195122003</v>
      </c>
      <c r="BU109">
        <v>0.69999999999999896</v>
      </c>
      <c r="BV109">
        <v>0.687499999999999</v>
      </c>
      <c r="BW109">
        <v>0.675</v>
      </c>
      <c r="BX109">
        <v>0.6625</v>
      </c>
      <c r="BY109">
        <v>0.64999999999999902</v>
      </c>
      <c r="BZ109">
        <v>0.63749999999999896</v>
      </c>
      <c r="CA109">
        <v>0.625</v>
      </c>
      <c r="CB109">
        <v>0.6125</v>
      </c>
      <c r="CC109">
        <v>0.60</v>
      </c>
      <c r="CD109" t="e">
        <v>#VALUE!</v>
      </c>
      <c r="CE109" t="e">
        <v>#VALUE!</v>
      </c>
      <c r="CF109" t="e">
        <v>#VALUE!</v>
      </c>
      <c r="CG109" t="e">
        <v>#VALUE!</v>
      </c>
      <c r="CH109" t="e">
        <v>#VALUE!</v>
      </c>
      <c r="CI109" t="e">
        <v>#VALUE!</v>
      </c>
      <c r="CJ109" t="e">
        <v>#VALUE!</v>
      </c>
      <c r="CK109" t="e">
        <v>#VALUE!</v>
      </c>
    </row>
    <row r="110" spans="1:89" ht="12.5">
      <c r="A110" t="s">
        <v>12</v>
      </c>
      <c r="B110" t="s">
        <v>356</v>
      </c>
      <c r="C110" t="s">
        <v>356</v>
      </c>
      <c r="D110">
        <v>7.16</v>
      </c>
      <c r="E110">
        <v>7.2373586600221396</v>
      </c>
      <c r="F110"/>
      <c r="G110">
        <v>8.6560265680502795</v>
      </c>
      <c r="H110">
        <v>9.5432986509113604</v>
      </c>
      <c r="I110">
        <v>10.157897633061401</v>
      </c>
      <c r="J110">
        <v>10.5730903426604</v>
      </c>
      <c r="K110">
        <v>10.8546295519117</v>
      </c>
      <c r="L110">
        <v>11.078955437207201</v>
      </c>
      <c r="M110">
        <v>11.271703782893001</v>
      </c>
      <c r="N110">
        <v>11.4578660719182</v>
      </c>
      <c r="O110">
        <v>11.6355189470931</v>
      </c>
      <c r="P110">
        <v>11.798273171941799</v>
      </c>
      <c r="Q110">
        <v>11.9423681296065</v>
      </c>
      <c r="R110">
        <v>12.0680758321624</v>
      </c>
      <c r="S110">
        <v>12.184669329226899</v>
      </c>
      <c r="T110">
        <v>12.29951731405</v>
      </c>
      <c r="U110">
        <v>12.4137828698584</v>
      </c>
      <c r="V110">
        <v>12.5222277629701</v>
      </c>
      <c r="W110">
        <v>5</v>
      </c>
      <c r="AG110" s="130" t="s">
        <v>342</v>
      </c>
      <c r="AI110">
        <v>1</v>
      </c>
      <c r="AJ110">
        <v>1.01354665343015</v>
      </c>
      <c r="AK110">
        <v>1.26651860911973</v>
      </c>
      <c r="AL110">
        <v>1.43442777575904</v>
      </c>
      <c r="AM110">
        <v>1.5558229074443699</v>
      </c>
      <c r="AN110">
        <v>1.6407510312740501</v>
      </c>
      <c r="AO110">
        <v>1.7000649397985299</v>
      </c>
      <c r="AP110">
        <v>1.7485666779258699</v>
      </c>
      <c r="AQ110">
        <v>1.79128115037486</v>
      </c>
      <c r="AR110">
        <v>1.83354488386238</v>
      </c>
      <c r="AS110">
        <v>1.87489601006984</v>
      </c>
      <c r="AT110">
        <v>1.9137485956142499</v>
      </c>
      <c r="AU110">
        <v>1.949028657538</v>
      </c>
      <c r="AV110">
        <v>1.9805915141991099</v>
      </c>
      <c r="AW110">
        <v>2.0106073902269799</v>
      </c>
      <c r="AX110">
        <v>2.0409293235743702</v>
      </c>
      <c r="AY110">
        <v>2.07188563027497</v>
      </c>
      <c r="AZ110">
        <v>2.1020517526233302</v>
      </c>
      <c r="BA110">
        <v>0</v>
      </c>
      <c r="BB110">
        <v>0</v>
      </c>
      <c r="BC110">
        <v>0</v>
      </c>
      <c r="BD110">
        <v>0</v>
      </c>
      <c r="BE110">
        <v>0</v>
      </c>
      <c r="BF110">
        <v>0</v>
      </c>
      <c r="BG110">
        <v>0</v>
      </c>
      <c r="BH110">
        <v>0</v>
      </c>
      <c r="BJ110" t="s">
        <v>357</v>
      </c>
      <c r="BL110">
        <v>0.80</v>
      </c>
      <c r="BM110">
        <v>0.79756097560975603</v>
      </c>
      <c r="BN110">
        <v>0.78536585365853595</v>
      </c>
      <c r="BO110">
        <v>0.77317073170731698</v>
      </c>
      <c r="BP110">
        <v>0.76097560975609702</v>
      </c>
      <c r="BQ110">
        <v>0.74878048780487805</v>
      </c>
      <c r="BR110">
        <v>0.73658536585365797</v>
      </c>
      <c r="BS110">
        <v>0.724390243902439</v>
      </c>
      <c r="BT110">
        <v>0.71219512195122003</v>
      </c>
      <c r="BU110">
        <v>0.69999999999999896</v>
      </c>
      <c r="BV110">
        <v>0.687499999999999</v>
      </c>
      <c r="BW110">
        <v>0.675</v>
      </c>
      <c r="BX110">
        <v>0.6625</v>
      </c>
      <c r="BY110">
        <v>0.64999999999999902</v>
      </c>
      <c r="BZ110">
        <v>0.63749999999999896</v>
      </c>
      <c r="CA110">
        <v>0.625</v>
      </c>
      <c r="CB110">
        <v>0.6125</v>
      </c>
      <c r="CC110">
        <v>0.60</v>
      </c>
      <c r="CD110" t="e">
        <v>#VALUE!</v>
      </c>
      <c r="CE110" t="e">
        <v>#VALUE!</v>
      </c>
      <c r="CF110" t="e">
        <v>#VALUE!</v>
      </c>
      <c r="CG110" t="e">
        <v>#VALUE!</v>
      </c>
      <c r="CH110" t="e">
        <v>#VALUE!</v>
      </c>
      <c r="CI110" t="e">
        <v>#VALUE!</v>
      </c>
      <c r="CJ110" t="e">
        <v>#VALUE!</v>
      </c>
      <c r="CK110" t="e">
        <v>#VALUE!</v>
      </c>
    </row>
    <row r="111" spans="1:89" ht="12.5">
      <c r="A111" t="s">
        <v>13</v>
      </c>
      <c r="B111" t="s">
        <v>341</v>
      </c>
      <c r="C111" t="s">
        <v>341</v>
      </c>
      <c r="E111" s="2">
        <v>2.0056085122211602</v>
      </c>
      <c r="F111" s="2">
        <f>E111</f>
        <v>2.0056085122211602</v>
      </c>
      <c r="I111" s="2">
        <f>F111</f>
        <v>2.0056085122211602</v>
      </c>
      <c r="J111" s="2">
        <f>I111</f>
        <v>2.0056085122211602</v>
      </c>
      <c r="L111" s="2">
        <f>J111</f>
        <v>2.0056085122211602</v>
      </c>
      <c r="V111" s="2">
        <f>L111</f>
        <v>2.0056085122211602</v>
      </c>
      <c r="W111">
        <v>5</v>
      </c>
      <c r="AG111" s="130" t="s">
        <v>342</v>
      </c>
      <c r="AI111">
        <v>1</v>
      </c>
      <c r="AJ111">
        <v>1.0155745723737299</v>
      </c>
      <c r="AK111">
        <v>1.1213267076235001</v>
      </c>
      <c r="AL111">
        <v>1.2248780371838901</v>
      </c>
      <c r="AM111">
        <v>1.32470492634685</v>
      </c>
      <c r="AN111">
        <v>1.42191318091703</v>
      </c>
      <c r="AO111">
        <v>1.5114312224809201</v>
      </c>
      <c r="AP111">
        <v>1.5965728664791701</v>
      </c>
      <c r="AQ111">
        <v>1.6823934824454201</v>
      </c>
      <c r="AR111">
        <v>1.7660439094953799</v>
      </c>
      <c r="AS111">
        <v>1.8486695751400399</v>
      </c>
      <c r="AT111">
        <v>1.92596972325319</v>
      </c>
      <c r="AU111">
        <v>1.9949997406579201</v>
      </c>
      <c r="AV111">
        <v>2.05665111574725</v>
      </c>
      <c r="AW111">
        <v>2.1131498680237</v>
      </c>
      <c r="AX111">
        <v>2.1663312028861901</v>
      </c>
      <c r="AY111">
        <v>2.2168038538232802</v>
      </c>
      <c r="AZ111">
        <v>2.26184833098965</v>
      </c>
      <c r="BA111">
        <v>0</v>
      </c>
      <c r="BB111">
        <v>0</v>
      </c>
      <c r="BC111">
        <v>0</v>
      </c>
      <c r="BD111">
        <v>0</v>
      </c>
      <c r="BE111">
        <v>0</v>
      </c>
      <c r="BF111">
        <v>0</v>
      </c>
      <c r="BG111">
        <v>0</v>
      </c>
      <c r="BH111">
        <v>0</v>
      </c>
      <c r="BJ111" t="s">
        <v>357</v>
      </c>
      <c r="BL111">
        <v>0.80</v>
      </c>
      <c r="BM111">
        <v>0.79756097560975603</v>
      </c>
      <c r="BN111">
        <v>0.78536585365853595</v>
      </c>
      <c r="BO111">
        <v>0.77317073170731698</v>
      </c>
      <c r="BP111">
        <v>0.76097560975609702</v>
      </c>
      <c r="BQ111">
        <v>0.74878048780487805</v>
      </c>
      <c r="BR111">
        <v>0.73658536585365797</v>
      </c>
      <c r="BS111">
        <v>0.724390243902439</v>
      </c>
      <c r="BT111">
        <v>0.71219512195122003</v>
      </c>
      <c r="BU111">
        <v>0.69999999999999896</v>
      </c>
      <c r="BV111">
        <v>0.687499999999999</v>
      </c>
      <c r="BW111">
        <v>0.675</v>
      </c>
      <c r="BX111">
        <v>0.6625</v>
      </c>
      <c r="BY111">
        <v>0.64999999999999902</v>
      </c>
      <c r="BZ111">
        <v>0.63749999999999896</v>
      </c>
      <c r="CA111">
        <v>0.625</v>
      </c>
      <c r="CB111">
        <v>0.6125</v>
      </c>
      <c r="CC111">
        <v>0.60</v>
      </c>
      <c r="CD111" t="e">
        <v>#VALUE!</v>
      </c>
      <c r="CE111" t="e">
        <v>#VALUE!</v>
      </c>
      <c r="CF111" t="e">
        <v>#VALUE!</v>
      </c>
      <c r="CG111" t="e">
        <v>#VALUE!</v>
      </c>
      <c r="CH111" t="e">
        <v>#VALUE!</v>
      </c>
      <c r="CI111" t="e">
        <v>#VALUE!</v>
      </c>
      <c r="CJ111" t="e">
        <v>#VALUE!</v>
      </c>
      <c r="CK111" t="e">
        <v>#VALUE!</v>
      </c>
    </row>
    <row r="112" spans="1:89" ht="12.5">
      <c r="A112" t="s">
        <v>13</v>
      </c>
      <c r="B112" t="s">
        <v>344</v>
      </c>
      <c r="C112" t="s">
        <v>344</v>
      </c>
      <c r="E112" s="2">
        <v>19.5468221264771</v>
      </c>
      <c r="F112" s="2">
        <f>E112</f>
        <v>19.5468221264771</v>
      </c>
      <c r="I112" s="2">
        <f>F112</f>
        <v>19.5468221264771</v>
      </c>
      <c r="J112" s="2">
        <f>I112</f>
        <v>19.5468221264771</v>
      </c>
      <c r="L112" s="2">
        <f>J112</f>
        <v>19.5468221264771</v>
      </c>
      <c r="V112" s="2">
        <f>L112</f>
        <v>19.5468221264771</v>
      </c>
      <c r="W112">
        <v>5</v>
      </c>
      <c r="AG112" s="130" t="s">
        <v>342</v>
      </c>
      <c r="AI112">
        <v>1</v>
      </c>
      <c r="AJ112">
        <v>1.0155745723737299</v>
      </c>
      <c r="AK112">
        <v>1.1213267076235001</v>
      </c>
      <c r="AL112">
        <v>1.2248780371838901</v>
      </c>
      <c r="AM112">
        <v>1.32470492634685</v>
      </c>
      <c r="AN112">
        <v>1.42191318091703</v>
      </c>
      <c r="AO112">
        <v>1.5114312224809201</v>
      </c>
      <c r="AP112">
        <v>1.5965728664791701</v>
      </c>
      <c r="AQ112">
        <v>1.6823934824454201</v>
      </c>
      <c r="AR112">
        <v>1.7660439094953799</v>
      </c>
      <c r="AS112">
        <v>1.8486695751400399</v>
      </c>
      <c r="AT112">
        <v>1.92596972325319</v>
      </c>
      <c r="AU112">
        <v>1.9949997406579201</v>
      </c>
      <c r="AV112">
        <v>2.05665111574725</v>
      </c>
      <c r="AW112">
        <v>2.1131498680237</v>
      </c>
      <c r="AX112">
        <v>2.1663312028861901</v>
      </c>
      <c r="AY112">
        <v>2.2168038538232802</v>
      </c>
      <c r="AZ112">
        <v>2.26184833098965</v>
      </c>
      <c r="BA112">
        <v>0</v>
      </c>
      <c r="BB112">
        <v>0</v>
      </c>
      <c r="BC112">
        <v>0</v>
      </c>
      <c r="BD112">
        <v>0</v>
      </c>
      <c r="BE112">
        <v>0</v>
      </c>
      <c r="BF112">
        <v>0</v>
      </c>
      <c r="BG112">
        <v>0</v>
      </c>
      <c r="BH112">
        <v>0</v>
      </c>
      <c r="BJ112" t="s">
        <v>357</v>
      </c>
      <c r="BL112">
        <v>0.80</v>
      </c>
      <c r="BM112">
        <v>0.79756097560975603</v>
      </c>
      <c r="BN112">
        <v>0.78536585365853595</v>
      </c>
      <c r="BO112">
        <v>0.77317073170731698</v>
      </c>
      <c r="BP112">
        <v>0.76097560975609702</v>
      </c>
      <c r="BQ112">
        <v>0.74878048780487805</v>
      </c>
      <c r="BR112">
        <v>0.73658536585365797</v>
      </c>
      <c r="BS112">
        <v>0.724390243902439</v>
      </c>
      <c r="BT112">
        <v>0.71219512195122003</v>
      </c>
      <c r="BU112">
        <v>0.69999999999999896</v>
      </c>
      <c r="BV112">
        <v>0.687499999999999</v>
      </c>
      <c r="BW112">
        <v>0.675</v>
      </c>
      <c r="BX112">
        <v>0.6625</v>
      </c>
      <c r="BY112">
        <v>0.64999999999999902</v>
      </c>
      <c r="BZ112">
        <v>0.63749999999999896</v>
      </c>
      <c r="CA112">
        <v>0.625</v>
      </c>
      <c r="CB112">
        <v>0.6125</v>
      </c>
      <c r="CC112">
        <v>0.60</v>
      </c>
      <c r="CD112" t="e">
        <v>#VALUE!</v>
      </c>
      <c r="CE112" t="e">
        <v>#VALUE!</v>
      </c>
      <c r="CF112" t="e">
        <v>#VALUE!</v>
      </c>
      <c r="CG112" t="e">
        <v>#VALUE!</v>
      </c>
      <c r="CH112" t="e">
        <v>#VALUE!</v>
      </c>
      <c r="CI112" t="e">
        <v>#VALUE!</v>
      </c>
      <c r="CJ112" t="e">
        <v>#VALUE!</v>
      </c>
      <c r="CK112" t="e">
        <v>#VALUE!</v>
      </c>
    </row>
    <row r="113" spans="1:89" ht="12.5">
      <c r="A113" t="s">
        <v>13</v>
      </c>
      <c r="B113" t="s">
        <v>345</v>
      </c>
      <c r="C113" t="s">
        <v>345</v>
      </c>
      <c r="E113" s="2">
        <v>3.9249734083863399</v>
      </c>
      <c r="I113" s="2">
        <v>4.8312537721698403</v>
      </c>
      <c r="J113" s="2">
        <v>5.09671332771343</v>
      </c>
      <c r="L113" s="2">
        <v>5.5506826861401999</v>
      </c>
      <c r="V113" s="2">
        <v>7.0132772950548503</v>
      </c>
      <c r="W113">
        <v>5</v>
      </c>
      <c r="AG113" s="130" t="s">
        <v>342</v>
      </c>
      <c r="AI113">
        <v>1</v>
      </c>
      <c r="AJ113">
        <v>1.0155745723737299</v>
      </c>
      <c r="AK113">
        <v>1.1213267076235001</v>
      </c>
      <c r="AL113">
        <v>1.2248780371838901</v>
      </c>
      <c r="AM113">
        <v>1.32470492634685</v>
      </c>
      <c r="AN113">
        <v>1.42191318091703</v>
      </c>
      <c r="AO113">
        <v>1.5114312224809201</v>
      </c>
      <c r="AP113">
        <v>1.5965728664791701</v>
      </c>
      <c r="AQ113">
        <v>1.6823934824454201</v>
      </c>
      <c r="AR113">
        <v>1.7660439094953799</v>
      </c>
      <c r="AS113">
        <v>1.8486695751400399</v>
      </c>
      <c r="AT113">
        <v>1.92596972325319</v>
      </c>
      <c r="AU113">
        <v>1.9949997406579201</v>
      </c>
      <c r="AV113">
        <v>2.05665111574725</v>
      </c>
      <c r="AW113">
        <v>2.1131498680237</v>
      </c>
      <c r="AX113">
        <v>2.1663312028861901</v>
      </c>
      <c r="AY113">
        <v>2.2168038538232802</v>
      </c>
      <c r="AZ113">
        <v>2.26184833098965</v>
      </c>
      <c r="BA113">
        <v>0</v>
      </c>
      <c r="BB113">
        <v>0</v>
      </c>
      <c r="BC113">
        <v>0</v>
      </c>
      <c r="BD113">
        <v>0</v>
      </c>
      <c r="BE113">
        <v>0</v>
      </c>
      <c r="BF113">
        <v>0</v>
      </c>
      <c r="BG113">
        <v>0</v>
      </c>
      <c r="BH113">
        <v>0</v>
      </c>
      <c r="BJ113" t="s">
        <v>357</v>
      </c>
      <c r="BL113">
        <v>0.80</v>
      </c>
      <c r="BM113">
        <v>0.79756097560975603</v>
      </c>
      <c r="BN113">
        <v>0.78536585365853595</v>
      </c>
      <c r="BO113">
        <v>0.77317073170731698</v>
      </c>
      <c r="BP113">
        <v>0.76097560975609702</v>
      </c>
      <c r="BQ113">
        <v>0.74878048780487805</v>
      </c>
      <c r="BR113">
        <v>0.73658536585365797</v>
      </c>
      <c r="BS113">
        <v>0.724390243902439</v>
      </c>
      <c r="BT113">
        <v>0.71219512195122003</v>
      </c>
      <c r="BU113">
        <v>0.69999999999999896</v>
      </c>
      <c r="BV113">
        <v>0.687499999999999</v>
      </c>
      <c r="BW113">
        <v>0.675</v>
      </c>
      <c r="BX113">
        <v>0.6625</v>
      </c>
      <c r="BY113">
        <v>0.64999999999999902</v>
      </c>
      <c r="BZ113">
        <v>0.63749999999999896</v>
      </c>
      <c r="CA113">
        <v>0.625</v>
      </c>
      <c r="CB113">
        <v>0.6125</v>
      </c>
      <c r="CC113">
        <v>0.60</v>
      </c>
      <c r="CD113" t="e">
        <v>#VALUE!</v>
      </c>
      <c r="CE113" t="e">
        <v>#VALUE!</v>
      </c>
      <c r="CF113" t="e">
        <v>#VALUE!</v>
      </c>
      <c r="CG113" t="e">
        <v>#VALUE!</v>
      </c>
      <c r="CH113" t="e">
        <v>#VALUE!</v>
      </c>
      <c r="CI113" t="e">
        <v>#VALUE!</v>
      </c>
      <c r="CJ113" t="e">
        <v>#VALUE!</v>
      </c>
      <c r="CK113" t="e">
        <v>#VALUE!</v>
      </c>
    </row>
    <row r="114" spans="1:89" ht="12.5">
      <c r="A114" t="s">
        <v>13</v>
      </c>
      <c r="B114" t="s">
        <v>346</v>
      </c>
      <c r="C114" t="s">
        <v>346</v>
      </c>
      <c r="E114" s="2">
        <v>7.1029590280255102</v>
      </c>
      <c r="I114" s="2">
        <v>7.0943467135722296</v>
      </c>
      <c r="J114" s="2">
        <v>7.0240049585920099</v>
      </c>
      <c r="L114" s="2">
        <v>6.9184000934194696</v>
      </c>
      <c r="V114" s="2">
        <v>6.28230153212521</v>
      </c>
      <c r="W114">
        <v>5</v>
      </c>
      <c r="AG114" s="130" t="s">
        <v>347</v>
      </c>
      <c r="AI114">
        <v>1</v>
      </c>
      <c r="AJ114">
        <v>1.0044861305311199</v>
      </c>
      <c r="AK114">
        <v>1.0269167831867101</v>
      </c>
      <c r="AL114">
        <v>1.01584972350688</v>
      </c>
      <c r="AM114">
        <v>1.0022610632415501</v>
      </c>
      <c r="AN114">
        <v>0.98898934570060104</v>
      </c>
      <c r="AO114">
        <v>0.97788410468999398</v>
      </c>
      <c r="AP114">
        <v>0.96867719171891198</v>
      </c>
      <c r="AQ114">
        <v>0.95960560895806402</v>
      </c>
      <c r="AR114">
        <v>0.94865390964769902</v>
      </c>
      <c r="AS114">
        <v>0.93423317268370998</v>
      </c>
      <c r="AT114">
        <v>0.91704428923845105</v>
      </c>
      <c r="AU114">
        <v>0.89932136954825903</v>
      </c>
      <c r="AV114">
        <v>0.88318944330413995</v>
      </c>
      <c r="AW114">
        <v>0.86937508615918702</v>
      </c>
      <c r="AX114">
        <v>0.85740052909276698</v>
      </c>
      <c r="AY114">
        <v>0.84658277843132601</v>
      </c>
      <c r="AZ114">
        <v>0.83577024002392197</v>
      </c>
      <c r="BA114">
        <v>0</v>
      </c>
      <c r="BB114">
        <v>0</v>
      </c>
      <c r="BC114">
        <v>0</v>
      </c>
      <c r="BD114">
        <v>0</v>
      </c>
      <c r="BE114">
        <v>0</v>
      </c>
      <c r="BF114">
        <v>0</v>
      </c>
      <c r="BG114">
        <v>0</v>
      </c>
      <c r="BH114">
        <v>0</v>
      </c>
      <c r="BJ114" t="s">
        <v>357</v>
      </c>
      <c r="BL114">
        <v>0.80</v>
      </c>
      <c r="BM114">
        <v>0.79756097560975603</v>
      </c>
      <c r="BN114">
        <v>0.78536585365853595</v>
      </c>
      <c r="BO114">
        <v>0.77317073170731698</v>
      </c>
      <c r="BP114">
        <v>0.76097560975609702</v>
      </c>
      <c r="BQ114">
        <v>0.74878048780487805</v>
      </c>
      <c r="BR114">
        <v>0.73658536585365797</v>
      </c>
      <c r="BS114">
        <v>0.724390243902439</v>
      </c>
      <c r="BT114">
        <v>0.71219512195122003</v>
      </c>
      <c r="BU114">
        <v>0.69999999999999896</v>
      </c>
      <c r="BV114">
        <v>0.687499999999999</v>
      </c>
      <c r="BW114">
        <v>0.675</v>
      </c>
      <c r="BX114">
        <v>0.6625</v>
      </c>
      <c r="BY114">
        <v>0.64999999999999902</v>
      </c>
      <c r="BZ114">
        <v>0.63749999999999896</v>
      </c>
      <c r="CA114">
        <v>0.625</v>
      </c>
      <c r="CB114">
        <v>0.6125</v>
      </c>
      <c r="CC114">
        <v>0.60</v>
      </c>
      <c r="CD114" t="e">
        <v>#VALUE!</v>
      </c>
      <c r="CE114" t="e">
        <v>#VALUE!</v>
      </c>
      <c r="CF114" t="e">
        <v>#VALUE!</v>
      </c>
      <c r="CG114" t="e">
        <v>#VALUE!</v>
      </c>
      <c r="CH114" t="e">
        <v>#VALUE!</v>
      </c>
      <c r="CI114" t="e">
        <v>#VALUE!</v>
      </c>
      <c r="CJ114" t="e">
        <v>#VALUE!</v>
      </c>
      <c r="CK114" t="e">
        <v>#VALUE!</v>
      </c>
    </row>
    <row r="115" spans="1:89" ht="12.5">
      <c r="A115" t="s">
        <v>13</v>
      </c>
      <c r="B115" t="s">
        <v>348</v>
      </c>
      <c r="C115" t="s">
        <v>348</v>
      </c>
      <c r="E115" s="2">
        <v>0.21564506999991401</v>
      </c>
      <c r="F115" s="2">
        <f>E115</f>
        <v>0.21564506999991401</v>
      </c>
      <c r="I115" s="2">
        <f>F115</f>
        <v>0.21564506999991401</v>
      </c>
      <c r="J115" s="2">
        <f>I115</f>
        <v>0.21564506999991401</v>
      </c>
      <c r="L115" s="2">
        <f>J115</f>
        <v>0.21564506999991401</v>
      </c>
      <c r="V115" s="2">
        <f>L115</f>
        <v>0.21564506999991401</v>
      </c>
      <c r="W115">
        <v>5</v>
      </c>
      <c r="AG115" s="130" t="s">
        <v>342</v>
      </c>
      <c r="AI115">
        <v>1</v>
      </c>
      <c r="AJ115">
        <v>1.0155745723737299</v>
      </c>
      <c r="AK115">
        <v>1.1213267076235001</v>
      </c>
      <c r="AL115">
        <v>1.2248780371838901</v>
      </c>
      <c r="AM115">
        <v>1.32470492634685</v>
      </c>
      <c r="AN115">
        <v>1.42191318091703</v>
      </c>
      <c r="AO115">
        <v>1.5114312224809201</v>
      </c>
      <c r="AP115">
        <v>1.5965728664791701</v>
      </c>
      <c r="AQ115">
        <v>1.6823934824454201</v>
      </c>
      <c r="AR115">
        <v>1.7660439094953799</v>
      </c>
      <c r="AS115">
        <v>1.8486695751400399</v>
      </c>
      <c r="AT115">
        <v>1.92596972325319</v>
      </c>
      <c r="AU115">
        <v>1.9949997406579201</v>
      </c>
      <c r="AV115">
        <v>2.05665111574725</v>
      </c>
      <c r="AW115">
        <v>2.1131498680237</v>
      </c>
      <c r="AX115">
        <v>2.1663312028861901</v>
      </c>
      <c r="AY115">
        <v>2.2168038538232802</v>
      </c>
      <c r="AZ115">
        <v>2.26184833098965</v>
      </c>
      <c r="BA115">
        <v>0</v>
      </c>
      <c r="BB115">
        <v>0</v>
      </c>
      <c r="BC115">
        <v>0</v>
      </c>
      <c r="BD115">
        <v>0</v>
      </c>
      <c r="BE115">
        <v>0</v>
      </c>
      <c r="BF115">
        <v>0</v>
      </c>
      <c r="BG115">
        <v>0</v>
      </c>
      <c r="BH115">
        <v>0</v>
      </c>
      <c r="BJ115" t="s">
        <v>357</v>
      </c>
      <c r="BL115">
        <v>0.80</v>
      </c>
      <c r="BM115">
        <v>0.79756097560975603</v>
      </c>
      <c r="BN115">
        <v>0.78536585365853595</v>
      </c>
      <c r="BO115">
        <v>0.77317073170731698</v>
      </c>
      <c r="BP115">
        <v>0.76097560975609702</v>
      </c>
      <c r="BQ115">
        <v>0.74878048780487805</v>
      </c>
      <c r="BR115">
        <v>0.73658536585365797</v>
      </c>
      <c r="BS115">
        <v>0.724390243902439</v>
      </c>
      <c r="BT115">
        <v>0.71219512195122003</v>
      </c>
      <c r="BU115">
        <v>0.69999999999999896</v>
      </c>
      <c r="BV115">
        <v>0.687499999999999</v>
      </c>
      <c r="BW115">
        <v>0.675</v>
      </c>
      <c r="BX115">
        <v>0.6625</v>
      </c>
      <c r="BY115">
        <v>0.64999999999999902</v>
      </c>
      <c r="BZ115">
        <v>0.63749999999999896</v>
      </c>
      <c r="CA115">
        <v>0.625</v>
      </c>
      <c r="CB115">
        <v>0.6125</v>
      </c>
      <c r="CC115">
        <v>0.60</v>
      </c>
      <c r="CD115" t="e">
        <v>#VALUE!</v>
      </c>
      <c r="CE115" t="e">
        <v>#VALUE!</v>
      </c>
      <c r="CF115" t="e">
        <v>#VALUE!</v>
      </c>
      <c r="CG115" t="e">
        <v>#VALUE!</v>
      </c>
      <c r="CH115" t="e">
        <v>#VALUE!</v>
      </c>
      <c r="CI115" t="e">
        <v>#VALUE!</v>
      </c>
      <c r="CJ115" t="e">
        <v>#VALUE!</v>
      </c>
      <c r="CK115" t="e">
        <v>#VALUE!</v>
      </c>
    </row>
    <row r="116" spans="1:89" ht="12.5">
      <c r="A116" t="s">
        <v>13</v>
      </c>
      <c r="B116" t="s">
        <v>349</v>
      </c>
      <c r="C116" t="s">
        <v>349</v>
      </c>
      <c r="E116" s="2">
        <v>0</v>
      </c>
      <c r="F116" s="2">
        <f>E116</f>
        <v>0</v>
      </c>
      <c r="I116" s="2">
        <f>F116</f>
        <v>0</v>
      </c>
      <c r="J116" s="2">
        <f>I116</f>
        <v>0</v>
      </c>
      <c r="L116" s="2">
        <f>J116</f>
        <v>0</v>
      </c>
      <c r="V116" s="2">
        <f>L116</f>
        <v>0</v>
      </c>
      <c r="W116">
        <v>5</v>
      </c>
      <c r="AG116" s="130" t="s">
        <v>342</v>
      </c>
      <c r="AI116">
        <v>1</v>
      </c>
      <c r="AJ116">
        <v>1.0155745723737299</v>
      </c>
      <c r="AK116">
        <v>1.1213267076235001</v>
      </c>
      <c r="AL116">
        <v>1.2248780371838901</v>
      </c>
      <c r="AM116">
        <v>1.32470492634685</v>
      </c>
      <c r="AN116">
        <v>1.42191318091703</v>
      </c>
      <c r="AO116">
        <v>1.5114312224809201</v>
      </c>
      <c r="AP116">
        <v>1.5965728664791701</v>
      </c>
      <c r="AQ116">
        <v>1.6823934824454201</v>
      </c>
      <c r="AR116">
        <v>1.7660439094953799</v>
      </c>
      <c r="AS116">
        <v>1.8486695751400399</v>
      </c>
      <c r="AT116">
        <v>1.92596972325319</v>
      </c>
      <c r="AU116">
        <v>1.9949997406579201</v>
      </c>
      <c r="AV116">
        <v>2.05665111574725</v>
      </c>
      <c r="AW116">
        <v>2.1131498680237</v>
      </c>
      <c r="AX116">
        <v>2.1663312028861901</v>
      </c>
      <c r="AY116">
        <v>2.2168038538232802</v>
      </c>
      <c r="AZ116">
        <v>2.26184833098965</v>
      </c>
      <c r="BA116">
        <v>0</v>
      </c>
      <c r="BB116">
        <v>0</v>
      </c>
      <c r="BC116">
        <v>0</v>
      </c>
      <c r="BD116">
        <v>0</v>
      </c>
      <c r="BE116">
        <v>0</v>
      </c>
      <c r="BF116">
        <v>0</v>
      </c>
      <c r="BG116">
        <v>0</v>
      </c>
      <c r="BH116">
        <v>0</v>
      </c>
      <c r="BJ116" t="s">
        <v>357</v>
      </c>
      <c r="BL116">
        <v>0.80</v>
      </c>
      <c r="BM116">
        <v>0.79756097560975603</v>
      </c>
      <c r="BN116">
        <v>0.78536585365853595</v>
      </c>
      <c r="BO116">
        <v>0.77317073170731698</v>
      </c>
      <c r="BP116">
        <v>0.76097560975609702</v>
      </c>
      <c r="BQ116">
        <v>0.74878048780487805</v>
      </c>
      <c r="BR116">
        <v>0.73658536585365797</v>
      </c>
      <c r="BS116">
        <v>0.724390243902439</v>
      </c>
      <c r="BT116">
        <v>0.71219512195122003</v>
      </c>
      <c r="BU116">
        <v>0.69999999999999896</v>
      </c>
      <c r="BV116">
        <v>0.687499999999999</v>
      </c>
      <c r="BW116">
        <v>0.675</v>
      </c>
      <c r="BX116">
        <v>0.6625</v>
      </c>
      <c r="BY116">
        <v>0.64999999999999902</v>
      </c>
      <c r="BZ116">
        <v>0.63749999999999896</v>
      </c>
      <c r="CA116">
        <v>0.625</v>
      </c>
      <c r="CB116">
        <v>0.6125</v>
      </c>
      <c r="CC116">
        <v>0.60</v>
      </c>
      <c r="CD116" t="e">
        <v>#VALUE!</v>
      </c>
      <c r="CE116" t="e">
        <v>#VALUE!</v>
      </c>
      <c r="CF116" t="e">
        <v>#VALUE!</v>
      </c>
      <c r="CG116" t="e">
        <v>#VALUE!</v>
      </c>
      <c r="CH116" t="e">
        <v>#VALUE!</v>
      </c>
      <c r="CI116" t="e">
        <v>#VALUE!</v>
      </c>
      <c r="CJ116" t="e">
        <v>#VALUE!</v>
      </c>
      <c r="CK116" t="e">
        <v>#VALUE!</v>
      </c>
    </row>
    <row r="117" spans="1:89" ht="12.5">
      <c r="A117" t="s">
        <v>13</v>
      </c>
      <c r="B117" t="s">
        <v>350</v>
      </c>
      <c r="C117" t="s">
        <v>350</v>
      </c>
      <c r="D117">
        <v>1.19</v>
      </c>
      <c r="E117">
        <v>1.1942577755453001</v>
      </c>
      <c r="F117"/>
      <c r="G117">
        <v>1.2152021820402801</v>
      </c>
      <c r="H117">
        <v>1.20507657786012</v>
      </c>
      <c r="I117">
        <v>1.19280974192147</v>
      </c>
      <c r="J117">
        <v>1.1809828135245699</v>
      </c>
      <c r="K117">
        <v>1.17121487227188</v>
      </c>
      <c r="L117">
        <v>1.1632269133609701</v>
      </c>
      <c r="M117">
        <v>1.1554685979882899</v>
      </c>
      <c r="N117">
        <v>1.14623767939974</v>
      </c>
      <c r="O117">
        <v>1.1342585008663399</v>
      </c>
      <c r="P117">
        <v>1.12017183548844</v>
      </c>
      <c r="Q117">
        <v>1.1058296448662901</v>
      </c>
      <c r="R117">
        <v>1.09293608326769</v>
      </c>
      <c r="S117">
        <v>1.0820379587943401</v>
      </c>
      <c r="T117">
        <v>1.0727231320499</v>
      </c>
      <c r="U117">
        <v>1.0644332765812701</v>
      </c>
      <c r="V117">
        <v>1.0562763241992601</v>
      </c>
      <c r="W117">
        <v>5</v>
      </c>
      <c r="AG117" s="130" t="s">
        <v>347</v>
      </c>
      <c r="AI117">
        <v>1</v>
      </c>
      <c r="AJ117">
        <v>1.0044861305311199</v>
      </c>
      <c r="AK117">
        <v>1.0269167831867101</v>
      </c>
      <c r="AL117">
        <v>1.01584972350688</v>
      </c>
      <c r="AM117">
        <v>1.0022610632415501</v>
      </c>
      <c r="AN117">
        <v>0.98898934570060104</v>
      </c>
      <c r="AO117">
        <v>0.97788410468999398</v>
      </c>
      <c r="AP117">
        <v>0.96867719171891198</v>
      </c>
      <c r="AQ117">
        <v>0.95960560895806402</v>
      </c>
      <c r="AR117">
        <v>0.94865390964769902</v>
      </c>
      <c r="AS117">
        <v>0.93423317268370998</v>
      </c>
      <c r="AT117">
        <v>0.91704428923845105</v>
      </c>
      <c r="AU117">
        <v>0.89932136954825903</v>
      </c>
      <c r="AV117">
        <v>0.88318944330413995</v>
      </c>
      <c r="AW117">
        <v>0.86937508615918702</v>
      </c>
      <c r="AX117">
        <v>0.85740052909276698</v>
      </c>
      <c r="AY117">
        <v>0.84658277843132601</v>
      </c>
      <c r="AZ117">
        <v>0.83577024002392197</v>
      </c>
      <c r="BA117">
        <v>0</v>
      </c>
      <c r="BB117">
        <v>0</v>
      </c>
      <c r="BC117">
        <v>0</v>
      </c>
      <c r="BD117">
        <v>0</v>
      </c>
      <c r="BE117">
        <v>0</v>
      </c>
      <c r="BF117">
        <v>0</v>
      </c>
      <c r="BG117">
        <v>0</v>
      </c>
      <c r="BH117">
        <v>0</v>
      </c>
      <c r="BJ117" t="s">
        <v>357</v>
      </c>
      <c r="BL117">
        <v>0.80</v>
      </c>
      <c r="BM117">
        <v>0.79756097560975603</v>
      </c>
      <c r="BN117">
        <v>0.78536585365853595</v>
      </c>
      <c r="BO117">
        <v>0.77317073170731698</v>
      </c>
      <c r="BP117">
        <v>0.76097560975609702</v>
      </c>
      <c r="BQ117">
        <v>0.74878048780487805</v>
      </c>
      <c r="BR117">
        <v>0.73658536585365797</v>
      </c>
      <c r="BS117">
        <v>0.724390243902439</v>
      </c>
      <c r="BT117">
        <v>0.71219512195122003</v>
      </c>
      <c r="BU117">
        <v>0.69999999999999896</v>
      </c>
      <c r="BV117">
        <v>0.687499999999999</v>
      </c>
      <c r="BW117">
        <v>0.675</v>
      </c>
      <c r="BX117">
        <v>0.6625</v>
      </c>
      <c r="BY117">
        <v>0.64999999999999902</v>
      </c>
      <c r="BZ117">
        <v>0.63749999999999896</v>
      </c>
      <c r="CA117">
        <v>0.625</v>
      </c>
      <c r="CB117">
        <v>0.6125</v>
      </c>
      <c r="CC117">
        <v>0.60</v>
      </c>
      <c r="CD117" t="e">
        <v>#VALUE!</v>
      </c>
      <c r="CE117" t="e">
        <v>#VALUE!</v>
      </c>
      <c r="CF117" t="e">
        <v>#VALUE!</v>
      </c>
      <c r="CG117" t="e">
        <v>#VALUE!</v>
      </c>
      <c r="CH117" t="e">
        <v>#VALUE!</v>
      </c>
      <c r="CI117" t="e">
        <v>#VALUE!</v>
      </c>
      <c r="CJ117" t="e">
        <v>#VALUE!</v>
      </c>
      <c r="CK117" t="e">
        <v>#VALUE!</v>
      </c>
    </row>
    <row r="118" spans="1:89" ht="12.5">
      <c r="A118" t="s">
        <v>13</v>
      </c>
      <c r="B118" t="s">
        <v>351</v>
      </c>
      <c r="C118" t="s">
        <v>351</v>
      </c>
      <c r="D118">
        <v>0.24</v>
      </c>
      <c r="E118">
        <v>0.240858711034347</v>
      </c>
      <c r="F118"/>
      <c r="G118">
        <v>0.245082793016527</v>
      </c>
      <c r="H118">
        <v>0.24304065435834399</v>
      </c>
      <c r="I118">
        <v>0.240566670639625</v>
      </c>
      <c r="J118">
        <v>0.23818140776965999</v>
      </c>
      <c r="K118">
        <v>0.23621140281113501</v>
      </c>
      <c r="L118">
        <v>0.234600385887927</v>
      </c>
      <c r="M118">
        <v>0.23303568362789101</v>
      </c>
      <c r="N118">
        <v>0.231173985761291</v>
      </c>
      <c r="O118">
        <v>0.22875801698144699</v>
      </c>
      <c r="P118">
        <v>0.225917008838005</v>
      </c>
      <c r="Q118">
        <v>0.22302446619152</v>
      </c>
      <c r="R118">
        <v>0.220424084020375</v>
      </c>
      <c r="S118">
        <v>0.218226142950119</v>
      </c>
      <c r="T118">
        <v>0.216347522430231</v>
      </c>
      <c r="U118">
        <v>0.21467561880630601</v>
      </c>
      <c r="V118">
        <v>0.213030519166237</v>
      </c>
      <c r="W118">
        <v>5</v>
      </c>
      <c r="AG118" s="130" t="s">
        <v>347</v>
      </c>
      <c r="AI118">
        <v>1</v>
      </c>
      <c r="AJ118">
        <v>1.0044861305311199</v>
      </c>
      <c r="AK118">
        <v>1.0269167831867101</v>
      </c>
      <c r="AL118">
        <v>1.01584972350688</v>
      </c>
      <c r="AM118">
        <v>1.0022610632415501</v>
      </c>
      <c r="AN118">
        <v>0.98898934570060104</v>
      </c>
      <c r="AO118">
        <v>0.97788410468999398</v>
      </c>
      <c r="AP118">
        <v>0.96867719171891198</v>
      </c>
      <c r="AQ118">
        <v>0.95960560895806402</v>
      </c>
      <c r="AR118">
        <v>0.94865390964769902</v>
      </c>
      <c r="AS118">
        <v>0.93423317268370998</v>
      </c>
      <c r="AT118">
        <v>0.91704428923845105</v>
      </c>
      <c r="AU118">
        <v>0.89932136954825903</v>
      </c>
      <c r="AV118">
        <v>0.88318944330413995</v>
      </c>
      <c r="AW118">
        <v>0.86937508615918702</v>
      </c>
      <c r="AX118">
        <v>0.85740052909276698</v>
      </c>
      <c r="AY118">
        <v>0.84658277843132601</v>
      </c>
      <c r="AZ118">
        <v>0.83577024002392197</v>
      </c>
      <c r="BA118">
        <v>0</v>
      </c>
      <c r="BB118">
        <v>0</v>
      </c>
      <c r="BC118">
        <v>0</v>
      </c>
      <c r="BD118">
        <v>0</v>
      </c>
      <c r="BE118">
        <v>0</v>
      </c>
      <c r="BF118">
        <v>0</v>
      </c>
      <c r="BG118">
        <v>0</v>
      </c>
      <c r="BH118">
        <v>0</v>
      </c>
      <c r="BJ118" t="s">
        <v>357</v>
      </c>
      <c r="BL118">
        <v>0.80</v>
      </c>
      <c r="BM118">
        <v>0.79756097560975603</v>
      </c>
      <c r="BN118">
        <v>0.78536585365853595</v>
      </c>
      <c r="BO118">
        <v>0.77317073170731698</v>
      </c>
      <c r="BP118">
        <v>0.76097560975609702</v>
      </c>
      <c r="BQ118">
        <v>0.74878048780487805</v>
      </c>
      <c r="BR118">
        <v>0.73658536585365797</v>
      </c>
      <c r="BS118">
        <v>0.724390243902439</v>
      </c>
      <c r="BT118">
        <v>0.71219512195122003</v>
      </c>
      <c r="BU118">
        <v>0.69999999999999896</v>
      </c>
      <c r="BV118">
        <v>0.687499999999999</v>
      </c>
      <c r="BW118">
        <v>0.675</v>
      </c>
      <c r="BX118">
        <v>0.6625</v>
      </c>
      <c r="BY118">
        <v>0.64999999999999902</v>
      </c>
      <c r="BZ118">
        <v>0.63749999999999896</v>
      </c>
      <c r="CA118">
        <v>0.625</v>
      </c>
      <c r="CB118">
        <v>0.6125</v>
      </c>
      <c r="CC118">
        <v>0.60</v>
      </c>
      <c r="CD118" t="e">
        <v>#VALUE!</v>
      </c>
      <c r="CE118" t="e">
        <v>#VALUE!</v>
      </c>
      <c r="CF118" t="e">
        <v>#VALUE!</v>
      </c>
      <c r="CG118" t="e">
        <v>#VALUE!</v>
      </c>
      <c r="CH118" t="e">
        <v>#VALUE!</v>
      </c>
      <c r="CI118" t="e">
        <v>#VALUE!</v>
      </c>
      <c r="CJ118" t="e">
        <v>#VALUE!</v>
      </c>
      <c r="CK118" t="e">
        <v>#VALUE!</v>
      </c>
    </row>
    <row r="119" spans="1:89" ht="12.5">
      <c r="A119" t="s">
        <v>13</v>
      </c>
      <c r="B119" t="s">
        <v>352</v>
      </c>
      <c r="C119" t="s">
        <v>352</v>
      </c>
      <c r="D119">
        <v>1.995</v>
      </c>
      <c r="E119">
        <v>2.0021380354730098</v>
      </c>
      <c r="F119"/>
      <c r="G119">
        <v>2.0372507169498801</v>
      </c>
      <c r="H119">
        <v>2.0202754393537301</v>
      </c>
      <c r="I119">
        <v>1.9997104496918801</v>
      </c>
      <c r="J119">
        <v>1.9798829520853001</v>
      </c>
      <c r="K119">
        <v>1.96350728586756</v>
      </c>
      <c r="L119">
        <v>1.9501157076933899</v>
      </c>
      <c r="M119">
        <v>1.93710912015685</v>
      </c>
      <c r="N119">
        <v>1.92163375664073</v>
      </c>
      <c r="O119">
        <v>1.90155101615827</v>
      </c>
      <c r="P119">
        <v>1.87793513596592</v>
      </c>
      <c r="Q119">
        <v>1.85389087521701</v>
      </c>
      <c r="R119">
        <v>1.8322751984193599</v>
      </c>
      <c r="S119">
        <v>1.8140048132728701</v>
      </c>
      <c r="T119">
        <v>1.7983887802013001</v>
      </c>
      <c r="U119">
        <v>1.78449108132742</v>
      </c>
      <c r="V119">
        <v>1.77081619056934</v>
      </c>
      <c r="W119">
        <v>5</v>
      </c>
      <c r="AG119" s="130" t="s">
        <v>347</v>
      </c>
      <c r="AI119">
        <v>1</v>
      </c>
      <c r="AJ119">
        <v>1.0044861305311199</v>
      </c>
      <c r="AK119">
        <v>1.0269167831867101</v>
      </c>
      <c r="AL119">
        <v>1.01584972350688</v>
      </c>
      <c r="AM119">
        <v>1.0022610632415501</v>
      </c>
      <c r="AN119">
        <v>0.98898934570060104</v>
      </c>
      <c r="AO119">
        <v>0.97788410468999398</v>
      </c>
      <c r="AP119">
        <v>0.96867719171891198</v>
      </c>
      <c r="AQ119">
        <v>0.95960560895806402</v>
      </c>
      <c r="AR119">
        <v>0.94865390964769902</v>
      </c>
      <c r="AS119">
        <v>0.93423317268370998</v>
      </c>
      <c r="AT119">
        <v>0.91704428923845105</v>
      </c>
      <c r="AU119">
        <v>0.89932136954825903</v>
      </c>
      <c r="AV119">
        <v>0.88318944330413995</v>
      </c>
      <c r="AW119">
        <v>0.86937508615918702</v>
      </c>
      <c r="AX119">
        <v>0.85740052909276698</v>
      </c>
      <c r="AY119">
        <v>0.84658277843132601</v>
      </c>
      <c r="AZ119">
        <v>0.83577024002392197</v>
      </c>
      <c r="BA119">
        <v>0</v>
      </c>
      <c r="BB119">
        <v>0</v>
      </c>
      <c r="BC119">
        <v>0</v>
      </c>
      <c r="BD119">
        <v>0</v>
      </c>
      <c r="BE119">
        <v>0</v>
      </c>
      <c r="BF119">
        <v>0</v>
      </c>
      <c r="BG119">
        <v>0</v>
      </c>
      <c r="BH119">
        <v>0</v>
      </c>
      <c r="BJ119" t="s">
        <v>357</v>
      </c>
      <c r="BL119">
        <v>0.80</v>
      </c>
      <c r="BM119">
        <v>0.79756097560975603</v>
      </c>
      <c r="BN119">
        <v>0.78536585365853595</v>
      </c>
      <c r="BO119">
        <v>0.77317073170731698</v>
      </c>
      <c r="BP119">
        <v>0.76097560975609702</v>
      </c>
      <c r="BQ119">
        <v>0.74878048780487805</v>
      </c>
      <c r="BR119">
        <v>0.73658536585365797</v>
      </c>
      <c r="BS119">
        <v>0.724390243902439</v>
      </c>
      <c r="BT119">
        <v>0.71219512195122003</v>
      </c>
      <c r="BU119">
        <v>0.69999999999999896</v>
      </c>
      <c r="BV119">
        <v>0.687499999999999</v>
      </c>
      <c r="BW119">
        <v>0.675</v>
      </c>
      <c r="BX119">
        <v>0.6625</v>
      </c>
      <c r="BY119">
        <v>0.64999999999999902</v>
      </c>
      <c r="BZ119">
        <v>0.63749999999999896</v>
      </c>
      <c r="CA119">
        <v>0.625</v>
      </c>
      <c r="CB119">
        <v>0.6125</v>
      </c>
      <c r="CC119">
        <v>0.60</v>
      </c>
      <c r="CD119" t="e">
        <v>#VALUE!</v>
      </c>
      <c r="CE119" t="e">
        <v>#VALUE!</v>
      </c>
      <c r="CF119" t="e">
        <v>#VALUE!</v>
      </c>
      <c r="CG119" t="e">
        <v>#VALUE!</v>
      </c>
      <c r="CH119" t="e">
        <v>#VALUE!</v>
      </c>
      <c r="CI119" t="e">
        <v>#VALUE!</v>
      </c>
      <c r="CJ119" t="e">
        <v>#VALUE!</v>
      </c>
      <c r="CK119" t="e">
        <v>#VALUE!</v>
      </c>
    </row>
    <row r="120" spans="1:89" ht="12.5">
      <c r="A120" t="s">
        <v>13</v>
      </c>
      <c r="B120" t="s">
        <v>353</v>
      </c>
      <c r="C120" t="s">
        <v>353</v>
      </c>
      <c r="D120">
        <v>66.731999999999999</v>
      </c>
      <c r="E120">
        <v>67.319522651913999</v>
      </c>
      <c r="F120"/>
      <c r="G120">
        <v>71.549853870428507</v>
      </c>
      <c r="H120">
        <v>77.316857780668499</v>
      </c>
      <c r="I120">
        <v>82.974693703703807</v>
      </c>
      <c r="J120">
        <v>88.428777886563907</v>
      </c>
      <c r="K120">
        <v>93.315713692276404</v>
      </c>
      <c r="L120">
        <v>97.802250394340604</v>
      </c>
      <c r="M120">
        <v>102.24024689250901</v>
      </c>
      <c r="N120">
        <v>106.66599043191999</v>
      </c>
      <c r="O120">
        <v>111.281841655096</v>
      </c>
      <c r="P120">
        <v>115.88952134692001</v>
      </c>
      <c r="Q120">
        <v>120.208602110223</v>
      </c>
      <c r="R120">
        <v>124.09451487635199</v>
      </c>
      <c r="S120">
        <v>127.559365229034</v>
      </c>
      <c r="T120">
        <v>130.70724779422099</v>
      </c>
      <c r="U120">
        <v>133.619326609121</v>
      </c>
      <c r="V120">
        <v>136.30665057767601</v>
      </c>
      <c r="W120">
        <v>5</v>
      </c>
      <c r="AG120" s="130" t="s">
        <v>354</v>
      </c>
      <c r="AI120">
        <v>1</v>
      </c>
      <c r="AJ120">
        <v>1.0110389198074301</v>
      </c>
      <c r="AK120">
        <v>1.0919353213254801</v>
      </c>
      <c r="AL120">
        <v>1.2057669641877899</v>
      </c>
      <c r="AM120">
        <v>1.3217164418843601</v>
      </c>
      <c r="AN120">
        <v>1.43774367954364</v>
      </c>
      <c r="AO120">
        <v>1.5456138567259701</v>
      </c>
      <c r="AP120">
        <v>1.6481990906032</v>
      </c>
      <c r="AQ120">
        <v>1.75321347305604</v>
      </c>
      <c r="AR120">
        <v>1.8616314037552799</v>
      </c>
      <c r="AS120">
        <v>1.9788096047044601</v>
      </c>
      <c r="AT120">
        <v>2.1001927015461699</v>
      </c>
      <c r="AU120">
        <v>2.2183390812341499</v>
      </c>
      <c r="AV120">
        <v>2.3286636081756402</v>
      </c>
      <c r="AW120">
        <v>2.4306538129122002</v>
      </c>
      <c r="AX120">
        <v>2.5266268556871898</v>
      </c>
      <c r="AY120">
        <v>2.6185317139700199</v>
      </c>
      <c r="AZ120">
        <v>2.70630398484266</v>
      </c>
      <c r="BA120">
        <v>0</v>
      </c>
      <c r="BB120">
        <v>0</v>
      </c>
      <c r="BC120">
        <v>0</v>
      </c>
      <c r="BD120">
        <v>0</v>
      </c>
      <c r="BE120">
        <v>0</v>
      </c>
      <c r="BF120">
        <v>0</v>
      </c>
      <c r="BG120">
        <v>0</v>
      </c>
      <c r="BH120">
        <v>0</v>
      </c>
      <c r="BJ120" t="s">
        <v>357</v>
      </c>
      <c r="BL120">
        <v>0.80</v>
      </c>
      <c r="BM120">
        <v>0.79756097560975603</v>
      </c>
      <c r="BN120">
        <v>0.78536585365853595</v>
      </c>
      <c r="BO120">
        <v>0.77317073170731698</v>
      </c>
      <c r="BP120">
        <v>0.76097560975609702</v>
      </c>
      <c r="BQ120">
        <v>0.74878048780487805</v>
      </c>
      <c r="BR120">
        <v>0.73658536585365797</v>
      </c>
      <c r="BS120">
        <v>0.724390243902439</v>
      </c>
      <c r="BT120">
        <v>0.71219512195122003</v>
      </c>
      <c r="BU120">
        <v>0.69999999999999896</v>
      </c>
      <c r="BV120">
        <v>0.687499999999999</v>
      </c>
      <c r="BW120">
        <v>0.675</v>
      </c>
      <c r="BX120">
        <v>0.6625</v>
      </c>
      <c r="BY120">
        <v>0.64999999999999902</v>
      </c>
      <c r="BZ120">
        <v>0.63749999999999896</v>
      </c>
      <c r="CA120">
        <v>0.625</v>
      </c>
      <c r="CB120">
        <v>0.6125</v>
      </c>
      <c r="CC120">
        <v>0.60</v>
      </c>
      <c r="CD120" t="e">
        <v>#VALUE!</v>
      </c>
      <c r="CE120" t="e">
        <v>#VALUE!</v>
      </c>
      <c r="CF120" t="e">
        <v>#VALUE!</v>
      </c>
      <c r="CG120" t="e">
        <v>#VALUE!</v>
      </c>
      <c r="CH120" t="e">
        <v>#VALUE!</v>
      </c>
      <c r="CI120" t="e">
        <v>#VALUE!</v>
      </c>
      <c r="CJ120" t="e">
        <v>#VALUE!</v>
      </c>
      <c r="CK120" t="e">
        <v>#VALUE!</v>
      </c>
    </row>
    <row r="121" spans="1:89" ht="12.5">
      <c r="A121" t="s">
        <v>13</v>
      </c>
      <c r="B121" t="s">
        <v>355</v>
      </c>
      <c r="C121" t="s">
        <v>355</v>
      </c>
      <c r="D121">
        <v>23.50</v>
      </c>
      <c r="E121">
        <v>23.791909271721799</v>
      </c>
      <c r="F121"/>
      <c r="G121">
        <v>25.737621625804099</v>
      </c>
      <c r="H121">
        <v>27.575290801125899</v>
      </c>
      <c r="I121">
        <v>29.2854853922145</v>
      </c>
      <c r="J121">
        <v>30.8946146788766</v>
      </c>
      <c r="K121">
        <v>32.327275424337898</v>
      </c>
      <c r="L121">
        <v>33.646428936969201</v>
      </c>
      <c r="M121">
        <v>34.934503058461097</v>
      </c>
      <c r="N121">
        <v>36.150390002316598</v>
      </c>
      <c r="O121">
        <v>37.313174313381602</v>
      </c>
      <c r="P121">
        <v>38.366316480783198</v>
      </c>
      <c r="Q121">
        <v>39.277329355945199</v>
      </c>
      <c r="R121">
        <v>40.066289802872802</v>
      </c>
      <c r="S121">
        <v>40.767967299414899</v>
      </c>
      <c r="T121">
        <v>41.409218232861797</v>
      </c>
      <c r="U121">
        <v>42.000145982727297</v>
      </c>
      <c r="V121">
        <v>42.512200654620898</v>
      </c>
      <c r="W121">
        <v>5</v>
      </c>
      <c r="AG121" s="130" t="s">
        <v>342</v>
      </c>
      <c r="AI121">
        <v>1</v>
      </c>
      <c r="AJ121">
        <v>1.0155745723737299</v>
      </c>
      <c r="AK121">
        <v>1.1213267076235001</v>
      </c>
      <c r="AL121">
        <v>1.2248780371838901</v>
      </c>
      <c r="AM121">
        <v>1.32470492634685</v>
      </c>
      <c r="AN121">
        <v>1.42191318091703</v>
      </c>
      <c r="AO121">
        <v>1.5114312224809201</v>
      </c>
      <c r="AP121">
        <v>1.5965728664791701</v>
      </c>
      <c r="AQ121">
        <v>1.6823934824454201</v>
      </c>
      <c r="AR121">
        <v>1.7660439094953799</v>
      </c>
      <c r="AS121">
        <v>1.8486695751400399</v>
      </c>
      <c r="AT121">
        <v>1.92596972325319</v>
      </c>
      <c r="AU121">
        <v>1.9949997406579201</v>
      </c>
      <c r="AV121">
        <v>2.05665111574725</v>
      </c>
      <c r="AW121">
        <v>2.1131498680237</v>
      </c>
      <c r="AX121">
        <v>2.1663312028861901</v>
      </c>
      <c r="AY121">
        <v>2.2168038538232802</v>
      </c>
      <c r="AZ121">
        <v>2.26184833098965</v>
      </c>
      <c r="BA121">
        <v>0</v>
      </c>
      <c r="BB121">
        <v>0</v>
      </c>
      <c r="BC121">
        <v>0</v>
      </c>
      <c r="BD121">
        <v>0</v>
      </c>
      <c r="BE121">
        <v>0</v>
      </c>
      <c r="BF121">
        <v>0</v>
      </c>
      <c r="BG121">
        <v>0</v>
      </c>
      <c r="BH121">
        <v>0</v>
      </c>
      <c r="BJ121" t="s">
        <v>357</v>
      </c>
      <c r="BL121">
        <v>0.80</v>
      </c>
      <c r="BM121">
        <v>0.79756097560975603</v>
      </c>
      <c r="BN121">
        <v>0.78536585365853595</v>
      </c>
      <c r="BO121">
        <v>0.77317073170731698</v>
      </c>
      <c r="BP121">
        <v>0.76097560975609702</v>
      </c>
      <c r="BQ121">
        <v>0.74878048780487805</v>
      </c>
      <c r="BR121">
        <v>0.73658536585365797</v>
      </c>
      <c r="BS121">
        <v>0.724390243902439</v>
      </c>
      <c r="BT121">
        <v>0.71219512195122003</v>
      </c>
      <c r="BU121">
        <v>0.69999999999999896</v>
      </c>
      <c r="BV121">
        <v>0.687499999999999</v>
      </c>
      <c r="BW121">
        <v>0.675</v>
      </c>
      <c r="BX121">
        <v>0.6625</v>
      </c>
      <c r="BY121">
        <v>0.64999999999999902</v>
      </c>
      <c r="BZ121">
        <v>0.63749999999999896</v>
      </c>
      <c r="CA121">
        <v>0.625</v>
      </c>
      <c r="CB121">
        <v>0.6125</v>
      </c>
      <c r="CC121">
        <v>0.60</v>
      </c>
      <c r="CD121" t="e">
        <v>#VALUE!</v>
      </c>
      <c r="CE121" t="e">
        <v>#VALUE!</v>
      </c>
      <c r="CF121" t="e">
        <v>#VALUE!</v>
      </c>
      <c r="CG121" t="e">
        <v>#VALUE!</v>
      </c>
      <c r="CH121" t="e">
        <v>#VALUE!</v>
      </c>
      <c r="CI121" t="e">
        <v>#VALUE!</v>
      </c>
      <c r="CJ121" t="e">
        <v>#VALUE!</v>
      </c>
      <c r="CK121" t="e">
        <v>#VALUE!</v>
      </c>
    </row>
    <row r="122" spans="1:89" ht="12.5">
      <c r="A122" t="s">
        <v>13</v>
      </c>
      <c r="B122" t="s">
        <v>356</v>
      </c>
      <c r="C122" t="s">
        <v>356</v>
      </c>
      <c r="D122">
        <v>14.96</v>
      </c>
      <c r="E122">
        <v>15.145828200211</v>
      </c>
      <c r="F122"/>
      <c r="G122">
        <v>16.384460405192801</v>
      </c>
      <c r="H122">
        <v>17.554312782333799</v>
      </c>
      <c r="I122">
        <v>18.643015381596999</v>
      </c>
      <c r="J122">
        <v>19.6673802381274</v>
      </c>
      <c r="K122">
        <v>20.579405972259401</v>
      </c>
      <c r="L122">
        <v>21.419173484981201</v>
      </c>
      <c r="M122">
        <v>22.239155989556501</v>
      </c>
      <c r="N122">
        <v>23.0131844440279</v>
      </c>
      <c r="O122">
        <v>23.753407988433601</v>
      </c>
      <c r="P122">
        <v>24.4238338107454</v>
      </c>
      <c r="Q122">
        <v>25.003780730422999</v>
      </c>
      <c r="R122">
        <v>25.506029593658599</v>
      </c>
      <c r="S122">
        <v>25.952714502095599</v>
      </c>
      <c r="T122">
        <v>26.360932117600498</v>
      </c>
      <c r="U122">
        <v>26.737114208578799</v>
      </c>
      <c r="V122">
        <v>27.063086033750199</v>
      </c>
      <c r="W122">
        <v>5</v>
      </c>
      <c r="AG122" s="130" t="s">
        <v>342</v>
      </c>
      <c r="AI122">
        <v>1</v>
      </c>
      <c r="AJ122">
        <v>1.0155745723737299</v>
      </c>
      <c r="AK122">
        <v>1.1213267076235001</v>
      </c>
      <c r="AL122">
        <v>1.2248780371838901</v>
      </c>
      <c r="AM122">
        <v>1.32470492634685</v>
      </c>
      <c r="AN122">
        <v>1.42191318091703</v>
      </c>
      <c r="AO122">
        <v>1.5114312224809201</v>
      </c>
      <c r="AP122">
        <v>1.5965728664791701</v>
      </c>
      <c r="AQ122">
        <v>1.6823934824454201</v>
      </c>
      <c r="AR122">
        <v>1.7660439094953799</v>
      </c>
      <c r="AS122">
        <v>1.8486695751400399</v>
      </c>
      <c r="AT122">
        <v>1.92596972325319</v>
      </c>
      <c r="AU122">
        <v>1.9949997406579201</v>
      </c>
      <c r="AV122">
        <v>2.05665111574725</v>
      </c>
      <c r="AW122">
        <v>2.1131498680237</v>
      </c>
      <c r="AX122">
        <v>2.1663312028861901</v>
      </c>
      <c r="AY122">
        <v>2.2168038538232802</v>
      </c>
      <c r="AZ122">
        <v>2.26184833098965</v>
      </c>
      <c r="BA122">
        <v>0</v>
      </c>
      <c r="BB122">
        <v>0</v>
      </c>
      <c r="BC122">
        <v>0</v>
      </c>
      <c r="BD122">
        <v>0</v>
      </c>
      <c r="BE122">
        <v>0</v>
      </c>
      <c r="BF122">
        <v>0</v>
      </c>
      <c r="BG122">
        <v>0</v>
      </c>
      <c r="BH122">
        <v>0</v>
      </c>
      <c r="BJ122" t="s">
        <v>357</v>
      </c>
      <c r="BL122">
        <v>0.80</v>
      </c>
      <c r="BM122">
        <v>0.79756097560975603</v>
      </c>
      <c r="BN122">
        <v>0.78536585365853595</v>
      </c>
      <c r="BO122">
        <v>0.77317073170731698</v>
      </c>
      <c r="BP122">
        <v>0.76097560975609702</v>
      </c>
      <c r="BQ122">
        <v>0.74878048780487805</v>
      </c>
      <c r="BR122">
        <v>0.73658536585365797</v>
      </c>
      <c r="BS122">
        <v>0.724390243902439</v>
      </c>
      <c r="BT122">
        <v>0.71219512195122003</v>
      </c>
      <c r="BU122">
        <v>0.69999999999999896</v>
      </c>
      <c r="BV122">
        <v>0.687499999999999</v>
      </c>
      <c r="BW122">
        <v>0.675</v>
      </c>
      <c r="BX122">
        <v>0.6625</v>
      </c>
      <c r="BY122">
        <v>0.64999999999999902</v>
      </c>
      <c r="BZ122">
        <v>0.63749999999999896</v>
      </c>
      <c r="CA122">
        <v>0.625</v>
      </c>
      <c r="CB122">
        <v>0.6125</v>
      </c>
      <c r="CC122">
        <v>0.60</v>
      </c>
      <c r="CD122" t="e">
        <v>#VALUE!</v>
      </c>
      <c r="CE122" t="e">
        <v>#VALUE!</v>
      </c>
      <c r="CF122" t="e">
        <v>#VALUE!</v>
      </c>
      <c r="CG122" t="e">
        <v>#VALUE!</v>
      </c>
      <c r="CH122" t="e">
        <v>#VALUE!</v>
      </c>
      <c r="CI122" t="e">
        <v>#VALUE!</v>
      </c>
      <c r="CJ122" t="e">
        <v>#VALUE!</v>
      </c>
      <c r="CK122" t="e">
        <v>#VALUE!</v>
      </c>
    </row>
    <row r="123" spans="1:89" ht="12.5">
      <c r="A123" t="s">
        <v>14</v>
      </c>
      <c r="B123" t="s">
        <v>341</v>
      </c>
      <c r="C123" t="s">
        <v>341</v>
      </c>
      <c r="E123" s="2">
        <v>67.7006244221446</v>
      </c>
      <c r="F123" s="2">
        <f>E123</f>
        <v>67.7006244221446</v>
      </c>
      <c r="I123" s="2">
        <f>F123</f>
        <v>67.7006244221446</v>
      </c>
      <c r="J123" s="2">
        <f>I123</f>
        <v>67.7006244221446</v>
      </c>
      <c r="L123" s="2">
        <f>J123</f>
        <v>67.7006244221446</v>
      </c>
      <c r="V123" s="2">
        <f>L123</f>
        <v>67.7006244221446</v>
      </c>
      <c r="W123">
        <v>5</v>
      </c>
      <c r="AG123" s="130" t="s">
        <v>342</v>
      </c>
      <c r="AI123">
        <v>1</v>
      </c>
      <c r="AJ123">
        <v>0.99817646109018299</v>
      </c>
      <c r="AK123">
        <v>1.11944327994063</v>
      </c>
      <c r="AL123">
        <v>1.20942774060418</v>
      </c>
      <c r="AM123">
        <v>1.29112776475015</v>
      </c>
      <c r="AN123">
        <v>1.37440542410241</v>
      </c>
      <c r="AO123">
        <v>1.45940515005311</v>
      </c>
      <c r="AP123">
        <v>1.5476119935828001</v>
      </c>
      <c r="AQ123">
        <v>1.6402073294117101</v>
      </c>
      <c r="AR123">
        <v>1.7380984829519099</v>
      </c>
      <c r="AS123">
        <v>1.83991891103174</v>
      </c>
      <c r="AT123">
        <v>1.9420133884197099</v>
      </c>
      <c r="AU123">
        <v>2.0451781394570299</v>
      </c>
      <c r="AV123">
        <v>2.15073897025602</v>
      </c>
      <c r="AW123">
        <v>2.25902177729124</v>
      </c>
      <c r="AX123">
        <v>2.3694932754225202</v>
      </c>
      <c r="AY123">
        <v>2.4799647735538</v>
      </c>
      <c r="AZ123">
        <v>2.5860292625407202</v>
      </c>
      <c r="BA123">
        <v>0</v>
      </c>
      <c r="BB123">
        <v>0</v>
      </c>
      <c r="BC123">
        <v>0</v>
      </c>
      <c r="BD123">
        <v>0</v>
      </c>
      <c r="BE123">
        <v>0</v>
      </c>
      <c r="BF123">
        <v>0</v>
      </c>
      <c r="BG123">
        <v>0</v>
      </c>
      <c r="BH123">
        <v>0</v>
      </c>
      <c r="BJ123" t="s">
        <v>357</v>
      </c>
      <c r="BL123">
        <v>0.80</v>
      </c>
      <c r="BM123">
        <v>0.79756097560975603</v>
      </c>
      <c r="BN123">
        <v>0.78536585365853595</v>
      </c>
      <c r="BO123">
        <v>0.77317073170731698</v>
      </c>
      <c r="BP123">
        <v>0.76097560975609702</v>
      </c>
      <c r="BQ123">
        <v>0.74878048780487805</v>
      </c>
      <c r="BR123">
        <v>0.73658536585365797</v>
      </c>
      <c r="BS123">
        <v>0.724390243902439</v>
      </c>
      <c r="BT123">
        <v>0.71219512195122003</v>
      </c>
      <c r="BU123">
        <v>0.69999999999999896</v>
      </c>
      <c r="BV123">
        <v>0.687499999999999</v>
      </c>
      <c r="BW123">
        <v>0.675</v>
      </c>
      <c r="BX123">
        <v>0.6625</v>
      </c>
      <c r="BY123">
        <v>0.64999999999999902</v>
      </c>
      <c r="BZ123">
        <v>0.63749999999999896</v>
      </c>
      <c r="CA123">
        <v>0.625</v>
      </c>
      <c r="CB123">
        <v>0.6125</v>
      </c>
      <c r="CC123">
        <v>0.60</v>
      </c>
      <c r="CD123" t="e">
        <v>#VALUE!</v>
      </c>
      <c r="CE123" t="e">
        <v>#VALUE!</v>
      </c>
      <c r="CF123" t="e">
        <v>#VALUE!</v>
      </c>
      <c r="CG123" t="e">
        <v>#VALUE!</v>
      </c>
      <c r="CH123" t="e">
        <v>#VALUE!</v>
      </c>
      <c r="CI123" t="e">
        <v>#VALUE!</v>
      </c>
      <c r="CJ123" t="e">
        <v>#VALUE!</v>
      </c>
      <c r="CK123" t="e">
        <v>#VALUE!</v>
      </c>
    </row>
    <row r="124" spans="1:89" ht="12.5">
      <c r="A124" t="s">
        <v>14</v>
      </c>
      <c r="B124" t="s">
        <v>344</v>
      </c>
      <c r="C124" t="s">
        <v>344</v>
      </c>
      <c r="E124" s="2">
        <v>259.667818336121</v>
      </c>
      <c r="F124" s="2">
        <f>E124</f>
        <v>259.667818336121</v>
      </c>
      <c r="I124" s="2">
        <f>F124</f>
        <v>259.667818336121</v>
      </c>
      <c r="J124" s="2">
        <f>I124</f>
        <v>259.667818336121</v>
      </c>
      <c r="L124" s="2">
        <f>J124</f>
        <v>259.667818336121</v>
      </c>
      <c r="V124" s="2">
        <f>L124</f>
        <v>259.667818336121</v>
      </c>
      <c r="W124">
        <v>5</v>
      </c>
      <c r="AG124" s="130" t="s">
        <v>342</v>
      </c>
      <c r="AI124">
        <v>1</v>
      </c>
      <c r="AJ124">
        <v>0.99817646109018299</v>
      </c>
      <c r="AK124">
        <v>1.11944327994063</v>
      </c>
      <c r="AL124">
        <v>1.20942774060418</v>
      </c>
      <c r="AM124">
        <v>1.29112776475015</v>
      </c>
      <c r="AN124">
        <v>1.37440542410241</v>
      </c>
      <c r="AO124">
        <v>1.45940515005311</v>
      </c>
      <c r="AP124">
        <v>1.5476119935828001</v>
      </c>
      <c r="AQ124">
        <v>1.6402073294117101</v>
      </c>
      <c r="AR124">
        <v>1.7380984829519099</v>
      </c>
      <c r="AS124">
        <v>1.83991891103174</v>
      </c>
      <c r="AT124">
        <v>1.9420133884197099</v>
      </c>
      <c r="AU124">
        <v>2.0451781394570299</v>
      </c>
      <c r="AV124">
        <v>2.15073897025602</v>
      </c>
      <c r="AW124">
        <v>2.25902177729124</v>
      </c>
      <c r="AX124">
        <v>2.3694932754225202</v>
      </c>
      <c r="AY124">
        <v>2.4799647735538</v>
      </c>
      <c r="AZ124">
        <v>2.5860292625407202</v>
      </c>
      <c r="BA124">
        <v>0</v>
      </c>
      <c r="BB124">
        <v>0</v>
      </c>
      <c r="BC124">
        <v>0</v>
      </c>
      <c r="BD124">
        <v>0</v>
      </c>
      <c r="BE124">
        <v>0</v>
      </c>
      <c r="BF124">
        <v>0</v>
      </c>
      <c r="BG124">
        <v>0</v>
      </c>
      <c r="BH124">
        <v>0</v>
      </c>
      <c r="BJ124" t="s">
        <v>357</v>
      </c>
      <c r="BL124">
        <v>0.80</v>
      </c>
      <c r="BM124">
        <v>0.79756097560975603</v>
      </c>
      <c r="BN124">
        <v>0.78536585365853595</v>
      </c>
      <c r="BO124">
        <v>0.77317073170731698</v>
      </c>
      <c r="BP124">
        <v>0.76097560975609702</v>
      </c>
      <c r="BQ124">
        <v>0.74878048780487805</v>
      </c>
      <c r="BR124">
        <v>0.73658536585365797</v>
      </c>
      <c r="BS124">
        <v>0.724390243902439</v>
      </c>
      <c r="BT124">
        <v>0.71219512195122003</v>
      </c>
      <c r="BU124">
        <v>0.69999999999999896</v>
      </c>
      <c r="BV124">
        <v>0.687499999999999</v>
      </c>
      <c r="BW124">
        <v>0.675</v>
      </c>
      <c r="BX124">
        <v>0.6625</v>
      </c>
      <c r="BY124">
        <v>0.64999999999999902</v>
      </c>
      <c r="BZ124">
        <v>0.63749999999999896</v>
      </c>
      <c r="CA124">
        <v>0.625</v>
      </c>
      <c r="CB124">
        <v>0.6125</v>
      </c>
      <c r="CC124">
        <v>0.60</v>
      </c>
      <c r="CD124" t="e">
        <v>#VALUE!</v>
      </c>
      <c r="CE124" t="e">
        <v>#VALUE!</v>
      </c>
      <c r="CF124" t="e">
        <v>#VALUE!</v>
      </c>
      <c r="CG124" t="e">
        <v>#VALUE!</v>
      </c>
      <c r="CH124" t="e">
        <v>#VALUE!</v>
      </c>
      <c r="CI124" t="e">
        <v>#VALUE!</v>
      </c>
      <c r="CJ124" t="e">
        <v>#VALUE!</v>
      </c>
      <c r="CK124" t="e">
        <v>#VALUE!</v>
      </c>
    </row>
    <row r="125" spans="1:89" ht="12.5">
      <c r="A125" t="s">
        <v>14</v>
      </c>
      <c r="B125" t="s">
        <v>345</v>
      </c>
      <c r="C125" t="s">
        <v>345</v>
      </c>
      <c r="E125" s="2">
        <v>4.7225756389163802</v>
      </c>
      <c r="I125" s="2">
        <v>5.7771412200014396</v>
      </c>
      <c r="J125" s="2">
        <v>6.0561557320730701</v>
      </c>
      <c r="L125" s="2">
        <v>6.6092687955222802</v>
      </c>
      <c r="V125" s="2">
        <v>9.3013935490697506</v>
      </c>
      <c r="W125">
        <v>5</v>
      </c>
      <c r="AG125" s="130" t="s">
        <v>342</v>
      </c>
      <c r="AI125">
        <v>1</v>
      </c>
      <c r="AJ125">
        <v>0.99817646109018299</v>
      </c>
      <c r="AK125">
        <v>1.11944327994063</v>
      </c>
      <c r="AL125">
        <v>1.20942774060418</v>
      </c>
      <c r="AM125">
        <v>1.29112776475015</v>
      </c>
      <c r="AN125">
        <v>1.37440542410241</v>
      </c>
      <c r="AO125">
        <v>1.45940515005311</v>
      </c>
      <c r="AP125">
        <v>1.5476119935828001</v>
      </c>
      <c r="AQ125">
        <v>1.6402073294117101</v>
      </c>
      <c r="AR125">
        <v>1.7380984829519099</v>
      </c>
      <c r="AS125">
        <v>1.83991891103174</v>
      </c>
      <c r="AT125">
        <v>1.9420133884197099</v>
      </c>
      <c r="AU125">
        <v>2.0451781394570299</v>
      </c>
      <c r="AV125">
        <v>2.15073897025602</v>
      </c>
      <c r="AW125">
        <v>2.25902177729124</v>
      </c>
      <c r="AX125">
        <v>2.3694932754225202</v>
      </c>
      <c r="AY125">
        <v>2.4799647735538</v>
      </c>
      <c r="AZ125">
        <v>2.5860292625407202</v>
      </c>
      <c r="BA125">
        <v>0</v>
      </c>
      <c r="BB125">
        <v>0</v>
      </c>
      <c r="BC125">
        <v>0</v>
      </c>
      <c r="BD125">
        <v>0</v>
      </c>
      <c r="BE125">
        <v>0</v>
      </c>
      <c r="BF125">
        <v>0</v>
      </c>
      <c r="BG125">
        <v>0</v>
      </c>
      <c r="BH125">
        <v>0</v>
      </c>
      <c r="BJ125" t="s">
        <v>357</v>
      </c>
      <c r="BL125">
        <v>0.80</v>
      </c>
      <c r="BM125">
        <v>0.79756097560975603</v>
      </c>
      <c r="BN125">
        <v>0.78536585365853595</v>
      </c>
      <c r="BO125">
        <v>0.77317073170731698</v>
      </c>
      <c r="BP125">
        <v>0.76097560975609702</v>
      </c>
      <c r="BQ125">
        <v>0.74878048780487805</v>
      </c>
      <c r="BR125">
        <v>0.73658536585365797</v>
      </c>
      <c r="BS125">
        <v>0.724390243902439</v>
      </c>
      <c r="BT125">
        <v>0.71219512195122003</v>
      </c>
      <c r="BU125">
        <v>0.69999999999999896</v>
      </c>
      <c r="BV125">
        <v>0.687499999999999</v>
      </c>
      <c r="BW125">
        <v>0.675</v>
      </c>
      <c r="BX125">
        <v>0.6625</v>
      </c>
      <c r="BY125">
        <v>0.64999999999999902</v>
      </c>
      <c r="BZ125">
        <v>0.63749999999999896</v>
      </c>
      <c r="CA125">
        <v>0.625</v>
      </c>
      <c r="CB125">
        <v>0.6125</v>
      </c>
      <c r="CC125">
        <v>0.60</v>
      </c>
      <c r="CD125" t="e">
        <v>#VALUE!</v>
      </c>
      <c r="CE125" t="e">
        <v>#VALUE!</v>
      </c>
      <c r="CF125" t="e">
        <v>#VALUE!</v>
      </c>
      <c r="CG125" t="e">
        <v>#VALUE!</v>
      </c>
      <c r="CH125" t="e">
        <v>#VALUE!</v>
      </c>
      <c r="CI125" t="e">
        <v>#VALUE!</v>
      </c>
      <c r="CJ125" t="e">
        <v>#VALUE!</v>
      </c>
      <c r="CK125" t="e">
        <v>#VALUE!</v>
      </c>
    </row>
    <row r="126" spans="1:89" ht="12.5">
      <c r="A126" t="s">
        <v>14</v>
      </c>
      <c r="B126" t="s">
        <v>346</v>
      </c>
      <c r="C126" t="s">
        <v>346</v>
      </c>
      <c r="E126" s="2">
        <v>31.0685582966778</v>
      </c>
      <c r="I126" s="2">
        <v>31.837008915759299</v>
      </c>
      <c r="J126" s="2">
        <v>32.118018674722897</v>
      </c>
      <c r="L126" s="2">
        <v>32.569274487924901</v>
      </c>
      <c r="V126" s="2">
        <v>33.907529019478602</v>
      </c>
      <c r="W126">
        <v>5</v>
      </c>
      <c r="AG126" s="130" t="s">
        <v>347</v>
      </c>
      <c r="AI126">
        <v>1</v>
      </c>
      <c r="AJ126">
        <v>1.0020273681517899</v>
      </c>
      <c r="AK126">
        <v>1.0121642089107501</v>
      </c>
      <c r="AL126">
        <v>1.0225216712599099</v>
      </c>
      <c r="AM126">
        <v>1.03417984027998</v>
      </c>
      <c r="AN126">
        <v>1.0463705977780899</v>
      </c>
      <c r="AO126">
        <v>1.0572603221499901</v>
      </c>
      <c r="AP126">
        <v>1.0665072613495501</v>
      </c>
      <c r="AQ126">
        <v>1.0739821235387099</v>
      </c>
      <c r="AR126">
        <v>1.0810694677599599</v>
      </c>
      <c r="AS126">
        <v>1.0881444222259</v>
      </c>
      <c r="AT126">
        <v>1.0954763280915301</v>
      </c>
      <c r="AU126">
        <v>1.1033511446403701</v>
      </c>
      <c r="AV126">
        <v>1.1113211462228101</v>
      </c>
      <c r="AW126">
        <v>1.1185101424013799</v>
      </c>
      <c r="AX126">
        <v>1.12475745499428</v>
      </c>
      <c r="AY126">
        <v>1.1300025809554799</v>
      </c>
      <c r="AZ126">
        <v>1.1333296888487201</v>
      </c>
      <c r="BA126">
        <v>0</v>
      </c>
      <c r="BB126">
        <v>0</v>
      </c>
      <c r="BC126">
        <v>0</v>
      </c>
      <c r="BD126">
        <v>0</v>
      </c>
      <c r="BE126">
        <v>0</v>
      </c>
      <c r="BF126">
        <v>0</v>
      </c>
      <c r="BG126">
        <v>0</v>
      </c>
      <c r="BH126">
        <v>0</v>
      </c>
      <c r="BJ126" t="s">
        <v>357</v>
      </c>
      <c r="BL126">
        <v>0.80</v>
      </c>
      <c r="BM126">
        <v>0.79756097560975603</v>
      </c>
      <c r="BN126">
        <v>0.78536585365853595</v>
      </c>
      <c r="BO126">
        <v>0.77317073170731698</v>
      </c>
      <c r="BP126">
        <v>0.76097560975609702</v>
      </c>
      <c r="BQ126">
        <v>0.74878048780487805</v>
      </c>
      <c r="BR126">
        <v>0.73658536585365797</v>
      </c>
      <c r="BS126">
        <v>0.724390243902439</v>
      </c>
      <c r="BT126">
        <v>0.71219512195122003</v>
      </c>
      <c r="BU126">
        <v>0.69999999999999896</v>
      </c>
      <c r="BV126">
        <v>0.687499999999999</v>
      </c>
      <c r="BW126">
        <v>0.675</v>
      </c>
      <c r="BX126">
        <v>0.6625</v>
      </c>
      <c r="BY126">
        <v>0.64999999999999902</v>
      </c>
      <c r="BZ126">
        <v>0.63749999999999896</v>
      </c>
      <c r="CA126">
        <v>0.625</v>
      </c>
      <c r="CB126">
        <v>0.6125</v>
      </c>
      <c r="CC126">
        <v>0.60</v>
      </c>
      <c r="CD126" t="e">
        <v>#VALUE!</v>
      </c>
      <c r="CE126" t="e">
        <v>#VALUE!</v>
      </c>
      <c r="CF126" t="e">
        <v>#VALUE!</v>
      </c>
      <c r="CG126" t="e">
        <v>#VALUE!</v>
      </c>
      <c r="CH126" t="e">
        <v>#VALUE!</v>
      </c>
      <c r="CI126" t="e">
        <v>#VALUE!</v>
      </c>
      <c r="CJ126" t="e">
        <v>#VALUE!</v>
      </c>
      <c r="CK126" t="e">
        <v>#VALUE!</v>
      </c>
    </row>
    <row r="127" spans="1:89" ht="12.5">
      <c r="A127" t="s">
        <v>14</v>
      </c>
      <c r="B127" t="s">
        <v>348</v>
      </c>
      <c r="C127" t="s">
        <v>348</v>
      </c>
      <c r="E127" s="2">
        <v>21.062692692515402</v>
      </c>
      <c r="F127" s="2">
        <f>E127</f>
        <v>21.062692692515402</v>
      </c>
      <c r="I127" s="2">
        <f>F127</f>
        <v>21.062692692515402</v>
      </c>
      <c r="J127" s="2">
        <f>I127</f>
        <v>21.062692692515402</v>
      </c>
      <c r="L127" s="2">
        <f>J127</f>
        <v>21.062692692515402</v>
      </c>
      <c r="V127" s="2">
        <f>L127</f>
        <v>21.062692692515402</v>
      </c>
      <c r="W127">
        <v>5</v>
      </c>
      <c r="AG127" s="130" t="s">
        <v>342</v>
      </c>
      <c r="AI127">
        <v>1</v>
      </c>
      <c r="AJ127">
        <v>0.99817646109018299</v>
      </c>
      <c r="AK127">
        <v>1.11944327994063</v>
      </c>
      <c r="AL127">
        <v>1.20942774060418</v>
      </c>
      <c r="AM127">
        <v>1.29112776475015</v>
      </c>
      <c r="AN127">
        <v>1.37440542410241</v>
      </c>
      <c r="AO127">
        <v>1.45940515005311</v>
      </c>
      <c r="AP127">
        <v>1.5476119935828001</v>
      </c>
      <c r="AQ127">
        <v>1.6402073294117101</v>
      </c>
      <c r="AR127">
        <v>1.7380984829519099</v>
      </c>
      <c r="AS127">
        <v>1.83991891103174</v>
      </c>
      <c r="AT127">
        <v>1.9420133884197099</v>
      </c>
      <c r="AU127">
        <v>2.0451781394570299</v>
      </c>
      <c r="AV127">
        <v>2.15073897025602</v>
      </c>
      <c r="AW127">
        <v>2.25902177729124</v>
      </c>
      <c r="AX127">
        <v>2.3694932754225202</v>
      </c>
      <c r="AY127">
        <v>2.4799647735538</v>
      </c>
      <c r="AZ127">
        <v>2.5860292625407202</v>
      </c>
      <c r="BA127">
        <v>0</v>
      </c>
      <c r="BB127">
        <v>0</v>
      </c>
      <c r="BC127">
        <v>0</v>
      </c>
      <c r="BD127">
        <v>0</v>
      </c>
      <c r="BE127">
        <v>0</v>
      </c>
      <c r="BF127">
        <v>0</v>
      </c>
      <c r="BG127">
        <v>0</v>
      </c>
      <c r="BH127">
        <v>0</v>
      </c>
      <c r="BJ127" t="s">
        <v>357</v>
      </c>
      <c r="BL127">
        <v>0.80</v>
      </c>
      <c r="BM127">
        <v>0.79756097560975603</v>
      </c>
      <c r="BN127">
        <v>0.78536585365853595</v>
      </c>
      <c r="BO127">
        <v>0.77317073170731698</v>
      </c>
      <c r="BP127">
        <v>0.76097560975609702</v>
      </c>
      <c r="BQ127">
        <v>0.74878048780487805</v>
      </c>
      <c r="BR127">
        <v>0.73658536585365797</v>
      </c>
      <c r="BS127">
        <v>0.724390243902439</v>
      </c>
      <c r="BT127">
        <v>0.71219512195122003</v>
      </c>
      <c r="BU127">
        <v>0.69999999999999896</v>
      </c>
      <c r="BV127">
        <v>0.687499999999999</v>
      </c>
      <c r="BW127">
        <v>0.675</v>
      </c>
      <c r="BX127">
        <v>0.6625</v>
      </c>
      <c r="BY127">
        <v>0.64999999999999902</v>
      </c>
      <c r="BZ127">
        <v>0.63749999999999896</v>
      </c>
      <c r="CA127">
        <v>0.625</v>
      </c>
      <c r="CB127">
        <v>0.6125</v>
      </c>
      <c r="CC127">
        <v>0.60</v>
      </c>
      <c r="CD127" t="e">
        <v>#VALUE!</v>
      </c>
      <c r="CE127" t="e">
        <v>#VALUE!</v>
      </c>
      <c r="CF127" t="e">
        <v>#VALUE!</v>
      </c>
      <c r="CG127" t="e">
        <v>#VALUE!</v>
      </c>
      <c r="CH127" t="e">
        <v>#VALUE!</v>
      </c>
      <c r="CI127" t="e">
        <v>#VALUE!</v>
      </c>
      <c r="CJ127" t="e">
        <v>#VALUE!</v>
      </c>
      <c r="CK127" t="e">
        <v>#VALUE!</v>
      </c>
    </row>
    <row r="128" spans="1:89" ht="12.5">
      <c r="A128" t="s">
        <v>14</v>
      </c>
      <c r="B128" t="s">
        <v>349</v>
      </c>
      <c r="C128" t="s">
        <v>349</v>
      </c>
      <c r="E128" s="2">
        <v>70.984727431851795</v>
      </c>
      <c r="F128" s="2">
        <f>E128</f>
        <v>70.984727431851795</v>
      </c>
      <c r="I128" s="2">
        <f>F128</f>
        <v>70.984727431851795</v>
      </c>
      <c r="J128" s="2">
        <f>I128</f>
        <v>70.984727431851795</v>
      </c>
      <c r="L128" s="2">
        <f>J128</f>
        <v>70.984727431851795</v>
      </c>
      <c r="V128" s="2">
        <f>L128</f>
        <v>70.984727431851795</v>
      </c>
      <c r="W128">
        <v>5</v>
      </c>
      <c r="AG128" s="130" t="s">
        <v>342</v>
      </c>
      <c r="AI128">
        <v>1</v>
      </c>
      <c r="AJ128">
        <v>0.99817646109018299</v>
      </c>
      <c r="AK128">
        <v>1.11944327994063</v>
      </c>
      <c r="AL128">
        <v>1.20942774060418</v>
      </c>
      <c r="AM128">
        <v>1.29112776475015</v>
      </c>
      <c r="AN128">
        <v>1.37440542410241</v>
      </c>
      <c r="AO128">
        <v>1.45940515005311</v>
      </c>
      <c r="AP128">
        <v>1.5476119935828001</v>
      </c>
      <c r="AQ128">
        <v>1.6402073294117101</v>
      </c>
      <c r="AR128">
        <v>1.7380984829519099</v>
      </c>
      <c r="AS128">
        <v>1.83991891103174</v>
      </c>
      <c r="AT128">
        <v>1.9420133884197099</v>
      </c>
      <c r="AU128">
        <v>2.0451781394570299</v>
      </c>
      <c r="AV128">
        <v>2.15073897025602</v>
      </c>
      <c r="AW128">
        <v>2.25902177729124</v>
      </c>
      <c r="AX128">
        <v>2.3694932754225202</v>
      </c>
      <c r="AY128">
        <v>2.4799647735538</v>
      </c>
      <c r="AZ128">
        <v>2.5860292625407202</v>
      </c>
      <c r="BA128">
        <v>0</v>
      </c>
      <c r="BB128">
        <v>0</v>
      </c>
      <c r="BC128">
        <v>0</v>
      </c>
      <c r="BD128">
        <v>0</v>
      </c>
      <c r="BE128">
        <v>0</v>
      </c>
      <c r="BF128">
        <v>0</v>
      </c>
      <c r="BG128">
        <v>0</v>
      </c>
      <c r="BH128">
        <v>0</v>
      </c>
      <c r="BJ128" t="s">
        <v>357</v>
      </c>
      <c r="BL128">
        <v>0.80</v>
      </c>
      <c r="BM128">
        <v>0.79756097560975603</v>
      </c>
      <c r="BN128">
        <v>0.78536585365853595</v>
      </c>
      <c r="BO128">
        <v>0.77317073170731698</v>
      </c>
      <c r="BP128">
        <v>0.76097560975609702</v>
      </c>
      <c r="BQ128">
        <v>0.74878048780487805</v>
      </c>
      <c r="BR128">
        <v>0.73658536585365797</v>
      </c>
      <c r="BS128">
        <v>0.724390243902439</v>
      </c>
      <c r="BT128">
        <v>0.71219512195122003</v>
      </c>
      <c r="BU128">
        <v>0.69999999999999896</v>
      </c>
      <c r="BV128">
        <v>0.687499999999999</v>
      </c>
      <c r="BW128">
        <v>0.675</v>
      </c>
      <c r="BX128">
        <v>0.6625</v>
      </c>
      <c r="BY128">
        <v>0.64999999999999902</v>
      </c>
      <c r="BZ128">
        <v>0.63749999999999896</v>
      </c>
      <c r="CA128">
        <v>0.625</v>
      </c>
      <c r="CB128">
        <v>0.6125</v>
      </c>
      <c r="CC128">
        <v>0.60</v>
      </c>
      <c r="CD128" t="e">
        <v>#VALUE!</v>
      </c>
      <c r="CE128" t="e">
        <v>#VALUE!</v>
      </c>
      <c r="CF128" t="e">
        <v>#VALUE!</v>
      </c>
      <c r="CG128" t="e">
        <v>#VALUE!</v>
      </c>
      <c r="CH128" t="e">
        <v>#VALUE!</v>
      </c>
      <c r="CI128" t="e">
        <v>#VALUE!</v>
      </c>
      <c r="CJ128" t="e">
        <v>#VALUE!</v>
      </c>
      <c r="CK128" t="e">
        <v>#VALUE!</v>
      </c>
    </row>
    <row r="129" spans="1:89" ht="12.5">
      <c r="A129" t="s">
        <v>14</v>
      </c>
      <c r="B129" t="s">
        <v>350</v>
      </c>
      <c r="C129" t="s">
        <v>350</v>
      </c>
      <c r="D129">
        <v>1.5820000000000001</v>
      </c>
      <c r="E129">
        <v>1.5845580144587199</v>
      </c>
      <c r="F129"/>
      <c r="G129">
        <v>1.5971473613388301</v>
      </c>
      <c r="H129">
        <v>1.6097837443472001</v>
      </c>
      <c r="I129">
        <v>1.6237505181968701</v>
      </c>
      <c r="J129">
        <v>1.6380825725347301</v>
      </c>
      <c r="K129">
        <v>1.65063969806722</v>
      </c>
      <c r="L129">
        <v>1.6610975128661101</v>
      </c>
      <c r="M129">
        <v>1.6693890203327699</v>
      </c>
      <c r="N129">
        <v>1.67710057721707</v>
      </c>
      <c r="O129">
        <v>1.6846463175867401</v>
      </c>
      <c r="P129">
        <v>1.69230832997817</v>
      </c>
      <c r="Q129">
        <v>1.7003677320499999</v>
      </c>
      <c r="R129">
        <v>1.70835137064742</v>
      </c>
      <c r="S129">
        <v>1.71539645283818</v>
      </c>
      <c r="T129">
        <v>1.72138467405282</v>
      </c>
      <c r="U129">
        <v>1.7263014573418201</v>
      </c>
      <c r="V129">
        <v>1.7293511448212799</v>
      </c>
      <c r="W129">
        <v>5</v>
      </c>
      <c r="AG129" s="130" t="s">
        <v>347</v>
      </c>
      <c r="AI129">
        <v>1</v>
      </c>
      <c r="AJ129">
        <v>1.0020273681517899</v>
      </c>
      <c r="AK129">
        <v>1.0121642089107501</v>
      </c>
      <c r="AL129">
        <v>1.0225216712599099</v>
      </c>
      <c r="AM129">
        <v>1.03417984027998</v>
      </c>
      <c r="AN129">
        <v>1.0463705977780899</v>
      </c>
      <c r="AO129">
        <v>1.0572603221499901</v>
      </c>
      <c r="AP129">
        <v>1.0665072613495501</v>
      </c>
      <c r="AQ129">
        <v>1.0739821235387099</v>
      </c>
      <c r="AR129">
        <v>1.0810694677599599</v>
      </c>
      <c r="AS129">
        <v>1.0881444222259</v>
      </c>
      <c r="AT129">
        <v>1.0954763280915301</v>
      </c>
      <c r="AU129">
        <v>1.1033511446403701</v>
      </c>
      <c r="AV129">
        <v>1.1113211462228101</v>
      </c>
      <c r="AW129">
        <v>1.1185101424013799</v>
      </c>
      <c r="AX129">
        <v>1.12475745499428</v>
      </c>
      <c r="AY129">
        <v>1.1300025809554799</v>
      </c>
      <c r="AZ129">
        <v>1.1333296888487201</v>
      </c>
      <c r="BA129">
        <v>0</v>
      </c>
      <c r="BB129">
        <v>0</v>
      </c>
      <c r="BC129">
        <v>0</v>
      </c>
      <c r="BD129">
        <v>0</v>
      </c>
      <c r="BE129">
        <v>0</v>
      </c>
      <c r="BF129">
        <v>0</v>
      </c>
      <c r="BG129">
        <v>0</v>
      </c>
      <c r="BH129">
        <v>0</v>
      </c>
      <c r="BJ129" t="s">
        <v>357</v>
      </c>
      <c r="BL129">
        <v>0.80</v>
      </c>
      <c r="BM129">
        <v>0.79756097560975603</v>
      </c>
      <c r="BN129">
        <v>0.78536585365853595</v>
      </c>
      <c r="BO129">
        <v>0.77317073170731698</v>
      </c>
      <c r="BP129">
        <v>0.76097560975609702</v>
      </c>
      <c r="BQ129">
        <v>0.74878048780487805</v>
      </c>
      <c r="BR129">
        <v>0.73658536585365797</v>
      </c>
      <c r="BS129">
        <v>0.724390243902439</v>
      </c>
      <c r="BT129">
        <v>0.71219512195122003</v>
      </c>
      <c r="BU129">
        <v>0.69999999999999896</v>
      </c>
      <c r="BV129">
        <v>0.687499999999999</v>
      </c>
      <c r="BW129">
        <v>0.675</v>
      </c>
      <c r="BX129">
        <v>0.6625</v>
      </c>
      <c r="BY129">
        <v>0.64999999999999902</v>
      </c>
      <c r="BZ129">
        <v>0.63749999999999896</v>
      </c>
      <c r="CA129">
        <v>0.625</v>
      </c>
      <c r="CB129">
        <v>0.6125</v>
      </c>
      <c r="CC129">
        <v>0.60</v>
      </c>
      <c r="CD129" t="e">
        <v>#VALUE!</v>
      </c>
      <c r="CE129" t="e">
        <v>#VALUE!</v>
      </c>
      <c r="CF129" t="e">
        <v>#VALUE!</v>
      </c>
      <c r="CG129" t="e">
        <v>#VALUE!</v>
      </c>
      <c r="CH129" t="e">
        <v>#VALUE!</v>
      </c>
      <c r="CI129" t="e">
        <v>#VALUE!</v>
      </c>
      <c r="CJ129" t="e">
        <v>#VALUE!</v>
      </c>
      <c r="CK129" t="e">
        <v>#VALUE!</v>
      </c>
    </row>
    <row r="130" spans="1:89" ht="12.5">
      <c r="A130" t="s">
        <v>14</v>
      </c>
      <c r="B130" t="s">
        <v>351</v>
      </c>
      <c r="C130" t="s">
        <v>351</v>
      </c>
      <c r="D130">
        <v>0.93</v>
      </c>
      <c r="E130">
        <v>0.93150376324058703</v>
      </c>
      <c r="F130"/>
      <c r="G130">
        <v>0.93890458030664403</v>
      </c>
      <c r="H130">
        <v>0.946333048193994</v>
      </c>
      <c r="I130">
        <v>0.95454360424973905</v>
      </c>
      <c r="J130">
        <v>0.96296889535859398</v>
      </c>
      <c r="K130">
        <v>0.97035077067162601</v>
      </c>
      <c r="L130">
        <v>0.97649853790485597</v>
      </c>
      <c r="M130">
        <v>0.98137281220573602</v>
      </c>
      <c r="N130">
        <v>0.98590615474834098</v>
      </c>
      <c r="O130">
        <v>0.99034201982027203</v>
      </c>
      <c r="P130">
        <v>0.99484623696567798</v>
      </c>
      <c r="Q130">
        <v>0.99958406498514596</v>
      </c>
      <c r="R130">
        <v>1.0042773544261101</v>
      </c>
      <c r="S130">
        <v>1.0084189008467199</v>
      </c>
      <c r="T130">
        <v>1.0119391573129699</v>
      </c>
      <c r="U130">
        <v>1.01482955456883</v>
      </c>
      <c r="V130">
        <v>1.0166223544145301</v>
      </c>
      <c r="W130">
        <v>5</v>
      </c>
      <c r="AG130" s="130" t="s">
        <v>347</v>
      </c>
      <c r="AI130">
        <v>1</v>
      </c>
      <c r="AJ130">
        <v>1.0020273681517899</v>
      </c>
      <c r="AK130">
        <v>1.0121642089107501</v>
      </c>
      <c r="AL130">
        <v>1.0225216712599099</v>
      </c>
      <c r="AM130">
        <v>1.03417984027998</v>
      </c>
      <c r="AN130">
        <v>1.0463705977780899</v>
      </c>
      <c r="AO130">
        <v>1.0572603221499901</v>
      </c>
      <c r="AP130">
        <v>1.0665072613495501</v>
      </c>
      <c r="AQ130">
        <v>1.0739821235387099</v>
      </c>
      <c r="AR130">
        <v>1.0810694677599599</v>
      </c>
      <c r="AS130">
        <v>1.0881444222259</v>
      </c>
      <c r="AT130">
        <v>1.0954763280915301</v>
      </c>
      <c r="AU130">
        <v>1.1033511446403701</v>
      </c>
      <c r="AV130">
        <v>1.1113211462228101</v>
      </c>
      <c r="AW130">
        <v>1.1185101424013799</v>
      </c>
      <c r="AX130">
        <v>1.12475745499428</v>
      </c>
      <c r="AY130">
        <v>1.1300025809554799</v>
      </c>
      <c r="AZ130">
        <v>1.1333296888487201</v>
      </c>
      <c r="BA130">
        <v>0</v>
      </c>
      <c r="BB130">
        <v>0</v>
      </c>
      <c r="BC130">
        <v>0</v>
      </c>
      <c r="BD130">
        <v>0</v>
      </c>
      <c r="BE130">
        <v>0</v>
      </c>
      <c r="BF130">
        <v>0</v>
      </c>
      <c r="BG130">
        <v>0</v>
      </c>
      <c r="BH130">
        <v>0</v>
      </c>
      <c r="BJ130" t="s">
        <v>357</v>
      </c>
      <c r="BL130">
        <v>0.80</v>
      </c>
      <c r="BM130">
        <v>0.79756097560975603</v>
      </c>
      <c r="BN130">
        <v>0.78536585365853595</v>
      </c>
      <c r="BO130">
        <v>0.77317073170731698</v>
      </c>
      <c r="BP130">
        <v>0.76097560975609702</v>
      </c>
      <c r="BQ130">
        <v>0.74878048780487805</v>
      </c>
      <c r="BR130">
        <v>0.73658536585365797</v>
      </c>
      <c r="BS130">
        <v>0.724390243902439</v>
      </c>
      <c r="BT130">
        <v>0.71219512195122003</v>
      </c>
      <c r="BU130">
        <v>0.69999999999999896</v>
      </c>
      <c r="BV130">
        <v>0.687499999999999</v>
      </c>
      <c r="BW130">
        <v>0.675</v>
      </c>
      <c r="BX130">
        <v>0.6625</v>
      </c>
      <c r="BY130">
        <v>0.64999999999999902</v>
      </c>
      <c r="BZ130">
        <v>0.63749999999999896</v>
      </c>
      <c r="CA130">
        <v>0.625</v>
      </c>
      <c r="CB130">
        <v>0.6125</v>
      </c>
      <c r="CC130">
        <v>0.60</v>
      </c>
      <c r="CD130" t="e">
        <v>#VALUE!</v>
      </c>
      <c r="CE130" t="e">
        <v>#VALUE!</v>
      </c>
      <c r="CF130" t="e">
        <v>#VALUE!</v>
      </c>
      <c r="CG130" t="e">
        <v>#VALUE!</v>
      </c>
      <c r="CH130" t="e">
        <v>#VALUE!</v>
      </c>
      <c r="CI130" t="e">
        <v>#VALUE!</v>
      </c>
      <c r="CJ130" t="e">
        <v>#VALUE!</v>
      </c>
      <c r="CK130" t="e">
        <v>#VALUE!</v>
      </c>
    </row>
    <row r="131" spans="1:89" ht="12.5">
      <c r="A131" t="s">
        <v>14</v>
      </c>
      <c r="B131" t="s">
        <v>352</v>
      </c>
      <c r="C131" t="s">
        <v>352</v>
      </c>
      <c r="D131">
        <v>4.20</v>
      </c>
      <c r="E131">
        <v>4.2067911888284604</v>
      </c>
      <c r="F131"/>
      <c r="G131">
        <v>4.2402142336429103</v>
      </c>
      <c r="H131">
        <v>4.2737621531341698</v>
      </c>
      <c r="I131">
        <v>4.3108420837084998</v>
      </c>
      <c r="J131">
        <v>4.3488917854904203</v>
      </c>
      <c r="K131">
        <v>4.3822292869041197</v>
      </c>
      <c r="L131">
        <v>4.4099933969896696</v>
      </c>
      <c r="M131">
        <v>4.4320062486710698</v>
      </c>
      <c r="N131">
        <v>4.4524794085409001</v>
      </c>
      <c r="O131">
        <v>4.47251234757542</v>
      </c>
      <c r="P131">
        <v>4.4928539733933901</v>
      </c>
      <c r="Q131">
        <v>4.5142506160619504</v>
      </c>
      <c r="R131">
        <v>4.5354461167630697</v>
      </c>
      <c r="S131">
        <v>4.5541498747916203</v>
      </c>
      <c r="T131">
        <v>4.57004780721988</v>
      </c>
      <c r="U131">
        <v>4.5831012141818102</v>
      </c>
      <c r="V131">
        <v>4.5911977296140201</v>
      </c>
      <c r="W131">
        <v>5</v>
      </c>
      <c r="AG131" s="130" t="s">
        <v>347</v>
      </c>
      <c r="AI131">
        <v>1</v>
      </c>
      <c r="AJ131">
        <v>1.0020273681517899</v>
      </c>
      <c r="AK131">
        <v>1.0121642089107501</v>
      </c>
      <c r="AL131">
        <v>1.0225216712599099</v>
      </c>
      <c r="AM131">
        <v>1.03417984027998</v>
      </c>
      <c r="AN131">
        <v>1.0463705977780899</v>
      </c>
      <c r="AO131">
        <v>1.0572603221499901</v>
      </c>
      <c r="AP131">
        <v>1.0665072613495501</v>
      </c>
      <c r="AQ131">
        <v>1.0739821235387099</v>
      </c>
      <c r="AR131">
        <v>1.0810694677599599</v>
      </c>
      <c r="AS131">
        <v>1.0881444222259</v>
      </c>
      <c r="AT131">
        <v>1.0954763280915301</v>
      </c>
      <c r="AU131">
        <v>1.1033511446403701</v>
      </c>
      <c r="AV131">
        <v>1.1113211462228101</v>
      </c>
      <c r="AW131">
        <v>1.1185101424013799</v>
      </c>
      <c r="AX131">
        <v>1.12475745499428</v>
      </c>
      <c r="AY131">
        <v>1.1300025809554799</v>
      </c>
      <c r="AZ131">
        <v>1.1333296888487201</v>
      </c>
      <c r="BA131">
        <v>0</v>
      </c>
      <c r="BB131">
        <v>0</v>
      </c>
      <c r="BC131">
        <v>0</v>
      </c>
      <c r="BD131">
        <v>0</v>
      </c>
      <c r="BE131">
        <v>0</v>
      </c>
      <c r="BF131">
        <v>0</v>
      </c>
      <c r="BG131">
        <v>0</v>
      </c>
      <c r="BH131">
        <v>0</v>
      </c>
      <c r="BJ131" t="s">
        <v>357</v>
      </c>
      <c r="BL131">
        <v>0.80</v>
      </c>
      <c r="BM131">
        <v>0.79756097560975603</v>
      </c>
      <c r="BN131">
        <v>0.78536585365853595</v>
      </c>
      <c r="BO131">
        <v>0.77317073170731698</v>
      </c>
      <c r="BP131">
        <v>0.76097560975609702</v>
      </c>
      <c r="BQ131">
        <v>0.74878048780487805</v>
      </c>
      <c r="BR131">
        <v>0.73658536585365797</v>
      </c>
      <c r="BS131">
        <v>0.724390243902439</v>
      </c>
      <c r="BT131">
        <v>0.71219512195122003</v>
      </c>
      <c r="BU131">
        <v>0.69999999999999896</v>
      </c>
      <c r="BV131">
        <v>0.687499999999999</v>
      </c>
      <c r="BW131">
        <v>0.675</v>
      </c>
      <c r="BX131">
        <v>0.6625</v>
      </c>
      <c r="BY131">
        <v>0.64999999999999902</v>
      </c>
      <c r="BZ131">
        <v>0.63749999999999896</v>
      </c>
      <c r="CA131">
        <v>0.625</v>
      </c>
      <c r="CB131">
        <v>0.6125</v>
      </c>
      <c r="CC131">
        <v>0.60</v>
      </c>
      <c r="CD131" t="e">
        <v>#VALUE!</v>
      </c>
      <c r="CE131" t="e">
        <v>#VALUE!</v>
      </c>
      <c r="CF131" t="e">
        <v>#VALUE!</v>
      </c>
      <c r="CG131" t="e">
        <v>#VALUE!</v>
      </c>
      <c r="CH131" t="e">
        <v>#VALUE!</v>
      </c>
      <c r="CI131" t="e">
        <v>#VALUE!</v>
      </c>
      <c r="CJ131" t="e">
        <v>#VALUE!</v>
      </c>
      <c r="CK131" t="e">
        <v>#VALUE!</v>
      </c>
    </row>
    <row r="132" spans="1:89" ht="12.5">
      <c r="A132" t="s">
        <v>14</v>
      </c>
      <c r="B132" t="s">
        <v>353</v>
      </c>
      <c r="C132" t="s">
        <v>353</v>
      </c>
      <c r="D132">
        <v>298.44</v>
      </c>
      <c r="E132">
        <v>297.52524586526903</v>
      </c>
      <c r="F132"/>
      <c r="G132">
        <v>323.28849104526898</v>
      </c>
      <c r="H132">
        <v>340.64543481425602</v>
      </c>
      <c r="I132">
        <v>355.03703571416702</v>
      </c>
      <c r="J132">
        <v>368.88700858210598</v>
      </c>
      <c r="K132">
        <v>382.71950674657802</v>
      </c>
      <c r="L132">
        <v>396.92684144753298</v>
      </c>
      <c r="M132">
        <v>411.75523644261199</v>
      </c>
      <c r="N132">
        <v>426.954989711792</v>
      </c>
      <c r="O132">
        <v>442.130208920396</v>
      </c>
      <c r="P132">
        <v>456.58185557105003</v>
      </c>
      <c r="Q132">
        <v>470.37708347871899</v>
      </c>
      <c r="R132">
        <v>483.85209128073097</v>
      </c>
      <c r="S132">
        <v>497.29949599027299</v>
      </c>
      <c r="T132">
        <v>510.68815825185402</v>
      </c>
      <c r="U132">
        <v>523.75188935056303</v>
      </c>
      <c r="V132">
        <v>536.22995288787899</v>
      </c>
      <c r="W132">
        <v>5</v>
      </c>
      <c r="AG132" s="130" t="s">
        <v>354</v>
      </c>
      <c r="AI132">
        <v>1</v>
      </c>
      <c r="AJ132">
        <v>0.996156884348667</v>
      </c>
      <c r="AK132">
        <v>1.10598978909294</v>
      </c>
      <c r="AL132">
        <v>1.1827893477445599</v>
      </c>
      <c r="AM132">
        <v>1.2484557467302899</v>
      </c>
      <c r="AN132">
        <v>1.31349774833209</v>
      </c>
      <c r="AO132">
        <v>1.3803650051723599</v>
      </c>
      <c r="AP132">
        <v>1.4511031004368999</v>
      </c>
      <c r="AQ132">
        <v>1.5272203265426101</v>
      </c>
      <c r="AR132">
        <v>1.60775836778866</v>
      </c>
      <c r="AS132">
        <v>1.6908774914896201</v>
      </c>
      <c r="AT132">
        <v>1.77275705427882</v>
      </c>
      <c r="AU132">
        <v>1.85360585285262</v>
      </c>
      <c r="AV132">
        <v>1.93529924051749</v>
      </c>
      <c r="AW132">
        <v>2.0196703558192501</v>
      </c>
      <c r="AX132">
        <v>2.1066704336132398</v>
      </c>
      <c r="AY132">
        <v>2.1946540789817099</v>
      </c>
      <c r="AZ132">
        <v>2.2817978633981602</v>
      </c>
      <c r="BA132">
        <v>0</v>
      </c>
      <c r="BB132">
        <v>0</v>
      </c>
      <c r="BC132">
        <v>0</v>
      </c>
      <c r="BD132">
        <v>0</v>
      </c>
      <c r="BE132">
        <v>0</v>
      </c>
      <c r="BF132">
        <v>0</v>
      </c>
      <c r="BG132">
        <v>0</v>
      </c>
      <c r="BH132">
        <v>0</v>
      </c>
      <c r="BJ132" t="s">
        <v>357</v>
      </c>
      <c r="BL132">
        <v>0.80</v>
      </c>
      <c r="BM132">
        <v>0.79756097560975603</v>
      </c>
      <c r="BN132">
        <v>0.78536585365853595</v>
      </c>
      <c r="BO132">
        <v>0.77317073170731698</v>
      </c>
      <c r="BP132">
        <v>0.76097560975609702</v>
      </c>
      <c r="BQ132">
        <v>0.74878048780487805</v>
      </c>
      <c r="BR132">
        <v>0.73658536585365797</v>
      </c>
      <c r="BS132">
        <v>0.724390243902439</v>
      </c>
      <c r="BT132">
        <v>0.71219512195122003</v>
      </c>
      <c r="BU132">
        <v>0.69999999999999896</v>
      </c>
      <c r="BV132">
        <v>0.687499999999999</v>
      </c>
      <c r="BW132">
        <v>0.675</v>
      </c>
      <c r="BX132">
        <v>0.6625</v>
      </c>
      <c r="BY132">
        <v>0.64999999999999902</v>
      </c>
      <c r="BZ132">
        <v>0.63749999999999896</v>
      </c>
      <c r="CA132">
        <v>0.625</v>
      </c>
      <c r="CB132">
        <v>0.6125</v>
      </c>
      <c r="CC132">
        <v>0.60</v>
      </c>
      <c r="CD132" t="e">
        <v>#VALUE!</v>
      </c>
      <c r="CE132" t="e">
        <v>#VALUE!</v>
      </c>
      <c r="CF132" t="e">
        <v>#VALUE!</v>
      </c>
      <c r="CG132" t="e">
        <v>#VALUE!</v>
      </c>
      <c r="CH132" t="e">
        <v>#VALUE!</v>
      </c>
      <c r="CI132" t="e">
        <v>#VALUE!</v>
      </c>
      <c r="CJ132" t="e">
        <v>#VALUE!</v>
      </c>
      <c r="CK132" t="e">
        <v>#VALUE!</v>
      </c>
    </row>
    <row r="133" spans="1:89" ht="12.5">
      <c r="A133" t="s">
        <v>14</v>
      </c>
      <c r="B133" t="s">
        <v>355</v>
      </c>
      <c r="C133" t="s">
        <v>355</v>
      </c>
      <c r="D133">
        <v>124.10</v>
      </c>
      <c r="E133">
        <v>123.91951101112799</v>
      </c>
      <c r="F133"/>
      <c r="G133">
        <v>135.74301948231701</v>
      </c>
      <c r="H133">
        <v>144.179442255418</v>
      </c>
      <c r="I133">
        <v>151.59111674685099</v>
      </c>
      <c r="J133">
        <v>158.912405921345</v>
      </c>
      <c r="K133">
        <v>166.15148888984999</v>
      </c>
      <c r="L133">
        <v>173.42599037125299</v>
      </c>
      <c r="M133">
        <v>180.815918291755</v>
      </c>
      <c r="N133">
        <v>188.36996036426001</v>
      </c>
      <c r="O133">
        <v>195.95652019126899</v>
      </c>
      <c r="P133">
        <v>203.29603005761399</v>
      </c>
      <c r="Q133">
        <v>210.45077069946601</v>
      </c>
      <c r="R133">
        <v>217.51127195834101</v>
      </c>
      <c r="S133">
        <v>224.49253108702899</v>
      </c>
      <c r="T133">
        <v>231.35391531475301</v>
      </c>
      <c r="U133">
        <v>237.96051070233199</v>
      </c>
      <c r="V133">
        <v>244.066845817054</v>
      </c>
      <c r="W133">
        <v>5</v>
      </c>
      <c r="AG133" s="130" t="s">
        <v>342</v>
      </c>
      <c r="AI133">
        <v>1</v>
      </c>
      <c r="AJ133">
        <v>0.99817646109018299</v>
      </c>
      <c r="AK133">
        <v>1.11944327994063</v>
      </c>
      <c r="AL133">
        <v>1.20942774060418</v>
      </c>
      <c r="AM133">
        <v>1.29112776475015</v>
      </c>
      <c r="AN133">
        <v>1.37440542410241</v>
      </c>
      <c r="AO133">
        <v>1.45940515005311</v>
      </c>
      <c r="AP133">
        <v>1.5476119935828001</v>
      </c>
      <c r="AQ133">
        <v>1.6402073294117101</v>
      </c>
      <c r="AR133">
        <v>1.7380984829519099</v>
      </c>
      <c r="AS133">
        <v>1.83991891103174</v>
      </c>
      <c r="AT133">
        <v>1.9420133884197099</v>
      </c>
      <c r="AU133">
        <v>2.0451781394570299</v>
      </c>
      <c r="AV133">
        <v>2.15073897025602</v>
      </c>
      <c r="AW133">
        <v>2.25902177729124</v>
      </c>
      <c r="AX133">
        <v>2.3694932754225202</v>
      </c>
      <c r="AY133">
        <v>2.4799647735538</v>
      </c>
      <c r="AZ133">
        <v>2.5860292625407202</v>
      </c>
      <c r="BA133">
        <v>0</v>
      </c>
      <c r="BB133">
        <v>0</v>
      </c>
      <c r="BC133">
        <v>0</v>
      </c>
      <c r="BD133">
        <v>0</v>
      </c>
      <c r="BE133">
        <v>0</v>
      </c>
      <c r="BF133">
        <v>0</v>
      </c>
      <c r="BG133">
        <v>0</v>
      </c>
      <c r="BH133">
        <v>0</v>
      </c>
      <c r="BJ133" t="s">
        <v>357</v>
      </c>
      <c r="BL133">
        <v>0.80</v>
      </c>
      <c r="BM133">
        <v>0.79756097560975603</v>
      </c>
      <c r="BN133">
        <v>0.78536585365853595</v>
      </c>
      <c r="BO133">
        <v>0.77317073170731698</v>
      </c>
      <c r="BP133">
        <v>0.76097560975609702</v>
      </c>
      <c r="BQ133">
        <v>0.74878048780487805</v>
      </c>
      <c r="BR133">
        <v>0.73658536585365797</v>
      </c>
      <c r="BS133">
        <v>0.724390243902439</v>
      </c>
      <c r="BT133">
        <v>0.71219512195122003</v>
      </c>
      <c r="BU133">
        <v>0.69999999999999896</v>
      </c>
      <c r="BV133">
        <v>0.687499999999999</v>
      </c>
      <c r="BW133">
        <v>0.675</v>
      </c>
      <c r="BX133">
        <v>0.6625</v>
      </c>
      <c r="BY133">
        <v>0.64999999999999902</v>
      </c>
      <c r="BZ133">
        <v>0.63749999999999896</v>
      </c>
      <c r="CA133">
        <v>0.625</v>
      </c>
      <c r="CB133">
        <v>0.6125</v>
      </c>
      <c r="CC133">
        <v>0.60</v>
      </c>
      <c r="CD133" t="e">
        <v>#VALUE!</v>
      </c>
      <c r="CE133" t="e">
        <v>#VALUE!</v>
      </c>
      <c r="CF133" t="e">
        <v>#VALUE!</v>
      </c>
      <c r="CG133" t="e">
        <v>#VALUE!</v>
      </c>
      <c r="CH133" t="e">
        <v>#VALUE!</v>
      </c>
      <c r="CI133" t="e">
        <v>#VALUE!</v>
      </c>
      <c r="CJ133" t="e">
        <v>#VALUE!</v>
      </c>
      <c r="CK133" t="e">
        <v>#VALUE!</v>
      </c>
    </row>
    <row r="134" spans="1:89" ht="12.5">
      <c r="A134" t="s">
        <v>14</v>
      </c>
      <c r="B134" t="s">
        <v>356</v>
      </c>
      <c r="C134" t="s">
        <v>356</v>
      </c>
      <c r="D134">
        <v>67.16</v>
      </c>
      <c r="E134">
        <v>67.062323606022105</v>
      </c>
      <c r="F134"/>
      <c r="G134">
        <v>73.460928190430096</v>
      </c>
      <c r="H134">
        <v>78.026521691167602</v>
      </c>
      <c r="I134">
        <v>82.037545533590006</v>
      </c>
      <c r="J134">
        <v>85.999654969198204</v>
      </c>
      <c r="K134">
        <v>89.917276340389606</v>
      </c>
      <c r="L134">
        <v>93.854065377384003</v>
      </c>
      <c r="M134">
        <v>97.853320487302597</v>
      </c>
      <c r="N134">
        <v>101.941390314776</v>
      </c>
      <c r="O134">
        <v>106.04705798586301</v>
      </c>
      <c r="P134">
        <v>110.019028031179</v>
      </c>
      <c r="Q134">
        <v>113.891005319711</v>
      </c>
      <c r="R134">
        <v>117.71198247157299</v>
      </c>
      <c r="S134">
        <v>121.490075647098</v>
      </c>
      <c r="T134">
        <v>125.203295346807</v>
      </c>
      <c r="U134">
        <v>128.778629321262</v>
      </c>
      <c r="V134">
        <v>132.08323420687699</v>
      </c>
      <c r="W134">
        <v>5</v>
      </c>
      <c r="AG134" s="130" t="s">
        <v>342</v>
      </c>
      <c r="AI134">
        <v>1</v>
      </c>
      <c r="AJ134">
        <v>0.99817646109018299</v>
      </c>
      <c r="AK134">
        <v>1.11944327994063</v>
      </c>
      <c r="AL134">
        <v>1.20942774060418</v>
      </c>
      <c r="AM134">
        <v>1.29112776475015</v>
      </c>
      <c r="AN134">
        <v>1.37440542410241</v>
      </c>
      <c r="AO134">
        <v>1.45940515005311</v>
      </c>
      <c r="AP134">
        <v>1.5476119935828001</v>
      </c>
      <c r="AQ134">
        <v>1.6402073294117101</v>
      </c>
      <c r="AR134">
        <v>1.7380984829519099</v>
      </c>
      <c r="AS134">
        <v>1.83991891103174</v>
      </c>
      <c r="AT134">
        <v>1.9420133884197099</v>
      </c>
      <c r="AU134">
        <v>2.0451781394570299</v>
      </c>
      <c r="AV134">
        <v>2.15073897025602</v>
      </c>
      <c r="AW134">
        <v>2.25902177729124</v>
      </c>
      <c r="AX134">
        <v>2.3694932754225202</v>
      </c>
      <c r="AY134">
        <v>2.4799647735538</v>
      </c>
      <c r="AZ134">
        <v>2.5860292625407202</v>
      </c>
      <c r="BA134">
        <v>0</v>
      </c>
      <c r="BB134">
        <v>0</v>
      </c>
      <c r="BC134">
        <v>0</v>
      </c>
      <c r="BD134">
        <v>0</v>
      </c>
      <c r="BE134">
        <v>0</v>
      </c>
      <c r="BF134">
        <v>0</v>
      </c>
      <c r="BG134">
        <v>0</v>
      </c>
      <c r="BH134">
        <v>0</v>
      </c>
      <c r="BJ134" t="s">
        <v>357</v>
      </c>
      <c r="BL134">
        <v>0.80</v>
      </c>
      <c r="BM134">
        <v>0.79756097560975603</v>
      </c>
      <c r="BN134">
        <v>0.78536585365853595</v>
      </c>
      <c r="BO134">
        <v>0.77317073170731698</v>
      </c>
      <c r="BP134">
        <v>0.76097560975609702</v>
      </c>
      <c r="BQ134">
        <v>0.74878048780487805</v>
      </c>
      <c r="BR134">
        <v>0.73658536585365797</v>
      </c>
      <c r="BS134">
        <v>0.724390243902439</v>
      </c>
      <c r="BT134">
        <v>0.71219512195122003</v>
      </c>
      <c r="BU134">
        <v>0.69999999999999896</v>
      </c>
      <c r="BV134">
        <v>0.687499999999999</v>
      </c>
      <c r="BW134">
        <v>0.675</v>
      </c>
      <c r="BX134">
        <v>0.6625</v>
      </c>
      <c r="BY134">
        <v>0.64999999999999902</v>
      </c>
      <c r="BZ134">
        <v>0.63749999999999896</v>
      </c>
      <c r="CA134">
        <v>0.625</v>
      </c>
      <c r="CB134">
        <v>0.6125</v>
      </c>
      <c r="CC134">
        <v>0.60</v>
      </c>
      <c r="CD134" t="e">
        <v>#VALUE!</v>
      </c>
      <c r="CE134" t="e">
        <v>#VALUE!</v>
      </c>
      <c r="CF134" t="e">
        <v>#VALUE!</v>
      </c>
      <c r="CG134" t="e">
        <v>#VALUE!</v>
      </c>
      <c r="CH134" t="e">
        <v>#VALUE!</v>
      </c>
      <c r="CI134" t="e">
        <v>#VALUE!</v>
      </c>
      <c r="CJ134" t="e">
        <v>#VALUE!</v>
      </c>
      <c r="CK134" t="e">
        <v>#VALUE!</v>
      </c>
    </row>
    <row r="135" spans="1:89" ht="12.5">
      <c r="A135" t="s">
        <v>15</v>
      </c>
      <c r="B135" t="s">
        <v>341</v>
      </c>
      <c r="C135" t="s">
        <v>341</v>
      </c>
      <c r="E135" s="2">
        <v>30.892500206047199</v>
      </c>
      <c r="F135" s="2">
        <f>E135</f>
        <v>30.892500206047199</v>
      </c>
      <c r="I135" s="2">
        <f>F135</f>
        <v>30.892500206047199</v>
      </c>
      <c r="J135" s="2">
        <f>I135</f>
        <v>30.892500206047199</v>
      </c>
      <c r="L135" s="2">
        <f>J135</f>
        <v>30.892500206047199</v>
      </c>
      <c r="V135" s="2">
        <f>L135</f>
        <v>30.892500206047199</v>
      </c>
      <c r="W135">
        <v>5</v>
      </c>
      <c r="AG135" s="130" t="s">
        <v>342</v>
      </c>
      <c r="AI135">
        <v>1</v>
      </c>
      <c r="AJ135">
        <v>1.0056875027351</v>
      </c>
      <c r="AK135">
        <v>1.0754822707557099</v>
      </c>
      <c r="AL135">
        <v>1.13218376061282</v>
      </c>
      <c r="AM135">
        <v>1.19257480849257</v>
      </c>
      <c r="AN135">
        <v>1.2633403804646099</v>
      </c>
      <c r="AO135">
        <v>1.33842175445903</v>
      </c>
      <c r="AP135">
        <v>1.4106460473943501</v>
      </c>
      <c r="AQ135">
        <v>1.4794649813912499</v>
      </c>
      <c r="AR135">
        <v>1.5470842431476599</v>
      </c>
      <c r="AS135">
        <v>1.61544795560257</v>
      </c>
      <c r="AT135">
        <v>1.68343692767209</v>
      </c>
      <c r="AU135">
        <v>1.7491145815256499</v>
      </c>
      <c r="AV135">
        <v>1.8078457055506301</v>
      </c>
      <c r="AW135">
        <v>1.85660974133859</v>
      </c>
      <c r="AX135">
        <v>1.8956833428653199</v>
      </c>
      <c r="AY135">
        <v>1.92675158434702</v>
      </c>
      <c r="AZ135">
        <v>1.9506368826026399</v>
      </c>
      <c r="BA135">
        <v>0</v>
      </c>
      <c r="BB135">
        <v>0</v>
      </c>
      <c r="BC135">
        <v>0</v>
      </c>
      <c r="BD135">
        <v>0</v>
      </c>
      <c r="BE135">
        <v>0</v>
      </c>
      <c r="BF135">
        <v>0</v>
      </c>
      <c r="BG135">
        <v>0</v>
      </c>
      <c r="BH135">
        <v>0</v>
      </c>
      <c r="BJ135" t="s">
        <v>357</v>
      </c>
      <c r="BL135">
        <v>0.80</v>
      </c>
      <c r="BM135">
        <v>0.79756097560975603</v>
      </c>
      <c r="BN135">
        <v>0.78536585365853595</v>
      </c>
      <c r="BO135">
        <v>0.77317073170731698</v>
      </c>
      <c r="BP135">
        <v>0.76097560975609702</v>
      </c>
      <c r="BQ135">
        <v>0.74878048780487805</v>
      </c>
      <c r="BR135">
        <v>0.73658536585365797</v>
      </c>
      <c r="BS135">
        <v>0.724390243902439</v>
      </c>
      <c r="BT135">
        <v>0.71219512195122003</v>
      </c>
      <c r="BU135">
        <v>0.69999999999999896</v>
      </c>
      <c r="BV135">
        <v>0.687499999999999</v>
      </c>
      <c r="BW135">
        <v>0.675</v>
      </c>
      <c r="BX135">
        <v>0.6625</v>
      </c>
      <c r="BY135">
        <v>0.64999999999999902</v>
      </c>
      <c r="BZ135">
        <v>0.63749999999999896</v>
      </c>
      <c r="CA135">
        <v>0.625</v>
      </c>
      <c r="CB135">
        <v>0.6125</v>
      </c>
      <c r="CC135">
        <v>0.60</v>
      </c>
      <c r="CD135" t="e">
        <v>#VALUE!</v>
      </c>
      <c r="CE135" t="e">
        <v>#VALUE!</v>
      </c>
      <c r="CF135" t="e">
        <v>#VALUE!</v>
      </c>
      <c r="CG135" t="e">
        <v>#VALUE!</v>
      </c>
      <c r="CH135" t="e">
        <v>#VALUE!</v>
      </c>
      <c r="CI135" t="e">
        <v>#VALUE!</v>
      </c>
      <c r="CJ135" t="e">
        <v>#VALUE!</v>
      </c>
      <c r="CK135" t="e">
        <v>#VALUE!</v>
      </c>
    </row>
    <row r="136" spans="1:89" ht="12.5">
      <c r="A136" t="s">
        <v>15</v>
      </c>
      <c r="B136" t="s">
        <v>344</v>
      </c>
      <c r="C136" t="s">
        <v>344</v>
      </c>
      <c r="E136" s="2">
        <v>411.735252066231</v>
      </c>
      <c r="F136" s="2">
        <f>E136</f>
        <v>411.735252066231</v>
      </c>
      <c r="I136" s="2">
        <f>F136</f>
        <v>411.735252066231</v>
      </c>
      <c r="J136" s="2">
        <f>I136</f>
        <v>411.735252066231</v>
      </c>
      <c r="L136" s="2">
        <f>J136</f>
        <v>411.735252066231</v>
      </c>
      <c r="V136" s="2">
        <f>L136</f>
        <v>411.735252066231</v>
      </c>
      <c r="W136">
        <v>5</v>
      </c>
      <c r="AG136" s="130" t="s">
        <v>342</v>
      </c>
      <c r="AI136">
        <v>1</v>
      </c>
      <c r="AJ136">
        <v>1.0056875027351</v>
      </c>
      <c r="AK136">
        <v>1.0754822707557099</v>
      </c>
      <c r="AL136">
        <v>1.13218376061282</v>
      </c>
      <c r="AM136">
        <v>1.19257480849257</v>
      </c>
      <c r="AN136">
        <v>1.2633403804646099</v>
      </c>
      <c r="AO136">
        <v>1.33842175445903</v>
      </c>
      <c r="AP136">
        <v>1.4106460473943501</v>
      </c>
      <c r="AQ136">
        <v>1.4794649813912499</v>
      </c>
      <c r="AR136">
        <v>1.5470842431476599</v>
      </c>
      <c r="AS136">
        <v>1.61544795560257</v>
      </c>
      <c r="AT136">
        <v>1.68343692767209</v>
      </c>
      <c r="AU136">
        <v>1.7491145815256499</v>
      </c>
      <c r="AV136">
        <v>1.8078457055506301</v>
      </c>
      <c r="AW136">
        <v>1.85660974133859</v>
      </c>
      <c r="AX136">
        <v>1.8956833428653199</v>
      </c>
      <c r="AY136">
        <v>1.92675158434702</v>
      </c>
      <c r="AZ136">
        <v>1.9506368826026399</v>
      </c>
      <c r="BA136">
        <v>0</v>
      </c>
      <c r="BB136">
        <v>0</v>
      </c>
      <c r="BC136">
        <v>0</v>
      </c>
      <c r="BD136">
        <v>0</v>
      </c>
      <c r="BE136">
        <v>0</v>
      </c>
      <c r="BF136">
        <v>0</v>
      </c>
      <c r="BG136">
        <v>0</v>
      </c>
      <c r="BH136">
        <v>0</v>
      </c>
      <c r="BJ136" t="s">
        <v>357</v>
      </c>
      <c r="BL136">
        <v>0.80</v>
      </c>
      <c r="BM136">
        <v>0.79756097560975603</v>
      </c>
      <c r="BN136">
        <v>0.78536585365853595</v>
      </c>
      <c r="BO136">
        <v>0.77317073170731698</v>
      </c>
      <c r="BP136">
        <v>0.76097560975609702</v>
      </c>
      <c r="BQ136">
        <v>0.74878048780487805</v>
      </c>
      <c r="BR136">
        <v>0.73658536585365797</v>
      </c>
      <c r="BS136">
        <v>0.724390243902439</v>
      </c>
      <c r="BT136">
        <v>0.71219512195122003</v>
      </c>
      <c r="BU136">
        <v>0.69999999999999896</v>
      </c>
      <c r="BV136">
        <v>0.687499999999999</v>
      </c>
      <c r="BW136">
        <v>0.675</v>
      </c>
      <c r="BX136">
        <v>0.6625</v>
      </c>
      <c r="BY136">
        <v>0.64999999999999902</v>
      </c>
      <c r="BZ136">
        <v>0.63749999999999896</v>
      </c>
      <c r="CA136">
        <v>0.625</v>
      </c>
      <c r="CB136">
        <v>0.6125</v>
      </c>
      <c r="CC136">
        <v>0.60</v>
      </c>
      <c r="CD136" t="e">
        <v>#VALUE!</v>
      </c>
      <c r="CE136" t="e">
        <v>#VALUE!</v>
      </c>
      <c r="CF136" t="e">
        <v>#VALUE!</v>
      </c>
      <c r="CG136" t="e">
        <v>#VALUE!</v>
      </c>
      <c r="CH136" t="e">
        <v>#VALUE!</v>
      </c>
      <c r="CI136" t="e">
        <v>#VALUE!</v>
      </c>
      <c r="CJ136" t="e">
        <v>#VALUE!</v>
      </c>
      <c r="CK136" t="e">
        <v>#VALUE!</v>
      </c>
    </row>
    <row r="137" spans="1:89" ht="12.5">
      <c r="A137" t="s">
        <v>15</v>
      </c>
      <c r="B137" t="s">
        <v>345</v>
      </c>
      <c r="C137" t="s">
        <v>345</v>
      </c>
      <c r="E137" s="2">
        <v>10.242282087027499</v>
      </c>
      <c r="I137" s="2">
        <v>11.6970659852254</v>
      </c>
      <c r="J137" s="2">
        <v>12.2167840930765</v>
      </c>
      <c r="L137" s="2">
        <v>13.250040878290401</v>
      </c>
      <c r="V137" s="2">
        <v>16.4810771612383</v>
      </c>
      <c r="W137">
        <v>5</v>
      </c>
      <c r="AG137" s="130" t="s">
        <v>342</v>
      </c>
      <c r="AI137">
        <v>1</v>
      </c>
      <c r="AJ137">
        <v>1.0056875027351</v>
      </c>
      <c r="AK137">
        <v>1.0754822707557099</v>
      </c>
      <c r="AL137">
        <v>1.13218376061282</v>
      </c>
      <c r="AM137">
        <v>1.19257480849257</v>
      </c>
      <c r="AN137">
        <v>1.2633403804646099</v>
      </c>
      <c r="AO137">
        <v>1.33842175445903</v>
      </c>
      <c r="AP137">
        <v>1.4106460473943501</v>
      </c>
      <c r="AQ137">
        <v>1.4794649813912499</v>
      </c>
      <c r="AR137">
        <v>1.5470842431476599</v>
      </c>
      <c r="AS137">
        <v>1.61544795560257</v>
      </c>
      <c r="AT137">
        <v>1.68343692767209</v>
      </c>
      <c r="AU137">
        <v>1.7491145815256499</v>
      </c>
      <c r="AV137">
        <v>1.8078457055506301</v>
      </c>
      <c r="AW137">
        <v>1.85660974133859</v>
      </c>
      <c r="AX137">
        <v>1.8956833428653199</v>
      </c>
      <c r="AY137">
        <v>1.92675158434702</v>
      </c>
      <c r="AZ137">
        <v>1.9506368826026399</v>
      </c>
      <c r="BA137">
        <v>0</v>
      </c>
      <c r="BB137">
        <v>0</v>
      </c>
      <c r="BC137">
        <v>0</v>
      </c>
      <c r="BD137">
        <v>0</v>
      </c>
      <c r="BE137">
        <v>0</v>
      </c>
      <c r="BF137">
        <v>0</v>
      </c>
      <c r="BG137">
        <v>0</v>
      </c>
      <c r="BH137">
        <v>0</v>
      </c>
      <c r="BJ137" t="s">
        <v>357</v>
      </c>
      <c r="BL137">
        <v>0.80</v>
      </c>
      <c r="BM137">
        <v>0.79756097560975603</v>
      </c>
      <c r="BN137">
        <v>0.78536585365853595</v>
      </c>
      <c r="BO137">
        <v>0.77317073170731698</v>
      </c>
      <c r="BP137">
        <v>0.76097560975609702</v>
      </c>
      <c r="BQ137">
        <v>0.74878048780487805</v>
      </c>
      <c r="BR137">
        <v>0.73658536585365797</v>
      </c>
      <c r="BS137">
        <v>0.724390243902439</v>
      </c>
      <c r="BT137">
        <v>0.71219512195122003</v>
      </c>
      <c r="BU137">
        <v>0.69999999999999896</v>
      </c>
      <c r="BV137">
        <v>0.687499999999999</v>
      </c>
      <c r="BW137">
        <v>0.675</v>
      </c>
      <c r="BX137">
        <v>0.6625</v>
      </c>
      <c r="BY137">
        <v>0.64999999999999902</v>
      </c>
      <c r="BZ137">
        <v>0.63749999999999896</v>
      </c>
      <c r="CA137">
        <v>0.625</v>
      </c>
      <c r="CB137">
        <v>0.6125</v>
      </c>
      <c r="CC137">
        <v>0.60</v>
      </c>
      <c r="CD137" t="e">
        <v>#VALUE!</v>
      </c>
      <c r="CE137" t="e">
        <v>#VALUE!</v>
      </c>
      <c r="CF137" t="e">
        <v>#VALUE!</v>
      </c>
      <c r="CG137" t="e">
        <v>#VALUE!</v>
      </c>
      <c r="CH137" t="e">
        <v>#VALUE!</v>
      </c>
      <c r="CI137" t="e">
        <v>#VALUE!</v>
      </c>
      <c r="CJ137" t="e">
        <v>#VALUE!</v>
      </c>
      <c r="CK137" t="e">
        <v>#VALUE!</v>
      </c>
    </row>
    <row r="138" spans="1:89" ht="12.5">
      <c r="A138" t="s">
        <v>15</v>
      </c>
      <c r="B138" t="s">
        <v>346</v>
      </c>
      <c r="C138" t="s">
        <v>346</v>
      </c>
      <c r="E138" s="2">
        <v>41.728037261455</v>
      </c>
      <c r="I138" s="2">
        <v>41.407636451989497</v>
      </c>
      <c r="J138" s="2">
        <v>41.206691240923</v>
      </c>
      <c r="L138" s="2">
        <v>40.8643391636625</v>
      </c>
      <c r="V138" s="2">
        <v>38.384841930643503</v>
      </c>
      <c r="W138">
        <v>5</v>
      </c>
      <c r="AG138" s="130" t="s">
        <v>347</v>
      </c>
      <c r="AI138">
        <v>1</v>
      </c>
      <c r="AJ138">
        <v>1.0008041153571801</v>
      </c>
      <c r="AK138">
        <v>1.0048246921431001</v>
      </c>
      <c r="AL138">
        <v>0.99780357746538895</v>
      </c>
      <c r="AM138">
        <v>0.99068867757428603</v>
      </c>
      <c r="AN138">
        <v>0.98426801422184396</v>
      </c>
      <c r="AO138">
        <v>0.978671297778821</v>
      </c>
      <c r="AP138">
        <v>0.97308190098144598</v>
      </c>
      <c r="AQ138">
        <v>0.96680672910769105</v>
      </c>
      <c r="AR138">
        <v>0.96009582798347204</v>
      </c>
      <c r="AS138">
        <v>0.95293259920051898</v>
      </c>
      <c r="AT138">
        <v>0.94637569909376695</v>
      </c>
      <c r="AU138">
        <v>0.93977180421777196</v>
      </c>
      <c r="AV138">
        <v>0.93159783934156604</v>
      </c>
      <c r="AW138">
        <v>0.92119268060916104</v>
      </c>
      <c r="AX138">
        <v>0.90920941108354703</v>
      </c>
      <c r="AY138">
        <v>0.89643952604320798</v>
      </c>
      <c r="AZ138">
        <v>0.88294864989737099</v>
      </c>
      <c r="BA138">
        <v>0</v>
      </c>
      <c r="BB138">
        <v>0</v>
      </c>
      <c r="BC138">
        <v>0</v>
      </c>
      <c r="BD138">
        <v>0</v>
      </c>
      <c r="BE138">
        <v>0</v>
      </c>
      <c r="BF138">
        <v>0</v>
      </c>
      <c r="BG138">
        <v>0</v>
      </c>
      <c r="BH138">
        <v>0</v>
      </c>
      <c r="BJ138" t="s">
        <v>357</v>
      </c>
      <c r="BL138">
        <v>0.80</v>
      </c>
      <c r="BM138">
        <v>0.79756097560975603</v>
      </c>
      <c r="BN138">
        <v>0.78536585365853595</v>
      </c>
      <c r="BO138">
        <v>0.77317073170731698</v>
      </c>
      <c r="BP138">
        <v>0.76097560975609702</v>
      </c>
      <c r="BQ138">
        <v>0.74878048780487805</v>
      </c>
      <c r="BR138">
        <v>0.73658536585365797</v>
      </c>
      <c r="BS138">
        <v>0.724390243902439</v>
      </c>
      <c r="BT138">
        <v>0.71219512195122003</v>
      </c>
      <c r="BU138">
        <v>0.69999999999999896</v>
      </c>
      <c r="BV138">
        <v>0.687499999999999</v>
      </c>
      <c r="BW138">
        <v>0.675</v>
      </c>
      <c r="BX138">
        <v>0.6625</v>
      </c>
      <c r="BY138">
        <v>0.64999999999999902</v>
      </c>
      <c r="BZ138">
        <v>0.63749999999999896</v>
      </c>
      <c r="CA138">
        <v>0.625</v>
      </c>
      <c r="CB138">
        <v>0.6125</v>
      </c>
      <c r="CC138">
        <v>0.60</v>
      </c>
      <c r="CD138" t="e">
        <v>#VALUE!</v>
      </c>
      <c r="CE138" t="e">
        <v>#VALUE!</v>
      </c>
      <c r="CF138" t="e">
        <v>#VALUE!</v>
      </c>
      <c r="CG138" t="e">
        <v>#VALUE!</v>
      </c>
      <c r="CH138" t="e">
        <v>#VALUE!</v>
      </c>
      <c r="CI138" t="e">
        <v>#VALUE!</v>
      </c>
      <c r="CJ138" t="e">
        <v>#VALUE!</v>
      </c>
      <c r="CK138" t="e">
        <v>#VALUE!</v>
      </c>
    </row>
    <row r="139" spans="1:89" ht="12.5">
      <c r="A139" t="s">
        <v>15</v>
      </c>
      <c r="B139" t="s">
        <v>348</v>
      </c>
      <c r="C139" t="s">
        <v>348</v>
      </c>
      <c r="E139" s="2">
        <v>11.297413066480001</v>
      </c>
      <c r="F139" s="2">
        <f>E139</f>
        <v>11.297413066480001</v>
      </c>
      <c r="I139" s="2">
        <f>F139</f>
        <v>11.297413066480001</v>
      </c>
      <c r="J139" s="2">
        <f>I139</f>
        <v>11.297413066480001</v>
      </c>
      <c r="L139" s="2">
        <f>J139</f>
        <v>11.297413066480001</v>
      </c>
      <c r="V139" s="2">
        <f>L139</f>
        <v>11.297413066480001</v>
      </c>
      <c r="W139">
        <v>5</v>
      </c>
      <c r="AG139" s="130" t="s">
        <v>342</v>
      </c>
      <c r="AI139">
        <v>1</v>
      </c>
      <c r="AJ139">
        <v>1.0056875027351</v>
      </c>
      <c r="AK139">
        <v>1.0754822707557099</v>
      </c>
      <c r="AL139">
        <v>1.13218376061282</v>
      </c>
      <c r="AM139">
        <v>1.19257480849257</v>
      </c>
      <c r="AN139">
        <v>1.2633403804646099</v>
      </c>
      <c r="AO139">
        <v>1.33842175445903</v>
      </c>
      <c r="AP139">
        <v>1.4106460473943501</v>
      </c>
      <c r="AQ139">
        <v>1.4794649813912499</v>
      </c>
      <c r="AR139">
        <v>1.5470842431476599</v>
      </c>
      <c r="AS139">
        <v>1.61544795560257</v>
      </c>
      <c r="AT139">
        <v>1.68343692767209</v>
      </c>
      <c r="AU139">
        <v>1.7491145815256499</v>
      </c>
      <c r="AV139">
        <v>1.8078457055506301</v>
      </c>
      <c r="AW139">
        <v>1.85660974133859</v>
      </c>
      <c r="AX139">
        <v>1.8956833428653199</v>
      </c>
      <c r="AY139">
        <v>1.92675158434702</v>
      </c>
      <c r="AZ139">
        <v>1.9506368826026399</v>
      </c>
      <c r="BA139">
        <v>0</v>
      </c>
      <c r="BB139">
        <v>0</v>
      </c>
      <c r="BC139">
        <v>0</v>
      </c>
      <c r="BD139">
        <v>0</v>
      </c>
      <c r="BE139">
        <v>0</v>
      </c>
      <c r="BF139">
        <v>0</v>
      </c>
      <c r="BG139">
        <v>0</v>
      </c>
      <c r="BH139">
        <v>0</v>
      </c>
      <c r="BJ139" t="s">
        <v>357</v>
      </c>
      <c r="BL139">
        <v>0.80</v>
      </c>
      <c r="BM139">
        <v>0.79756097560975603</v>
      </c>
      <c r="BN139">
        <v>0.78536585365853595</v>
      </c>
      <c r="BO139">
        <v>0.77317073170731698</v>
      </c>
      <c r="BP139">
        <v>0.76097560975609702</v>
      </c>
      <c r="BQ139">
        <v>0.74878048780487805</v>
      </c>
      <c r="BR139">
        <v>0.73658536585365797</v>
      </c>
      <c r="BS139">
        <v>0.724390243902439</v>
      </c>
      <c r="BT139">
        <v>0.71219512195122003</v>
      </c>
      <c r="BU139">
        <v>0.69999999999999896</v>
      </c>
      <c r="BV139">
        <v>0.687499999999999</v>
      </c>
      <c r="BW139">
        <v>0.675</v>
      </c>
      <c r="BX139">
        <v>0.6625</v>
      </c>
      <c r="BY139">
        <v>0.64999999999999902</v>
      </c>
      <c r="BZ139">
        <v>0.63749999999999896</v>
      </c>
      <c r="CA139">
        <v>0.625</v>
      </c>
      <c r="CB139">
        <v>0.6125</v>
      </c>
      <c r="CC139">
        <v>0.60</v>
      </c>
      <c r="CD139" t="e">
        <v>#VALUE!</v>
      </c>
      <c r="CE139" t="e">
        <v>#VALUE!</v>
      </c>
      <c r="CF139" t="e">
        <v>#VALUE!</v>
      </c>
      <c r="CG139" t="e">
        <v>#VALUE!</v>
      </c>
      <c r="CH139" t="e">
        <v>#VALUE!</v>
      </c>
      <c r="CI139" t="e">
        <v>#VALUE!</v>
      </c>
      <c r="CJ139" t="e">
        <v>#VALUE!</v>
      </c>
      <c r="CK139" t="e">
        <v>#VALUE!</v>
      </c>
    </row>
    <row r="140" spans="1:89" ht="12.5">
      <c r="A140" t="s">
        <v>15</v>
      </c>
      <c r="B140" t="s">
        <v>349</v>
      </c>
      <c r="C140" t="s">
        <v>349</v>
      </c>
      <c r="E140" s="2">
        <v>57.053232210778397</v>
      </c>
      <c r="F140" s="2">
        <f>E140</f>
        <v>57.053232210778397</v>
      </c>
      <c r="I140" s="2">
        <f>F140</f>
        <v>57.053232210778397</v>
      </c>
      <c r="J140" s="2">
        <f>I140</f>
        <v>57.053232210778397</v>
      </c>
      <c r="L140" s="2">
        <f>J140</f>
        <v>57.053232210778397</v>
      </c>
      <c r="V140" s="2">
        <f>L140</f>
        <v>57.053232210778397</v>
      </c>
      <c r="W140">
        <v>5</v>
      </c>
      <c r="AG140" s="130" t="s">
        <v>342</v>
      </c>
      <c r="AI140">
        <v>1</v>
      </c>
      <c r="AJ140">
        <v>1.0056875027351</v>
      </c>
      <c r="AK140">
        <v>1.0754822707557099</v>
      </c>
      <c r="AL140">
        <v>1.13218376061282</v>
      </c>
      <c r="AM140">
        <v>1.19257480849257</v>
      </c>
      <c r="AN140">
        <v>1.2633403804646099</v>
      </c>
      <c r="AO140">
        <v>1.33842175445903</v>
      </c>
      <c r="AP140">
        <v>1.4106460473943501</v>
      </c>
      <c r="AQ140">
        <v>1.4794649813912499</v>
      </c>
      <c r="AR140">
        <v>1.5470842431476599</v>
      </c>
      <c r="AS140">
        <v>1.61544795560257</v>
      </c>
      <c r="AT140">
        <v>1.68343692767209</v>
      </c>
      <c r="AU140">
        <v>1.7491145815256499</v>
      </c>
      <c r="AV140">
        <v>1.8078457055506301</v>
      </c>
      <c r="AW140">
        <v>1.85660974133859</v>
      </c>
      <c r="AX140">
        <v>1.8956833428653199</v>
      </c>
      <c r="AY140">
        <v>1.92675158434702</v>
      </c>
      <c r="AZ140">
        <v>1.9506368826026399</v>
      </c>
      <c r="BA140">
        <v>0</v>
      </c>
      <c r="BB140">
        <v>0</v>
      </c>
      <c r="BC140">
        <v>0</v>
      </c>
      <c r="BD140">
        <v>0</v>
      </c>
      <c r="BE140">
        <v>0</v>
      </c>
      <c r="BF140">
        <v>0</v>
      </c>
      <c r="BG140">
        <v>0</v>
      </c>
      <c r="BH140">
        <v>0</v>
      </c>
      <c r="BJ140" t="s">
        <v>357</v>
      </c>
      <c r="BL140">
        <v>0.80</v>
      </c>
      <c r="BM140">
        <v>0.79756097560975603</v>
      </c>
      <c r="BN140">
        <v>0.78536585365853595</v>
      </c>
      <c r="BO140">
        <v>0.77317073170731698</v>
      </c>
      <c r="BP140">
        <v>0.76097560975609702</v>
      </c>
      <c r="BQ140">
        <v>0.74878048780487805</v>
      </c>
      <c r="BR140">
        <v>0.73658536585365797</v>
      </c>
      <c r="BS140">
        <v>0.724390243902439</v>
      </c>
      <c r="BT140">
        <v>0.71219512195122003</v>
      </c>
      <c r="BU140">
        <v>0.69999999999999896</v>
      </c>
      <c r="BV140">
        <v>0.687499999999999</v>
      </c>
      <c r="BW140">
        <v>0.675</v>
      </c>
      <c r="BX140">
        <v>0.6625</v>
      </c>
      <c r="BY140">
        <v>0.64999999999999902</v>
      </c>
      <c r="BZ140">
        <v>0.63749999999999896</v>
      </c>
      <c r="CA140">
        <v>0.625</v>
      </c>
      <c r="CB140">
        <v>0.6125</v>
      </c>
      <c r="CC140">
        <v>0.60</v>
      </c>
      <c r="CD140" t="e">
        <v>#VALUE!</v>
      </c>
      <c r="CE140" t="e">
        <v>#VALUE!</v>
      </c>
      <c r="CF140" t="e">
        <v>#VALUE!</v>
      </c>
      <c r="CG140" t="e">
        <v>#VALUE!</v>
      </c>
      <c r="CH140" t="e">
        <v>#VALUE!</v>
      </c>
      <c r="CI140" t="e">
        <v>#VALUE!</v>
      </c>
      <c r="CJ140" t="e">
        <v>#VALUE!</v>
      </c>
      <c r="CK140" t="e">
        <v>#VALUE!</v>
      </c>
    </row>
    <row r="141" spans="1:89" ht="12.5">
      <c r="A141" t="s">
        <v>15</v>
      </c>
      <c r="B141" t="s">
        <v>350</v>
      </c>
      <c r="C141" t="s">
        <v>350</v>
      </c>
      <c r="D141">
        <v>3.472</v>
      </c>
      <c r="E141">
        <v>3.4742267013319101</v>
      </c>
      <c r="F141"/>
      <c r="G141">
        <v>3.4851881876720499</v>
      </c>
      <c r="H141">
        <v>3.4663596146606199</v>
      </c>
      <c r="I141">
        <v>3.4475505114023699</v>
      </c>
      <c r="J141">
        <v>3.4308200523726802</v>
      </c>
      <c r="K141">
        <v>3.41645057549349</v>
      </c>
      <c r="L141">
        <v>3.4023162260215298</v>
      </c>
      <c r="M141">
        <v>3.3866901511231999</v>
      </c>
      <c r="N141">
        <v>3.3702345148095501</v>
      </c>
      <c r="O141">
        <v>3.35294721897671</v>
      </c>
      <c r="P141">
        <v>3.3373744129906102</v>
      </c>
      <c r="Q141">
        <v>3.3219457822188199</v>
      </c>
      <c r="R141">
        <v>3.3031648885862102</v>
      </c>
      <c r="S141">
        <v>3.2796452480528502</v>
      </c>
      <c r="T141">
        <v>3.2529808529545998</v>
      </c>
      <c r="U141">
        <v>3.2249967966938899</v>
      </c>
      <c r="V141">
        <v>3.19587623846932</v>
      </c>
      <c r="W141">
        <v>5</v>
      </c>
      <c r="AG141" s="130" t="s">
        <v>347</v>
      </c>
      <c r="AI141">
        <v>1</v>
      </c>
      <c r="AJ141">
        <v>1.0008041153571801</v>
      </c>
      <c r="AK141">
        <v>1.0048246921431001</v>
      </c>
      <c r="AL141">
        <v>0.99780357746538895</v>
      </c>
      <c r="AM141">
        <v>0.99068867757428603</v>
      </c>
      <c r="AN141">
        <v>0.98426801422184396</v>
      </c>
      <c r="AO141">
        <v>0.978671297778821</v>
      </c>
      <c r="AP141">
        <v>0.97308190098144598</v>
      </c>
      <c r="AQ141">
        <v>0.96680672910769105</v>
      </c>
      <c r="AR141">
        <v>0.96009582798347204</v>
      </c>
      <c r="AS141">
        <v>0.95293259920051898</v>
      </c>
      <c r="AT141">
        <v>0.94637569909376695</v>
      </c>
      <c r="AU141">
        <v>0.93977180421777196</v>
      </c>
      <c r="AV141">
        <v>0.93159783934156604</v>
      </c>
      <c r="AW141">
        <v>0.92119268060916104</v>
      </c>
      <c r="AX141">
        <v>0.90920941108354703</v>
      </c>
      <c r="AY141">
        <v>0.89643952604320798</v>
      </c>
      <c r="AZ141">
        <v>0.88294864989737099</v>
      </c>
      <c r="BA141">
        <v>0</v>
      </c>
      <c r="BB141">
        <v>0</v>
      </c>
      <c r="BC141">
        <v>0</v>
      </c>
      <c r="BD141">
        <v>0</v>
      </c>
      <c r="BE141">
        <v>0</v>
      </c>
      <c r="BF141">
        <v>0</v>
      </c>
      <c r="BG141">
        <v>0</v>
      </c>
      <c r="BH141">
        <v>0</v>
      </c>
      <c r="BJ141" t="s">
        <v>357</v>
      </c>
      <c r="BL141">
        <v>0.80</v>
      </c>
      <c r="BM141">
        <v>0.79756097560975603</v>
      </c>
      <c r="BN141">
        <v>0.78536585365853595</v>
      </c>
      <c r="BO141">
        <v>0.77317073170731698</v>
      </c>
      <c r="BP141">
        <v>0.76097560975609702</v>
      </c>
      <c r="BQ141">
        <v>0.74878048780487805</v>
      </c>
      <c r="BR141">
        <v>0.73658536585365797</v>
      </c>
      <c r="BS141">
        <v>0.724390243902439</v>
      </c>
      <c r="BT141">
        <v>0.71219512195122003</v>
      </c>
      <c r="BU141">
        <v>0.69999999999999896</v>
      </c>
      <c r="BV141">
        <v>0.687499999999999</v>
      </c>
      <c r="BW141">
        <v>0.675</v>
      </c>
      <c r="BX141">
        <v>0.6625</v>
      </c>
      <c r="BY141">
        <v>0.64999999999999902</v>
      </c>
      <c r="BZ141">
        <v>0.63749999999999896</v>
      </c>
      <c r="CA141">
        <v>0.625</v>
      </c>
      <c r="CB141">
        <v>0.6125</v>
      </c>
      <c r="CC141">
        <v>0.60</v>
      </c>
      <c r="CD141" t="e">
        <v>#VALUE!</v>
      </c>
      <c r="CE141" t="e">
        <v>#VALUE!</v>
      </c>
      <c r="CF141" t="e">
        <v>#VALUE!</v>
      </c>
      <c r="CG141" t="e">
        <v>#VALUE!</v>
      </c>
      <c r="CH141" t="e">
        <v>#VALUE!</v>
      </c>
      <c r="CI141" t="e">
        <v>#VALUE!</v>
      </c>
      <c r="CJ141" t="e">
        <v>#VALUE!</v>
      </c>
      <c r="CK141" t="e">
        <v>#VALUE!</v>
      </c>
    </row>
    <row r="142" spans="1:89" ht="12.5">
      <c r="A142" t="s">
        <v>15</v>
      </c>
      <c r="B142" t="s">
        <v>351</v>
      </c>
      <c r="C142" t="s">
        <v>351</v>
      </c>
      <c r="D142">
        <v>2.055</v>
      </c>
      <c r="E142">
        <v>2.0563179352641301</v>
      </c>
      <c r="F142"/>
      <c r="G142">
        <v>2.0628057965628099</v>
      </c>
      <c r="H142">
        <v>2.0516615806819098</v>
      </c>
      <c r="I142">
        <v>2.0405288885172399</v>
      </c>
      <c r="J142">
        <v>2.0306264998922399</v>
      </c>
      <c r="K142">
        <v>2.02212152437763</v>
      </c>
      <c r="L142">
        <v>2.0137557155743799</v>
      </c>
      <c r="M142">
        <v>2.0045069874879502</v>
      </c>
      <c r="N142">
        <v>1.9947672603495501</v>
      </c>
      <c r="O142">
        <v>1.9845352923378801</v>
      </c>
      <c r="P142">
        <v>1.97531809294231</v>
      </c>
      <c r="Q142">
        <v>1.9661862276669599</v>
      </c>
      <c r="R142">
        <v>1.9550702321557201</v>
      </c>
      <c r="S142">
        <v>1.94114947717414</v>
      </c>
      <c r="T142">
        <v>1.9253674115269901</v>
      </c>
      <c r="U142">
        <v>1.90880426762844</v>
      </c>
      <c r="V142">
        <v>1.8915684533566901</v>
      </c>
      <c r="W142">
        <v>5</v>
      </c>
      <c r="AG142" s="130" t="s">
        <v>347</v>
      </c>
      <c r="AI142">
        <v>1</v>
      </c>
      <c r="AJ142">
        <v>1.0008041153571801</v>
      </c>
      <c r="AK142">
        <v>1.0048246921431001</v>
      </c>
      <c r="AL142">
        <v>0.99780357746538895</v>
      </c>
      <c r="AM142">
        <v>0.99068867757428603</v>
      </c>
      <c r="AN142">
        <v>0.98426801422184396</v>
      </c>
      <c r="AO142">
        <v>0.978671297778821</v>
      </c>
      <c r="AP142">
        <v>0.97308190098144598</v>
      </c>
      <c r="AQ142">
        <v>0.96680672910769105</v>
      </c>
      <c r="AR142">
        <v>0.96009582798347204</v>
      </c>
      <c r="AS142">
        <v>0.95293259920051898</v>
      </c>
      <c r="AT142">
        <v>0.94637569909376695</v>
      </c>
      <c r="AU142">
        <v>0.93977180421777196</v>
      </c>
      <c r="AV142">
        <v>0.93159783934156604</v>
      </c>
      <c r="AW142">
        <v>0.92119268060916104</v>
      </c>
      <c r="AX142">
        <v>0.90920941108354703</v>
      </c>
      <c r="AY142">
        <v>0.89643952604320798</v>
      </c>
      <c r="AZ142">
        <v>0.88294864989737099</v>
      </c>
      <c r="BA142">
        <v>0</v>
      </c>
      <c r="BB142">
        <v>0</v>
      </c>
      <c r="BC142">
        <v>0</v>
      </c>
      <c r="BD142">
        <v>0</v>
      </c>
      <c r="BE142">
        <v>0</v>
      </c>
      <c r="BF142">
        <v>0</v>
      </c>
      <c r="BG142">
        <v>0</v>
      </c>
      <c r="BH142">
        <v>0</v>
      </c>
      <c r="BJ142" t="s">
        <v>357</v>
      </c>
      <c r="BL142">
        <v>0.80</v>
      </c>
      <c r="BM142">
        <v>0.79756097560975603</v>
      </c>
      <c r="BN142">
        <v>0.78536585365853595</v>
      </c>
      <c r="BO142">
        <v>0.77317073170731698</v>
      </c>
      <c r="BP142">
        <v>0.76097560975609702</v>
      </c>
      <c r="BQ142">
        <v>0.74878048780487805</v>
      </c>
      <c r="BR142">
        <v>0.73658536585365797</v>
      </c>
      <c r="BS142">
        <v>0.724390243902439</v>
      </c>
      <c r="BT142">
        <v>0.71219512195122003</v>
      </c>
      <c r="BU142">
        <v>0.69999999999999896</v>
      </c>
      <c r="BV142">
        <v>0.687499999999999</v>
      </c>
      <c r="BW142">
        <v>0.675</v>
      </c>
      <c r="BX142">
        <v>0.6625</v>
      </c>
      <c r="BY142">
        <v>0.64999999999999902</v>
      </c>
      <c r="BZ142">
        <v>0.63749999999999896</v>
      </c>
      <c r="CA142">
        <v>0.625</v>
      </c>
      <c r="CB142">
        <v>0.6125</v>
      </c>
      <c r="CC142">
        <v>0.60</v>
      </c>
      <c r="CD142" t="e">
        <v>#VALUE!</v>
      </c>
      <c r="CE142" t="e">
        <v>#VALUE!</v>
      </c>
      <c r="CF142" t="e">
        <v>#VALUE!</v>
      </c>
      <c r="CG142" t="e">
        <v>#VALUE!</v>
      </c>
      <c r="CH142" t="e">
        <v>#VALUE!</v>
      </c>
      <c r="CI142" t="e">
        <v>#VALUE!</v>
      </c>
      <c r="CJ142" t="e">
        <v>#VALUE!</v>
      </c>
      <c r="CK142" t="e">
        <v>#VALUE!</v>
      </c>
    </row>
    <row r="143" spans="1:89" ht="12.5">
      <c r="A143" t="s">
        <v>15</v>
      </c>
      <c r="B143" t="s">
        <v>352</v>
      </c>
      <c r="C143" t="s">
        <v>352</v>
      </c>
      <c r="D143">
        <v>4.48</v>
      </c>
      <c r="E143">
        <v>4.48287316300891</v>
      </c>
      <c r="F143"/>
      <c r="G143">
        <v>4.4970170163510401</v>
      </c>
      <c r="H143">
        <v>4.4727220834330597</v>
      </c>
      <c r="I143">
        <v>4.4484522727772502</v>
      </c>
      <c r="J143">
        <v>4.4268645837066902</v>
      </c>
      <c r="K143">
        <v>4.4083233232173997</v>
      </c>
      <c r="L143">
        <v>4.39008545293101</v>
      </c>
      <c r="M143">
        <v>4.3699227756428396</v>
      </c>
      <c r="N143">
        <v>4.3486896965284503</v>
      </c>
      <c r="O143">
        <v>4.3263835083570399</v>
      </c>
      <c r="P143">
        <v>4.3062895651491697</v>
      </c>
      <c r="Q143">
        <v>4.2863816544758997</v>
      </c>
      <c r="R143">
        <v>4.2621482433370499</v>
      </c>
      <c r="S143">
        <v>4.2318003200682002</v>
      </c>
      <c r="T143">
        <v>4.1973946489736704</v>
      </c>
      <c r="U143">
        <v>4.16128618928244</v>
      </c>
      <c r="V143">
        <v>4.12371127544428</v>
      </c>
      <c r="W143">
        <v>5</v>
      </c>
      <c r="AG143" s="130" t="s">
        <v>347</v>
      </c>
      <c r="AI143">
        <v>1</v>
      </c>
      <c r="AJ143">
        <v>1.0008041153571801</v>
      </c>
      <c r="AK143">
        <v>1.0048246921431001</v>
      </c>
      <c r="AL143">
        <v>0.99780357746538895</v>
      </c>
      <c r="AM143">
        <v>0.99068867757428603</v>
      </c>
      <c r="AN143">
        <v>0.98426801422184396</v>
      </c>
      <c r="AO143">
        <v>0.978671297778821</v>
      </c>
      <c r="AP143">
        <v>0.97308190098144598</v>
      </c>
      <c r="AQ143">
        <v>0.96680672910769105</v>
      </c>
      <c r="AR143">
        <v>0.96009582798347204</v>
      </c>
      <c r="AS143">
        <v>0.95293259920051898</v>
      </c>
      <c r="AT143">
        <v>0.94637569909376695</v>
      </c>
      <c r="AU143">
        <v>0.93977180421777196</v>
      </c>
      <c r="AV143">
        <v>0.93159783934156604</v>
      </c>
      <c r="AW143">
        <v>0.92119268060916104</v>
      </c>
      <c r="AX143">
        <v>0.90920941108354703</v>
      </c>
      <c r="AY143">
        <v>0.89643952604320798</v>
      </c>
      <c r="AZ143">
        <v>0.88294864989737099</v>
      </c>
      <c r="BA143">
        <v>0</v>
      </c>
      <c r="BB143">
        <v>0</v>
      </c>
      <c r="BC143">
        <v>0</v>
      </c>
      <c r="BD143">
        <v>0</v>
      </c>
      <c r="BE143">
        <v>0</v>
      </c>
      <c r="BF143">
        <v>0</v>
      </c>
      <c r="BG143">
        <v>0</v>
      </c>
      <c r="BH143">
        <v>0</v>
      </c>
      <c r="BJ143" t="s">
        <v>357</v>
      </c>
      <c r="BL143">
        <v>0.80</v>
      </c>
      <c r="BM143">
        <v>0.79756097560975603</v>
      </c>
      <c r="BN143">
        <v>0.78536585365853595</v>
      </c>
      <c r="BO143">
        <v>0.77317073170731698</v>
      </c>
      <c r="BP143">
        <v>0.76097560975609702</v>
      </c>
      <c r="BQ143">
        <v>0.74878048780487805</v>
      </c>
      <c r="BR143">
        <v>0.73658536585365797</v>
      </c>
      <c r="BS143">
        <v>0.724390243902439</v>
      </c>
      <c r="BT143">
        <v>0.71219512195122003</v>
      </c>
      <c r="BU143">
        <v>0.69999999999999896</v>
      </c>
      <c r="BV143">
        <v>0.687499999999999</v>
      </c>
      <c r="BW143">
        <v>0.675</v>
      </c>
      <c r="BX143">
        <v>0.6625</v>
      </c>
      <c r="BY143">
        <v>0.64999999999999902</v>
      </c>
      <c r="BZ143">
        <v>0.63749999999999896</v>
      </c>
      <c r="CA143">
        <v>0.625</v>
      </c>
      <c r="CB143">
        <v>0.6125</v>
      </c>
      <c r="CC143">
        <v>0.60</v>
      </c>
      <c r="CD143" t="e">
        <v>#VALUE!</v>
      </c>
      <c r="CE143" t="e">
        <v>#VALUE!</v>
      </c>
      <c r="CF143" t="e">
        <v>#VALUE!</v>
      </c>
      <c r="CG143" t="e">
        <v>#VALUE!</v>
      </c>
      <c r="CH143" t="e">
        <v>#VALUE!</v>
      </c>
      <c r="CI143" t="e">
        <v>#VALUE!</v>
      </c>
      <c r="CJ143" t="e">
        <v>#VALUE!</v>
      </c>
      <c r="CK143" t="e">
        <v>#VALUE!</v>
      </c>
    </row>
    <row r="144" spans="1:89" ht="12.5">
      <c r="A144" t="s">
        <v>15</v>
      </c>
      <c r="B144" t="s">
        <v>353</v>
      </c>
      <c r="C144" t="s">
        <v>353</v>
      </c>
      <c r="D144">
        <v>487.77600000000001</v>
      </c>
      <c r="E144">
        <v>489.67426315271501</v>
      </c>
      <c r="F144"/>
      <c r="G144">
        <v>514.71810690907898</v>
      </c>
      <c r="H144">
        <v>538.64753038405399</v>
      </c>
      <c r="I144">
        <v>563.61241664888598</v>
      </c>
      <c r="J144">
        <v>591.57088575952503</v>
      </c>
      <c r="K144">
        <v>620.10739362833203</v>
      </c>
      <c r="L144">
        <v>647.06668125576505</v>
      </c>
      <c r="M144">
        <v>672.68587932117202</v>
      </c>
      <c r="N144">
        <v>697.64935718342394</v>
      </c>
      <c r="O144">
        <v>722.60852400320402</v>
      </c>
      <c r="P144">
        <v>746.65844045529502</v>
      </c>
      <c r="Q144">
        <v>769.56882782997798</v>
      </c>
      <c r="R144">
        <v>790.90138902228296</v>
      </c>
      <c r="S144">
        <v>810.35015757508904</v>
      </c>
      <c r="T144">
        <v>827.82481724527702</v>
      </c>
      <c r="U144">
        <v>843.47596736127105</v>
      </c>
      <c r="V144">
        <v>857.578256729381</v>
      </c>
      <c r="W144">
        <v>5</v>
      </c>
      <c r="AG144" s="130" t="s">
        <v>354</v>
      </c>
      <c r="AI144">
        <v>1</v>
      </c>
      <c r="AJ144">
        <v>1.0048794637262</v>
      </c>
      <c r="AK144">
        <v>1.0703183143936501</v>
      </c>
      <c r="AL144">
        <v>1.1346759885235</v>
      </c>
      <c r="AM144">
        <v>1.2037836259647301</v>
      </c>
      <c r="AN144">
        <v>1.28353290182187</v>
      </c>
      <c r="AO144">
        <v>1.3675906890257199</v>
      </c>
      <c r="AP144">
        <v>1.4496683639594701</v>
      </c>
      <c r="AQ144">
        <v>1.5302592926268901</v>
      </c>
      <c r="AR144">
        <v>1.6113852368227299</v>
      </c>
      <c r="AS144">
        <v>1.6952384218546901</v>
      </c>
      <c r="AT144">
        <v>1.7788251846323999</v>
      </c>
      <c r="AU144">
        <v>1.86121202368009</v>
      </c>
      <c r="AV144">
        <v>1.9405859794913001</v>
      </c>
      <c r="AW144">
        <v>2.0154412648077802</v>
      </c>
      <c r="AX144">
        <v>2.0849798954524101</v>
      </c>
      <c r="AY144">
        <v>2.1493380516714802</v>
      </c>
      <c r="AZ144">
        <v>2.2092302681807898</v>
      </c>
      <c r="BA144">
        <v>0</v>
      </c>
      <c r="BB144">
        <v>0</v>
      </c>
      <c r="BC144">
        <v>0</v>
      </c>
      <c r="BD144">
        <v>0</v>
      </c>
      <c r="BE144">
        <v>0</v>
      </c>
      <c r="BF144">
        <v>0</v>
      </c>
      <c r="BG144">
        <v>0</v>
      </c>
      <c r="BH144">
        <v>0</v>
      </c>
      <c r="BJ144" t="s">
        <v>357</v>
      </c>
      <c r="BL144">
        <v>0.80</v>
      </c>
      <c r="BM144">
        <v>0.79756097560975603</v>
      </c>
      <c r="BN144">
        <v>0.78536585365853595</v>
      </c>
      <c r="BO144">
        <v>0.77317073170731698</v>
      </c>
      <c r="BP144">
        <v>0.76097560975609702</v>
      </c>
      <c r="BQ144">
        <v>0.74878048780487805</v>
      </c>
      <c r="BR144">
        <v>0.73658536585365797</v>
      </c>
      <c r="BS144">
        <v>0.724390243902439</v>
      </c>
      <c r="BT144">
        <v>0.71219512195122003</v>
      </c>
      <c r="BU144">
        <v>0.69999999999999896</v>
      </c>
      <c r="BV144">
        <v>0.687499999999999</v>
      </c>
      <c r="BW144">
        <v>0.675</v>
      </c>
      <c r="BX144">
        <v>0.6625</v>
      </c>
      <c r="BY144">
        <v>0.64999999999999902</v>
      </c>
      <c r="BZ144">
        <v>0.63749999999999896</v>
      </c>
      <c r="CA144">
        <v>0.625</v>
      </c>
      <c r="CB144">
        <v>0.6125</v>
      </c>
      <c r="CC144">
        <v>0.60</v>
      </c>
      <c r="CD144" t="e">
        <v>#VALUE!</v>
      </c>
      <c r="CE144" t="e">
        <v>#VALUE!</v>
      </c>
      <c r="CF144" t="e">
        <v>#VALUE!</v>
      </c>
      <c r="CG144" t="e">
        <v>#VALUE!</v>
      </c>
      <c r="CH144" t="e">
        <v>#VALUE!</v>
      </c>
      <c r="CI144" t="e">
        <v>#VALUE!</v>
      </c>
      <c r="CJ144" t="e">
        <v>#VALUE!</v>
      </c>
      <c r="CK144" t="e">
        <v>#VALUE!</v>
      </c>
    </row>
    <row r="145" spans="1:89" ht="12.5">
      <c r="A145" t="s">
        <v>15</v>
      </c>
      <c r="B145" t="s">
        <v>355</v>
      </c>
      <c r="C145" t="s">
        <v>355</v>
      </c>
      <c r="D145">
        <v>131</v>
      </c>
      <c r="E145">
        <v>131.59423306015501</v>
      </c>
      <c r="F145"/>
      <c r="G145">
        <v>138.76670217878899</v>
      </c>
      <c r="H145">
        <v>144.423255530294</v>
      </c>
      <c r="I145">
        <v>150.28549441431099</v>
      </c>
      <c r="J145">
        <v>156.96290333831999</v>
      </c>
      <c r="K145">
        <v>163.83409311071901</v>
      </c>
      <c r="L145">
        <v>170.23832702311</v>
      </c>
      <c r="M145">
        <v>176.153210892228</v>
      </c>
      <c r="N145">
        <v>181.788994880671</v>
      </c>
      <c r="O145">
        <v>187.311701421777</v>
      </c>
      <c r="P145">
        <v>192.63295782292701</v>
      </c>
      <c r="Q145">
        <v>197.61190199500999</v>
      </c>
      <c r="R145">
        <v>201.92487268935599</v>
      </c>
      <c r="S145">
        <v>205.397101099748</v>
      </c>
      <c r="T145">
        <v>208.09880124182001</v>
      </c>
      <c r="U145">
        <v>210.18774404861199</v>
      </c>
      <c r="V145">
        <v>211.75112056182601</v>
      </c>
      <c r="W145">
        <v>5</v>
      </c>
      <c r="AG145" s="130" t="s">
        <v>342</v>
      </c>
      <c r="AI145">
        <v>1</v>
      </c>
      <c r="AJ145">
        <v>1.0056875027351</v>
      </c>
      <c r="AK145">
        <v>1.0754822707557099</v>
      </c>
      <c r="AL145">
        <v>1.13218376061282</v>
      </c>
      <c r="AM145">
        <v>1.19257480849257</v>
      </c>
      <c r="AN145">
        <v>1.2633403804646099</v>
      </c>
      <c r="AO145">
        <v>1.33842175445903</v>
      </c>
      <c r="AP145">
        <v>1.4106460473943501</v>
      </c>
      <c r="AQ145">
        <v>1.4794649813912499</v>
      </c>
      <c r="AR145">
        <v>1.5470842431476599</v>
      </c>
      <c r="AS145">
        <v>1.61544795560257</v>
      </c>
      <c r="AT145">
        <v>1.68343692767209</v>
      </c>
      <c r="AU145">
        <v>1.7491145815256499</v>
      </c>
      <c r="AV145">
        <v>1.8078457055506301</v>
      </c>
      <c r="AW145">
        <v>1.85660974133859</v>
      </c>
      <c r="AX145">
        <v>1.8956833428653199</v>
      </c>
      <c r="AY145">
        <v>1.92675158434702</v>
      </c>
      <c r="AZ145">
        <v>1.9506368826026399</v>
      </c>
      <c r="BA145">
        <v>0</v>
      </c>
      <c r="BB145">
        <v>0</v>
      </c>
      <c r="BC145">
        <v>0</v>
      </c>
      <c r="BD145">
        <v>0</v>
      </c>
      <c r="BE145">
        <v>0</v>
      </c>
      <c r="BF145">
        <v>0</v>
      </c>
      <c r="BG145">
        <v>0</v>
      </c>
      <c r="BH145">
        <v>0</v>
      </c>
      <c r="BJ145" t="s">
        <v>357</v>
      </c>
      <c r="BL145">
        <v>0.80</v>
      </c>
      <c r="BM145">
        <v>0.79756097560975603</v>
      </c>
      <c r="BN145">
        <v>0.78536585365853595</v>
      </c>
      <c r="BO145">
        <v>0.77317073170731698</v>
      </c>
      <c r="BP145">
        <v>0.76097560975609702</v>
      </c>
      <c r="BQ145">
        <v>0.74878048780487805</v>
      </c>
      <c r="BR145">
        <v>0.73658536585365797</v>
      </c>
      <c r="BS145">
        <v>0.724390243902439</v>
      </c>
      <c r="BT145">
        <v>0.71219512195122003</v>
      </c>
      <c r="BU145">
        <v>0.69999999999999896</v>
      </c>
      <c r="BV145">
        <v>0.687499999999999</v>
      </c>
      <c r="BW145">
        <v>0.675</v>
      </c>
      <c r="BX145">
        <v>0.6625</v>
      </c>
      <c r="BY145">
        <v>0.64999999999999902</v>
      </c>
      <c r="BZ145">
        <v>0.63749999999999896</v>
      </c>
      <c r="CA145">
        <v>0.625</v>
      </c>
      <c r="CB145">
        <v>0.6125</v>
      </c>
      <c r="CC145">
        <v>0.60</v>
      </c>
      <c r="CD145" t="e">
        <v>#VALUE!</v>
      </c>
      <c r="CE145" t="e">
        <v>#VALUE!</v>
      </c>
      <c r="CF145" t="e">
        <v>#VALUE!</v>
      </c>
      <c r="CG145" t="e">
        <v>#VALUE!</v>
      </c>
      <c r="CH145" t="e">
        <v>#VALUE!</v>
      </c>
      <c r="CI145" t="e">
        <v>#VALUE!</v>
      </c>
      <c r="CJ145" t="e">
        <v>#VALUE!</v>
      </c>
      <c r="CK145" t="e">
        <v>#VALUE!</v>
      </c>
    </row>
    <row r="146" spans="1:89" ht="12.5">
      <c r="A146" t="s">
        <v>15</v>
      </c>
      <c r="B146" t="s">
        <v>356</v>
      </c>
      <c r="C146" t="s">
        <v>356</v>
      </c>
      <c r="D146">
        <v>76.28</v>
      </c>
      <c r="E146">
        <v>76.626016013958903</v>
      </c>
      <c r="F146"/>
      <c r="G146">
        <v>80.802473604565293</v>
      </c>
      <c r="H146">
        <v>84.096228487410997</v>
      </c>
      <c r="I146">
        <v>87.509752014684395</v>
      </c>
      <c r="J146">
        <v>91.397940966771202</v>
      </c>
      <c r="K146">
        <v>95.398966583859703</v>
      </c>
      <c r="L146">
        <v>99.128088437578896</v>
      </c>
      <c r="M146">
        <v>102.57226661724501</v>
      </c>
      <c r="N146">
        <v>105.853927706089</v>
      </c>
      <c r="O146">
        <v>109.06974491949001</v>
      </c>
      <c r="P146">
        <v>112.168259715518</v>
      </c>
      <c r="Q146">
        <v>115.067449497552</v>
      </c>
      <c r="R146">
        <v>117.578849532397</v>
      </c>
      <c r="S146">
        <v>119.60069367854</v>
      </c>
      <c r="T146">
        <v>121.17386686050401</v>
      </c>
      <c r="U146">
        <v>122.390237526932</v>
      </c>
      <c r="V146">
        <v>123.300576156153</v>
      </c>
      <c r="W146">
        <v>5</v>
      </c>
      <c r="AG146" s="130" t="s">
        <v>342</v>
      </c>
      <c r="AI146">
        <v>1</v>
      </c>
      <c r="AJ146">
        <v>1.0056875027351</v>
      </c>
      <c r="AK146">
        <v>1.0754822707557099</v>
      </c>
      <c r="AL146">
        <v>1.13218376061282</v>
      </c>
      <c r="AM146">
        <v>1.19257480849257</v>
      </c>
      <c r="AN146">
        <v>1.2633403804646099</v>
      </c>
      <c r="AO146">
        <v>1.33842175445903</v>
      </c>
      <c r="AP146">
        <v>1.4106460473943501</v>
      </c>
      <c r="AQ146">
        <v>1.4794649813912499</v>
      </c>
      <c r="AR146">
        <v>1.5470842431476599</v>
      </c>
      <c r="AS146">
        <v>1.61544795560257</v>
      </c>
      <c r="AT146">
        <v>1.68343692767209</v>
      </c>
      <c r="AU146">
        <v>1.7491145815256499</v>
      </c>
      <c r="AV146">
        <v>1.8078457055506301</v>
      </c>
      <c r="AW146">
        <v>1.85660974133859</v>
      </c>
      <c r="AX146">
        <v>1.8956833428653199</v>
      </c>
      <c r="AY146">
        <v>1.92675158434702</v>
      </c>
      <c r="AZ146">
        <v>1.9506368826026399</v>
      </c>
      <c r="BA146">
        <v>0</v>
      </c>
      <c r="BB146">
        <v>0</v>
      </c>
      <c r="BC146">
        <v>0</v>
      </c>
      <c r="BD146">
        <v>0</v>
      </c>
      <c r="BE146">
        <v>0</v>
      </c>
      <c r="BF146">
        <v>0</v>
      </c>
      <c r="BG146">
        <v>0</v>
      </c>
      <c r="BH146">
        <v>0</v>
      </c>
      <c r="BJ146" t="s">
        <v>357</v>
      </c>
      <c r="BL146">
        <v>0.80</v>
      </c>
      <c r="BM146">
        <v>0.79756097560975603</v>
      </c>
      <c r="BN146">
        <v>0.78536585365853595</v>
      </c>
      <c r="BO146">
        <v>0.77317073170731698</v>
      </c>
      <c r="BP146">
        <v>0.76097560975609702</v>
      </c>
      <c r="BQ146">
        <v>0.74878048780487805</v>
      </c>
      <c r="BR146">
        <v>0.73658536585365797</v>
      </c>
      <c r="BS146">
        <v>0.724390243902439</v>
      </c>
      <c r="BT146">
        <v>0.71219512195122003</v>
      </c>
      <c r="BU146">
        <v>0.69999999999999896</v>
      </c>
      <c r="BV146">
        <v>0.687499999999999</v>
      </c>
      <c r="BW146">
        <v>0.675</v>
      </c>
      <c r="BX146">
        <v>0.6625</v>
      </c>
      <c r="BY146">
        <v>0.64999999999999902</v>
      </c>
      <c r="BZ146">
        <v>0.63749999999999896</v>
      </c>
      <c r="CA146">
        <v>0.625</v>
      </c>
      <c r="CB146">
        <v>0.6125</v>
      </c>
      <c r="CC146">
        <v>0.60</v>
      </c>
      <c r="CD146" t="e">
        <v>#VALUE!</v>
      </c>
      <c r="CE146" t="e">
        <v>#VALUE!</v>
      </c>
      <c r="CF146" t="e">
        <v>#VALUE!</v>
      </c>
      <c r="CG146" t="e">
        <v>#VALUE!</v>
      </c>
      <c r="CH146" t="e">
        <v>#VALUE!</v>
      </c>
      <c r="CI146" t="e">
        <v>#VALUE!</v>
      </c>
      <c r="CJ146" t="e">
        <v>#VALUE!</v>
      </c>
      <c r="CK146" t="e">
        <v>#VALUE!</v>
      </c>
    </row>
    <row r="147" spans="1:89" ht="12.5">
      <c r="A147" t="s">
        <v>16</v>
      </c>
      <c r="B147" t="s">
        <v>341</v>
      </c>
      <c r="C147" t="s">
        <v>341</v>
      </c>
      <c r="E147" s="2">
        <v>9.4180107153925903</v>
      </c>
      <c r="F147" s="2">
        <f>E147</f>
        <v>9.4180107153925903</v>
      </c>
      <c r="I147" s="2">
        <f>F147</f>
        <v>9.4180107153925903</v>
      </c>
      <c r="J147" s="2">
        <f>I147</f>
        <v>9.4180107153925903</v>
      </c>
      <c r="L147" s="2">
        <f>J147</f>
        <v>9.4180107153925903</v>
      </c>
      <c r="V147" s="2">
        <f>L147</f>
        <v>9.4180107153925903</v>
      </c>
      <c r="W147">
        <v>5</v>
      </c>
      <c r="AG147" s="130" t="s">
        <v>342</v>
      </c>
      <c r="AI147">
        <v>1</v>
      </c>
      <c r="AJ147">
        <v>0.99399582081178195</v>
      </c>
      <c r="AK147">
        <v>1.21947847748895</v>
      </c>
      <c r="AL147">
        <v>1.35596328130499</v>
      </c>
      <c r="AM147">
        <v>1.47246412572297</v>
      </c>
      <c r="AN147">
        <v>1.5995182681493301</v>
      </c>
      <c r="AO147">
        <v>1.72541059727865</v>
      </c>
      <c r="AP147">
        <v>1.84777798871814</v>
      </c>
      <c r="AQ147">
        <v>1.9700814772151001</v>
      </c>
      <c r="AR147">
        <v>2.09095469583227</v>
      </c>
      <c r="AS147">
        <v>2.2064610306369299</v>
      </c>
      <c r="AT147">
        <v>2.3092821496667302</v>
      </c>
      <c r="AU147">
        <v>2.3991412472107498</v>
      </c>
      <c r="AV147">
        <v>2.4782042797887902</v>
      </c>
      <c r="AW147">
        <v>2.5504178160633102</v>
      </c>
      <c r="AX147">
        <v>2.61759297460683</v>
      </c>
      <c r="AY147">
        <v>2.6782718691925398</v>
      </c>
      <c r="AZ147">
        <v>2.7281065307651202</v>
      </c>
      <c r="BA147">
        <v>0</v>
      </c>
      <c r="BB147">
        <v>0</v>
      </c>
      <c r="BC147">
        <v>0</v>
      </c>
      <c r="BD147">
        <v>0</v>
      </c>
      <c r="BE147">
        <v>0</v>
      </c>
      <c r="BF147">
        <v>0</v>
      </c>
      <c r="BG147">
        <v>0</v>
      </c>
      <c r="BH147">
        <v>0</v>
      </c>
      <c r="BJ147" t="s">
        <v>357</v>
      </c>
      <c r="BL147">
        <v>0.80</v>
      </c>
      <c r="BM147">
        <v>0.79756097560975603</v>
      </c>
      <c r="BN147">
        <v>0.78536585365853595</v>
      </c>
      <c r="BO147">
        <v>0.77317073170731698</v>
      </c>
      <c r="BP147">
        <v>0.76097560975609702</v>
      </c>
      <c r="BQ147">
        <v>0.74878048780487805</v>
      </c>
      <c r="BR147">
        <v>0.73658536585365797</v>
      </c>
      <c r="BS147">
        <v>0.724390243902439</v>
      </c>
      <c r="BT147">
        <v>0.71219512195122003</v>
      </c>
      <c r="BU147">
        <v>0.69999999999999896</v>
      </c>
      <c r="BV147">
        <v>0.687499999999999</v>
      </c>
      <c r="BW147">
        <v>0.675</v>
      </c>
      <c r="BX147">
        <v>0.6625</v>
      </c>
      <c r="BY147">
        <v>0.64999999999999902</v>
      </c>
      <c r="BZ147">
        <v>0.63749999999999896</v>
      </c>
      <c r="CA147">
        <v>0.625</v>
      </c>
      <c r="CB147">
        <v>0.6125</v>
      </c>
      <c r="CC147">
        <v>0.60</v>
      </c>
      <c r="CD147" t="e">
        <v>#VALUE!</v>
      </c>
      <c r="CE147" t="e">
        <v>#VALUE!</v>
      </c>
      <c r="CF147" t="e">
        <v>#VALUE!</v>
      </c>
      <c r="CG147" t="e">
        <v>#VALUE!</v>
      </c>
      <c r="CH147" t="e">
        <v>#VALUE!</v>
      </c>
      <c r="CI147" t="e">
        <v>#VALUE!</v>
      </c>
      <c r="CJ147" t="e">
        <v>#VALUE!</v>
      </c>
      <c r="CK147" t="e">
        <v>#VALUE!</v>
      </c>
    </row>
    <row r="148" spans="1:89" ht="12.5">
      <c r="A148" t="s">
        <v>16</v>
      </c>
      <c r="B148" t="s">
        <v>344</v>
      </c>
      <c r="C148" t="s">
        <v>344</v>
      </c>
      <c r="E148" s="2">
        <v>60.066694373325198</v>
      </c>
      <c r="F148" s="2">
        <f>E148</f>
        <v>60.066694373325198</v>
      </c>
      <c r="I148" s="2">
        <f>F148</f>
        <v>60.066694373325198</v>
      </c>
      <c r="J148" s="2">
        <f>I148</f>
        <v>60.066694373325198</v>
      </c>
      <c r="L148" s="2">
        <f>J148</f>
        <v>60.066694373325198</v>
      </c>
      <c r="V148" s="2">
        <f>L148</f>
        <v>60.066694373325198</v>
      </c>
      <c r="W148">
        <v>5</v>
      </c>
      <c r="AG148" s="130" t="s">
        <v>342</v>
      </c>
      <c r="AI148">
        <v>1</v>
      </c>
      <c r="AJ148">
        <v>0.99399582081178195</v>
      </c>
      <c r="AK148">
        <v>1.21947847748895</v>
      </c>
      <c r="AL148">
        <v>1.35596328130499</v>
      </c>
      <c r="AM148">
        <v>1.47246412572297</v>
      </c>
      <c r="AN148">
        <v>1.5995182681493301</v>
      </c>
      <c r="AO148">
        <v>1.72541059727865</v>
      </c>
      <c r="AP148">
        <v>1.84777798871814</v>
      </c>
      <c r="AQ148">
        <v>1.9700814772151001</v>
      </c>
      <c r="AR148">
        <v>2.09095469583227</v>
      </c>
      <c r="AS148">
        <v>2.2064610306369299</v>
      </c>
      <c r="AT148">
        <v>2.3092821496667302</v>
      </c>
      <c r="AU148">
        <v>2.3991412472107498</v>
      </c>
      <c r="AV148">
        <v>2.4782042797887902</v>
      </c>
      <c r="AW148">
        <v>2.5504178160633102</v>
      </c>
      <c r="AX148">
        <v>2.61759297460683</v>
      </c>
      <c r="AY148">
        <v>2.6782718691925398</v>
      </c>
      <c r="AZ148">
        <v>2.7281065307651202</v>
      </c>
      <c r="BA148">
        <v>0</v>
      </c>
      <c r="BB148">
        <v>0</v>
      </c>
      <c r="BC148">
        <v>0</v>
      </c>
      <c r="BD148">
        <v>0</v>
      </c>
      <c r="BE148">
        <v>0</v>
      </c>
      <c r="BF148">
        <v>0</v>
      </c>
      <c r="BG148">
        <v>0</v>
      </c>
      <c r="BH148">
        <v>0</v>
      </c>
      <c r="BJ148" t="s">
        <v>357</v>
      </c>
      <c r="BL148">
        <v>0.80</v>
      </c>
      <c r="BM148">
        <v>0.79756097560975603</v>
      </c>
      <c r="BN148">
        <v>0.78536585365853595</v>
      </c>
      <c r="BO148">
        <v>0.77317073170731698</v>
      </c>
      <c r="BP148">
        <v>0.76097560975609702</v>
      </c>
      <c r="BQ148">
        <v>0.74878048780487805</v>
      </c>
      <c r="BR148">
        <v>0.73658536585365797</v>
      </c>
      <c r="BS148">
        <v>0.724390243902439</v>
      </c>
      <c r="BT148">
        <v>0.71219512195122003</v>
      </c>
      <c r="BU148">
        <v>0.69999999999999896</v>
      </c>
      <c r="BV148">
        <v>0.687499999999999</v>
      </c>
      <c r="BW148">
        <v>0.675</v>
      </c>
      <c r="BX148">
        <v>0.6625</v>
      </c>
      <c r="BY148">
        <v>0.64999999999999902</v>
      </c>
      <c r="BZ148">
        <v>0.63749999999999896</v>
      </c>
      <c r="CA148">
        <v>0.625</v>
      </c>
      <c r="CB148">
        <v>0.6125</v>
      </c>
      <c r="CC148">
        <v>0.60</v>
      </c>
      <c r="CD148" t="e">
        <v>#VALUE!</v>
      </c>
      <c r="CE148" t="e">
        <v>#VALUE!</v>
      </c>
      <c r="CF148" t="e">
        <v>#VALUE!</v>
      </c>
      <c r="CG148" t="e">
        <v>#VALUE!</v>
      </c>
      <c r="CH148" t="e">
        <v>#VALUE!</v>
      </c>
      <c r="CI148" t="e">
        <v>#VALUE!</v>
      </c>
      <c r="CJ148" t="e">
        <v>#VALUE!</v>
      </c>
      <c r="CK148" t="e">
        <v>#VALUE!</v>
      </c>
    </row>
    <row r="149" spans="1:89" ht="12.5">
      <c r="A149" t="s">
        <v>16</v>
      </c>
      <c r="B149" t="s">
        <v>345</v>
      </c>
      <c r="C149" t="s">
        <v>345</v>
      </c>
      <c r="E149" s="2">
        <v>0.40788197354862499</v>
      </c>
      <c r="I149" s="2">
        <v>0.55626985393888595</v>
      </c>
      <c r="J149" s="2">
        <v>0.59221035686475498</v>
      </c>
      <c r="L149" s="2">
        <v>0.65873136050629699</v>
      </c>
      <c r="V149" s="2">
        <v>0.85684460158936304</v>
      </c>
      <c r="W149">
        <v>5</v>
      </c>
      <c r="AG149" s="130" t="s">
        <v>342</v>
      </c>
      <c r="AI149">
        <v>1</v>
      </c>
      <c r="AJ149">
        <v>0.99399582081178195</v>
      </c>
      <c r="AK149">
        <v>1.21947847748895</v>
      </c>
      <c r="AL149">
        <v>1.35596328130499</v>
      </c>
      <c r="AM149">
        <v>1.47246412572297</v>
      </c>
      <c r="AN149">
        <v>1.5995182681493301</v>
      </c>
      <c r="AO149">
        <v>1.72541059727865</v>
      </c>
      <c r="AP149">
        <v>1.84777798871814</v>
      </c>
      <c r="AQ149">
        <v>1.9700814772151001</v>
      </c>
      <c r="AR149">
        <v>2.09095469583227</v>
      </c>
      <c r="AS149">
        <v>2.2064610306369299</v>
      </c>
      <c r="AT149">
        <v>2.3092821496667302</v>
      </c>
      <c r="AU149">
        <v>2.3991412472107498</v>
      </c>
      <c r="AV149">
        <v>2.4782042797887902</v>
      </c>
      <c r="AW149">
        <v>2.5504178160633102</v>
      </c>
      <c r="AX149">
        <v>2.61759297460683</v>
      </c>
      <c r="AY149">
        <v>2.6782718691925398</v>
      </c>
      <c r="AZ149">
        <v>2.7281065307651202</v>
      </c>
      <c r="BA149">
        <v>0</v>
      </c>
      <c r="BB149">
        <v>0</v>
      </c>
      <c r="BC149">
        <v>0</v>
      </c>
      <c r="BD149">
        <v>0</v>
      </c>
      <c r="BE149">
        <v>0</v>
      </c>
      <c r="BF149">
        <v>0</v>
      </c>
      <c r="BG149">
        <v>0</v>
      </c>
      <c r="BH149">
        <v>0</v>
      </c>
      <c r="BJ149" t="s">
        <v>357</v>
      </c>
      <c r="BL149">
        <v>0.80</v>
      </c>
      <c r="BM149">
        <v>0.79756097560975603</v>
      </c>
      <c r="BN149">
        <v>0.78536585365853595</v>
      </c>
      <c r="BO149">
        <v>0.77317073170731698</v>
      </c>
      <c r="BP149">
        <v>0.76097560975609702</v>
      </c>
      <c r="BQ149">
        <v>0.74878048780487805</v>
      </c>
      <c r="BR149">
        <v>0.73658536585365797</v>
      </c>
      <c r="BS149">
        <v>0.724390243902439</v>
      </c>
      <c r="BT149">
        <v>0.71219512195122003</v>
      </c>
      <c r="BU149">
        <v>0.69999999999999896</v>
      </c>
      <c r="BV149">
        <v>0.687499999999999</v>
      </c>
      <c r="BW149">
        <v>0.675</v>
      </c>
      <c r="BX149">
        <v>0.6625</v>
      </c>
      <c r="BY149">
        <v>0.64999999999999902</v>
      </c>
      <c r="BZ149">
        <v>0.63749999999999896</v>
      </c>
      <c r="CA149">
        <v>0.625</v>
      </c>
      <c r="CB149">
        <v>0.6125</v>
      </c>
      <c r="CC149">
        <v>0.60</v>
      </c>
      <c r="CD149" t="e">
        <v>#VALUE!</v>
      </c>
      <c r="CE149" t="e">
        <v>#VALUE!</v>
      </c>
      <c r="CF149" t="e">
        <v>#VALUE!</v>
      </c>
      <c r="CG149" t="e">
        <v>#VALUE!</v>
      </c>
      <c r="CH149" t="e">
        <v>#VALUE!</v>
      </c>
      <c r="CI149" t="e">
        <v>#VALUE!</v>
      </c>
      <c r="CJ149" t="e">
        <v>#VALUE!</v>
      </c>
      <c r="CK149" t="e">
        <v>#VALUE!</v>
      </c>
    </row>
    <row r="150" spans="1:89" ht="12.5">
      <c r="A150" t="s">
        <v>16</v>
      </c>
      <c r="B150" t="s">
        <v>346</v>
      </c>
      <c r="C150" t="s">
        <v>346</v>
      </c>
      <c r="E150" s="2">
        <v>0.69936269014930796</v>
      </c>
      <c r="I150" s="2">
        <v>0.68270312681623502</v>
      </c>
      <c r="J150" s="2">
        <v>0.67892458429635705</v>
      </c>
      <c r="L150" s="2">
        <v>0.673124624068275</v>
      </c>
      <c r="V150" s="2">
        <v>0.61300534716079602</v>
      </c>
      <c r="W150">
        <v>5</v>
      </c>
      <c r="AG150" s="130" t="s">
        <v>347</v>
      </c>
      <c r="AI150">
        <v>1</v>
      </c>
      <c r="AJ150">
        <v>0.99783154988501099</v>
      </c>
      <c r="AK150">
        <v>0.98698929931006696</v>
      </c>
      <c r="AL150">
        <v>0.97630574102793799</v>
      </c>
      <c r="AM150">
        <v>0.96718461978360304</v>
      </c>
      <c r="AN150">
        <v>0.96003558706438696</v>
      </c>
      <c r="AO150">
        <v>0.95411855895265296</v>
      </c>
      <c r="AP150">
        <v>0.94882198127353001</v>
      </c>
      <c r="AQ150">
        <v>0.94133717836935704</v>
      </c>
      <c r="AR150">
        <v>0.93174379292846798</v>
      </c>
      <c r="AS150">
        <v>0.919779512436951</v>
      </c>
      <c r="AT150">
        <v>0.90648663939678398</v>
      </c>
      <c r="AU150">
        <v>0.89268752692812503</v>
      </c>
      <c r="AV150">
        <v>0.87907599840836603</v>
      </c>
      <c r="AW150">
        <v>0.86576558703151296</v>
      </c>
      <c r="AX150">
        <v>0.85227725049987602</v>
      </c>
      <c r="AY150">
        <v>0.83769908003205595</v>
      </c>
      <c r="AZ150">
        <v>0.82107316048520196</v>
      </c>
      <c r="BA150">
        <v>0</v>
      </c>
      <c r="BB150">
        <v>0</v>
      </c>
      <c r="BC150">
        <v>0</v>
      </c>
      <c r="BD150">
        <v>0</v>
      </c>
      <c r="BE150">
        <v>0</v>
      </c>
      <c r="BF150">
        <v>0</v>
      </c>
      <c r="BG150">
        <v>0</v>
      </c>
      <c r="BH150">
        <v>0</v>
      </c>
      <c r="BJ150" t="s">
        <v>357</v>
      </c>
      <c r="BL150">
        <v>0.80</v>
      </c>
      <c r="BM150">
        <v>0.79756097560975603</v>
      </c>
      <c r="BN150">
        <v>0.78536585365853595</v>
      </c>
      <c r="BO150">
        <v>0.77317073170731698</v>
      </c>
      <c r="BP150">
        <v>0.76097560975609702</v>
      </c>
      <c r="BQ150">
        <v>0.74878048780487805</v>
      </c>
      <c r="BR150">
        <v>0.73658536585365797</v>
      </c>
      <c r="BS150">
        <v>0.724390243902439</v>
      </c>
      <c r="BT150">
        <v>0.71219512195122003</v>
      </c>
      <c r="BU150">
        <v>0.69999999999999896</v>
      </c>
      <c r="BV150">
        <v>0.687499999999999</v>
      </c>
      <c r="BW150">
        <v>0.675</v>
      </c>
      <c r="BX150">
        <v>0.6625</v>
      </c>
      <c r="BY150">
        <v>0.64999999999999902</v>
      </c>
      <c r="BZ150">
        <v>0.63749999999999896</v>
      </c>
      <c r="CA150">
        <v>0.625</v>
      </c>
      <c r="CB150">
        <v>0.6125</v>
      </c>
      <c r="CC150">
        <v>0.60</v>
      </c>
      <c r="CD150" t="e">
        <v>#VALUE!</v>
      </c>
      <c r="CE150" t="e">
        <v>#VALUE!</v>
      </c>
      <c r="CF150" t="e">
        <v>#VALUE!</v>
      </c>
      <c r="CG150" t="e">
        <v>#VALUE!</v>
      </c>
      <c r="CH150" t="e">
        <v>#VALUE!</v>
      </c>
      <c r="CI150" t="e">
        <v>#VALUE!</v>
      </c>
      <c r="CJ150" t="e">
        <v>#VALUE!</v>
      </c>
      <c r="CK150" t="e">
        <v>#VALUE!</v>
      </c>
    </row>
    <row r="151" spans="1:89" ht="12.5">
      <c r="A151" t="s">
        <v>16</v>
      </c>
      <c r="B151" t="s">
        <v>348</v>
      </c>
      <c r="C151" t="s">
        <v>348</v>
      </c>
      <c r="E151" s="2">
        <v>26.734801516074501</v>
      </c>
      <c r="F151" s="2">
        <f>E151</f>
        <v>26.734801516074501</v>
      </c>
      <c r="I151" s="2">
        <f>F151</f>
        <v>26.734801516074501</v>
      </c>
      <c r="J151" s="2">
        <f>I151</f>
        <v>26.734801516074501</v>
      </c>
      <c r="L151" s="2">
        <f>J151</f>
        <v>26.734801516074501</v>
      </c>
      <c r="V151" s="2">
        <f>L151</f>
        <v>26.734801516074501</v>
      </c>
      <c r="W151">
        <v>5</v>
      </c>
      <c r="AG151" s="130" t="s">
        <v>342</v>
      </c>
      <c r="AI151">
        <v>1</v>
      </c>
      <c r="AJ151">
        <v>0.99399582081178195</v>
      </c>
      <c r="AK151">
        <v>1.21947847748895</v>
      </c>
      <c r="AL151">
        <v>1.35596328130499</v>
      </c>
      <c r="AM151">
        <v>1.47246412572297</v>
      </c>
      <c r="AN151">
        <v>1.5995182681493301</v>
      </c>
      <c r="AO151">
        <v>1.72541059727865</v>
      </c>
      <c r="AP151">
        <v>1.84777798871814</v>
      </c>
      <c r="AQ151">
        <v>1.9700814772151001</v>
      </c>
      <c r="AR151">
        <v>2.09095469583227</v>
      </c>
      <c r="AS151">
        <v>2.2064610306369299</v>
      </c>
      <c r="AT151">
        <v>2.3092821496667302</v>
      </c>
      <c r="AU151">
        <v>2.3991412472107498</v>
      </c>
      <c r="AV151">
        <v>2.4782042797887902</v>
      </c>
      <c r="AW151">
        <v>2.5504178160633102</v>
      </c>
      <c r="AX151">
        <v>2.61759297460683</v>
      </c>
      <c r="AY151">
        <v>2.6782718691925398</v>
      </c>
      <c r="AZ151">
        <v>2.7281065307651202</v>
      </c>
      <c r="BA151">
        <v>0</v>
      </c>
      <c r="BB151">
        <v>0</v>
      </c>
      <c r="BC151">
        <v>0</v>
      </c>
      <c r="BD151">
        <v>0</v>
      </c>
      <c r="BE151">
        <v>0</v>
      </c>
      <c r="BF151">
        <v>0</v>
      </c>
      <c r="BG151">
        <v>0</v>
      </c>
      <c r="BH151">
        <v>0</v>
      </c>
      <c r="BJ151" t="s">
        <v>357</v>
      </c>
      <c r="BL151">
        <v>0.80</v>
      </c>
      <c r="BM151">
        <v>0.79756097560975603</v>
      </c>
      <c r="BN151">
        <v>0.78536585365853595</v>
      </c>
      <c r="BO151">
        <v>0.77317073170731698</v>
      </c>
      <c r="BP151">
        <v>0.76097560975609702</v>
      </c>
      <c r="BQ151">
        <v>0.74878048780487805</v>
      </c>
      <c r="BR151">
        <v>0.73658536585365797</v>
      </c>
      <c r="BS151">
        <v>0.724390243902439</v>
      </c>
      <c r="BT151">
        <v>0.71219512195122003</v>
      </c>
      <c r="BU151">
        <v>0.69999999999999896</v>
      </c>
      <c r="BV151">
        <v>0.687499999999999</v>
      </c>
      <c r="BW151">
        <v>0.675</v>
      </c>
      <c r="BX151">
        <v>0.6625</v>
      </c>
      <c r="BY151">
        <v>0.64999999999999902</v>
      </c>
      <c r="BZ151">
        <v>0.63749999999999896</v>
      </c>
      <c r="CA151">
        <v>0.625</v>
      </c>
      <c r="CB151">
        <v>0.6125</v>
      </c>
      <c r="CC151">
        <v>0.60</v>
      </c>
      <c r="CD151" t="e">
        <v>#VALUE!</v>
      </c>
      <c r="CE151" t="e">
        <v>#VALUE!</v>
      </c>
      <c r="CF151" t="e">
        <v>#VALUE!</v>
      </c>
      <c r="CG151" t="e">
        <v>#VALUE!</v>
      </c>
      <c r="CH151" t="e">
        <v>#VALUE!</v>
      </c>
      <c r="CI151" t="e">
        <v>#VALUE!</v>
      </c>
      <c r="CJ151" t="e">
        <v>#VALUE!</v>
      </c>
      <c r="CK151" t="e">
        <v>#VALUE!</v>
      </c>
    </row>
    <row r="152" spans="1:89" ht="12.5">
      <c r="A152" t="s">
        <v>16</v>
      </c>
      <c r="B152" t="s">
        <v>349</v>
      </c>
      <c r="C152" t="s">
        <v>349</v>
      </c>
      <c r="E152" s="2">
        <v>116.52376180416999</v>
      </c>
      <c r="F152" s="2">
        <f>E152</f>
        <v>116.52376180416999</v>
      </c>
      <c r="I152" s="2">
        <f>F152</f>
        <v>116.52376180416999</v>
      </c>
      <c r="J152" s="2">
        <f>I152</f>
        <v>116.52376180416999</v>
      </c>
      <c r="L152" s="2">
        <f>J152</f>
        <v>116.52376180416999</v>
      </c>
      <c r="V152" s="2">
        <f>L152</f>
        <v>116.52376180416999</v>
      </c>
      <c r="W152">
        <v>5</v>
      </c>
      <c r="AG152" s="130" t="s">
        <v>342</v>
      </c>
      <c r="AI152">
        <v>1</v>
      </c>
      <c r="AJ152">
        <v>0.99399582081178195</v>
      </c>
      <c r="AK152">
        <v>1.21947847748895</v>
      </c>
      <c r="AL152">
        <v>1.35596328130499</v>
      </c>
      <c r="AM152">
        <v>1.47246412572297</v>
      </c>
      <c r="AN152">
        <v>1.5995182681493301</v>
      </c>
      <c r="AO152">
        <v>1.72541059727865</v>
      </c>
      <c r="AP152">
        <v>1.84777798871814</v>
      </c>
      <c r="AQ152">
        <v>1.9700814772151001</v>
      </c>
      <c r="AR152">
        <v>2.09095469583227</v>
      </c>
      <c r="AS152">
        <v>2.2064610306369299</v>
      </c>
      <c r="AT152">
        <v>2.3092821496667302</v>
      </c>
      <c r="AU152">
        <v>2.3991412472107498</v>
      </c>
      <c r="AV152">
        <v>2.4782042797887902</v>
      </c>
      <c r="AW152">
        <v>2.5504178160633102</v>
      </c>
      <c r="AX152">
        <v>2.61759297460683</v>
      </c>
      <c r="AY152">
        <v>2.6782718691925398</v>
      </c>
      <c r="AZ152">
        <v>2.7281065307651202</v>
      </c>
      <c r="BA152">
        <v>0</v>
      </c>
      <c r="BB152">
        <v>0</v>
      </c>
      <c r="BC152">
        <v>0</v>
      </c>
      <c r="BD152">
        <v>0</v>
      </c>
      <c r="BE152">
        <v>0</v>
      </c>
      <c r="BF152">
        <v>0</v>
      </c>
      <c r="BG152">
        <v>0</v>
      </c>
      <c r="BH152">
        <v>0</v>
      </c>
      <c r="BJ152" t="s">
        <v>357</v>
      </c>
      <c r="BL152">
        <v>0.80</v>
      </c>
      <c r="BM152">
        <v>0.79756097560975603</v>
      </c>
      <c r="BN152">
        <v>0.78536585365853595</v>
      </c>
      <c r="BO152">
        <v>0.77317073170731698</v>
      </c>
      <c r="BP152">
        <v>0.76097560975609702</v>
      </c>
      <c r="BQ152">
        <v>0.74878048780487805</v>
      </c>
      <c r="BR152">
        <v>0.73658536585365797</v>
      </c>
      <c r="BS152">
        <v>0.724390243902439</v>
      </c>
      <c r="BT152">
        <v>0.71219512195122003</v>
      </c>
      <c r="BU152">
        <v>0.69999999999999896</v>
      </c>
      <c r="BV152">
        <v>0.687499999999999</v>
      </c>
      <c r="BW152">
        <v>0.675</v>
      </c>
      <c r="BX152">
        <v>0.6625</v>
      </c>
      <c r="BY152">
        <v>0.64999999999999902</v>
      </c>
      <c r="BZ152">
        <v>0.63749999999999896</v>
      </c>
      <c r="CA152">
        <v>0.625</v>
      </c>
      <c r="CB152">
        <v>0.6125</v>
      </c>
      <c r="CC152">
        <v>0.60</v>
      </c>
      <c r="CD152" t="e">
        <v>#VALUE!</v>
      </c>
      <c r="CE152" t="e">
        <v>#VALUE!</v>
      </c>
      <c r="CF152" t="e">
        <v>#VALUE!</v>
      </c>
      <c r="CG152" t="e">
        <v>#VALUE!</v>
      </c>
      <c r="CH152" t="e">
        <v>#VALUE!</v>
      </c>
      <c r="CI152" t="e">
        <v>#VALUE!</v>
      </c>
      <c r="CJ152" t="e">
        <v>#VALUE!</v>
      </c>
      <c r="CK152" t="e">
        <v>#VALUE!</v>
      </c>
    </row>
    <row r="153" spans="1:89" ht="12.5">
      <c r="A153" t="s">
        <v>16</v>
      </c>
      <c r="B153" t="s">
        <v>350</v>
      </c>
      <c r="C153" t="s">
        <v>350</v>
      </c>
      <c r="D153">
        <v>0.54600000000000004</v>
      </c>
      <c r="E153">
        <v>0.54505570873065801</v>
      </c>
      <c r="F153"/>
      <c r="G153">
        <v>0.54040440054239802</v>
      </c>
      <c r="H153">
        <v>0.53588170074366703</v>
      </c>
      <c r="I153">
        <v>0.53207190186256104</v>
      </c>
      <c r="J153">
        <v>0.529127054789433</v>
      </c>
      <c r="K153">
        <v>0.52672490903817104</v>
      </c>
      <c r="L153">
        <v>0.52460679444776104</v>
      </c>
      <c r="M153">
        <v>0.52165946599269897</v>
      </c>
      <c r="N153">
        <v>0.51793801919466897</v>
      </c>
      <c r="O153">
        <v>0.51336565756177799</v>
      </c>
      <c r="P153">
        <v>0.50835764153033602</v>
      </c>
      <c r="Q153">
        <v>0.503230857938885</v>
      </c>
      <c r="R153">
        <v>0.49824329887778901</v>
      </c>
      <c r="S153">
        <v>0.49343394525567102</v>
      </c>
      <c r="T153">
        <v>0.48862923598343999</v>
      </c>
      <c r="U153">
        <v>0.48350997029871201</v>
      </c>
      <c r="V153">
        <v>0.47775220019397702</v>
      </c>
      <c r="W153">
        <v>5</v>
      </c>
      <c r="AG153" s="130" t="s">
        <v>347</v>
      </c>
      <c r="AI153">
        <v>1</v>
      </c>
      <c r="AJ153">
        <v>0.99783154988501099</v>
      </c>
      <c r="AK153">
        <v>0.98698929931006696</v>
      </c>
      <c r="AL153">
        <v>0.97630574102793799</v>
      </c>
      <c r="AM153">
        <v>0.96718461978360304</v>
      </c>
      <c r="AN153">
        <v>0.96003558706438696</v>
      </c>
      <c r="AO153">
        <v>0.95411855895265296</v>
      </c>
      <c r="AP153">
        <v>0.94882198127353001</v>
      </c>
      <c r="AQ153">
        <v>0.94133717836935704</v>
      </c>
      <c r="AR153">
        <v>0.93174379292846798</v>
      </c>
      <c r="AS153">
        <v>0.919779512436951</v>
      </c>
      <c r="AT153">
        <v>0.90648663939678398</v>
      </c>
      <c r="AU153">
        <v>0.89268752692812503</v>
      </c>
      <c r="AV153">
        <v>0.87907599840836603</v>
      </c>
      <c r="AW153">
        <v>0.86576558703151296</v>
      </c>
      <c r="AX153">
        <v>0.85227725049987602</v>
      </c>
      <c r="AY153">
        <v>0.83769908003205595</v>
      </c>
      <c r="AZ153">
        <v>0.82107316048520196</v>
      </c>
      <c r="BA153">
        <v>0</v>
      </c>
      <c r="BB153">
        <v>0</v>
      </c>
      <c r="BC153">
        <v>0</v>
      </c>
      <c r="BD153">
        <v>0</v>
      </c>
      <c r="BE153">
        <v>0</v>
      </c>
      <c r="BF153">
        <v>0</v>
      </c>
      <c r="BG153">
        <v>0</v>
      </c>
      <c r="BH153">
        <v>0</v>
      </c>
      <c r="BJ153" t="s">
        <v>357</v>
      </c>
      <c r="BL153">
        <v>0.80</v>
      </c>
      <c r="BM153">
        <v>0.79756097560975603</v>
      </c>
      <c r="BN153">
        <v>0.78536585365853595</v>
      </c>
      <c r="BO153">
        <v>0.77317073170731698</v>
      </c>
      <c r="BP153">
        <v>0.76097560975609702</v>
      </c>
      <c r="BQ153">
        <v>0.74878048780487805</v>
      </c>
      <c r="BR153">
        <v>0.73658536585365797</v>
      </c>
      <c r="BS153">
        <v>0.724390243902439</v>
      </c>
      <c r="BT153">
        <v>0.71219512195122003</v>
      </c>
      <c r="BU153">
        <v>0.69999999999999896</v>
      </c>
      <c r="BV153">
        <v>0.687499999999999</v>
      </c>
      <c r="BW153">
        <v>0.675</v>
      </c>
      <c r="BX153">
        <v>0.6625</v>
      </c>
      <c r="BY153">
        <v>0.64999999999999902</v>
      </c>
      <c r="BZ153">
        <v>0.63749999999999896</v>
      </c>
      <c r="CA153">
        <v>0.625</v>
      </c>
      <c r="CB153">
        <v>0.6125</v>
      </c>
      <c r="CC153">
        <v>0.60</v>
      </c>
      <c r="CD153" t="e">
        <v>#VALUE!</v>
      </c>
      <c r="CE153" t="e">
        <v>#VALUE!</v>
      </c>
      <c r="CF153" t="e">
        <v>#VALUE!</v>
      </c>
      <c r="CG153" t="e">
        <v>#VALUE!</v>
      </c>
      <c r="CH153" t="e">
        <v>#VALUE!</v>
      </c>
      <c r="CI153" t="e">
        <v>#VALUE!</v>
      </c>
      <c r="CJ153" t="e">
        <v>#VALUE!</v>
      </c>
      <c r="CK153" t="e">
        <v>#VALUE!</v>
      </c>
    </row>
    <row r="154" spans="1:89" ht="12.5">
      <c r="A154" t="s">
        <v>16</v>
      </c>
      <c r="B154" t="s">
        <v>351</v>
      </c>
      <c r="C154" t="s">
        <v>351</v>
      </c>
      <c r="D154">
        <v>0.315</v>
      </c>
      <c r="E154">
        <v>0.314455216575379</v>
      </c>
      <c r="F154"/>
      <c r="G154">
        <v>0.31177176954369101</v>
      </c>
      <c r="H154">
        <v>0.30916251965980801</v>
      </c>
      <c r="I154">
        <v>0.30696455876686202</v>
      </c>
      <c r="J154">
        <v>0.30526560853236501</v>
      </c>
      <c r="K154">
        <v>0.30387975521432897</v>
      </c>
      <c r="L154">
        <v>0.30265776602755501</v>
      </c>
      <c r="M154">
        <v>0.30095738422655699</v>
      </c>
      <c r="N154">
        <v>0.29881039568923201</v>
      </c>
      <c r="O154">
        <v>0.29617249474717999</v>
      </c>
      <c r="P154">
        <v>0.29328325472903999</v>
      </c>
      <c r="Q154">
        <v>0.29032549496474103</v>
      </c>
      <c r="R154">
        <v>0.28744805704487802</v>
      </c>
      <c r="S154">
        <v>0.28467342995519501</v>
      </c>
      <c r="T154">
        <v>0.281901482298138</v>
      </c>
      <c r="U154">
        <v>0.27894805978771903</v>
      </c>
      <c r="V154">
        <v>0.27562626934267898</v>
      </c>
      <c r="W154">
        <v>5</v>
      </c>
      <c r="AG154" s="130" t="s">
        <v>347</v>
      </c>
      <c r="AI154">
        <v>1</v>
      </c>
      <c r="AJ154">
        <v>0.99783154988501099</v>
      </c>
      <c r="AK154">
        <v>0.98698929931006696</v>
      </c>
      <c r="AL154">
        <v>0.97630574102793799</v>
      </c>
      <c r="AM154">
        <v>0.96718461978360304</v>
      </c>
      <c r="AN154">
        <v>0.96003558706438696</v>
      </c>
      <c r="AO154">
        <v>0.95411855895265296</v>
      </c>
      <c r="AP154">
        <v>0.94882198127353001</v>
      </c>
      <c r="AQ154">
        <v>0.94133717836935704</v>
      </c>
      <c r="AR154">
        <v>0.93174379292846798</v>
      </c>
      <c r="AS154">
        <v>0.919779512436951</v>
      </c>
      <c r="AT154">
        <v>0.90648663939678398</v>
      </c>
      <c r="AU154">
        <v>0.89268752692812503</v>
      </c>
      <c r="AV154">
        <v>0.87907599840836603</v>
      </c>
      <c r="AW154">
        <v>0.86576558703151296</v>
      </c>
      <c r="AX154">
        <v>0.85227725049987602</v>
      </c>
      <c r="AY154">
        <v>0.83769908003205595</v>
      </c>
      <c r="AZ154">
        <v>0.82107316048520196</v>
      </c>
      <c r="BA154">
        <v>0</v>
      </c>
      <c r="BB154">
        <v>0</v>
      </c>
      <c r="BC154">
        <v>0</v>
      </c>
      <c r="BD154">
        <v>0</v>
      </c>
      <c r="BE154">
        <v>0</v>
      </c>
      <c r="BF154">
        <v>0</v>
      </c>
      <c r="BG154">
        <v>0</v>
      </c>
      <c r="BH154">
        <v>0</v>
      </c>
      <c r="BJ154" t="s">
        <v>357</v>
      </c>
      <c r="BL154">
        <v>0.80</v>
      </c>
      <c r="BM154">
        <v>0.79756097560975603</v>
      </c>
      <c r="BN154">
        <v>0.78536585365853595</v>
      </c>
      <c r="BO154">
        <v>0.77317073170731698</v>
      </c>
      <c r="BP154">
        <v>0.76097560975609702</v>
      </c>
      <c r="BQ154">
        <v>0.74878048780487805</v>
      </c>
      <c r="BR154">
        <v>0.73658536585365797</v>
      </c>
      <c r="BS154">
        <v>0.724390243902439</v>
      </c>
      <c r="BT154">
        <v>0.71219512195122003</v>
      </c>
      <c r="BU154">
        <v>0.69999999999999896</v>
      </c>
      <c r="BV154">
        <v>0.687499999999999</v>
      </c>
      <c r="BW154">
        <v>0.675</v>
      </c>
      <c r="BX154">
        <v>0.6625</v>
      </c>
      <c r="BY154">
        <v>0.64999999999999902</v>
      </c>
      <c r="BZ154">
        <v>0.63749999999999896</v>
      </c>
      <c r="CA154">
        <v>0.625</v>
      </c>
      <c r="CB154">
        <v>0.6125</v>
      </c>
      <c r="CC154">
        <v>0.60</v>
      </c>
      <c r="CD154" t="e">
        <v>#VALUE!</v>
      </c>
      <c r="CE154" t="e">
        <v>#VALUE!</v>
      </c>
      <c r="CF154" t="e">
        <v>#VALUE!</v>
      </c>
      <c r="CG154" t="e">
        <v>#VALUE!</v>
      </c>
      <c r="CH154" t="e">
        <v>#VALUE!</v>
      </c>
      <c r="CI154" t="e">
        <v>#VALUE!</v>
      </c>
      <c r="CJ154" t="e">
        <v>#VALUE!</v>
      </c>
      <c r="CK154" t="e">
        <v>#VALUE!</v>
      </c>
    </row>
    <row r="155" spans="1:89" ht="12.5">
      <c r="A155" t="s">
        <v>16</v>
      </c>
      <c r="B155" t="s">
        <v>352</v>
      </c>
      <c r="C155" t="s">
        <v>352</v>
      </c>
      <c r="D155">
        <v>0.35</v>
      </c>
      <c r="E155">
        <v>0.34939468508375499</v>
      </c>
      <c r="F155"/>
      <c r="G155">
        <v>0.34641307727076798</v>
      </c>
      <c r="H155">
        <v>0.34351391073311999</v>
      </c>
      <c r="I155">
        <v>0.34107173196318002</v>
      </c>
      <c r="J155">
        <v>0.339184009480406</v>
      </c>
      <c r="K155">
        <v>0.33764417246036599</v>
      </c>
      <c r="L155">
        <v>0.33628640669728299</v>
      </c>
      <c r="M155">
        <v>0.33439709358506398</v>
      </c>
      <c r="N155">
        <v>0.33201155076581301</v>
      </c>
      <c r="O155">
        <v>0.32908054971908901</v>
      </c>
      <c r="P155">
        <v>0.32587028303226701</v>
      </c>
      <c r="Q155">
        <v>0.32258388329415699</v>
      </c>
      <c r="R155">
        <v>0.31938673004986501</v>
      </c>
      <c r="S155">
        <v>0.31630381106132699</v>
      </c>
      <c r="T155">
        <v>0.31322386922015399</v>
      </c>
      <c r="U155">
        <v>0.30994228865302098</v>
      </c>
      <c r="V155">
        <v>0.30625141038075498</v>
      </c>
      <c r="W155">
        <v>5</v>
      </c>
      <c r="AG155" s="130" t="s">
        <v>347</v>
      </c>
      <c r="AI155">
        <v>1</v>
      </c>
      <c r="AJ155">
        <v>0.99783154988501099</v>
      </c>
      <c r="AK155">
        <v>0.98698929931006696</v>
      </c>
      <c r="AL155">
        <v>0.97630574102793799</v>
      </c>
      <c r="AM155">
        <v>0.96718461978360304</v>
      </c>
      <c r="AN155">
        <v>0.96003558706438696</v>
      </c>
      <c r="AO155">
        <v>0.95411855895265296</v>
      </c>
      <c r="AP155">
        <v>0.94882198127353001</v>
      </c>
      <c r="AQ155">
        <v>0.94133717836935704</v>
      </c>
      <c r="AR155">
        <v>0.93174379292846798</v>
      </c>
      <c r="AS155">
        <v>0.919779512436951</v>
      </c>
      <c r="AT155">
        <v>0.90648663939678398</v>
      </c>
      <c r="AU155">
        <v>0.89268752692812503</v>
      </c>
      <c r="AV155">
        <v>0.87907599840836603</v>
      </c>
      <c r="AW155">
        <v>0.86576558703151296</v>
      </c>
      <c r="AX155">
        <v>0.85227725049987602</v>
      </c>
      <c r="AY155">
        <v>0.83769908003205595</v>
      </c>
      <c r="AZ155">
        <v>0.82107316048520196</v>
      </c>
      <c r="BA155">
        <v>0</v>
      </c>
      <c r="BB155">
        <v>0</v>
      </c>
      <c r="BC155">
        <v>0</v>
      </c>
      <c r="BD155">
        <v>0</v>
      </c>
      <c r="BE155">
        <v>0</v>
      </c>
      <c r="BF155">
        <v>0</v>
      </c>
      <c r="BG155">
        <v>0</v>
      </c>
      <c r="BH155">
        <v>0</v>
      </c>
      <c r="BJ155" t="s">
        <v>357</v>
      </c>
      <c r="BL155">
        <v>0.80</v>
      </c>
      <c r="BM155">
        <v>0.79756097560975603</v>
      </c>
      <c r="BN155">
        <v>0.78536585365853595</v>
      </c>
      <c r="BO155">
        <v>0.77317073170731698</v>
      </c>
      <c r="BP155">
        <v>0.76097560975609702</v>
      </c>
      <c r="BQ155">
        <v>0.74878048780487805</v>
      </c>
      <c r="BR155">
        <v>0.73658536585365797</v>
      </c>
      <c r="BS155">
        <v>0.724390243902439</v>
      </c>
      <c r="BT155">
        <v>0.71219512195122003</v>
      </c>
      <c r="BU155">
        <v>0.69999999999999896</v>
      </c>
      <c r="BV155">
        <v>0.687499999999999</v>
      </c>
      <c r="BW155">
        <v>0.675</v>
      </c>
      <c r="BX155">
        <v>0.6625</v>
      </c>
      <c r="BY155">
        <v>0.64999999999999902</v>
      </c>
      <c r="BZ155">
        <v>0.63749999999999896</v>
      </c>
      <c r="CA155">
        <v>0.625</v>
      </c>
      <c r="CB155">
        <v>0.6125</v>
      </c>
      <c r="CC155">
        <v>0.60</v>
      </c>
      <c r="CD155" t="e">
        <v>#VALUE!</v>
      </c>
      <c r="CE155" t="e">
        <v>#VALUE!</v>
      </c>
      <c r="CF155" t="e">
        <v>#VALUE!</v>
      </c>
      <c r="CG155" t="e">
        <v>#VALUE!</v>
      </c>
      <c r="CH155" t="e">
        <v>#VALUE!</v>
      </c>
      <c r="CI155" t="e">
        <v>#VALUE!</v>
      </c>
      <c r="CJ155" t="e">
        <v>#VALUE!</v>
      </c>
      <c r="CK155" t="e">
        <v>#VALUE!</v>
      </c>
    </row>
    <row r="156" spans="1:89" ht="12.5">
      <c r="A156" t="s">
        <v>16</v>
      </c>
      <c r="B156" t="s">
        <v>353</v>
      </c>
      <c r="C156" t="s">
        <v>353</v>
      </c>
      <c r="D156">
        <v>67.091999999999999</v>
      </c>
      <c r="E156">
        <v>66.886304245996996</v>
      </c>
      <c r="F156"/>
      <c r="G156">
        <v>79.510459908493104</v>
      </c>
      <c r="H156">
        <v>87.138802162632004</v>
      </c>
      <c r="I156">
        <v>93.515103762557899</v>
      </c>
      <c r="J156">
        <v>100.12352187670101</v>
      </c>
      <c r="K156">
        <v>106.421441172394</v>
      </c>
      <c r="L156">
        <v>112.34962785144999</v>
      </c>
      <c r="M156">
        <v>118.324099367125</v>
      </c>
      <c r="N156">
        <v>124.311016313788</v>
      </c>
      <c r="O156">
        <v>130.20522437770001</v>
      </c>
      <c r="P156">
        <v>135.64970195504901</v>
      </c>
      <c r="Q156">
        <v>140.589883790382</v>
      </c>
      <c r="R156">
        <v>145.063001331268</v>
      </c>
      <c r="S156">
        <v>149.220945668528</v>
      </c>
      <c r="T156">
        <v>153.19227087553799</v>
      </c>
      <c r="U156">
        <v>157.038113361228</v>
      </c>
      <c r="V156">
        <v>160.73474087547299</v>
      </c>
      <c r="W156">
        <v>5</v>
      </c>
      <c r="AG156" s="130" t="s">
        <v>354</v>
      </c>
      <c r="AI156">
        <v>1</v>
      </c>
      <c r="AJ156">
        <v>0.99615593526415103</v>
      </c>
      <c r="AK156">
        <v>1.2355538994611199</v>
      </c>
      <c r="AL156">
        <v>1.3888715638170099</v>
      </c>
      <c r="AM156">
        <v>1.52242301583788</v>
      </c>
      <c r="AN156">
        <v>1.6661031004489799</v>
      </c>
      <c r="AO156">
        <v>1.80838175831382</v>
      </c>
      <c r="AP156">
        <v>1.9474443311673799</v>
      </c>
      <c r="AQ156">
        <v>2.0928542104623902</v>
      </c>
      <c r="AR156">
        <v>2.24413053427531</v>
      </c>
      <c r="AS156">
        <v>2.3989021290449601</v>
      </c>
      <c r="AT156">
        <v>2.54750820288253</v>
      </c>
      <c r="AU156">
        <v>2.6875487500834301</v>
      </c>
      <c r="AV156">
        <v>2.8191012884844602</v>
      </c>
      <c r="AW156">
        <v>2.9458526121464699</v>
      </c>
      <c r="AX156">
        <v>3.0712927900769</v>
      </c>
      <c r="AY156">
        <v>3.1971765673779302</v>
      </c>
      <c r="AZ156">
        <v>3.3226107758204901</v>
      </c>
      <c r="BA156">
        <v>0</v>
      </c>
      <c r="BB156">
        <v>0</v>
      </c>
      <c r="BC156">
        <v>0</v>
      </c>
      <c r="BD156">
        <v>0</v>
      </c>
      <c r="BE156">
        <v>0</v>
      </c>
      <c r="BF156">
        <v>0</v>
      </c>
      <c r="BG156">
        <v>0</v>
      </c>
      <c r="BH156">
        <v>0</v>
      </c>
      <c r="BJ156" t="s">
        <v>357</v>
      </c>
      <c r="BL156">
        <v>0.80</v>
      </c>
      <c r="BM156">
        <v>0.79756097560975603</v>
      </c>
      <c r="BN156">
        <v>0.78536585365853595</v>
      </c>
      <c r="BO156">
        <v>0.77317073170731698</v>
      </c>
      <c r="BP156">
        <v>0.76097560975609702</v>
      </c>
      <c r="BQ156">
        <v>0.74878048780487805</v>
      </c>
      <c r="BR156">
        <v>0.73658536585365797</v>
      </c>
      <c r="BS156">
        <v>0.724390243902439</v>
      </c>
      <c r="BT156">
        <v>0.71219512195122003</v>
      </c>
      <c r="BU156">
        <v>0.69999999999999896</v>
      </c>
      <c r="BV156">
        <v>0.687499999999999</v>
      </c>
      <c r="BW156">
        <v>0.675</v>
      </c>
      <c r="BX156">
        <v>0.6625</v>
      </c>
      <c r="BY156">
        <v>0.64999999999999902</v>
      </c>
      <c r="BZ156">
        <v>0.63749999999999896</v>
      </c>
      <c r="CA156">
        <v>0.625</v>
      </c>
      <c r="CB156">
        <v>0.6125</v>
      </c>
      <c r="CC156">
        <v>0.60</v>
      </c>
      <c r="CD156" t="e">
        <v>#VALUE!</v>
      </c>
      <c r="CE156" t="e">
        <v>#VALUE!</v>
      </c>
      <c r="CF156" t="e">
        <v>#VALUE!</v>
      </c>
      <c r="CG156" t="e">
        <v>#VALUE!</v>
      </c>
      <c r="CH156" t="e">
        <v>#VALUE!</v>
      </c>
      <c r="CI156" t="e">
        <v>#VALUE!</v>
      </c>
      <c r="CJ156" t="e">
        <v>#VALUE!</v>
      </c>
      <c r="CK156" t="e">
        <v>#VALUE!</v>
      </c>
    </row>
    <row r="157" spans="1:89" ht="12.5">
      <c r="A157" t="s">
        <v>16</v>
      </c>
      <c r="B157" t="s">
        <v>355</v>
      </c>
      <c r="C157" t="s">
        <v>355</v>
      </c>
      <c r="D157">
        <v>10.60</v>
      </c>
      <c r="E157">
        <v>10.5492397904824</v>
      </c>
      <c r="F157"/>
      <c r="G157">
        <v>12.4286507881249</v>
      </c>
      <c r="H157">
        <v>13.504148649486201</v>
      </c>
      <c r="I157">
        <v>14.3870640478755</v>
      </c>
      <c r="J157">
        <v>15.316609867851099</v>
      </c>
      <c r="K157">
        <v>16.204574771159301</v>
      </c>
      <c r="L157">
        <v>17.037073296065198</v>
      </c>
      <c r="M157">
        <v>17.8401981053753</v>
      </c>
      <c r="N157">
        <v>18.606400688107598</v>
      </c>
      <c r="O157">
        <v>19.313037489840301</v>
      </c>
      <c r="P157">
        <v>19.920529290884101</v>
      </c>
      <c r="Q157">
        <v>20.434066374267498</v>
      </c>
      <c r="R157">
        <v>20.871775707664899</v>
      </c>
      <c r="S157">
        <v>21.2594982915538</v>
      </c>
      <c r="T157">
        <v>21.609467951254299</v>
      </c>
      <c r="U157">
        <v>21.916289396513299</v>
      </c>
      <c r="V157">
        <v>22.160967513973699</v>
      </c>
      <c r="W157">
        <v>5</v>
      </c>
      <c r="AG157" s="130" t="s">
        <v>342</v>
      </c>
      <c r="AI157">
        <v>1</v>
      </c>
      <c r="AJ157">
        <v>0.99399582081178195</v>
      </c>
      <c r="AK157">
        <v>1.21947847748895</v>
      </c>
      <c r="AL157">
        <v>1.35596328130499</v>
      </c>
      <c r="AM157">
        <v>1.47246412572297</v>
      </c>
      <c r="AN157">
        <v>1.5995182681493301</v>
      </c>
      <c r="AO157">
        <v>1.72541059727865</v>
      </c>
      <c r="AP157">
        <v>1.84777798871814</v>
      </c>
      <c r="AQ157">
        <v>1.9700814772151001</v>
      </c>
      <c r="AR157">
        <v>2.09095469583227</v>
      </c>
      <c r="AS157">
        <v>2.2064610306369299</v>
      </c>
      <c r="AT157">
        <v>2.3092821496667302</v>
      </c>
      <c r="AU157">
        <v>2.3991412472107498</v>
      </c>
      <c r="AV157">
        <v>2.4782042797887902</v>
      </c>
      <c r="AW157">
        <v>2.5504178160633102</v>
      </c>
      <c r="AX157">
        <v>2.61759297460683</v>
      </c>
      <c r="AY157">
        <v>2.6782718691925398</v>
      </c>
      <c r="AZ157">
        <v>2.7281065307651202</v>
      </c>
      <c r="BA157">
        <v>0</v>
      </c>
      <c r="BB157">
        <v>0</v>
      </c>
      <c r="BC157">
        <v>0</v>
      </c>
      <c r="BD157">
        <v>0</v>
      </c>
      <c r="BE157">
        <v>0</v>
      </c>
      <c r="BF157">
        <v>0</v>
      </c>
      <c r="BG157">
        <v>0</v>
      </c>
      <c r="BH157">
        <v>0</v>
      </c>
      <c r="BJ157" t="s">
        <v>357</v>
      </c>
      <c r="BL157">
        <v>0.80</v>
      </c>
      <c r="BM157">
        <v>0.79756097560975603</v>
      </c>
      <c r="BN157">
        <v>0.78536585365853595</v>
      </c>
      <c r="BO157">
        <v>0.77317073170731698</v>
      </c>
      <c r="BP157">
        <v>0.76097560975609702</v>
      </c>
      <c r="BQ157">
        <v>0.74878048780487805</v>
      </c>
      <c r="BR157">
        <v>0.73658536585365797</v>
      </c>
      <c r="BS157">
        <v>0.724390243902439</v>
      </c>
      <c r="BT157">
        <v>0.71219512195122003</v>
      </c>
      <c r="BU157">
        <v>0.69999999999999896</v>
      </c>
      <c r="BV157">
        <v>0.687499999999999</v>
      </c>
      <c r="BW157">
        <v>0.675</v>
      </c>
      <c r="BX157">
        <v>0.6625</v>
      </c>
      <c r="BY157">
        <v>0.64999999999999902</v>
      </c>
      <c r="BZ157">
        <v>0.63749999999999896</v>
      </c>
      <c r="CA157">
        <v>0.625</v>
      </c>
      <c r="CB157">
        <v>0.6125</v>
      </c>
      <c r="CC157">
        <v>0.60</v>
      </c>
      <c r="CD157" t="e">
        <v>#VALUE!</v>
      </c>
      <c r="CE157" t="e">
        <v>#VALUE!</v>
      </c>
      <c r="CF157" t="e">
        <v>#VALUE!</v>
      </c>
      <c r="CG157" t="e">
        <v>#VALUE!</v>
      </c>
      <c r="CH157" t="e">
        <v>#VALUE!</v>
      </c>
      <c r="CI157" t="e">
        <v>#VALUE!</v>
      </c>
      <c r="CJ157" t="e">
        <v>#VALUE!</v>
      </c>
      <c r="CK157" t="e">
        <v>#VALUE!</v>
      </c>
    </row>
    <row r="158" spans="1:89" ht="12.5">
      <c r="A158" t="s">
        <v>16</v>
      </c>
      <c r="B158" t="s">
        <v>356</v>
      </c>
      <c r="C158" t="s">
        <v>356</v>
      </c>
      <c r="D158">
        <v>7.76</v>
      </c>
      <c r="E158">
        <v>7.7228396956739296</v>
      </c>
      <c r="F158"/>
      <c r="G158">
        <v>9.0987103882876408</v>
      </c>
      <c r="H158">
        <v>9.8860559924540095</v>
      </c>
      <c r="I158">
        <v>10.5324166991994</v>
      </c>
      <c r="J158">
        <v>11.2129143938231</v>
      </c>
      <c r="K158">
        <v>11.8629717192638</v>
      </c>
      <c r="L158">
        <v>12.4724234695723</v>
      </c>
      <c r="M158">
        <v>13.060371443180401</v>
      </c>
      <c r="N158">
        <v>13.621289560350499</v>
      </c>
      <c r="O158">
        <v>14.138601030298201</v>
      </c>
      <c r="P158">
        <v>14.583330877100099</v>
      </c>
      <c r="Q158">
        <v>14.959278779652401</v>
      </c>
      <c r="R158">
        <v>15.279715046366</v>
      </c>
      <c r="S158">
        <v>15.5635572398545</v>
      </c>
      <c r="T158">
        <v>15.819761443559701</v>
      </c>
      <c r="U158">
        <v>16.044377897824901</v>
      </c>
      <c r="V158">
        <v>16.223500746078901</v>
      </c>
      <c r="W158">
        <v>5</v>
      </c>
      <c r="AG158" s="130" t="s">
        <v>342</v>
      </c>
      <c r="AI158">
        <v>1</v>
      </c>
      <c r="AJ158">
        <v>0.99399582081178195</v>
      </c>
      <c r="AK158">
        <v>1.21947847748895</v>
      </c>
      <c r="AL158">
        <v>1.35596328130499</v>
      </c>
      <c r="AM158">
        <v>1.47246412572297</v>
      </c>
      <c r="AN158">
        <v>1.5995182681493301</v>
      </c>
      <c r="AO158">
        <v>1.72541059727865</v>
      </c>
      <c r="AP158">
        <v>1.84777798871814</v>
      </c>
      <c r="AQ158">
        <v>1.9700814772151001</v>
      </c>
      <c r="AR158">
        <v>2.09095469583227</v>
      </c>
      <c r="AS158">
        <v>2.2064610306369299</v>
      </c>
      <c r="AT158">
        <v>2.3092821496667302</v>
      </c>
      <c r="AU158">
        <v>2.3991412472107498</v>
      </c>
      <c r="AV158">
        <v>2.4782042797887902</v>
      </c>
      <c r="AW158">
        <v>2.5504178160633102</v>
      </c>
      <c r="AX158">
        <v>2.61759297460683</v>
      </c>
      <c r="AY158">
        <v>2.6782718691925398</v>
      </c>
      <c r="AZ158">
        <v>2.7281065307651202</v>
      </c>
      <c r="BA158">
        <v>0</v>
      </c>
      <c r="BB158">
        <v>0</v>
      </c>
      <c r="BC158">
        <v>0</v>
      </c>
      <c r="BD158">
        <v>0</v>
      </c>
      <c r="BE158">
        <v>0</v>
      </c>
      <c r="BF158">
        <v>0</v>
      </c>
      <c r="BG158">
        <v>0</v>
      </c>
      <c r="BH158">
        <v>0</v>
      </c>
      <c r="BJ158" t="s">
        <v>357</v>
      </c>
      <c r="BL158">
        <v>0.80</v>
      </c>
      <c r="BM158">
        <v>0.79756097560975603</v>
      </c>
      <c r="BN158">
        <v>0.78536585365853595</v>
      </c>
      <c r="BO158">
        <v>0.77317073170731698</v>
      </c>
      <c r="BP158">
        <v>0.76097560975609702</v>
      </c>
      <c r="BQ158">
        <v>0.74878048780487805</v>
      </c>
      <c r="BR158">
        <v>0.73658536585365797</v>
      </c>
      <c r="BS158">
        <v>0.724390243902439</v>
      </c>
      <c r="BT158">
        <v>0.71219512195122003</v>
      </c>
      <c r="BU158">
        <v>0.69999999999999896</v>
      </c>
      <c r="BV158">
        <v>0.687499999999999</v>
      </c>
      <c r="BW158">
        <v>0.675</v>
      </c>
      <c r="BX158">
        <v>0.6625</v>
      </c>
      <c r="BY158">
        <v>0.64999999999999902</v>
      </c>
      <c r="BZ158">
        <v>0.63749999999999896</v>
      </c>
      <c r="CA158">
        <v>0.625</v>
      </c>
      <c r="CB158">
        <v>0.6125</v>
      </c>
      <c r="CC158">
        <v>0.60</v>
      </c>
      <c r="CD158" t="e">
        <v>#VALUE!</v>
      </c>
      <c r="CE158" t="e">
        <v>#VALUE!</v>
      </c>
      <c r="CF158" t="e">
        <v>#VALUE!</v>
      </c>
      <c r="CG158" t="e">
        <v>#VALUE!</v>
      </c>
      <c r="CH158" t="e">
        <v>#VALUE!</v>
      </c>
      <c r="CI158" t="e">
        <v>#VALUE!</v>
      </c>
      <c r="CJ158" t="e">
        <v>#VALUE!</v>
      </c>
      <c r="CK158" t="e">
        <v>#VALUE!</v>
      </c>
    </row>
    <row r="159" spans="1:89" ht="12.5">
      <c r="A159" t="s">
        <v>17</v>
      </c>
      <c r="B159" t="s">
        <v>341</v>
      </c>
      <c r="C159" t="s">
        <v>341</v>
      </c>
      <c r="E159" s="2">
        <v>3.2651662711141198</v>
      </c>
      <c r="F159" s="2">
        <f>E159</f>
        <v>3.2651662711141198</v>
      </c>
      <c r="I159" s="2">
        <f>F159</f>
        <v>3.2651662711141198</v>
      </c>
      <c r="J159" s="2">
        <f>I159</f>
        <v>3.2651662711141198</v>
      </c>
      <c r="L159" s="2">
        <f>J159</f>
        <v>3.2651662711141198</v>
      </c>
      <c r="V159" s="2">
        <f>L159</f>
        <v>3.2651662711141198</v>
      </c>
      <c r="W159">
        <v>5</v>
      </c>
      <c r="AG159" s="130" t="s">
        <v>342</v>
      </c>
      <c r="AI159">
        <v>1</v>
      </c>
      <c r="AJ159">
        <v>1.0262148323906199</v>
      </c>
      <c r="AK159">
        <v>1.22119565054484</v>
      </c>
      <c r="AL159">
        <v>1.3878490425777501</v>
      </c>
      <c r="AM159">
        <v>1.5285762184508001</v>
      </c>
      <c r="AN159">
        <v>1.6388894955253801</v>
      </c>
      <c r="AO159">
        <v>1.7235763062346701</v>
      </c>
      <c r="AP159">
        <v>1.79283349626876</v>
      </c>
      <c r="AQ159">
        <v>1.85482924752953</v>
      </c>
      <c r="AR159">
        <v>1.91218851178937</v>
      </c>
      <c r="AS159">
        <v>1.9654508386785099</v>
      </c>
      <c r="AT159">
        <v>2.0113296858065501</v>
      </c>
      <c r="AU159">
        <v>2.0522069935052798</v>
      </c>
      <c r="AV159">
        <v>2.0895376188133201</v>
      </c>
      <c r="AW159">
        <v>2.1252442425558198</v>
      </c>
      <c r="AX159">
        <v>2.1606414816889301</v>
      </c>
      <c r="AY159">
        <v>2.19610937613075</v>
      </c>
      <c r="AZ159">
        <v>2.2290593722982401</v>
      </c>
      <c r="BA159">
        <v>0</v>
      </c>
      <c r="BB159">
        <v>0</v>
      </c>
      <c r="BC159">
        <v>0</v>
      </c>
      <c r="BD159">
        <v>0</v>
      </c>
      <c r="BE159">
        <v>0</v>
      </c>
      <c r="BF159">
        <v>0</v>
      </c>
      <c r="BG159">
        <v>0</v>
      </c>
      <c r="BH159">
        <v>0</v>
      </c>
      <c r="BJ159" t="s">
        <v>357</v>
      </c>
      <c r="BL159">
        <v>0.80</v>
      </c>
      <c r="BM159">
        <v>0.79756097560975603</v>
      </c>
      <c r="BN159">
        <v>0.78536585365853595</v>
      </c>
      <c r="BO159">
        <v>0.77317073170731698</v>
      </c>
      <c r="BP159">
        <v>0.76097560975609702</v>
      </c>
      <c r="BQ159">
        <v>0.74878048780487805</v>
      </c>
      <c r="BR159">
        <v>0.73658536585365797</v>
      </c>
      <c r="BS159">
        <v>0.724390243902439</v>
      </c>
      <c r="BT159">
        <v>0.71219512195122003</v>
      </c>
      <c r="BU159">
        <v>0.69999999999999896</v>
      </c>
      <c r="BV159">
        <v>0.687499999999999</v>
      </c>
      <c r="BW159">
        <v>0.675</v>
      </c>
      <c r="BX159">
        <v>0.6625</v>
      </c>
      <c r="BY159">
        <v>0.64999999999999902</v>
      </c>
      <c r="BZ159">
        <v>0.63749999999999896</v>
      </c>
      <c r="CA159">
        <v>0.625</v>
      </c>
      <c r="CB159">
        <v>0.6125</v>
      </c>
      <c r="CC159">
        <v>0.60</v>
      </c>
      <c r="CD159" t="e">
        <v>#VALUE!</v>
      </c>
      <c r="CE159" t="e">
        <v>#VALUE!</v>
      </c>
      <c r="CF159" t="e">
        <v>#VALUE!</v>
      </c>
      <c r="CG159" t="e">
        <v>#VALUE!</v>
      </c>
      <c r="CH159" t="e">
        <v>#VALUE!</v>
      </c>
      <c r="CI159" t="e">
        <v>#VALUE!</v>
      </c>
      <c r="CJ159" t="e">
        <v>#VALUE!</v>
      </c>
      <c r="CK159" t="e">
        <v>#VALUE!</v>
      </c>
    </row>
    <row r="160" spans="1:89" ht="12.5">
      <c r="A160" t="s">
        <v>17</v>
      </c>
      <c r="B160" t="s">
        <v>344</v>
      </c>
      <c r="C160" t="s">
        <v>344</v>
      </c>
      <c r="E160" s="2">
        <v>28.769235114751702</v>
      </c>
      <c r="F160" s="2">
        <f>E160</f>
        <v>28.769235114751702</v>
      </c>
      <c r="I160" s="2">
        <f>F160</f>
        <v>28.769235114751702</v>
      </c>
      <c r="J160" s="2">
        <f>I160</f>
        <v>28.769235114751702</v>
      </c>
      <c r="L160" s="2">
        <f>J160</f>
        <v>28.769235114751702</v>
      </c>
      <c r="V160" s="2">
        <f>L160</f>
        <v>28.769235114751702</v>
      </c>
      <c r="W160">
        <v>5</v>
      </c>
      <c r="AG160" s="130" t="s">
        <v>342</v>
      </c>
      <c r="AI160">
        <v>1</v>
      </c>
      <c r="AJ160">
        <v>1.0262148323906199</v>
      </c>
      <c r="AK160">
        <v>1.22119565054484</v>
      </c>
      <c r="AL160">
        <v>1.3878490425777501</v>
      </c>
      <c r="AM160">
        <v>1.5285762184508001</v>
      </c>
      <c r="AN160">
        <v>1.6388894955253801</v>
      </c>
      <c r="AO160">
        <v>1.7235763062346701</v>
      </c>
      <c r="AP160">
        <v>1.79283349626876</v>
      </c>
      <c r="AQ160">
        <v>1.85482924752953</v>
      </c>
      <c r="AR160">
        <v>1.91218851178937</v>
      </c>
      <c r="AS160">
        <v>1.9654508386785099</v>
      </c>
      <c r="AT160">
        <v>2.0113296858065501</v>
      </c>
      <c r="AU160">
        <v>2.0522069935052798</v>
      </c>
      <c r="AV160">
        <v>2.0895376188133201</v>
      </c>
      <c r="AW160">
        <v>2.1252442425558198</v>
      </c>
      <c r="AX160">
        <v>2.1606414816889301</v>
      </c>
      <c r="AY160">
        <v>2.19610937613075</v>
      </c>
      <c r="AZ160">
        <v>2.2290593722982401</v>
      </c>
      <c r="BA160">
        <v>0</v>
      </c>
      <c r="BB160">
        <v>0</v>
      </c>
      <c r="BC160">
        <v>0</v>
      </c>
      <c r="BD160">
        <v>0</v>
      </c>
      <c r="BE160">
        <v>0</v>
      </c>
      <c r="BF160">
        <v>0</v>
      </c>
      <c r="BG160">
        <v>0</v>
      </c>
      <c r="BH160">
        <v>0</v>
      </c>
      <c r="BJ160" t="s">
        <v>357</v>
      </c>
      <c r="BL160">
        <v>0.80</v>
      </c>
      <c r="BM160">
        <v>0.79756097560975603</v>
      </c>
      <c r="BN160">
        <v>0.78536585365853595</v>
      </c>
      <c r="BO160">
        <v>0.77317073170731698</v>
      </c>
      <c r="BP160">
        <v>0.76097560975609702</v>
      </c>
      <c r="BQ160">
        <v>0.74878048780487805</v>
      </c>
      <c r="BR160">
        <v>0.73658536585365797</v>
      </c>
      <c r="BS160">
        <v>0.724390243902439</v>
      </c>
      <c r="BT160">
        <v>0.71219512195122003</v>
      </c>
      <c r="BU160">
        <v>0.69999999999999896</v>
      </c>
      <c r="BV160">
        <v>0.687499999999999</v>
      </c>
      <c r="BW160">
        <v>0.675</v>
      </c>
      <c r="BX160">
        <v>0.6625</v>
      </c>
      <c r="BY160">
        <v>0.64999999999999902</v>
      </c>
      <c r="BZ160">
        <v>0.63749999999999896</v>
      </c>
      <c r="CA160">
        <v>0.625</v>
      </c>
      <c r="CB160">
        <v>0.6125</v>
      </c>
      <c r="CC160">
        <v>0.60</v>
      </c>
      <c r="CD160" t="e">
        <v>#VALUE!</v>
      </c>
      <c r="CE160" t="e">
        <v>#VALUE!</v>
      </c>
      <c r="CF160" t="e">
        <v>#VALUE!</v>
      </c>
      <c r="CG160" t="e">
        <v>#VALUE!</v>
      </c>
      <c r="CH160" t="e">
        <v>#VALUE!</v>
      </c>
      <c r="CI160" t="e">
        <v>#VALUE!</v>
      </c>
      <c r="CJ160" t="e">
        <v>#VALUE!</v>
      </c>
      <c r="CK160" t="e">
        <v>#VALUE!</v>
      </c>
    </row>
    <row r="161" spans="1:89" ht="12.5">
      <c r="A161" t="s">
        <v>17</v>
      </c>
      <c r="B161" t="s">
        <v>345</v>
      </c>
      <c r="C161" t="s">
        <v>345</v>
      </c>
      <c r="E161" s="2">
        <v>7.7534256148120297</v>
      </c>
      <c r="I161" s="2">
        <v>10.610639286822201</v>
      </c>
      <c r="J161" s="2">
        <v>11.184011651854</v>
      </c>
      <c r="L161" s="2">
        <v>11.9476259257563</v>
      </c>
      <c r="V161" s="2">
        <v>13.820678712630899</v>
      </c>
      <c r="W161">
        <v>5</v>
      </c>
      <c r="AG161" s="130" t="s">
        <v>342</v>
      </c>
      <c r="AI161">
        <v>1</v>
      </c>
      <c r="AJ161">
        <v>1.0262148323906199</v>
      </c>
      <c r="AK161">
        <v>1.22119565054484</v>
      </c>
      <c r="AL161">
        <v>1.3878490425777501</v>
      </c>
      <c r="AM161">
        <v>1.5285762184508001</v>
      </c>
      <c r="AN161">
        <v>1.6388894955253801</v>
      </c>
      <c r="AO161">
        <v>1.7235763062346701</v>
      </c>
      <c r="AP161">
        <v>1.79283349626876</v>
      </c>
      <c r="AQ161">
        <v>1.85482924752953</v>
      </c>
      <c r="AR161">
        <v>1.91218851178937</v>
      </c>
      <c r="AS161">
        <v>1.9654508386785099</v>
      </c>
      <c r="AT161">
        <v>2.0113296858065501</v>
      </c>
      <c r="AU161">
        <v>2.0522069935052798</v>
      </c>
      <c r="AV161">
        <v>2.0895376188133201</v>
      </c>
      <c r="AW161">
        <v>2.1252442425558198</v>
      </c>
      <c r="AX161">
        <v>2.1606414816889301</v>
      </c>
      <c r="AY161">
        <v>2.19610937613075</v>
      </c>
      <c r="AZ161">
        <v>2.2290593722982401</v>
      </c>
      <c r="BA161">
        <v>0</v>
      </c>
      <c r="BB161">
        <v>0</v>
      </c>
      <c r="BC161">
        <v>0</v>
      </c>
      <c r="BD161">
        <v>0</v>
      </c>
      <c r="BE161">
        <v>0</v>
      </c>
      <c r="BF161">
        <v>0</v>
      </c>
      <c r="BG161">
        <v>0</v>
      </c>
      <c r="BH161">
        <v>0</v>
      </c>
      <c r="BJ161" t="s">
        <v>357</v>
      </c>
      <c r="BL161">
        <v>0.80</v>
      </c>
      <c r="BM161">
        <v>0.79756097560975603</v>
      </c>
      <c r="BN161">
        <v>0.78536585365853595</v>
      </c>
      <c r="BO161">
        <v>0.77317073170731698</v>
      </c>
      <c r="BP161">
        <v>0.76097560975609702</v>
      </c>
      <c r="BQ161">
        <v>0.74878048780487805</v>
      </c>
      <c r="BR161">
        <v>0.73658536585365797</v>
      </c>
      <c r="BS161">
        <v>0.724390243902439</v>
      </c>
      <c r="BT161">
        <v>0.71219512195122003</v>
      </c>
      <c r="BU161">
        <v>0.69999999999999896</v>
      </c>
      <c r="BV161">
        <v>0.687499999999999</v>
      </c>
      <c r="BW161">
        <v>0.675</v>
      </c>
      <c r="BX161">
        <v>0.6625</v>
      </c>
      <c r="BY161">
        <v>0.64999999999999902</v>
      </c>
      <c r="BZ161">
        <v>0.63749999999999896</v>
      </c>
      <c r="CA161">
        <v>0.625</v>
      </c>
      <c r="CB161">
        <v>0.6125</v>
      </c>
      <c r="CC161">
        <v>0.60</v>
      </c>
      <c r="CD161" t="e">
        <v>#VALUE!</v>
      </c>
      <c r="CE161" t="e">
        <v>#VALUE!</v>
      </c>
      <c r="CF161" t="e">
        <v>#VALUE!</v>
      </c>
      <c r="CG161" t="e">
        <v>#VALUE!</v>
      </c>
      <c r="CH161" t="e">
        <v>#VALUE!</v>
      </c>
      <c r="CI161" t="e">
        <v>#VALUE!</v>
      </c>
      <c r="CJ161" t="e">
        <v>#VALUE!</v>
      </c>
      <c r="CK161" t="e">
        <v>#VALUE!</v>
      </c>
    </row>
    <row r="162" spans="1:89" ht="12.5">
      <c r="A162" t="s">
        <v>17</v>
      </c>
      <c r="B162" t="s">
        <v>346</v>
      </c>
      <c r="C162" t="s">
        <v>346</v>
      </c>
      <c r="E162" s="2">
        <v>8.6747391316879092</v>
      </c>
      <c r="I162" s="2">
        <v>8.0833643516559199</v>
      </c>
      <c r="J162" s="2">
        <v>7.8962582884235903</v>
      </c>
      <c r="L162" s="2">
        <v>7.54541790110384</v>
      </c>
      <c r="V162" s="2">
        <v>6.1766265293335296</v>
      </c>
      <c r="W162">
        <v>5</v>
      </c>
      <c r="AG162" s="130" t="s">
        <v>347</v>
      </c>
      <c r="AI162">
        <v>1</v>
      </c>
      <c r="AJ162">
        <v>0.99383965529165097</v>
      </c>
      <c r="AK162">
        <v>0.96303793174990704</v>
      </c>
      <c r="AL162">
        <v>0.93544820918659399</v>
      </c>
      <c r="AM162">
        <v>0.90681766944710496</v>
      </c>
      <c r="AN162">
        <v>0.87878521265030396</v>
      </c>
      <c r="AO162">
        <v>0.85157472611770502</v>
      </c>
      <c r="AP162">
        <v>0.82556106291520803</v>
      </c>
      <c r="AQ162">
        <v>0.80022969036693004</v>
      </c>
      <c r="AR162">
        <v>0.77455074870873297</v>
      </c>
      <c r="AS162">
        <v>0.74830418571332002</v>
      </c>
      <c r="AT162">
        <v>0.72257577133976103</v>
      </c>
      <c r="AU162">
        <v>0.69862075931786405</v>
      </c>
      <c r="AV162">
        <v>0.67705509317194301</v>
      </c>
      <c r="AW162">
        <v>0.65783357357733196</v>
      </c>
      <c r="AX162">
        <v>0.64047632067372595</v>
      </c>
      <c r="AY162">
        <v>0.62434928381341304</v>
      </c>
      <c r="AZ162">
        <v>0.60845958449789395</v>
      </c>
      <c r="BA162">
        <v>0</v>
      </c>
      <c r="BB162">
        <v>0</v>
      </c>
      <c r="BC162">
        <v>0</v>
      </c>
      <c r="BD162">
        <v>0</v>
      </c>
      <c r="BE162">
        <v>0</v>
      </c>
      <c r="BF162">
        <v>0</v>
      </c>
      <c r="BG162">
        <v>0</v>
      </c>
      <c r="BH162">
        <v>0</v>
      </c>
      <c r="BJ162" t="s">
        <v>357</v>
      </c>
      <c r="BL162">
        <v>0.80</v>
      </c>
      <c r="BM162">
        <v>0.79756097560975603</v>
      </c>
      <c r="BN162">
        <v>0.78536585365853595</v>
      </c>
      <c r="BO162">
        <v>0.77317073170731698</v>
      </c>
      <c r="BP162">
        <v>0.76097560975609702</v>
      </c>
      <c r="BQ162">
        <v>0.74878048780487805</v>
      </c>
      <c r="BR162">
        <v>0.73658536585365797</v>
      </c>
      <c r="BS162">
        <v>0.724390243902439</v>
      </c>
      <c r="BT162">
        <v>0.71219512195122003</v>
      </c>
      <c r="BU162">
        <v>0.69999999999999896</v>
      </c>
      <c r="BV162">
        <v>0.687499999999999</v>
      </c>
      <c r="BW162">
        <v>0.675</v>
      </c>
      <c r="BX162">
        <v>0.6625</v>
      </c>
      <c r="BY162">
        <v>0.64999999999999902</v>
      </c>
      <c r="BZ162">
        <v>0.63749999999999896</v>
      </c>
      <c r="CA162">
        <v>0.625</v>
      </c>
      <c r="CB162">
        <v>0.6125</v>
      </c>
      <c r="CC162">
        <v>0.60</v>
      </c>
      <c r="CD162" t="e">
        <v>#VALUE!</v>
      </c>
      <c r="CE162" t="e">
        <v>#VALUE!</v>
      </c>
      <c r="CF162" t="e">
        <v>#VALUE!</v>
      </c>
      <c r="CG162" t="e">
        <v>#VALUE!</v>
      </c>
      <c r="CH162" t="e">
        <v>#VALUE!</v>
      </c>
      <c r="CI162" t="e">
        <v>#VALUE!</v>
      </c>
      <c r="CJ162" t="e">
        <v>#VALUE!</v>
      </c>
      <c r="CK162" t="e">
        <v>#VALUE!</v>
      </c>
    </row>
    <row r="163" spans="1:89" ht="12.5">
      <c r="A163" t="s">
        <v>17</v>
      </c>
      <c r="B163" t="s">
        <v>348</v>
      </c>
      <c r="C163" t="s">
        <v>348</v>
      </c>
      <c r="E163" s="2">
        <v>2.0805764290188602</v>
      </c>
      <c r="F163" s="2">
        <f>E163</f>
        <v>2.0805764290188602</v>
      </c>
      <c r="I163" s="2">
        <f>F163</f>
        <v>2.0805764290188602</v>
      </c>
      <c r="J163" s="2">
        <f>I163</f>
        <v>2.0805764290188602</v>
      </c>
      <c r="L163" s="2">
        <f>J163</f>
        <v>2.0805764290188602</v>
      </c>
      <c r="V163" s="2">
        <f>L163</f>
        <v>2.0805764290188602</v>
      </c>
      <c r="W163">
        <v>5</v>
      </c>
      <c r="AG163" s="130" t="s">
        <v>342</v>
      </c>
      <c r="AI163">
        <v>1</v>
      </c>
      <c r="AJ163">
        <v>1.0262148323906199</v>
      </c>
      <c r="AK163">
        <v>1.22119565054484</v>
      </c>
      <c r="AL163">
        <v>1.3878490425777501</v>
      </c>
      <c r="AM163">
        <v>1.5285762184508001</v>
      </c>
      <c r="AN163">
        <v>1.6388894955253801</v>
      </c>
      <c r="AO163">
        <v>1.7235763062346701</v>
      </c>
      <c r="AP163">
        <v>1.79283349626876</v>
      </c>
      <c r="AQ163">
        <v>1.85482924752953</v>
      </c>
      <c r="AR163">
        <v>1.91218851178937</v>
      </c>
      <c r="AS163">
        <v>1.9654508386785099</v>
      </c>
      <c r="AT163">
        <v>2.0113296858065501</v>
      </c>
      <c r="AU163">
        <v>2.0522069935052798</v>
      </c>
      <c r="AV163">
        <v>2.0895376188133201</v>
      </c>
      <c r="AW163">
        <v>2.1252442425558198</v>
      </c>
      <c r="AX163">
        <v>2.1606414816889301</v>
      </c>
      <c r="AY163">
        <v>2.19610937613075</v>
      </c>
      <c r="AZ163">
        <v>2.2290593722982401</v>
      </c>
      <c r="BA163">
        <v>0</v>
      </c>
      <c r="BB163">
        <v>0</v>
      </c>
      <c r="BC163">
        <v>0</v>
      </c>
      <c r="BD163">
        <v>0</v>
      </c>
      <c r="BE163">
        <v>0</v>
      </c>
      <c r="BF163">
        <v>0</v>
      </c>
      <c r="BG163">
        <v>0</v>
      </c>
      <c r="BH163">
        <v>0</v>
      </c>
      <c r="BJ163" t="s">
        <v>357</v>
      </c>
      <c r="BL163">
        <v>0.80</v>
      </c>
      <c r="BM163">
        <v>0.79756097560975603</v>
      </c>
      <c r="BN163">
        <v>0.78536585365853595</v>
      </c>
      <c r="BO163">
        <v>0.77317073170731698</v>
      </c>
      <c r="BP163">
        <v>0.76097560975609702</v>
      </c>
      <c r="BQ163">
        <v>0.74878048780487805</v>
      </c>
      <c r="BR163">
        <v>0.73658536585365797</v>
      </c>
      <c r="BS163">
        <v>0.724390243902439</v>
      </c>
      <c r="BT163">
        <v>0.71219512195122003</v>
      </c>
      <c r="BU163">
        <v>0.69999999999999896</v>
      </c>
      <c r="BV163">
        <v>0.687499999999999</v>
      </c>
      <c r="BW163">
        <v>0.675</v>
      </c>
      <c r="BX163">
        <v>0.6625</v>
      </c>
      <c r="BY163">
        <v>0.64999999999999902</v>
      </c>
      <c r="BZ163">
        <v>0.63749999999999896</v>
      </c>
      <c r="CA163">
        <v>0.625</v>
      </c>
      <c r="CB163">
        <v>0.6125</v>
      </c>
      <c r="CC163">
        <v>0.60</v>
      </c>
      <c r="CD163" t="e">
        <v>#VALUE!</v>
      </c>
      <c r="CE163" t="e">
        <v>#VALUE!</v>
      </c>
      <c r="CF163" t="e">
        <v>#VALUE!</v>
      </c>
      <c r="CG163" t="e">
        <v>#VALUE!</v>
      </c>
      <c r="CH163" t="e">
        <v>#VALUE!</v>
      </c>
      <c r="CI163" t="e">
        <v>#VALUE!</v>
      </c>
      <c r="CJ163" t="e">
        <v>#VALUE!</v>
      </c>
      <c r="CK163" t="e">
        <v>#VALUE!</v>
      </c>
    </row>
    <row r="164" spans="1:89" ht="12.5">
      <c r="A164" t="s">
        <v>17</v>
      </c>
      <c r="B164" t="s">
        <v>349</v>
      </c>
      <c r="C164" t="s">
        <v>349</v>
      </c>
      <c r="E164" s="2">
        <v>4.7038056255669298</v>
      </c>
      <c r="F164" s="2">
        <f>E164</f>
        <v>4.7038056255669298</v>
      </c>
      <c r="I164" s="2">
        <f>F164</f>
        <v>4.7038056255669298</v>
      </c>
      <c r="J164" s="2">
        <f>I164</f>
        <v>4.7038056255669298</v>
      </c>
      <c r="L164" s="2">
        <f>J164</f>
        <v>4.7038056255669298</v>
      </c>
      <c r="V164" s="2">
        <f>L164</f>
        <v>4.7038056255669298</v>
      </c>
      <c r="W164">
        <v>5</v>
      </c>
      <c r="AG164" s="130" t="s">
        <v>342</v>
      </c>
      <c r="AI164">
        <v>1</v>
      </c>
      <c r="AJ164">
        <v>1.0262148323906199</v>
      </c>
      <c r="AK164">
        <v>1.22119565054484</v>
      </c>
      <c r="AL164">
        <v>1.3878490425777501</v>
      </c>
      <c r="AM164">
        <v>1.5285762184508001</v>
      </c>
      <c r="AN164">
        <v>1.6388894955253801</v>
      </c>
      <c r="AO164">
        <v>1.7235763062346701</v>
      </c>
      <c r="AP164">
        <v>1.79283349626876</v>
      </c>
      <c r="AQ164">
        <v>1.85482924752953</v>
      </c>
      <c r="AR164">
        <v>1.91218851178937</v>
      </c>
      <c r="AS164">
        <v>1.9654508386785099</v>
      </c>
      <c r="AT164">
        <v>2.0113296858065501</v>
      </c>
      <c r="AU164">
        <v>2.0522069935052798</v>
      </c>
      <c r="AV164">
        <v>2.0895376188133201</v>
      </c>
      <c r="AW164">
        <v>2.1252442425558198</v>
      </c>
      <c r="AX164">
        <v>2.1606414816889301</v>
      </c>
      <c r="AY164">
        <v>2.19610937613075</v>
      </c>
      <c r="AZ164">
        <v>2.2290593722982401</v>
      </c>
      <c r="BA164">
        <v>0</v>
      </c>
      <c r="BB164">
        <v>0</v>
      </c>
      <c r="BC164">
        <v>0</v>
      </c>
      <c r="BD164">
        <v>0</v>
      </c>
      <c r="BE164">
        <v>0</v>
      </c>
      <c r="BF164">
        <v>0</v>
      </c>
      <c r="BG164">
        <v>0</v>
      </c>
      <c r="BH164">
        <v>0</v>
      </c>
      <c r="BJ164" t="s">
        <v>357</v>
      </c>
      <c r="BL164">
        <v>0.80</v>
      </c>
      <c r="BM164">
        <v>0.79756097560975603</v>
      </c>
      <c r="BN164">
        <v>0.78536585365853595</v>
      </c>
      <c r="BO164">
        <v>0.77317073170731698</v>
      </c>
      <c r="BP164">
        <v>0.76097560975609702</v>
      </c>
      <c r="BQ164">
        <v>0.74878048780487805</v>
      </c>
      <c r="BR164">
        <v>0.73658536585365797</v>
      </c>
      <c r="BS164">
        <v>0.724390243902439</v>
      </c>
      <c r="BT164">
        <v>0.71219512195122003</v>
      </c>
      <c r="BU164">
        <v>0.69999999999999896</v>
      </c>
      <c r="BV164">
        <v>0.687499999999999</v>
      </c>
      <c r="BW164">
        <v>0.675</v>
      </c>
      <c r="BX164">
        <v>0.6625</v>
      </c>
      <c r="BY164">
        <v>0.64999999999999902</v>
      </c>
      <c r="BZ164">
        <v>0.63749999999999896</v>
      </c>
      <c r="CA164">
        <v>0.625</v>
      </c>
      <c r="CB164">
        <v>0.6125</v>
      </c>
      <c r="CC164">
        <v>0.60</v>
      </c>
      <c r="CD164" t="e">
        <v>#VALUE!</v>
      </c>
      <c r="CE164" t="e">
        <v>#VALUE!</v>
      </c>
      <c r="CF164" t="e">
        <v>#VALUE!</v>
      </c>
      <c r="CG164" t="e">
        <v>#VALUE!</v>
      </c>
      <c r="CH164" t="e">
        <v>#VALUE!</v>
      </c>
      <c r="CI164" t="e">
        <v>#VALUE!</v>
      </c>
      <c r="CJ164" t="e">
        <v>#VALUE!</v>
      </c>
      <c r="CK164" t="e">
        <v>#VALUE!</v>
      </c>
    </row>
    <row r="165" spans="1:89" ht="12.5">
      <c r="A165" t="s">
        <v>17</v>
      </c>
      <c r="B165" t="s">
        <v>350</v>
      </c>
      <c r="C165" t="s">
        <v>350</v>
      </c>
      <c r="D165">
        <v>1.855</v>
      </c>
      <c r="E165">
        <v>1.84588592025631</v>
      </c>
      <c r="F165"/>
      <c r="G165">
        <v>1.8009560081359901</v>
      </c>
      <c r="H165">
        <v>1.76106431680021</v>
      </c>
      <c r="I165">
        <v>1.7200480865780401</v>
      </c>
      <c r="J165">
        <v>1.6802340423200901</v>
      </c>
      <c r="K165">
        <v>1.64191219533414</v>
      </c>
      <c r="L165">
        <v>1.6055791943322</v>
      </c>
      <c r="M165">
        <v>1.57049267824715</v>
      </c>
      <c r="N165">
        <v>1.53521529071534</v>
      </c>
      <c r="O165">
        <v>1.4994497700271301</v>
      </c>
      <c r="P165">
        <v>1.4646504673068099</v>
      </c>
      <c r="Q165">
        <v>1.43248181437752</v>
      </c>
      <c r="R165">
        <v>1.4037393590439</v>
      </c>
      <c r="S165">
        <v>1.37833370525641</v>
      </c>
      <c r="T165">
        <v>1.3556037097181799</v>
      </c>
      <c r="U165">
        <v>1.3346967760002999</v>
      </c>
      <c r="V165">
        <v>1.3143159433498599</v>
      </c>
      <c r="W165">
        <v>5</v>
      </c>
      <c r="AG165" s="130" t="s">
        <v>347</v>
      </c>
      <c r="AI165">
        <v>1</v>
      </c>
      <c r="AJ165">
        <v>0.99383965529165097</v>
      </c>
      <c r="AK165">
        <v>0.96303793174990704</v>
      </c>
      <c r="AL165">
        <v>0.93544820918659399</v>
      </c>
      <c r="AM165">
        <v>0.90681766944710496</v>
      </c>
      <c r="AN165">
        <v>0.87878521265030396</v>
      </c>
      <c r="AO165">
        <v>0.85157472611770502</v>
      </c>
      <c r="AP165">
        <v>0.82556106291520803</v>
      </c>
      <c r="AQ165">
        <v>0.80022969036693004</v>
      </c>
      <c r="AR165">
        <v>0.77455074870873297</v>
      </c>
      <c r="AS165">
        <v>0.74830418571332002</v>
      </c>
      <c r="AT165">
        <v>0.72257577133976103</v>
      </c>
      <c r="AU165">
        <v>0.69862075931786405</v>
      </c>
      <c r="AV165">
        <v>0.67705509317194301</v>
      </c>
      <c r="AW165">
        <v>0.65783357357733196</v>
      </c>
      <c r="AX165">
        <v>0.64047632067372595</v>
      </c>
      <c r="AY165">
        <v>0.62434928381341304</v>
      </c>
      <c r="AZ165">
        <v>0.60845958449789395</v>
      </c>
      <c r="BA165">
        <v>0</v>
      </c>
      <c r="BB165">
        <v>0</v>
      </c>
      <c r="BC165">
        <v>0</v>
      </c>
      <c r="BD165">
        <v>0</v>
      </c>
      <c r="BE165">
        <v>0</v>
      </c>
      <c r="BF165">
        <v>0</v>
      </c>
      <c r="BG165">
        <v>0</v>
      </c>
      <c r="BH165">
        <v>0</v>
      </c>
      <c r="BJ165" t="s">
        <v>357</v>
      </c>
      <c r="BL165">
        <v>0.80</v>
      </c>
      <c r="BM165">
        <v>0.79756097560975603</v>
      </c>
      <c r="BN165">
        <v>0.78536585365853595</v>
      </c>
      <c r="BO165">
        <v>0.77317073170731698</v>
      </c>
      <c r="BP165">
        <v>0.76097560975609702</v>
      </c>
      <c r="BQ165">
        <v>0.74878048780487805</v>
      </c>
      <c r="BR165">
        <v>0.73658536585365797</v>
      </c>
      <c r="BS165">
        <v>0.724390243902439</v>
      </c>
      <c r="BT165">
        <v>0.71219512195122003</v>
      </c>
      <c r="BU165">
        <v>0.69999999999999896</v>
      </c>
      <c r="BV165">
        <v>0.687499999999999</v>
      </c>
      <c r="BW165">
        <v>0.675</v>
      </c>
      <c r="BX165">
        <v>0.6625</v>
      </c>
      <c r="BY165">
        <v>0.64999999999999902</v>
      </c>
      <c r="BZ165">
        <v>0.63749999999999896</v>
      </c>
      <c r="CA165">
        <v>0.625</v>
      </c>
      <c r="CB165">
        <v>0.6125</v>
      </c>
      <c r="CC165">
        <v>0.60</v>
      </c>
      <c r="CD165" t="e">
        <v>#VALUE!</v>
      </c>
      <c r="CE165" t="e">
        <v>#VALUE!</v>
      </c>
      <c r="CF165" t="e">
        <v>#VALUE!</v>
      </c>
      <c r="CG165" t="e">
        <v>#VALUE!</v>
      </c>
      <c r="CH165" t="e">
        <v>#VALUE!</v>
      </c>
      <c r="CI165" t="e">
        <v>#VALUE!</v>
      </c>
      <c r="CJ165" t="e">
        <v>#VALUE!</v>
      </c>
      <c r="CK165" t="e">
        <v>#VALUE!</v>
      </c>
    </row>
    <row r="166" spans="1:89" ht="12.5">
      <c r="A166" t="s">
        <v>17</v>
      </c>
      <c r="B166" t="s">
        <v>351</v>
      </c>
      <c r="C166" t="s">
        <v>351</v>
      </c>
      <c r="D166">
        <v>0.36</v>
      </c>
      <c r="E166">
        <v>0.35823122980715399</v>
      </c>
      <c r="F166"/>
      <c r="G166">
        <v>0.349511678128817</v>
      </c>
      <c r="H166">
        <v>0.34176989436553901</v>
      </c>
      <c r="I166">
        <v>0.33380987124964601</v>
      </c>
      <c r="J166">
        <v>0.32608315646104302</v>
      </c>
      <c r="K166">
        <v>0.31864603251767598</v>
      </c>
      <c r="L166">
        <v>0.31159488407525199</v>
      </c>
      <c r="M166">
        <v>0.30478564106144101</v>
      </c>
      <c r="N166">
        <v>0.29793935561052398</v>
      </c>
      <c r="O166">
        <v>0.29099833811847398</v>
      </c>
      <c r="P166">
        <v>0.28424483462557998</v>
      </c>
      <c r="Q166">
        <v>0.278001861550354</v>
      </c>
      <c r="R166">
        <v>0.27242381091957202</v>
      </c>
      <c r="S166">
        <v>0.26749333363466699</v>
      </c>
      <c r="T166">
        <v>0.263082121562557</v>
      </c>
      <c r="U166">
        <v>0.25902471124534099</v>
      </c>
      <c r="V166">
        <v>0.25506940140482498</v>
      </c>
      <c r="W166">
        <v>5</v>
      </c>
      <c r="AG166" s="130" t="s">
        <v>347</v>
      </c>
      <c r="AI166">
        <v>1</v>
      </c>
      <c r="AJ166">
        <v>0.99383965529165097</v>
      </c>
      <c r="AK166">
        <v>0.96303793174990704</v>
      </c>
      <c r="AL166">
        <v>0.93544820918659399</v>
      </c>
      <c r="AM166">
        <v>0.90681766944710496</v>
      </c>
      <c r="AN166">
        <v>0.87878521265030396</v>
      </c>
      <c r="AO166">
        <v>0.85157472611770502</v>
      </c>
      <c r="AP166">
        <v>0.82556106291520803</v>
      </c>
      <c r="AQ166">
        <v>0.80022969036693004</v>
      </c>
      <c r="AR166">
        <v>0.77455074870873297</v>
      </c>
      <c r="AS166">
        <v>0.74830418571332002</v>
      </c>
      <c r="AT166">
        <v>0.72257577133976103</v>
      </c>
      <c r="AU166">
        <v>0.69862075931786405</v>
      </c>
      <c r="AV166">
        <v>0.67705509317194301</v>
      </c>
      <c r="AW166">
        <v>0.65783357357733196</v>
      </c>
      <c r="AX166">
        <v>0.64047632067372595</v>
      </c>
      <c r="AY166">
        <v>0.62434928381341304</v>
      </c>
      <c r="AZ166">
        <v>0.60845958449789395</v>
      </c>
      <c r="BA166">
        <v>0</v>
      </c>
      <c r="BB166">
        <v>0</v>
      </c>
      <c r="BC166">
        <v>0</v>
      </c>
      <c r="BD166">
        <v>0</v>
      </c>
      <c r="BE166">
        <v>0</v>
      </c>
      <c r="BF166">
        <v>0</v>
      </c>
      <c r="BG166">
        <v>0</v>
      </c>
      <c r="BH166">
        <v>0</v>
      </c>
      <c r="BJ166" t="s">
        <v>357</v>
      </c>
      <c r="BL166">
        <v>0.80</v>
      </c>
      <c r="BM166">
        <v>0.79756097560975603</v>
      </c>
      <c r="BN166">
        <v>0.78536585365853595</v>
      </c>
      <c r="BO166">
        <v>0.77317073170731698</v>
      </c>
      <c r="BP166">
        <v>0.76097560975609702</v>
      </c>
      <c r="BQ166">
        <v>0.74878048780487805</v>
      </c>
      <c r="BR166">
        <v>0.73658536585365797</v>
      </c>
      <c r="BS166">
        <v>0.724390243902439</v>
      </c>
      <c r="BT166">
        <v>0.71219512195122003</v>
      </c>
      <c r="BU166">
        <v>0.69999999999999896</v>
      </c>
      <c r="BV166">
        <v>0.687499999999999</v>
      </c>
      <c r="BW166">
        <v>0.675</v>
      </c>
      <c r="BX166">
        <v>0.6625</v>
      </c>
      <c r="BY166">
        <v>0.64999999999999902</v>
      </c>
      <c r="BZ166">
        <v>0.63749999999999896</v>
      </c>
      <c r="CA166">
        <v>0.625</v>
      </c>
      <c r="CB166">
        <v>0.6125</v>
      </c>
      <c r="CC166">
        <v>0.60</v>
      </c>
      <c r="CD166" t="e">
        <v>#VALUE!</v>
      </c>
      <c r="CE166" t="e">
        <v>#VALUE!</v>
      </c>
      <c r="CF166" t="e">
        <v>#VALUE!</v>
      </c>
      <c r="CG166" t="e">
        <v>#VALUE!</v>
      </c>
      <c r="CH166" t="e">
        <v>#VALUE!</v>
      </c>
      <c r="CI166" t="e">
        <v>#VALUE!</v>
      </c>
      <c r="CJ166" t="e">
        <v>#VALUE!</v>
      </c>
      <c r="CK166" t="e">
        <v>#VALUE!</v>
      </c>
    </row>
    <row r="167" spans="1:89" ht="12.5">
      <c r="A167" t="s">
        <v>17</v>
      </c>
      <c r="B167" t="s">
        <v>352</v>
      </c>
      <c r="C167" t="s">
        <v>352</v>
      </c>
      <c r="D167">
        <v>2.94</v>
      </c>
      <c r="E167">
        <v>2.9255550434250899</v>
      </c>
      <c r="F167"/>
      <c r="G167">
        <v>2.8543453713853402</v>
      </c>
      <c r="H167">
        <v>2.79112080398524</v>
      </c>
      <c r="I167">
        <v>2.7261139485387802</v>
      </c>
      <c r="J167">
        <v>2.6630124444318501</v>
      </c>
      <c r="K167">
        <v>2.6022759322276898</v>
      </c>
      <c r="L167">
        <v>2.5446915532812202</v>
      </c>
      <c r="M167">
        <v>2.4890827353351002</v>
      </c>
      <c r="N167">
        <v>2.4331714041526098</v>
      </c>
      <c r="O167">
        <v>2.3764864279675302</v>
      </c>
      <c r="P167">
        <v>2.3213328161089</v>
      </c>
      <c r="Q167">
        <v>2.2703485359945601</v>
      </c>
      <c r="R167">
        <v>2.22479445584317</v>
      </c>
      <c r="S167">
        <v>2.18452889134978</v>
      </c>
      <c r="T167">
        <v>2.14850399276088</v>
      </c>
      <c r="U167">
        <v>2.1153684751702899</v>
      </c>
      <c r="V167">
        <v>2.0830667781394001</v>
      </c>
      <c r="W167">
        <v>5</v>
      </c>
      <c r="AG167" s="130" t="s">
        <v>347</v>
      </c>
      <c r="AI167">
        <v>1</v>
      </c>
      <c r="AJ167">
        <v>0.99383965529165097</v>
      </c>
      <c r="AK167">
        <v>0.96303793174990704</v>
      </c>
      <c r="AL167">
        <v>0.93544820918659399</v>
      </c>
      <c r="AM167">
        <v>0.90681766944710496</v>
      </c>
      <c r="AN167">
        <v>0.87878521265030396</v>
      </c>
      <c r="AO167">
        <v>0.85157472611770502</v>
      </c>
      <c r="AP167">
        <v>0.82556106291520803</v>
      </c>
      <c r="AQ167">
        <v>0.80022969036693004</v>
      </c>
      <c r="AR167">
        <v>0.77455074870873297</v>
      </c>
      <c r="AS167">
        <v>0.74830418571332002</v>
      </c>
      <c r="AT167">
        <v>0.72257577133976103</v>
      </c>
      <c r="AU167">
        <v>0.69862075931786405</v>
      </c>
      <c r="AV167">
        <v>0.67705509317194301</v>
      </c>
      <c r="AW167">
        <v>0.65783357357733196</v>
      </c>
      <c r="AX167">
        <v>0.64047632067372595</v>
      </c>
      <c r="AY167">
        <v>0.62434928381341304</v>
      </c>
      <c r="AZ167">
        <v>0.60845958449789395</v>
      </c>
      <c r="BA167">
        <v>0</v>
      </c>
      <c r="BB167">
        <v>0</v>
      </c>
      <c r="BC167">
        <v>0</v>
      </c>
      <c r="BD167">
        <v>0</v>
      </c>
      <c r="BE167">
        <v>0</v>
      </c>
      <c r="BF167">
        <v>0</v>
      </c>
      <c r="BG167">
        <v>0</v>
      </c>
      <c r="BH167">
        <v>0</v>
      </c>
      <c r="BJ167" t="s">
        <v>357</v>
      </c>
      <c r="BL167">
        <v>0.80</v>
      </c>
      <c r="BM167">
        <v>0.79756097560975603</v>
      </c>
      <c r="BN167">
        <v>0.78536585365853595</v>
      </c>
      <c r="BO167">
        <v>0.77317073170731698</v>
      </c>
      <c r="BP167">
        <v>0.76097560975609702</v>
      </c>
      <c r="BQ167">
        <v>0.74878048780487805</v>
      </c>
      <c r="BR167">
        <v>0.73658536585365797</v>
      </c>
      <c r="BS167">
        <v>0.724390243902439</v>
      </c>
      <c r="BT167">
        <v>0.71219512195122003</v>
      </c>
      <c r="BU167">
        <v>0.69999999999999896</v>
      </c>
      <c r="BV167">
        <v>0.687499999999999</v>
      </c>
      <c r="BW167">
        <v>0.675</v>
      </c>
      <c r="BX167">
        <v>0.6625</v>
      </c>
      <c r="BY167">
        <v>0.64999999999999902</v>
      </c>
      <c r="BZ167">
        <v>0.63749999999999896</v>
      </c>
      <c r="CA167">
        <v>0.625</v>
      </c>
      <c r="CB167">
        <v>0.6125</v>
      </c>
      <c r="CC167">
        <v>0.60</v>
      </c>
      <c r="CD167" t="e">
        <v>#VALUE!</v>
      </c>
      <c r="CE167" t="e">
        <v>#VALUE!</v>
      </c>
      <c r="CF167" t="e">
        <v>#VALUE!</v>
      </c>
      <c r="CG167" t="e">
        <v>#VALUE!</v>
      </c>
      <c r="CH167" t="e">
        <v>#VALUE!</v>
      </c>
      <c r="CI167" t="e">
        <v>#VALUE!</v>
      </c>
      <c r="CJ167" t="e">
        <v>#VALUE!</v>
      </c>
      <c r="CK167" t="e">
        <v>#VALUE!</v>
      </c>
    </row>
    <row r="168" spans="1:89" ht="12.5">
      <c r="A168" t="s">
        <v>17</v>
      </c>
      <c r="B168" t="s">
        <v>353</v>
      </c>
      <c r="C168" t="s">
        <v>353</v>
      </c>
      <c r="D168">
        <v>108.66</v>
      </c>
      <c r="E168">
        <v>111.483120579211</v>
      </c>
      <c r="F168"/>
      <c r="G168">
        <v>131.450997343658</v>
      </c>
      <c r="H168">
        <v>148.72735480986401</v>
      </c>
      <c r="I168">
        <v>164.139180270184</v>
      </c>
      <c r="J168">
        <v>177.21231863268201</v>
      </c>
      <c r="K168">
        <v>188.343768234989</v>
      </c>
      <c r="L168">
        <v>198.29784345834699</v>
      </c>
      <c r="M168">
        <v>207.80657226573899</v>
      </c>
      <c r="N168">
        <v>217.276734164386</v>
      </c>
      <c r="O168">
        <v>226.82284193877999</v>
      </c>
      <c r="P168">
        <v>235.97553546054399</v>
      </c>
      <c r="Q168">
        <v>244.62226443140599</v>
      </c>
      <c r="R168">
        <v>252.67139549532399</v>
      </c>
      <c r="S168">
        <v>260.21097827712902</v>
      </c>
      <c r="T168">
        <v>267.40053019251098</v>
      </c>
      <c r="U168">
        <v>274.389079745819</v>
      </c>
      <c r="V168">
        <v>281.22305655914403</v>
      </c>
      <c r="W168">
        <v>5</v>
      </c>
      <c r="AG168" s="130" t="s">
        <v>354</v>
      </c>
      <c r="AI168">
        <v>1</v>
      </c>
      <c r="AJ168">
        <v>1.03257585559863</v>
      </c>
      <c r="AK168">
        <v>1.26806599229777</v>
      </c>
      <c r="AL168">
        <v>1.4836193270224201</v>
      </c>
      <c r="AM168">
        <v>1.6856489126229599</v>
      </c>
      <c r="AN168">
        <v>1.8649488770785001</v>
      </c>
      <c r="AO168">
        <v>2.0239871538841698</v>
      </c>
      <c r="AP168">
        <v>2.1716546198750302</v>
      </c>
      <c r="AQ168">
        <v>2.31787106859161</v>
      </c>
      <c r="AR168">
        <v>2.4687711101915699</v>
      </c>
      <c r="AS168">
        <v>2.6265399502008</v>
      </c>
      <c r="AT168">
        <v>2.78355539388934</v>
      </c>
      <c r="AU168">
        <v>2.93751218545103</v>
      </c>
      <c r="AV168">
        <v>3.08621505086687</v>
      </c>
      <c r="AW168">
        <v>3.2306715982868401</v>
      </c>
      <c r="AX168">
        <v>3.37349159047147</v>
      </c>
      <c r="AY168">
        <v>3.5174371670890801</v>
      </c>
      <c r="AZ168">
        <v>3.6634468896363499</v>
      </c>
      <c r="BA168">
        <v>0</v>
      </c>
      <c r="BB168">
        <v>0</v>
      </c>
      <c r="BC168">
        <v>0</v>
      </c>
      <c r="BD168">
        <v>0</v>
      </c>
      <c r="BE168">
        <v>0</v>
      </c>
      <c r="BF168">
        <v>0</v>
      </c>
      <c r="BG168">
        <v>0</v>
      </c>
      <c r="BH168">
        <v>0</v>
      </c>
      <c r="BJ168" t="s">
        <v>357</v>
      </c>
      <c r="BL168">
        <v>0.80</v>
      </c>
      <c r="BM168">
        <v>0.79756097560975603</v>
      </c>
      <c r="BN168">
        <v>0.78536585365853595</v>
      </c>
      <c r="BO168">
        <v>0.77317073170731698</v>
      </c>
      <c r="BP168">
        <v>0.76097560975609702</v>
      </c>
      <c r="BQ168">
        <v>0.74878048780487805</v>
      </c>
      <c r="BR168">
        <v>0.73658536585365797</v>
      </c>
      <c r="BS168">
        <v>0.724390243902439</v>
      </c>
      <c r="BT168">
        <v>0.71219512195122003</v>
      </c>
      <c r="BU168">
        <v>0.69999999999999896</v>
      </c>
      <c r="BV168">
        <v>0.687499999999999</v>
      </c>
      <c r="BW168">
        <v>0.675</v>
      </c>
      <c r="BX168">
        <v>0.6625</v>
      </c>
      <c r="BY168">
        <v>0.64999999999999902</v>
      </c>
      <c r="BZ168">
        <v>0.63749999999999896</v>
      </c>
      <c r="CA168">
        <v>0.625</v>
      </c>
      <c r="CB168">
        <v>0.6125</v>
      </c>
      <c r="CC168">
        <v>0.60</v>
      </c>
      <c r="CD168" t="e">
        <v>#VALUE!</v>
      </c>
      <c r="CE168" t="e">
        <v>#VALUE!</v>
      </c>
      <c r="CF168" t="e">
        <v>#VALUE!</v>
      </c>
      <c r="CG168" t="e">
        <v>#VALUE!</v>
      </c>
      <c r="CH168" t="e">
        <v>#VALUE!</v>
      </c>
      <c r="CI168" t="e">
        <v>#VALUE!</v>
      </c>
      <c r="CJ168" t="e">
        <v>#VALUE!</v>
      </c>
      <c r="CK168" t="e">
        <v>#VALUE!</v>
      </c>
    </row>
    <row r="169" spans="1:89" ht="12.5">
      <c r="A169" t="s">
        <v>17</v>
      </c>
      <c r="B169" t="s">
        <v>355</v>
      </c>
      <c r="C169" t="s">
        <v>355</v>
      </c>
      <c r="D169">
        <v>36.70</v>
      </c>
      <c r="E169">
        <v>37.4673209317966</v>
      </c>
      <c r="F169"/>
      <c r="G169">
        <v>43.058176284497399</v>
      </c>
      <c r="H169">
        <v>47.601356304887197</v>
      </c>
      <c r="I169">
        <v>51.274397563242303</v>
      </c>
      <c r="J169">
        <v>54.045137553708699</v>
      </c>
      <c r="K169">
        <v>56.102192151887998</v>
      </c>
      <c r="L169">
        <v>57.735194373721498</v>
      </c>
      <c r="M169">
        <v>59.157069956723703</v>
      </c>
      <c r="N169">
        <v>60.437642930814697</v>
      </c>
      <c r="O169">
        <v>61.595006084923803</v>
      </c>
      <c r="P169">
        <v>62.565515127112199</v>
      </c>
      <c r="Q169">
        <v>63.4079181718187</v>
      </c>
      <c r="R169">
        <v>64.157641375916597</v>
      </c>
      <c r="S169">
        <v>64.856560898528301</v>
      </c>
      <c r="T169">
        <v>65.531701886298805</v>
      </c>
      <c r="U169">
        <v>66.190587822112903</v>
      </c>
      <c r="V169">
        <v>66.786454213495901</v>
      </c>
      <c r="W169">
        <v>5</v>
      </c>
      <c r="AG169" s="130" t="s">
        <v>342</v>
      </c>
      <c r="AI169">
        <v>1</v>
      </c>
      <c r="AJ169">
        <v>1.0262148323906199</v>
      </c>
      <c r="AK169">
        <v>1.22119565054484</v>
      </c>
      <c r="AL169">
        <v>1.3878490425777501</v>
      </c>
      <c r="AM169">
        <v>1.5285762184508001</v>
      </c>
      <c r="AN169">
        <v>1.6388894955253801</v>
      </c>
      <c r="AO169">
        <v>1.7235763062346701</v>
      </c>
      <c r="AP169">
        <v>1.79283349626876</v>
      </c>
      <c r="AQ169">
        <v>1.85482924752953</v>
      </c>
      <c r="AR169">
        <v>1.91218851178937</v>
      </c>
      <c r="AS169">
        <v>1.9654508386785099</v>
      </c>
      <c r="AT169">
        <v>2.0113296858065501</v>
      </c>
      <c r="AU169">
        <v>2.0522069935052798</v>
      </c>
      <c r="AV169">
        <v>2.0895376188133201</v>
      </c>
      <c r="AW169">
        <v>2.1252442425558198</v>
      </c>
      <c r="AX169">
        <v>2.1606414816889301</v>
      </c>
      <c r="AY169">
        <v>2.19610937613075</v>
      </c>
      <c r="AZ169">
        <v>2.2290593722982401</v>
      </c>
      <c r="BA169">
        <v>0</v>
      </c>
      <c r="BB169">
        <v>0</v>
      </c>
      <c r="BC169">
        <v>0</v>
      </c>
      <c r="BD169">
        <v>0</v>
      </c>
      <c r="BE169">
        <v>0</v>
      </c>
      <c r="BF169">
        <v>0</v>
      </c>
      <c r="BG169">
        <v>0</v>
      </c>
      <c r="BH169">
        <v>0</v>
      </c>
      <c r="BJ169" t="s">
        <v>357</v>
      </c>
      <c r="BL169">
        <v>0.80</v>
      </c>
      <c r="BM169">
        <v>0.79756097560975603</v>
      </c>
      <c r="BN169">
        <v>0.78536585365853595</v>
      </c>
      <c r="BO169">
        <v>0.77317073170731698</v>
      </c>
      <c r="BP169">
        <v>0.76097560975609702</v>
      </c>
      <c r="BQ169">
        <v>0.74878048780487805</v>
      </c>
      <c r="BR169">
        <v>0.73658536585365797</v>
      </c>
      <c r="BS169">
        <v>0.724390243902439</v>
      </c>
      <c r="BT169">
        <v>0.71219512195122003</v>
      </c>
      <c r="BU169">
        <v>0.69999999999999896</v>
      </c>
      <c r="BV169">
        <v>0.687499999999999</v>
      </c>
      <c r="BW169">
        <v>0.675</v>
      </c>
      <c r="BX169">
        <v>0.6625</v>
      </c>
      <c r="BY169">
        <v>0.64999999999999902</v>
      </c>
      <c r="BZ169">
        <v>0.63749999999999896</v>
      </c>
      <c r="CA169">
        <v>0.625</v>
      </c>
      <c r="CB169">
        <v>0.6125</v>
      </c>
      <c r="CC169">
        <v>0.60</v>
      </c>
      <c r="CD169" t="e">
        <v>#VALUE!</v>
      </c>
      <c r="CE169" t="e">
        <v>#VALUE!</v>
      </c>
      <c r="CF169" t="e">
        <v>#VALUE!</v>
      </c>
      <c r="CG169" t="e">
        <v>#VALUE!</v>
      </c>
      <c r="CH169" t="e">
        <v>#VALUE!</v>
      </c>
      <c r="CI169" t="e">
        <v>#VALUE!</v>
      </c>
      <c r="CJ169" t="e">
        <v>#VALUE!</v>
      </c>
      <c r="CK169" t="e">
        <v>#VALUE!</v>
      </c>
    </row>
    <row r="170" spans="1:89" ht="12.5">
      <c r="A170" t="s">
        <v>17</v>
      </c>
      <c r="B170" t="s">
        <v>356</v>
      </c>
      <c r="C170" t="s">
        <v>356</v>
      </c>
      <c r="D170">
        <v>26.56</v>
      </c>
      <c r="E170">
        <v>27.115314549005902</v>
      </c>
      <c r="F170"/>
      <c r="G170">
        <v>31.161448559025899</v>
      </c>
      <c r="H170">
        <v>34.449373936179903</v>
      </c>
      <c r="I170">
        <v>37.107574912253803</v>
      </c>
      <c r="J170">
        <v>39.112775297724902</v>
      </c>
      <c r="K170">
        <v>40.601477481039403</v>
      </c>
      <c r="L170">
        <v>41.783290533134704</v>
      </c>
      <c r="M170">
        <v>42.8123100286262</v>
      </c>
      <c r="N170">
        <v>43.739068017505197</v>
      </c>
      <c r="O170">
        <v>44.576658354647897</v>
      </c>
      <c r="P170">
        <v>45.279021301801102</v>
      </c>
      <c r="Q170">
        <v>45.888673205545103</v>
      </c>
      <c r="R170">
        <v>46.431252178320001</v>
      </c>
      <c r="S170">
        <v>46.937064236101101</v>
      </c>
      <c r="T170">
        <v>47.425667632155204</v>
      </c>
      <c r="U170">
        <v>47.9025071540959</v>
      </c>
      <c r="V170">
        <v>48.3337390711295</v>
      </c>
      <c r="W170">
        <v>5</v>
      </c>
      <c r="AG170" s="130" t="s">
        <v>342</v>
      </c>
      <c r="AI170">
        <v>1</v>
      </c>
      <c r="AJ170">
        <v>1.0262148323906199</v>
      </c>
      <c r="AK170">
        <v>1.22119565054484</v>
      </c>
      <c r="AL170">
        <v>1.3878490425777501</v>
      </c>
      <c r="AM170">
        <v>1.5285762184508001</v>
      </c>
      <c r="AN170">
        <v>1.6388894955253801</v>
      </c>
      <c r="AO170">
        <v>1.7235763062346701</v>
      </c>
      <c r="AP170">
        <v>1.79283349626876</v>
      </c>
      <c r="AQ170">
        <v>1.85482924752953</v>
      </c>
      <c r="AR170">
        <v>1.91218851178937</v>
      </c>
      <c r="AS170">
        <v>1.9654508386785099</v>
      </c>
      <c r="AT170">
        <v>2.0113296858065501</v>
      </c>
      <c r="AU170">
        <v>2.0522069935052798</v>
      </c>
      <c r="AV170">
        <v>2.0895376188133201</v>
      </c>
      <c r="AW170">
        <v>2.1252442425558198</v>
      </c>
      <c r="AX170">
        <v>2.1606414816889301</v>
      </c>
      <c r="AY170">
        <v>2.19610937613075</v>
      </c>
      <c r="AZ170">
        <v>2.2290593722982401</v>
      </c>
      <c r="BA170">
        <v>0</v>
      </c>
      <c r="BB170">
        <v>0</v>
      </c>
      <c r="BC170">
        <v>0</v>
      </c>
      <c r="BD170">
        <v>0</v>
      </c>
      <c r="BE170">
        <v>0</v>
      </c>
      <c r="BF170">
        <v>0</v>
      </c>
      <c r="BG170">
        <v>0</v>
      </c>
      <c r="BH170">
        <v>0</v>
      </c>
      <c r="BJ170" t="s">
        <v>357</v>
      </c>
      <c r="BL170">
        <v>0.80</v>
      </c>
      <c r="BM170">
        <v>0.79756097560975603</v>
      </c>
      <c r="BN170">
        <v>0.78536585365853595</v>
      </c>
      <c r="BO170">
        <v>0.77317073170731698</v>
      </c>
      <c r="BP170">
        <v>0.76097560975609702</v>
      </c>
      <c r="BQ170">
        <v>0.74878048780487805</v>
      </c>
      <c r="BR170">
        <v>0.73658536585365797</v>
      </c>
      <c r="BS170">
        <v>0.724390243902439</v>
      </c>
      <c r="BT170">
        <v>0.71219512195122003</v>
      </c>
      <c r="BU170">
        <v>0.69999999999999896</v>
      </c>
      <c r="BV170">
        <v>0.687499999999999</v>
      </c>
      <c r="BW170">
        <v>0.675</v>
      </c>
      <c r="BX170">
        <v>0.6625</v>
      </c>
      <c r="BY170">
        <v>0.64999999999999902</v>
      </c>
      <c r="BZ170">
        <v>0.63749999999999896</v>
      </c>
      <c r="CA170">
        <v>0.625</v>
      </c>
      <c r="CB170">
        <v>0.6125</v>
      </c>
      <c r="CC170">
        <v>0.60</v>
      </c>
      <c r="CD170" t="e">
        <v>#VALUE!</v>
      </c>
      <c r="CE170" t="e">
        <v>#VALUE!</v>
      </c>
      <c r="CF170" t="e">
        <v>#VALUE!</v>
      </c>
      <c r="CG170" t="e">
        <v>#VALUE!</v>
      </c>
      <c r="CH170" t="e">
        <v>#VALUE!</v>
      </c>
      <c r="CI170" t="e">
        <v>#VALUE!</v>
      </c>
      <c r="CJ170" t="e">
        <v>#VALUE!</v>
      </c>
      <c r="CK170" t="e">
        <v>#VALUE!</v>
      </c>
    </row>
    <row r="171" spans="1:89" ht="12.5">
      <c r="A171" t="s">
        <v>18</v>
      </c>
      <c r="B171" t="s">
        <v>341</v>
      </c>
      <c r="C171" t="s">
        <v>341</v>
      </c>
      <c r="E171" s="2">
        <v>0.38523111217853501</v>
      </c>
      <c r="F171" s="2">
        <f>E171</f>
        <v>0.38523111217853501</v>
      </c>
      <c r="I171" s="2">
        <f>F171</f>
        <v>0.38523111217853501</v>
      </c>
      <c r="J171" s="2">
        <f>I171</f>
        <v>0.38523111217853501</v>
      </c>
      <c r="L171" s="2">
        <f>J171</f>
        <v>0.38523111217853501</v>
      </c>
      <c r="V171" s="2">
        <f>L171</f>
        <v>0.38523111217853501</v>
      </c>
      <c r="W171">
        <v>5</v>
      </c>
      <c r="AG171" s="130" t="s">
        <v>342</v>
      </c>
      <c r="AI171">
        <v>1</v>
      </c>
      <c r="AJ171">
        <v>1.0181773645954399</v>
      </c>
      <c r="AK171">
        <v>1.2493164262765699</v>
      </c>
      <c r="AL171">
        <v>1.427108255292</v>
      </c>
      <c r="AM171">
        <v>1.6042962608517299</v>
      </c>
      <c r="AN171">
        <v>1.7817804816916201</v>
      </c>
      <c r="AO171">
        <v>1.95254859069884</v>
      </c>
      <c r="AP171">
        <v>2.1087850616355599</v>
      </c>
      <c r="AQ171">
        <v>2.2493619978581401</v>
      </c>
      <c r="AR171">
        <v>2.38084170711145</v>
      </c>
      <c r="AS171">
        <v>2.50725727436371</v>
      </c>
      <c r="AT171">
        <v>2.6227527513842399</v>
      </c>
      <c r="AU171">
        <v>2.7246223255178101</v>
      </c>
      <c r="AV171">
        <v>2.8114646706313899</v>
      </c>
      <c r="AW171">
        <v>2.8824367124661099</v>
      </c>
      <c r="AX171">
        <v>2.9388600268872298</v>
      </c>
      <c r="AY171">
        <v>2.9835885341900799</v>
      </c>
      <c r="AZ171">
        <v>3.0198065486362702</v>
      </c>
      <c r="BA171">
        <v>0</v>
      </c>
      <c r="BB171">
        <v>0</v>
      </c>
      <c r="BC171">
        <v>0</v>
      </c>
      <c r="BD171">
        <v>0</v>
      </c>
      <c r="BE171">
        <v>0</v>
      </c>
      <c r="BF171">
        <v>0</v>
      </c>
      <c r="BG171">
        <v>0</v>
      </c>
      <c r="BH171">
        <v>0</v>
      </c>
      <c r="BJ171" t="s">
        <v>357</v>
      </c>
      <c r="BL171">
        <v>0.80</v>
      </c>
      <c r="BM171">
        <v>0.79756097560975603</v>
      </c>
      <c r="BN171">
        <v>0.78536585365853595</v>
      </c>
      <c r="BO171">
        <v>0.77317073170731698</v>
      </c>
      <c r="BP171">
        <v>0.76097560975609702</v>
      </c>
      <c r="BQ171">
        <v>0.74878048780487805</v>
      </c>
      <c r="BR171">
        <v>0.73658536585365797</v>
      </c>
      <c r="BS171">
        <v>0.724390243902439</v>
      </c>
      <c r="BT171">
        <v>0.71219512195122003</v>
      </c>
      <c r="BU171">
        <v>0.69999999999999896</v>
      </c>
      <c r="BV171">
        <v>0.687499999999999</v>
      </c>
      <c r="BW171">
        <v>0.675</v>
      </c>
      <c r="BX171">
        <v>0.6625</v>
      </c>
      <c r="BY171">
        <v>0.64999999999999902</v>
      </c>
      <c r="BZ171">
        <v>0.63749999999999896</v>
      </c>
      <c r="CA171">
        <v>0.625</v>
      </c>
      <c r="CB171">
        <v>0.6125</v>
      </c>
      <c r="CC171">
        <v>0.60</v>
      </c>
      <c r="CD171" t="e">
        <v>#VALUE!</v>
      </c>
      <c r="CE171" t="e">
        <v>#VALUE!</v>
      </c>
      <c r="CF171" t="e">
        <v>#VALUE!</v>
      </c>
      <c r="CG171" t="e">
        <v>#VALUE!</v>
      </c>
      <c r="CH171" t="e">
        <v>#VALUE!</v>
      </c>
      <c r="CI171" t="e">
        <v>#VALUE!</v>
      </c>
      <c r="CJ171" t="e">
        <v>#VALUE!</v>
      </c>
      <c r="CK171" t="e">
        <v>#VALUE!</v>
      </c>
    </row>
    <row r="172" spans="1:89" ht="12.5">
      <c r="A172" t="s">
        <v>18</v>
      </c>
      <c r="B172" t="s">
        <v>344</v>
      </c>
      <c r="C172" t="s">
        <v>344</v>
      </c>
      <c r="E172" s="2">
        <v>13.231322707856901</v>
      </c>
      <c r="F172" s="2">
        <f>E172</f>
        <v>13.231322707856901</v>
      </c>
      <c r="I172" s="2">
        <f>F172</f>
        <v>13.231322707856901</v>
      </c>
      <c r="J172" s="2">
        <f>I172</f>
        <v>13.231322707856901</v>
      </c>
      <c r="L172" s="2">
        <f>J172</f>
        <v>13.231322707856901</v>
      </c>
      <c r="V172" s="2">
        <f>L172</f>
        <v>13.231322707856901</v>
      </c>
      <c r="W172">
        <v>5</v>
      </c>
      <c r="AG172" s="130" t="s">
        <v>342</v>
      </c>
      <c r="AI172">
        <v>1</v>
      </c>
      <c r="AJ172">
        <v>1.0181773645954399</v>
      </c>
      <c r="AK172">
        <v>1.2493164262765699</v>
      </c>
      <c r="AL172">
        <v>1.427108255292</v>
      </c>
      <c r="AM172">
        <v>1.6042962608517299</v>
      </c>
      <c r="AN172">
        <v>1.7817804816916201</v>
      </c>
      <c r="AO172">
        <v>1.95254859069884</v>
      </c>
      <c r="AP172">
        <v>2.1087850616355599</v>
      </c>
      <c r="AQ172">
        <v>2.2493619978581401</v>
      </c>
      <c r="AR172">
        <v>2.38084170711145</v>
      </c>
      <c r="AS172">
        <v>2.50725727436371</v>
      </c>
      <c r="AT172">
        <v>2.6227527513842399</v>
      </c>
      <c r="AU172">
        <v>2.7246223255178101</v>
      </c>
      <c r="AV172">
        <v>2.8114646706313899</v>
      </c>
      <c r="AW172">
        <v>2.8824367124661099</v>
      </c>
      <c r="AX172">
        <v>2.9388600268872298</v>
      </c>
      <c r="AY172">
        <v>2.9835885341900799</v>
      </c>
      <c r="AZ172">
        <v>3.0198065486362702</v>
      </c>
      <c r="BA172">
        <v>0</v>
      </c>
      <c r="BB172">
        <v>0</v>
      </c>
      <c r="BC172">
        <v>0</v>
      </c>
      <c r="BD172">
        <v>0</v>
      </c>
      <c r="BE172">
        <v>0</v>
      </c>
      <c r="BF172">
        <v>0</v>
      </c>
      <c r="BG172">
        <v>0</v>
      </c>
      <c r="BH172">
        <v>0</v>
      </c>
      <c r="BJ172" t="s">
        <v>357</v>
      </c>
      <c r="BL172">
        <v>0.80</v>
      </c>
      <c r="BM172">
        <v>0.79756097560975603</v>
      </c>
      <c r="BN172">
        <v>0.78536585365853595</v>
      </c>
      <c r="BO172">
        <v>0.77317073170731698</v>
      </c>
      <c r="BP172">
        <v>0.76097560975609702</v>
      </c>
      <c r="BQ172">
        <v>0.74878048780487805</v>
      </c>
      <c r="BR172">
        <v>0.73658536585365797</v>
      </c>
      <c r="BS172">
        <v>0.724390243902439</v>
      </c>
      <c r="BT172">
        <v>0.71219512195122003</v>
      </c>
      <c r="BU172">
        <v>0.69999999999999896</v>
      </c>
      <c r="BV172">
        <v>0.687499999999999</v>
      </c>
      <c r="BW172">
        <v>0.675</v>
      </c>
      <c r="BX172">
        <v>0.6625</v>
      </c>
      <c r="BY172">
        <v>0.64999999999999902</v>
      </c>
      <c r="BZ172">
        <v>0.63749999999999896</v>
      </c>
      <c r="CA172">
        <v>0.625</v>
      </c>
      <c r="CB172">
        <v>0.6125</v>
      </c>
      <c r="CC172">
        <v>0.60</v>
      </c>
      <c r="CD172" t="e">
        <v>#VALUE!</v>
      </c>
      <c r="CE172" t="e">
        <v>#VALUE!</v>
      </c>
      <c r="CF172" t="e">
        <v>#VALUE!</v>
      </c>
      <c r="CG172" t="e">
        <v>#VALUE!</v>
      </c>
      <c r="CH172" t="e">
        <v>#VALUE!</v>
      </c>
      <c r="CI172" t="e">
        <v>#VALUE!</v>
      </c>
      <c r="CJ172" t="e">
        <v>#VALUE!</v>
      </c>
      <c r="CK172" t="e">
        <v>#VALUE!</v>
      </c>
    </row>
    <row r="173" spans="1:89" ht="12.5">
      <c r="A173" t="s">
        <v>18</v>
      </c>
      <c r="B173" t="s">
        <v>345</v>
      </c>
      <c r="C173" t="s">
        <v>345</v>
      </c>
      <c r="E173" s="2">
        <v>0</v>
      </c>
      <c r="I173" s="2">
        <v>0</v>
      </c>
      <c r="J173" s="2">
        <v>0</v>
      </c>
      <c r="L173" s="2">
        <v>0</v>
      </c>
      <c r="V173" s="2">
        <v>0</v>
      </c>
      <c r="W173">
        <v>5</v>
      </c>
      <c r="AG173" s="130" t="s">
        <v>342</v>
      </c>
      <c r="AI173">
        <v>1</v>
      </c>
      <c r="AJ173">
        <v>1.0181773645954399</v>
      </c>
      <c r="AK173">
        <v>1.2493164262765699</v>
      </c>
      <c r="AL173">
        <v>1.427108255292</v>
      </c>
      <c r="AM173">
        <v>1.6042962608517299</v>
      </c>
      <c r="AN173">
        <v>1.7817804816916201</v>
      </c>
      <c r="AO173">
        <v>1.95254859069884</v>
      </c>
      <c r="AP173">
        <v>2.1087850616355599</v>
      </c>
      <c r="AQ173">
        <v>2.2493619978581401</v>
      </c>
      <c r="AR173">
        <v>2.38084170711145</v>
      </c>
      <c r="AS173">
        <v>2.50725727436371</v>
      </c>
      <c r="AT173">
        <v>2.6227527513842399</v>
      </c>
      <c r="AU173">
        <v>2.7246223255178101</v>
      </c>
      <c r="AV173">
        <v>2.8114646706313899</v>
      </c>
      <c r="AW173">
        <v>2.8824367124661099</v>
      </c>
      <c r="AX173">
        <v>2.9388600268872298</v>
      </c>
      <c r="AY173">
        <v>2.9835885341900799</v>
      </c>
      <c r="AZ173">
        <v>3.0198065486362702</v>
      </c>
      <c r="BA173">
        <v>0</v>
      </c>
      <c r="BB173">
        <v>0</v>
      </c>
      <c r="BC173">
        <v>0</v>
      </c>
      <c r="BD173">
        <v>0</v>
      </c>
      <c r="BE173">
        <v>0</v>
      </c>
      <c r="BF173">
        <v>0</v>
      </c>
      <c r="BG173">
        <v>0</v>
      </c>
      <c r="BH173">
        <v>0</v>
      </c>
      <c r="BJ173" t="s">
        <v>357</v>
      </c>
      <c r="BL173">
        <v>0.80</v>
      </c>
      <c r="BM173">
        <v>0.79756097560975603</v>
      </c>
      <c r="BN173">
        <v>0.78536585365853595</v>
      </c>
      <c r="BO173">
        <v>0.77317073170731698</v>
      </c>
      <c r="BP173">
        <v>0.76097560975609702</v>
      </c>
      <c r="BQ173">
        <v>0.74878048780487805</v>
      </c>
      <c r="BR173">
        <v>0.73658536585365797</v>
      </c>
      <c r="BS173">
        <v>0.724390243902439</v>
      </c>
      <c r="BT173">
        <v>0.71219512195122003</v>
      </c>
      <c r="BU173">
        <v>0.69999999999999896</v>
      </c>
      <c r="BV173">
        <v>0.687499999999999</v>
      </c>
      <c r="BW173">
        <v>0.675</v>
      </c>
      <c r="BX173">
        <v>0.6625</v>
      </c>
      <c r="BY173">
        <v>0.64999999999999902</v>
      </c>
      <c r="BZ173">
        <v>0.63749999999999896</v>
      </c>
      <c r="CA173">
        <v>0.625</v>
      </c>
      <c r="CB173">
        <v>0.6125</v>
      </c>
      <c r="CC173">
        <v>0.60</v>
      </c>
      <c r="CD173" t="e">
        <v>#VALUE!</v>
      </c>
      <c r="CE173" t="e">
        <v>#VALUE!</v>
      </c>
      <c r="CF173" t="e">
        <v>#VALUE!</v>
      </c>
      <c r="CG173" t="e">
        <v>#VALUE!</v>
      </c>
      <c r="CH173" t="e">
        <v>#VALUE!</v>
      </c>
      <c r="CI173" t="e">
        <v>#VALUE!</v>
      </c>
      <c r="CJ173" t="e">
        <v>#VALUE!</v>
      </c>
      <c r="CK173" t="e">
        <v>#VALUE!</v>
      </c>
    </row>
    <row r="174" spans="1:89" ht="12.5">
      <c r="A174" t="s">
        <v>18</v>
      </c>
      <c r="B174" t="s">
        <v>346</v>
      </c>
      <c r="C174" t="s">
        <v>346</v>
      </c>
      <c r="E174" s="2">
        <v>0</v>
      </c>
      <c r="I174" s="2">
        <v>0</v>
      </c>
      <c r="J174" s="2">
        <v>0</v>
      </c>
      <c r="L174" s="2">
        <v>0</v>
      </c>
      <c r="V174" s="2">
        <v>0</v>
      </c>
      <c r="W174">
        <v>5</v>
      </c>
      <c r="AG174" s="130" t="s">
        <v>347</v>
      </c>
      <c r="AI174">
        <v>1</v>
      </c>
      <c r="AJ174">
        <v>1.00675128244523</v>
      </c>
      <c r="AK174">
        <v>1.0405076946713701</v>
      </c>
      <c r="AL174">
        <v>1.0696355877031101</v>
      </c>
      <c r="AM174">
        <v>1.09619914293641</v>
      </c>
      <c r="AN174">
        <v>1.11979768259025</v>
      </c>
      <c r="AO174">
        <v>1.14095070613241</v>
      </c>
      <c r="AP174">
        <v>1.16120289549108</v>
      </c>
      <c r="AQ174">
        <v>1.1786475770876399</v>
      </c>
      <c r="AR174">
        <v>1.1944259917742199</v>
      </c>
      <c r="AS174">
        <v>1.20867354100785</v>
      </c>
      <c r="AT174">
        <v>1.2210779724488401</v>
      </c>
      <c r="AU174">
        <v>1.2312496614963599</v>
      </c>
      <c r="AV174">
        <v>1.23865805550244</v>
      </c>
      <c r="AW174">
        <v>1.24298261224228</v>
      </c>
      <c r="AX174">
        <v>1.24450795110515</v>
      </c>
      <c r="AY174">
        <v>1.2447207248233401</v>
      </c>
      <c r="AZ174">
        <v>1.2455524766308099</v>
      </c>
      <c r="BA174">
        <v>0</v>
      </c>
      <c r="BB174">
        <v>0</v>
      </c>
      <c r="BC174">
        <v>0</v>
      </c>
      <c r="BD174">
        <v>0</v>
      </c>
      <c r="BE174">
        <v>0</v>
      </c>
      <c r="BF174">
        <v>0</v>
      </c>
      <c r="BG174">
        <v>0</v>
      </c>
      <c r="BH174">
        <v>0</v>
      </c>
      <c r="BJ174" t="s">
        <v>357</v>
      </c>
      <c r="BL174">
        <v>0.80</v>
      </c>
      <c r="BM174">
        <v>0.79756097560975603</v>
      </c>
      <c r="BN174">
        <v>0.78536585365853595</v>
      </c>
      <c r="BO174">
        <v>0.77317073170731698</v>
      </c>
      <c r="BP174">
        <v>0.76097560975609702</v>
      </c>
      <c r="BQ174">
        <v>0.74878048780487805</v>
      </c>
      <c r="BR174">
        <v>0.73658536585365797</v>
      </c>
      <c r="BS174">
        <v>0.724390243902439</v>
      </c>
      <c r="BT174">
        <v>0.71219512195122003</v>
      </c>
      <c r="BU174">
        <v>0.69999999999999896</v>
      </c>
      <c r="BV174">
        <v>0.687499999999999</v>
      </c>
      <c r="BW174">
        <v>0.675</v>
      </c>
      <c r="BX174">
        <v>0.6625</v>
      </c>
      <c r="BY174">
        <v>0.64999999999999902</v>
      </c>
      <c r="BZ174">
        <v>0.63749999999999896</v>
      </c>
      <c r="CA174">
        <v>0.625</v>
      </c>
      <c r="CB174">
        <v>0.6125</v>
      </c>
      <c r="CC174">
        <v>0.60</v>
      </c>
      <c r="CD174" t="e">
        <v>#VALUE!</v>
      </c>
      <c r="CE174" t="e">
        <v>#VALUE!</v>
      </c>
      <c r="CF174" t="e">
        <v>#VALUE!</v>
      </c>
      <c r="CG174" t="e">
        <v>#VALUE!</v>
      </c>
      <c r="CH174" t="e">
        <v>#VALUE!</v>
      </c>
      <c r="CI174" t="e">
        <v>#VALUE!</v>
      </c>
      <c r="CJ174" t="e">
        <v>#VALUE!</v>
      </c>
      <c r="CK174" t="e">
        <v>#VALUE!</v>
      </c>
    </row>
    <row r="175" spans="1:89" ht="12.5">
      <c r="A175" t="s">
        <v>18</v>
      </c>
      <c r="B175" t="s">
        <v>348</v>
      </c>
      <c r="C175" t="s">
        <v>348</v>
      </c>
      <c r="E175" s="2">
        <v>0.70914533788567902</v>
      </c>
      <c r="F175" s="2">
        <f>E175</f>
        <v>0.70914533788567902</v>
      </c>
      <c r="I175" s="2">
        <f>F175</f>
        <v>0.70914533788567902</v>
      </c>
      <c r="J175" s="2">
        <f>I175</f>
        <v>0.70914533788567902</v>
      </c>
      <c r="L175" s="2">
        <f>J175</f>
        <v>0.70914533788567902</v>
      </c>
      <c r="V175" s="2">
        <f>L175</f>
        <v>0.70914533788567902</v>
      </c>
      <c r="W175">
        <v>5</v>
      </c>
      <c r="AG175" s="130" t="s">
        <v>342</v>
      </c>
      <c r="AI175">
        <v>1</v>
      </c>
      <c r="AJ175">
        <v>1.0181773645954399</v>
      </c>
      <c r="AK175">
        <v>1.2493164262765699</v>
      </c>
      <c r="AL175">
        <v>1.427108255292</v>
      </c>
      <c r="AM175">
        <v>1.6042962608517299</v>
      </c>
      <c r="AN175">
        <v>1.7817804816916201</v>
      </c>
      <c r="AO175">
        <v>1.95254859069884</v>
      </c>
      <c r="AP175">
        <v>2.1087850616355599</v>
      </c>
      <c r="AQ175">
        <v>2.2493619978581401</v>
      </c>
      <c r="AR175">
        <v>2.38084170711145</v>
      </c>
      <c r="AS175">
        <v>2.50725727436371</v>
      </c>
      <c r="AT175">
        <v>2.6227527513842399</v>
      </c>
      <c r="AU175">
        <v>2.7246223255178101</v>
      </c>
      <c r="AV175">
        <v>2.8114646706313899</v>
      </c>
      <c r="AW175">
        <v>2.8824367124661099</v>
      </c>
      <c r="AX175">
        <v>2.9388600268872298</v>
      </c>
      <c r="AY175">
        <v>2.9835885341900799</v>
      </c>
      <c r="AZ175">
        <v>3.0198065486362702</v>
      </c>
      <c r="BA175">
        <v>0</v>
      </c>
      <c r="BB175">
        <v>0</v>
      </c>
      <c r="BC175">
        <v>0</v>
      </c>
      <c r="BD175">
        <v>0</v>
      </c>
      <c r="BE175">
        <v>0</v>
      </c>
      <c r="BF175">
        <v>0</v>
      </c>
      <c r="BG175">
        <v>0</v>
      </c>
      <c r="BH175">
        <v>0</v>
      </c>
      <c r="BJ175" t="s">
        <v>357</v>
      </c>
      <c r="BL175">
        <v>0.80</v>
      </c>
      <c r="BM175">
        <v>0.79756097560975603</v>
      </c>
      <c r="BN175">
        <v>0.78536585365853595</v>
      </c>
      <c r="BO175">
        <v>0.77317073170731698</v>
      </c>
      <c r="BP175">
        <v>0.76097560975609702</v>
      </c>
      <c r="BQ175">
        <v>0.74878048780487805</v>
      </c>
      <c r="BR175">
        <v>0.73658536585365797</v>
      </c>
      <c r="BS175">
        <v>0.724390243902439</v>
      </c>
      <c r="BT175">
        <v>0.71219512195122003</v>
      </c>
      <c r="BU175">
        <v>0.69999999999999896</v>
      </c>
      <c r="BV175">
        <v>0.687499999999999</v>
      </c>
      <c r="BW175">
        <v>0.675</v>
      </c>
      <c r="BX175">
        <v>0.6625</v>
      </c>
      <c r="BY175">
        <v>0.64999999999999902</v>
      </c>
      <c r="BZ175">
        <v>0.63749999999999896</v>
      </c>
      <c r="CA175">
        <v>0.625</v>
      </c>
      <c r="CB175">
        <v>0.6125</v>
      </c>
      <c r="CC175">
        <v>0.60</v>
      </c>
      <c r="CD175" t="e">
        <v>#VALUE!</v>
      </c>
      <c r="CE175" t="e">
        <v>#VALUE!</v>
      </c>
      <c r="CF175" t="e">
        <v>#VALUE!</v>
      </c>
      <c r="CG175" t="e">
        <v>#VALUE!</v>
      </c>
      <c r="CH175" t="e">
        <v>#VALUE!</v>
      </c>
      <c r="CI175" t="e">
        <v>#VALUE!</v>
      </c>
      <c r="CJ175" t="e">
        <v>#VALUE!</v>
      </c>
      <c r="CK175" t="e">
        <v>#VALUE!</v>
      </c>
    </row>
    <row r="176" spans="1:89" ht="12.5">
      <c r="A176" t="s">
        <v>18</v>
      </c>
      <c r="B176" t="s">
        <v>349</v>
      </c>
      <c r="C176" t="s">
        <v>349</v>
      </c>
      <c r="E176" s="2">
        <v>2.7374999570623801</v>
      </c>
      <c r="F176" s="2">
        <f>E176</f>
        <v>2.7374999570623801</v>
      </c>
      <c r="I176" s="2">
        <f>F176</f>
        <v>2.7374999570623801</v>
      </c>
      <c r="J176" s="2">
        <f>I176</f>
        <v>2.7374999570623801</v>
      </c>
      <c r="L176" s="2">
        <f>J176</f>
        <v>2.7374999570623801</v>
      </c>
      <c r="V176" s="2">
        <f>L176</f>
        <v>2.7374999570623801</v>
      </c>
      <c r="W176">
        <v>5</v>
      </c>
      <c r="AG176" s="130" t="s">
        <v>342</v>
      </c>
      <c r="AI176">
        <v>1</v>
      </c>
      <c r="AJ176">
        <v>1.0181773645954399</v>
      </c>
      <c r="AK176">
        <v>1.2493164262765699</v>
      </c>
      <c r="AL176">
        <v>1.427108255292</v>
      </c>
      <c r="AM176">
        <v>1.6042962608517299</v>
      </c>
      <c r="AN176">
        <v>1.7817804816916201</v>
      </c>
      <c r="AO176">
        <v>1.95254859069884</v>
      </c>
      <c r="AP176">
        <v>2.1087850616355599</v>
      </c>
      <c r="AQ176">
        <v>2.2493619978581401</v>
      </c>
      <c r="AR176">
        <v>2.38084170711145</v>
      </c>
      <c r="AS176">
        <v>2.50725727436371</v>
      </c>
      <c r="AT176">
        <v>2.6227527513842399</v>
      </c>
      <c r="AU176">
        <v>2.7246223255178101</v>
      </c>
      <c r="AV176">
        <v>2.8114646706313899</v>
      </c>
      <c r="AW176">
        <v>2.8824367124661099</v>
      </c>
      <c r="AX176">
        <v>2.9388600268872298</v>
      </c>
      <c r="AY176">
        <v>2.9835885341900799</v>
      </c>
      <c r="AZ176">
        <v>3.0198065486362702</v>
      </c>
      <c r="BA176">
        <v>0</v>
      </c>
      <c r="BB176">
        <v>0</v>
      </c>
      <c r="BC176">
        <v>0</v>
      </c>
      <c r="BD176">
        <v>0</v>
      </c>
      <c r="BE176">
        <v>0</v>
      </c>
      <c r="BF176">
        <v>0</v>
      </c>
      <c r="BG176">
        <v>0</v>
      </c>
      <c r="BH176">
        <v>0</v>
      </c>
      <c r="BJ176" t="s">
        <v>357</v>
      </c>
      <c r="BL176">
        <v>0.80</v>
      </c>
      <c r="BM176">
        <v>0.79756097560975603</v>
      </c>
      <c r="BN176">
        <v>0.78536585365853595</v>
      </c>
      <c r="BO176">
        <v>0.77317073170731698</v>
      </c>
      <c r="BP176">
        <v>0.76097560975609702</v>
      </c>
      <c r="BQ176">
        <v>0.74878048780487805</v>
      </c>
      <c r="BR176">
        <v>0.73658536585365797</v>
      </c>
      <c r="BS176">
        <v>0.724390243902439</v>
      </c>
      <c r="BT176">
        <v>0.71219512195122003</v>
      </c>
      <c r="BU176">
        <v>0.69999999999999896</v>
      </c>
      <c r="BV176">
        <v>0.687499999999999</v>
      </c>
      <c r="BW176">
        <v>0.675</v>
      </c>
      <c r="BX176">
        <v>0.6625</v>
      </c>
      <c r="BY176">
        <v>0.64999999999999902</v>
      </c>
      <c r="BZ176">
        <v>0.63749999999999896</v>
      </c>
      <c r="CA176">
        <v>0.625</v>
      </c>
      <c r="CB176">
        <v>0.6125</v>
      </c>
      <c r="CC176">
        <v>0.60</v>
      </c>
      <c r="CD176" t="e">
        <v>#VALUE!</v>
      </c>
      <c r="CE176" t="e">
        <v>#VALUE!</v>
      </c>
      <c r="CF176" t="e">
        <v>#VALUE!</v>
      </c>
      <c r="CG176" t="e">
        <v>#VALUE!</v>
      </c>
      <c r="CH176" t="e">
        <v>#VALUE!</v>
      </c>
      <c r="CI176" t="e">
        <v>#VALUE!</v>
      </c>
      <c r="CJ176" t="e">
        <v>#VALUE!</v>
      </c>
      <c r="CK176" t="e">
        <v>#VALUE!</v>
      </c>
    </row>
    <row r="177" spans="1:89" ht="12.5">
      <c r="A177" t="s">
        <v>18</v>
      </c>
      <c r="B177" t="s">
        <v>350</v>
      </c>
      <c r="C177" t="s">
        <v>350</v>
      </c>
      <c r="D177">
        <v>0.028000000000000001</v>
      </c>
      <c r="E177">
        <v>0.028150767663581801</v>
      </c>
      <c r="F177"/>
      <c r="G177">
        <v>0.0288920716706338</v>
      </c>
      <c r="H177">
        <v>0.029517414052999399</v>
      </c>
      <c r="I177">
        <v>0.030075240885543999</v>
      </c>
      <c r="J177">
        <v>0.030560037193185199</v>
      </c>
      <c r="K177">
        <v>0.030985253443137298</v>
      </c>
      <c r="L177">
        <v>0.0313836657482678</v>
      </c>
      <c r="M177">
        <v>0.031719447895035002</v>
      </c>
      <c r="N177">
        <v>0.032016685023904097</v>
      </c>
      <c r="O177">
        <v>0.032279245884334597</v>
      </c>
      <c r="P177">
        <v>0.032502857830235599</v>
      </c>
      <c r="Q177">
        <v>0.032682230845663497</v>
      </c>
      <c r="R177">
        <v>0.032810052077163601</v>
      </c>
      <c r="S177">
        <v>0.032883078037515799</v>
      </c>
      <c r="T177">
        <v>0.032908298541591802</v>
      </c>
      <c r="U177">
        <v>0.032911744672958897</v>
      </c>
      <c r="V177">
        <v>0.032924940116357299</v>
      </c>
      <c r="W177">
        <v>5</v>
      </c>
      <c r="AG177" s="130" t="s">
        <v>347</v>
      </c>
      <c r="AI177">
        <v>1</v>
      </c>
      <c r="AJ177">
        <v>1.00675128244523</v>
      </c>
      <c r="AK177">
        <v>1.0405076946713701</v>
      </c>
      <c r="AL177">
        <v>1.0696355877031101</v>
      </c>
      <c r="AM177">
        <v>1.09619914293641</v>
      </c>
      <c r="AN177">
        <v>1.11979768259025</v>
      </c>
      <c r="AO177">
        <v>1.14095070613241</v>
      </c>
      <c r="AP177">
        <v>1.16120289549108</v>
      </c>
      <c r="AQ177">
        <v>1.1786475770876399</v>
      </c>
      <c r="AR177">
        <v>1.1944259917742199</v>
      </c>
      <c r="AS177">
        <v>1.20867354100785</v>
      </c>
      <c r="AT177">
        <v>1.2210779724488401</v>
      </c>
      <c r="AU177">
        <v>1.2312496614963599</v>
      </c>
      <c r="AV177">
        <v>1.23865805550244</v>
      </c>
      <c r="AW177">
        <v>1.24298261224228</v>
      </c>
      <c r="AX177">
        <v>1.24450795110515</v>
      </c>
      <c r="AY177">
        <v>1.2447207248233401</v>
      </c>
      <c r="AZ177">
        <v>1.2455524766308099</v>
      </c>
      <c r="BA177">
        <v>0</v>
      </c>
      <c r="BB177">
        <v>0</v>
      </c>
      <c r="BC177">
        <v>0</v>
      </c>
      <c r="BD177">
        <v>0</v>
      </c>
      <c r="BE177">
        <v>0</v>
      </c>
      <c r="BF177">
        <v>0</v>
      </c>
      <c r="BG177">
        <v>0</v>
      </c>
      <c r="BH177">
        <v>0</v>
      </c>
      <c r="BJ177" t="s">
        <v>357</v>
      </c>
      <c r="BL177">
        <v>0.80</v>
      </c>
      <c r="BM177">
        <v>0.79756097560975603</v>
      </c>
      <c r="BN177">
        <v>0.78536585365853595</v>
      </c>
      <c r="BO177">
        <v>0.77317073170731698</v>
      </c>
      <c r="BP177">
        <v>0.76097560975609702</v>
      </c>
      <c r="BQ177">
        <v>0.74878048780487805</v>
      </c>
      <c r="BR177">
        <v>0.73658536585365797</v>
      </c>
      <c r="BS177">
        <v>0.724390243902439</v>
      </c>
      <c r="BT177">
        <v>0.71219512195122003</v>
      </c>
      <c r="BU177">
        <v>0.69999999999999896</v>
      </c>
      <c r="BV177">
        <v>0.687499999999999</v>
      </c>
      <c r="BW177">
        <v>0.675</v>
      </c>
      <c r="BX177">
        <v>0.6625</v>
      </c>
      <c r="BY177">
        <v>0.64999999999999902</v>
      </c>
      <c r="BZ177">
        <v>0.63749999999999896</v>
      </c>
      <c r="CA177">
        <v>0.625</v>
      </c>
      <c r="CB177">
        <v>0.6125</v>
      </c>
      <c r="CC177">
        <v>0.60</v>
      </c>
      <c r="CD177" t="e">
        <v>#VALUE!</v>
      </c>
      <c r="CE177" t="e">
        <v>#VALUE!</v>
      </c>
      <c r="CF177" t="e">
        <v>#VALUE!</v>
      </c>
      <c r="CG177" t="e">
        <v>#VALUE!</v>
      </c>
      <c r="CH177" t="e">
        <v>#VALUE!</v>
      </c>
      <c r="CI177" t="e">
        <v>#VALUE!</v>
      </c>
      <c r="CJ177" t="e">
        <v>#VALUE!</v>
      </c>
      <c r="CK177" t="e">
        <v>#VALUE!</v>
      </c>
    </row>
    <row r="178" spans="1:89" ht="12.5">
      <c r="A178" t="s">
        <v>18</v>
      </c>
      <c r="B178" t="s">
        <v>351</v>
      </c>
      <c r="C178" t="s">
        <v>351</v>
      </c>
      <c r="D178">
        <v>0.015</v>
      </c>
      <c r="E178">
        <v>0.015080768391204501</v>
      </c>
      <c r="F178"/>
      <c r="G178">
        <v>0.015477895537839599</v>
      </c>
      <c r="H178">
        <v>0.0158129003855354</v>
      </c>
      <c r="I178">
        <v>0.016111736188684299</v>
      </c>
      <c r="J178">
        <v>0.016371448496349202</v>
      </c>
      <c r="K178">
        <v>0.0165992429159664</v>
      </c>
      <c r="L178">
        <v>0.0168126780794292</v>
      </c>
      <c r="M178">
        <v>0.0169925613723402</v>
      </c>
      <c r="N178">
        <v>0.017151795548520001</v>
      </c>
      <c r="O178">
        <v>0.017292453152322099</v>
      </c>
      <c r="P178">
        <v>0.017412245266197699</v>
      </c>
      <c r="Q178">
        <v>0.017508337953034001</v>
      </c>
      <c r="R178">
        <v>0.017576813612766199</v>
      </c>
      <c r="S178">
        <v>0.017615934662954899</v>
      </c>
      <c r="T178">
        <v>0.017629445647281299</v>
      </c>
      <c r="U178">
        <v>0.0176312917890851</v>
      </c>
      <c r="V178">
        <v>0.01763836077662</v>
      </c>
      <c r="W178">
        <v>5</v>
      </c>
      <c r="AG178" s="130" t="s">
        <v>347</v>
      </c>
      <c r="AI178">
        <v>1</v>
      </c>
      <c r="AJ178">
        <v>1.00675128244523</v>
      </c>
      <c r="AK178">
        <v>1.0405076946713701</v>
      </c>
      <c r="AL178">
        <v>1.0696355877031101</v>
      </c>
      <c r="AM178">
        <v>1.09619914293641</v>
      </c>
      <c r="AN178">
        <v>1.11979768259025</v>
      </c>
      <c r="AO178">
        <v>1.14095070613241</v>
      </c>
      <c r="AP178">
        <v>1.16120289549108</v>
      </c>
      <c r="AQ178">
        <v>1.1786475770876399</v>
      </c>
      <c r="AR178">
        <v>1.1944259917742199</v>
      </c>
      <c r="AS178">
        <v>1.20867354100785</v>
      </c>
      <c r="AT178">
        <v>1.2210779724488401</v>
      </c>
      <c r="AU178">
        <v>1.2312496614963599</v>
      </c>
      <c r="AV178">
        <v>1.23865805550244</v>
      </c>
      <c r="AW178">
        <v>1.24298261224228</v>
      </c>
      <c r="AX178">
        <v>1.24450795110515</v>
      </c>
      <c r="AY178">
        <v>1.2447207248233401</v>
      </c>
      <c r="AZ178">
        <v>1.2455524766308099</v>
      </c>
      <c r="BA178">
        <v>0</v>
      </c>
      <c r="BB178">
        <v>0</v>
      </c>
      <c r="BC178">
        <v>0</v>
      </c>
      <c r="BD178">
        <v>0</v>
      </c>
      <c r="BE178">
        <v>0</v>
      </c>
      <c r="BF178">
        <v>0</v>
      </c>
      <c r="BG178">
        <v>0</v>
      </c>
      <c r="BH178">
        <v>0</v>
      </c>
      <c r="BJ178" t="s">
        <v>357</v>
      </c>
      <c r="BL178">
        <v>0.80</v>
      </c>
      <c r="BM178">
        <v>0.79756097560975603</v>
      </c>
      <c r="BN178">
        <v>0.78536585365853595</v>
      </c>
      <c r="BO178">
        <v>0.77317073170731698</v>
      </c>
      <c r="BP178">
        <v>0.76097560975609702</v>
      </c>
      <c r="BQ178">
        <v>0.74878048780487805</v>
      </c>
      <c r="BR178">
        <v>0.73658536585365797</v>
      </c>
      <c r="BS178">
        <v>0.724390243902439</v>
      </c>
      <c r="BT178">
        <v>0.71219512195122003</v>
      </c>
      <c r="BU178">
        <v>0.69999999999999896</v>
      </c>
      <c r="BV178">
        <v>0.687499999999999</v>
      </c>
      <c r="BW178">
        <v>0.675</v>
      </c>
      <c r="BX178">
        <v>0.6625</v>
      </c>
      <c r="BY178">
        <v>0.64999999999999902</v>
      </c>
      <c r="BZ178">
        <v>0.63749999999999896</v>
      </c>
      <c r="CA178">
        <v>0.625</v>
      </c>
      <c r="CB178">
        <v>0.6125</v>
      </c>
      <c r="CC178">
        <v>0.60</v>
      </c>
      <c r="CD178" t="e">
        <v>#VALUE!</v>
      </c>
      <c r="CE178" t="e">
        <v>#VALUE!</v>
      </c>
      <c r="CF178" t="e">
        <v>#VALUE!</v>
      </c>
      <c r="CG178" t="e">
        <v>#VALUE!</v>
      </c>
      <c r="CH178" t="e">
        <v>#VALUE!</v>
      </c>
      <c r="CI178" t="e">
        <v>#VALUE!</v>
      </c>
      <c r="CJ178" t="e">
        <v>#VALUE!</v>
      </c>
      <c r="CK178" t="e">
        <v>#VALUE!</v>
      </c>
    </row>
    <row r="179" spans="1:89" ht="12.5">
      <c r="A179" t="s">
        <v>18</v>
      </c>
      <c r="B179" t="s">
        <v>352</v>
      </c>
      <c r="C179" t="s">
        <v>352</v>
      </c>
      <c r="D179">
        <v>0.035</v>
      </c>
      <c r="E179">
        <v>0.035188459579477201</v>
      </c>
      <c r="F179"/>
      <c r="G179">
        <v>0.0361150895882923</v>
      </c>
      <c r="H179">
        <v>0.036896767566249301</v>
      </c>
      <c r="I179">
        <v>0.037594051106930003</v>
      </c>
      <c r="J179">
        <v>0.038200046491481503</v>
      </c>
      <c r="K179">
        <v>0.038731566803921598</v>
      </c>
      <c r="L179">
        <v>0.039229582185334698</v>
      </c>
      <c r="M179">
        <v>0.039649309868793697</v>
      </c>
      <c r="N179">
        <v>0.040020856279880099</v>
      </c>
      <c r="O179">
        <v>0.040349057355418202</v>
      </c>
      <c r="P179">
        <v>0.040628572287794498</v>
      </c>
      <c r="Q179">
        <v>0.040852788557079397</v>
      </c>
      <c r="R179">
        <v>0.041012565096454498</v>
      </c>
      <c r="S179">
        <v>0.041103847546894799</v>
      </c>
      <c r="T179">
        <v>0.041135373176989697</v>
      </c>
      <c r="U179">
        <v>0.041139680841198699</v>
      </c>
      <c r="V179">
        <v>0.0411561751454467</v>
      </c>
      <c r="W179">
        <v>5</v>
      </c>
      <c r="AG179" s="130" t="s">
        <v>347</v>
      </c>
      <c r="AI179">
        <v>1</v>
      </c>
      <c r="AJ179">
        <v>1.00675128244523</v>
      </c>
      <c r="AK179">
        <v>1.0405076946713701</v>
      </c>
      <c r="AL179">
        <v>1.0696355877031101</v>
      </c>
      <c r="AM179">
        <v>1.09619914293641</v>
      </c>
      <c r="AN179">
        <v>1.11979768259025</v>
      </c>
      <c r="AO179">
        <v>1.14095070613241</v>
      </c>
      <c r="AP179">
        <v>1.16120289549108</v>
      </c>
      <c r="AQ179">
        <v>1.1786475770876399</v>
      </c>
      <c r="AR179">
        <v>1.1944259917742199</v>
      </c>
      <c r="AS179">
        <v>1.20867354100785</v>
      </c>
      <c r="AT179">
        <v>1.2210779724488401</v>
      </c>
      <c r="AU179">
        <v>1.2312496614963599</v>
      </c>
      <c r="AV179">
        <v>1.23865805550244</v>
      </c>
      <c r="AW179">
        <v>1.24298261224228</v>
      </c>
      <c r="AX179">
        <v>1.24450795110515</v>
      </c>
      <c r="AY179">
        <v>1.2447207248233401</v>
      </c>
      <c r="AZ179">
        <v>1.2455524766308099</v>
      </c>
      <c r="BA179">
        <v>0</v>
      </c>
      <c r="BB179">
        <v>0</v>
      </c>
      <c r="BC179">
        <v>0</v>
      </c>
      <c r="BD179">
        <v>0</v>
      </c>
      <c r="BE179">
        <v>0</v>
      </c>
      <c r="BF179">
        <v>0</v>
      </c>
      <c r="BG179">
        <v>0</v>
      </c>
      <c r="BH179">
        <v>0</v>
      </c>
      <c r="BJ179" t="s">
        <v>357</v>
      </c>
      <c r="BL179">
        <v>0.80</v>
      </c>
      <c r="BM179">
        <v>0.79756097560975603</v>
      </c>
      <c r="BN179">
        <v>0.78536585365853595</v>
      </c>
      <c r="BO179">
        <v>0.77317073170731698</v>
      </c>
      <c r="BP179">
        <v>0.76097560975609702</v>
      </c>
      <c r="BQ179">
        <v>0.74878048780487805</v>
      </c>
      <c r="BR179">
        <v>0.73658536585365797</v>
      </c>
      <c r="BS179">
        <v>0.724390243902439</v>
      </c>
      <c r="BT179">
        <v>0.71219512195122003</v>
      </c>
      <c r="BU179">
        <v>0.69999999999999896</v>
      </c>
      <c r="BV179">
        <v>0.687499999999999</v>
      </c>
      <c r="BW179">
        <v>0.675</v>
      </c>
      <c r="BX179">
        <v>0.6625</v>
      </c>
      <c r="BY179">
        <v>0.64999999999999902</v>
      </c>
      <c r="BZ179">
        <v>0.63749999999999896</v>
      </c>
      <c r="CA179">
        <v>0.625</v>
      </c>
      <c r="CB179">
        <v>0.6125</v>
      </c>
      <c r="CC179">
        <v>0.60</v>
      </c>
      <c r="CD179" t="e">
        <v>#VALUE!</v>
      </c>
      <c r="CE179" t="e">
        <v>#VALUE!</v>
      </c>
      <c r="CF179" t="e">
        <v>#VALUE!</v>
      </c>
      <c r="CG179" t="e">
        <v>#VALUE!</v>
      </c>
      <c r="CH179" t="e">
        <v>#VALUE!</v>
      </c>
      <c r="CI179" t="e">
        <v>#VALUE!</v>
      </c>
      <c r="CJ179" t="e">
        <v>#VALUE!</v>
      </c>
      <c r="CK179" t="e">
        <v>#VALUE!</v>
      </c>
    </row>
    <row r="180" spans="1:89" ht="12.5">
      <c r="A180" t="s">
        <v>18</v>
      </c>
      <c r="B180" t="s">
        <v>353</v>
      </c>
      <c r="C180" t="s">
        <v>353</v>
      </c>
      <c r="D180">
        <v>3.3479999999999999</v>
      </c>
      <c r="E180">
        <v>3.37830571229301</v>
      </c>
      <c r="F180"/>
      <c r="G180">
        <v>3.8750005146212199</v>
      </c>
      <c r="H180">
        <v>4.20817276551987</v>
      </c>
      <c r="I180">
        <v>4.5185339010782997</v>
      </c>
      <c r="J180">
        <v>4.8136508539852798</v>
      </c>
      <c r="K180">
        <v>5.0814356616121801</v>
      </c>
      <c r="L180">
        <v>5.3066373478207796</v>
      </c>
      <c r="M180">
        <v>5.4989134394950998</v>
      </c>
      <c r="N180">
        <v>5.6700883765262402</v>
      </c>
      <c r="O180">
        <v>5.8286796532032303</v>
      </c>
      <c r="P180">
        <v>5.9681051795126203</v>
      </c>
      <c r="Q180">
        <v>6.0877435900025798</v>
      </c>
      <c r="R180">
        <v>6.18944548440854</v>
      </c>
      <c r="S180">
        <v>6.2749771508990504</v>
      </c>
      <c r="T180">
        <v>6.3468461053641496</v>
      </c>
      <c r="U180">
        <v>6.4053371080210804</v>
      </c>
      <c r="V180">
        <v>6.4493924833090501</v>
      </c>
      <c r="W180">
        <v>5</v>
      </c>
      <c r="AG180" s="130" t="s">
        <v>354</v>
      </c>
      <c r="AI180">
        <v>1</v>
      </c>
      <c r="AJ180">
        <v>1.0113494587486</v>
      </c>
      <c r="AK180">
        <v>1.20067966116402</v>
      </c>
      <c r="AL180">
        <v>1.3342004246105099</v>
      </c>
      <c r="AM180">
        <v>1.4635080415719699</v>
      </c>
      <c r="AN180">
        <v>1.59116285860685</v>
      </c>
      <c r="AO180">
        <v>1.71133474934914</v>
      </c>
      <c r="AP180">
        <v>1.8160349666918101</v>
      </c>
      <c r="AQ180">
        <v>1.9084262688734901</v>
      </c>
      <c r="AR180">
        <v>1.99329361844755</v>
      </c>
      <c r="AS180">
        <v>2.07438749116079</v>
      </c>
      <c r="AT180">
        <v>2.1478994876341599</v>
      </c>
      <c r="AU180">
        <v>2.2128918372302602</v>
      </c>
      <c r="AV180">
        <v>2.2697665898527402</v>
      </c>
      <c r="AW180">
        <v>2.3189678472383002</v>
      </c>
      <c r="AX180">
        <v>2.3614634396489498</v>
      </c>
      <c r="AY180">
        <v>2.3969943415327402</v>
      </c>
      <c r="AZ180">
        <v>2.42447155402458</v>
      </c>
      <c r="BA180">
        <v>0</v>
      </c>
      <c r="BB180">
        <v>0</v>
      </c>
      <c r="BC180">
        <v>0</v>
      </c>
      <c r="BD180">
        <v>0</v>
      </c>
      <c r="BE180">
        <v>0</v>
      </c>
      <c r="BF180">
        <v>0</v>
      </c>
      <c r="BG180">
        <v>0</v>
      </c>
      <c r="BH180">
        <v>0</v>
      </c>
      <c r="BJ180" t="s">
        <v>357</v>
      </c>
      <c r="BL180">
        <v>0.80</v>
      </c>
      <c r="BM180">
        <v>0.79756097560975603</v>
      </c>
      <c r="BN180">
        <v>0.78536585365853595</v>
      </c>
      <c r="BO180">
        <v>0.77317073170731698</v>
      </c>
      <c r="BP180">
        <v>0.76097560975609702</v>
      </c>
      <c r="BQ180">
        <v>0.74878048780487805</v>
      </c>
      <c r="BR180">
        <v>0.73658536585365797</v>
      </c>
      <c r="BS180">
        <v>0.724390243902439</v>
      </c>
      <c r="BT180">
        <v>0.71219512195122003</v>
      </c>
      <c r="BU180">
        <v>0.69999999999999896</v>
      </c>
      <c r="BV180">
        <v>0.687499999999999</v>
      </c>
      <c r="BW180">
        <v>0.675</v>
      </c>
      <c r="BX180">
        <v>0.6625</v>
      </c>
      <c r="BY180">
        <v>0.64999999999999902</v>
      </c>
      <c r="BZ180">
        <v>0.63749999999999896</v>
      </c>
      <c r="CA180">
        <v>0.625</v>
      </c>
      <c r="CB180">
        <v>0.6125</v>
      </c>
      <c r="CC180">
        <v>0.60</v>
      </c>
      <c r="CD180" t="e">
        <v>#VALUE!</v>
      </c>
      <c r="CE180" t="e">
        <v>#VALUE!</v>
      </c>
      <c r="CF180" t="e">
        <v>#VALUE!</v>
      </c>
      <c r="CG180" t="e">
        <v>#VALUE!</v>
      </c>
      <c r="CH180" t="e">
        <v>#VALUE!</v>
      </c>
      <c r="CI180" t="e">
        <v>#VALUE!</v>
      </c>
      <c r="CJ180" t="e">
        <v>#VALUE!</v>
      </c>
      <c r="CK180" t="e">
        <v>#VALUE!</v>
      </c>
    </row>
    <row r="181" spans="1:89" ht="12.5">
      <c r="A181" t="s">
        <v>18</v>
      </c>
      <c r="B181" t="s">
        <v>355</v>
      </c>
      <c r="C181" t="s">
        <v>355</v>
      </c>
      <c r="D181">
        <v>0.80</v>
      </c>
      <c r="E181">
        <v>0.81159804531260304</v>
      </c>
      <c r="F181"/>
      <c r="G181">
        <v>0.956296174254752</v>
      </c>
      <c r="H181">
        <v>1.06151832422624</v>
      </c>
      <c r="I181">
        <v>1.1618124816333799</v>
      </c>
      <c r="J181">
        <v>1.2580547241206099</v>
      </c>
      <c r="K181">
        <v>1.34686744824534</v>
      </c>
      <c r="L181">
        <v>1.42493634094222</v>
      </c>
      <c r="M181">
        <v>1.4925876515957901</v>
      </c>
      <c r="N181">
        <v>1.5536589657985</v>
      </c>
      <c r="O181">
        <v>1.61037403078488</v>
      </c>
      <c r="P181">
        <v>1.6604462232833801</v>
      </c>
      <c r="Q181">
        <v>1.70317277426145</v>
      </c>
      <c r="R181">
        <v>1.7384583570383301</v>
      </c>
      <c r="S181">
        <v>1.76643522869867</v>
      </c>
      <c r="T181">
        <v>1.7880463125349499</v>
      </c>
      <c r="U181">
        <v>1.8047145761176</v>
      </c>
      <c r="V181">
        <v>1.81785911890695</v>
      </c>
      <c r="W181">
        <v>5</v>
      </c>
      <c r="AG181" s="130" t="s">
        <v>342</v>
      </c>
      <c r="AI181">
        <v>1</v>
      </c>
      <c r="AJ181">
        <v>1.0181773645954399</v>
      </c>
      <c r="AK181">
        <v>1.2493164262765699</v>
      </c>
      <c r="AL181">
        <v>1.427108255292</v>
      </c>
      <c r="AM181">
        <v>1.6042962608517299</v>
      </c>
      <c r="AN181">
        <v>1.7817804816916201</v>
      </c>
      <c r="AO181">
        <v>1.95254859069884</v>
      </c>
      <c r="AP181">
        <v>2.1087850616355599</v>
      </c>
      <c r="AQ181">
        <v>2.2493619978581401</v>
      </c>
      <c r="AR181">
        <v>2.38084170711145</v>
      </c>
      <c r="AS181">
        <v>2.50725727436371</v>
      </c>
      <c r="AT181">
        <v>2.6227527513842399</v>
      </c>
      <c r="AU181">
        <v>2.7246223255178101</v>
      </c>
      <c r="AV181">
        <v>2.8114646706313899</v>
      </c>
      <c r="AW181">
        <v>2.8824367124661099</v>
      </c>
      <c r="AX181">
        <v>2.9388600268872298</v>
      </c>
      <c r="AY181">
        <v>2.9835885341900799</v>
      </c>
      <c r="AZ181">
        <v>3.0198065486362702</v>
      </c>
      <c r="BA181">
        <v>0</v>
      </c>
      <c r="BB181">
        <v>0</v>
      </c>
      <c r="BC181">
        <v>0</v>
      </c>
      <c r="BD181">
        <v>0</v>
      </c>
      <c r="BE181">
        <v>0</v>
      </c>
      <c r="BF181">
        <v>0</v>
      </c>
      <c r="BG181">
        <v>0</v>
      </c>
      <c r="BH181">
        <v>0</v>
      </c>
      <c r="BJ181" t="s">
        <v>357</v>
      </c>
      <c r="BL181">
        <v>0.80</v>
      </c>
      <c r="BM181">
        <v>0.79756097560975603</v>
      </c>
      <c r="BN181">
        <v>0.78536585365853595</v>
      </c>
      <c r="BO181">
        <v>0.77317073170731698</v>
      </c>
      <c r="BP181">
        <v>0.76097560975609702</v>
      </c>
      <c r="BQ181">
        <v>0.74878048780487805</v>
      </c>
      <c r="BR181">
        <v>0.73658536585365797</v>
      </c>
      <c r="BS181">
        <v>0.724390243902439</v>
      </c>
      <c r="BT181">
        <v>0.71219512195122003</v>
      </c>
      <c r="BU181">
        <v>0.69999999999999896</v>
      </c>
      <c r="BV181">
        <v>0.687499999999999</v>
      </c>
      <c r="BW181">
        <v>0.675</v>
      </c>
      <c r="BX181">
        <v>0.6625</v>
      </c>
      <c r="BY181">
        <v>0.64999999999999902</v>
      </c>
      <c r="BZ181">
        <v>0.63749999999999896</v>
      </c>
      <c r="CA181">
        <v>0.625</v>
      </c>
      <c r="CB181">
        <v>0.6125</v>
      </c>
      <c r="CC181">
        <v>0.60</v>
      </c>
      <c r="CD181" t="e">
        <v>#VALUE!</v>
      </c>
      <c r="CE181" t="e">
        <v>#VALUE!</v>
      </c>
      <c r="CF181" t="e">
        <v>#VALUE!</v>
      </c>
      <c r="CG181" t="e">
        <v>#VALUE!</v>
      </c>
      <c r="CH181" t="e">
        <v>#VALUE!</v>
      </c>
      <c r="CI181" t="e">
        <v>#VALUE!</v>
      </c>
      <c r="CJ181" t="e">
        <v>#VALUE!</v>
      </c>
      <c r="CK181" t="e">
        <v>#VALUE!</v>
      </c>
    </row>
    <row r="182" spans="1:89" ht="12.5">
      <c r="A182" t="s">
        <v>18</v>
      </c>
      <c r="B182" t="s">
        <v>356</v>
      </c>
      <c r="C182" t="s">
        <v>356</v>
      </c>
      <c r="D182">
        <v>0.44</v>
      </c>
      <c r="E182">
        <v>0.44637892492193099</v>
      </c>
      <c r="F182"/>
      <c r="G182">
        <v>0.52596289584011402</v>
      </c>
      <c r="H182">
        <v>0.58383507832443404</v>
      </c>
      <c r="I182">
        <v>0.63899686489835805</v>
      </c>
      <c r="J182">
        <v>0.691930098266334</v>
      </c>
      <c r="K182">
        <v>0.74077709653493495</v>
      </c>
      <c r="L182">
        <v>0.78371498751822299</v>
      </c>
      <c r="M182">
        <v>0.82092320837768495</v>
      </c>
      <c r="N182">
        <v>0.85451243118917497</v>
      </c>
      <c r="O182">
        <v>0.88570571693168298</v>
      </c>
      <c r="P182">
        <v>0.91324542280585896</v>
      </c>
      <c r="Q182">
        <v>0.93674502584379704</v>
      </c>
      <c r="R182">
        <v>0.956152096371083</v>
      </c>
      <c r="S182">
        <v>0.97153937578426797</v>
      </c>
      <c r="T182">
        <v>0.98342547189422302</v>
      </c>
      <c r="U182">
        <v>0.99259301686468204</v>
      </c>
      <c r="V182">
        <v>0.99982251539882006</v>
      </c>
      <c r="W182">
        <v>5</v>
      </c>
      <c r="AG182" s="130" t="s">
        <v>342</v>
      </c>
      <c r="AI182">
        <v>1</v>
      </c>
      <c r="AJ182">
        <v>1.0181773645954399</v>
      </c>
      <c r="AK182">
        <v>1.2493164262765699</v>
      </c>
      <c r="AL182">
        <v>1.427108255292</v>
      </c>
      <c r="AM182">
        <v>1.6042962608517299</v>
      </c>
      <c r="AN182">
        <v>1.7817804816916201</v>
      </c>
      <c r="AO182">
        <v>1.95254859069884</v>
      </c>
      <c r="AP182">
        <v>2.1087850616355599</v>
      </c>
      <c r="AQ182">
        <v>2.2493619978581401</v>
      </c>
      <c r="AR182">
        <v>2.38084170711145</v>
      </c>
      <c r="AS182">
        <v>2.50725727436371</v>
      </c>
      <c r="AT182">
        <v>2.6227527513842399</v>
      </c>
      <c r="AU182">
        <v>2.7246223255178101</v>
      </c>
      <c r="AV182">
        <v>2.8114646706313899</v>
      </c>
      <c r="AW182">
        <v>2.8824367124661099</v>
      </c>
      <c r="AX182">
        <v>2.9388600268872298</v>
      </c>
      <c r="AY182">
        <v>2.9835885341900799</v>
      </c>
      <c r="AZ182">
        <v>3.0198065486362702</v>
      </c>
      <c r="BA182">
        <v>0</v>
      </c>
      <c r="BB182">
        <v>0</v>
      </c>
      <c r="BC182">
        <v>0</v>
      </c>
      <c r="BD182">
        <v>0</v>
      </c>
      <c r="BE182">
        <v>0</v>
      </c>
      <c r="BF182">
        <v>0</v>
      </c>
      <c r="BG182">
        <v>0</v>
      </c>
      <c r="BH182">
        <v>0</v>
      </c>
      <c r="BJ182" t="s">
        <v>357</v>
      </c>
      <c r="BL182">
        <v>0.80</v>
      </c>
      <c r="BM182">
        <v>0.79756097560975603</v>
      </c>
      <c r="BN182">
        <v>0.78536585365853595</v>
      </c>
      <c r="BO182">
        <v>0.77317073170731698</v>
      </c>
      <c r="BP182">
        <v>0.76097560975609702</v>
      </c>
      <c r="BQ182">
        <v>0.74878048780487805</v>
      </c>
      <c r="BR182">
        <v>0.73658536585365797</v>
      </c>
      <c r="BS182">
        <v>0.724390243902439</v>
      </c>
      <c r="BT182">
        <v>0.71219512195122003</v>
      </c>
      <c r="BU182">
        <v>0.69999999999999896</v>
      </c>
      <c r="BV182">
        <v>0.687499999999999</v>
      </c>
      <c r="BW182">
        <v>0.675</v>
      </c>
      <c r="BX182">
        <v>0.6625</v>
      </c>
      <c r="BY182">
        <v>0.64999999999999902</v>
      </c>
      <c r="BZ182">
        <v>0.63749999999999896</v>
      </c>
      <c r="CA182">
        <v>0.625</v>
      </c>
      <c r="CB182">
        <v>0.6125</v>
      </c>
      <c r="CC182">
        <v>0.60</v>
      </c>
      <c r="CD182" t="e">
        <v>#VALUE!</v>
      </c>
      <c r="CE182" t="e">
        <v>#VALUE!</v>
      </c>
      <c r="CF182" t="e">
        <v>#VALUE!</v>
      </c>
      <c r="CG182" t="e">
        <v>#VALUE!</v>
      </c>
      <c r="CH182" t="e">
        <v>#VALUE!</v>
      </c>
      <c r="CI182" t="e">
        <v>#VALUE!</v>
      </c>
      <c r="CJ182" t="e">
        <v>#VALUE!</v>
      </c>
      <c r="CK182" t="e">
        <v>#VALUE!</v>
      </c>
    </row>
    <row r="183" spans="1:89" ht="12.5">
      <c r="A183" t="s">
        <v>19</v>
      </c>
      <c r="B183" t="s">
        <v>341</v>
      </c>
      <c r="C183" t="s">
        <v>341</v>
      </c>
      <c r="E183" s="2">
        <v>186.01528694781899</v>
      </c>
      <c r="F183" s="2">
        <f>E183</f>
        <v>186.01528694781899</v>
      </c>
      <c r="I183" s="2">
        <f>F183</f>
        <v>186.01528694781899</v>
      </c>
      <c r="J183" s="2">
        <f>I183</f>
        <v>186.01528694781899</v>
      </c>
      <c r="L183" s="2">
        <f>J183</f>
        <v>186.01528694781899</v>
      </c>
      <c r="V183" s="2">
        <f>L183</f>
        <v>186.01528694781899</v>
      </c>
      <c r="W183">
        <v>5</v>
      </c>
      <c r="AG183" s="130" t="s">
        <v>342</v>
      </c>
      <c r="AI183">
        <v>1</v>
      </c>
      <c r="AJ183">
        <v>1.03762389140165</v>
      </c>
      <c r="AK183">
        <v>1.4462721176687101</v>
      </c>
      <c r="AL183">
        <v>1.91684835209244</v>
      </c>
      <c r="AM183">
        <v>2.4175631359905001</v>
      </c>
      <c r="AN183">
        <v>2.95866601655253</v>
      </c>
      <c r="AO183">
        <v>3.5407792877150399</v>
      </c>
      <c r="AP183">
        <v>4.1652085465605202</v>
      </c>
      <c r="AQ183">
        <v>4.8364928782729599</v>
      </c>
      <c r="AR183">
        <v>5.5487509950602103</v>
      </c>
      <c r="AS183">
        <v>6.28934178872169</v>
      </c>
      <c r="AT183">
        <v>7.0315676291967604</v>
      </c>
      <c r="AU183">
        <v>7.7696570452703</v>
      </c>
      <c r="AV183">
        <v>8.4814636939075196</v>
      </c>
      <c r="AW183">
        <v>9.1612283057352109</v>
      </c>
      <c r="AX183">
        <v>9.8079259260343896</v>
      </c>
      <c r="AY183">
        <v>10.422581509524001</v>
      </c>
      <c r="AZ183">
        <v>11.010722490581401</v>
      </c>
      <c r="BA183">
        <v>0</v>
      </c>
      <c r="BB183">
        <v>0</v>
      </c>
      <c r="BC183">
        <v>0</v>
      </c>
      <c r="BD183">
        <v>0</v>
      </c>
      <c r="BE183">
        <v>0</v>
      </c>
      <c r="BF183">
        <v>0</v>
      </c>
      <c r="BG183">
        <v>0</v>
      </c>
      <c r="BH183">
        <v>0</v>
      </c>
      <c r="BJ183" t="s">
        <v>343</v>
      </c>
      <c r="BL183">
        <v>1</v>
      </c>
      <c r="BM183">
        <v>0.99756097560975698</v>
      </c>
      <c r="BN183">
        <v>0.98536585365853702</v>
      </c>
      <c r="BO183">
        <v>0.97317073170731705</v>
      </c>
      <c r="BP183">
        <v>0.96097560975609797</v>
      </c>
      <c r="BQ183">
        <v>0.948780487804878</v>
      </c>
      <c r="BR183">
        <v>0.93658536585365804</v>
      </c>
      <c r="BS183">
        <v>0.92439024390243896</v>
      </c>
      <c r="BT183">
        <v>0.91219512195121999</v>
      </c>
      <c r="BU183">
        <v>0.90</v>
      </c>
      <c r="BV183">
        <v>0.8875</v>
      </c>
      <c r="BW183">
        <v>0.875000000000001</v>
      </c>
      <c r="BX183">
        <v>0.86250000000000104</v>
      </c>
      <c r="BY183">
        <v>0.85000000000000098</v>
      </c>
      <c r="BZ183">
        <v>0.8375</v>
      </c>
      <c r="CA183">
        <v>0.82500000000000095</v>
      </c>
      <c r="CB183">
        <v>0.812500000000001</v>
      </c>
      <c r="CC183">
        <v>0.80000000000000104</v>
      </c>
      <c r="CD183" t="e">
        <v>#VALUE!</v>
      </c>
      <c r="CE183" t="e">
        <v>#VALUE!</v>
      </c>
      <c r="CF183" t="e">
        <v>#VALUE!</v>
      </c>
      <c r="CG183" t="e">
        <v>#VALUE!</v>
      </c>
      <c r="CH183" t="e">
        <v>#VALUE!</v>
      </c>
      <c r="CI183" t="e">
        <v>#VALUE!</v>
      </c>
      <c r="CJ183" t="e">
        <v>#VALUE!</v>
      </c>
      <c r="CK183" t="e">
        <v>#VALUE!</v>
      </c>
    </row>
    <row r="184" spans="1:89" ht="12.5">
      <c r="A184" t="s">
        <v>19</v>
      </c>
      <c r="B184" t="s">
        <v>344</v>
      </c>
      <c r="C184" t="s">
        <v>344</v>
      </c>
      <c r="E184" s="2">
        <v>184.12989991656301</v>
      </c>
      <c r="F184" s="2">
        <f>E184</f>
        <v>184.12989991656301</v>
      </c>
      <c r="I184" s="2">
        <f>F184</f>
        <v>184.12989991656301</v>
      </c>
      <c r="J184" s="2">
        <f>I184</f>
        <v>184.12989991656301</v>
      </c>
      <c r="L184" s="2">
        <f>J184</f>
        <v>184.12989991656301</v>
      </c>
      <c r="V184" s="2">
        <f>L184</f>
        <v>184.12989991656301</v>
      </c>
      <c r="W184">
        <v>5</v>
      </c>
      <c r="AG184" s="130" t="s">
        <v>342</v>
      </c>
      <c r="AI184">
        <v>1</v>
      </c>
      <c r="AJ184">
        <v>1.03762389140165</v>
      </c>
      <c r="AK184">
        <v>1.4462721176687101</v>
      </c>
      <c r="AL184">
        <v>1.91684835209244</v>
      </c>
      <c r="AM184">
        <v>2.4175631359905001</v>
      </c>
      <c r="AN184">
        <v>2.95866601655253</v>
      </c>
      <c r="AO184">
        <v>3.5407792877150399</v>
      </c>
      <c r="AP184">
        <v>4.1652085465605202</v>
      </c>
      <c r="AQ184">
        <v>4.8364928782729599</v>
      </c>
      <c r="AR184">
        <v>5.5487509950602103</v>
      </c>
      <c r="AS184">
        <v>6.28934178872169</v>
      </c>
      <c r="AT184">
        <v>7.0315676291967604</v>
      </c>
      <c r="AU184">
        <v>7.7696570452703</v>
      </c>
      <c r="AV184">
        <v>8.4814636939075196</v>
      </c>
      <c r="AW184">
        <v>9.1612283057352109</v>
      </c>
      <c r="AX184">
        <v>9.8079259260343896</v>
      </c>
      <c r="AY184">
        <v>10.422581509524001</v>
      </c>
      <c r="AZ184">
        <v>11.010722490581401</v>
      </c>
      <c r="BA184">
        <v>0</v>
      </c>
      <c r="BB184">
        <v>0</v>
      </c>
      <c r="BC184">
        <v>0</v>
      </c>
      <c r="BD184">
        <v>0</v>
      </c>
      <c r="BE184">
        <v>0</v>
      </c>
      <c r="BF184">
        <v>0</v>
      </c>
      <c r="BG184">
        <v>0</v>
      </c>
      <c r="BH184">
        <v>0</v>
      </c>
      <c r="BJ184" t="s">
        <v>343</v>
      </c>
      <c r="BL184">
        <v>1</v>
      </c>
      <c r="BM184">
        <v>0.99756097560975698</v>
      </c>
      <c r="BN184">
        <v>0.98536585365853702</v>
      </c>
      <c r="BO184">
        <v>0.97317073170731705</v>
      </c>
      <c r="BP184">
        <v>0.96097560975609797</v>
      </c>
      <c r="BQ184">
        <v>0.948780487804878</v>
      </c>
      <c r="BR184">
        <v>0.93658536585365804</v>
      </c>
      <c r="BS184">
        <v>0.92439024390243896</v>
      </c>
      <c r="BT184">
        <v>0.91219512195121999</v>
      </c>
      <c r="BU184">
        <v>0.90</v>
      </c>
      <c r="BV184">
        <v>0.8875</v>
      </c>
      <c r="BW184">
        <v>0.875000000000001</v>
      </c>
      <c r="BX184">
        <v>0.86250000000000104</v>
      </c>
      <c r="BY184">
        <v>0.85000000000000098</v>
      </c>
      <c r="BZ184">
        <v>0.8375</v>
      </c>
      <c r="CA184">
        <v>0.82500000000000095</v>
      </c>
      <c r="CB184">
        <v>0.812500000000001</v>
      </c>
      <c r="CC184">
        <v>0.80000000000000104</v>
      </c>
      <c r="CD184" t="e">
        <v>#VALUE!</v>
      </c>
      <c r="CE184" t="e">
        <v>#VALUE!</v>
      </c>
      <c r="CF184" t="e">
        <v>#VALUE!</v>
      </c>
      <c r="CG184" t="e">
        <v>#VALUE!</v>
      </c>
      <c r="CH184" t="e">
        <v>#VALUE!</v>
      </c>
      <c r="CI184" t="e">
        <v>#VALUE!</v>
      </c>
      <c r="CJ184" t="e">
        <v>#VALUE!</v>
      </c>
      <c r="CK184" t="e">
        <v>#VALUE!</v>
      </c>
    </row>
    <row r="185" spans="1:89" ht="12.5">
      <c r="A185" t="s">
        <v>19</v>
      </c>
      <c r="B185" t="s">
        <v>345</v>
      </c>
      <c r="C185" t="s">
        <v>345</v>
      </c>
      <c r="E185" s="2">
        <v>78.4974489885753</v>
      </c>
      <c r="I185" s="2">
        <v>179.47316403286899</v>
      </c>
      <c r="J185" s="2">
        <v>217.58565066713001</v>
      </c>
      <c r="L185" s="2">
        <v>299.68752751515802</v>
      </c>
      <c r="V185" s="2">
        <v>700.38562999989097</v>
      </c>
      <c r="W185">
        <v>5</v>
      </c>
      <c r="AG185" s="130" t="s">
        <v>342</v>
      </c>
      <c r="AI185">
        <v>1</v>
      </c>
      <c r="AJ185">
        <v>1.03762389140165</v>
      </c>
      <c r="AK185">
        <v>1.4462721176687101</v>
      </c>
      <c r="AL185">
        <v>1.91684835209244</v>
      </c>
      <c r="AM185">
        <v>2.4175631359905001</v>
      </c>
      <c r="AN185">
        <v>2.95866601655253</v>
      </c>
      <c r="AO185">
        <v>3.5407792877150399</v>
      </c>
      <c r="AP185">
        <v>4.1652085465605202</v>
      </c>
      <c r="AQ185">
        <v>4.8364928782729599</v>
      </c>
      <c r="AR185">
        <v>5.5487509950602103</v>
      </c>
      <c r="AS185">
        <v>6.28934178872169</v>
      </c>
      <c r="AT185">
        <v>7.0315676291967604</v>
      </c>
      <c r="AU185">
        <v>7.7696570452703</v>
      </c>
      <c r="AV185">
        <v>8.4814636939075196</v>
      </c>
      <c r="AW185">
        <v>9.1612283057352109</v>
      </c>
      <c r="AX185">
        <v>9.8079259260343896</v>
      </c>
      <c r="AY185">
        <v>10.422581509524001</v>
      </c>
      <c r="AZ185">
        <v>11.010722490581401</v>
      </c>
      <c r="BA185">
        <v>0</v>
      </c>
      <c r="BB185">
        <v>0</v>
      </c>
      <c r="BC185">
        <v>0</v>
      </c>
      <c r="BD185">
        <v>0</v>
      </c>
      <c r="BE185">
        <v>0</v>
      </c>
      <c r="BF185">
        <v>0</v>
      </c>
      <c r="BG185">
        <v>0</v>
      </c>
      <c r="BH185">
        <v>0</v>
      </c>
      <c r="BJ185" t="s">
        <v>343</v>
      </c>
      <c r="BL185">
        <v>1</v>
      </c>
      <c r="BM185">
        <v>0.99756097560975698</v>
      </c>
      <c r="BN185">
        <v>0.98536585365853702</v>
      </c>
      <c r="BO185">
        <v>0.97317073170731705</v>
      </c>
      <c r="BP185">
        <v>0.96097560975609797</v>
      </c>
      <c r="BQ185">
        <v>0.948780487804878</v>
      </c>
      <c r="BR185">
        <v>0.93658536585365804</v>
      </c>
      <c r="BS185">
        <v>0.92439024390243896</v>
      </c>
      <c r="BT185">
        <v>0.91219512195121999</v>
      </c>
      <c r="BU185">
        <v>0.90</v>
      </c>
      <c r="BV185">
        <v>0.8875</v>
      </c>
      <c r="BW185">
        <v>0.875000000000001</v>
      </c>
      <c r="BX185">
        <v>0.86250000000000104</v>
      </c>
      <c r="BY185">
        <v>0.85000000000000098</v>
      </c>
      <c r="BZ185">
        <v>0.8375</v>
      </c>
      <c r="CA185">
        <v>0.82500000000000095</v>
      </c>
      <c r="CB185">
        <v>0.812500000000001</v>
      </c>
      <c r="CC185">
        <v>0.80000000000000104</v>
      </c>
      <c r="CD185" t="e">
        <v>#VALUE!</v>
      </c>
      <c r="CE185" t="e">
        <v>#VALUE!</v>
      </c>
      <c r="CF185" t="e">
        <v>#VALUE!</v>
      </c>
      <c r="CG185" t="e">
        <v>#VALUE!</v>
      </c>
      <c r="CH185" t="e">
        <v>#VALUE!</v>
      </c>
      <c r="CI185" t="e">
        <v>#VALUE!</v>
      </c>
      <c r="CJ185" t="e">
        <v>#VALUE!</v>
      </c>
      <c r="CK185" t="e">
        <v>#VALUE!</v>
      </c>
    </row>
    <row r="186" spans="1:89" ht="12.5">
      <c r="A186" t="s">
        <v>19</v>
      </c>
      <c r="B186" t="s">
        <v>346</v>
      </c>
      <c r="C186" t="s">
        <v>346</v>
      </c>
      <c r="E186" s="2">
        <v>104.06015842940801</v>
      </c>
      <c r="I186" s="2">
        <v>115.579723919514</v>
      </c>
      <c r="J186" s="2">
        <v>118.102884953976</v>
      </c>
      <c r="L186" s="2">
        <v>120.651844860726</v>
      </c>
      <c r="V186" s="2">
        <v>106.318426449093</v>
      </c>
      <c r="W186">
        <v>5</v>
      </c>
      <c r="AG186" s="130" t="s">
        <v>347</v>
      </c>
      <c r="AI186">
        <v>1</v>
      </c>
      <c r="AJ186">
        <v>1.00805201609879</v>
      </c>
      <c r="AK186">
        <v>1.0483120965927399</v>
      </c>
      <c r="AL186">
        <v>1.0891035363266901</v>
      </c>
      <c r="AM186">
        <v>1.1227124426722399</v>
      </c>
      <c r="AN186">
        <v>1.14854492301775</v>
      </c>
      <c r="AO186">
        <v>1.1659561239518199</v>
      </c>
      <c r="AP186">
        <v>1.1751399906687601</v>
      </c>
      <c r="AQ186">
        <v>1.1785515293092901</v>
      </c>
      <c r="AR186">
        <v>1.17674547198093</v>
      </c>
      <c r="AS186">
        <v>1.1691818842672701</v>
      </c>
      <c r="AT186">
        <v>1.15651440870038</v>
      </c>
      <c r="AU186">
        <v>1.13863586790409</v>
      </c>
      <c r="AV186">
        <v>1.1164939385358901</v>
      </c>
      <c r="AW186">
        <v>1.0914644048131501</v>
      </c>
      <c r="AX186">
        <v>1.06483421041404</v>
      </c>
      <c r="AY186">
        <v>1.0372065947764399</v>
      </c>
      <c r="AZ186">
        <v>1.0092425463358401</v>
      </c>
      <c r="BA186">
        <v>0</v>
      </c>
      <c r="BB186">
        <v>0</v>
      </c>
      <c r="BC186">
        <v>0</v>
      </c>
      <c r="BD186">
        <v>0</v>
      </c>
      <c r="BE186">
        <v>0</v>
      </c>
      <c r="BF186">
        <v>0</v>
      </c>
      <c r="BG186">
        <v>0</v>
      </c>
      <c r="BH186">
        <v>0</v>
      </c>
      <c r="BJ186" t="s">
        <v>343</v>
      </c>
      <c r="BL186">
        <v>1</v>
      </c>
      <c r="BM186">
        <v>0.99756097560975698</v>
      </c>
      <c r="BN186">
        <v>0.98536585365853702</v>
      </c>
      <c r="BO186">
        <v>0.97317073170731705</v>
      </c>
      <c r="BP186">
        <v>0.96097560975609797</v>
      </c>
      <c r="BQ186">
        <v>0.948780487804878</v>
      </c>
      <c r="BR186">
        <v>0.93658536585365804</v>
      </c>
      <c r="BS186">
        <v>0.92439024390243896</v>
      </c>
      <c r="BT186">
        <v>0.91219512195121999</v>
      </c>
      <c r="BU186">
        <v>0.90</v>
      </c>
      <c r="BV186">
        <v>0.8875</v>
      </c>
      <c r="BW186">
        <v>0.875000000000001</v>
      </c>
      <c r="BX186">
        <v>0.86250000000000104</v>
      </c>
      <c r="BY186">
        <v>0.85000000000000098</v>
      </c>
      <c r="BZ186">
        <v>0.8375</v>
      </c>
      <c r="CA186">
        <v>0.82500000000000095</v>
      </c>
      <c r="CB186">
        <v>0.812500000000001</v>
      </c>
      <c r="CC186">
        <v>0.80000000000000104</v>
      </c>
      <c r="CD186" t="e">
        <v>#VALUE!</v>
      </c>
      <c r="CE186" t="e">
        <v>#VALUE!</v>
      </c>
      <c r="CF186" t="e">
        <v>#VALUE!</v>
      </c>
      <c r="CG186" t="e">
        <v>#VALUE!</v>
      </c>
      <c r="CH186" t="e">
        <v>#VALUE!</v>
      </c>
      <c r="CI186" t="e">
        <v>#VALUE!</v>
      </c>
      <c r="CJ186" t="e">
        <v>#VALUE!</v>
      </c>
      <c r="CK186" t="e">
        <v>#VALUE!</v>
      </c>
    </row>
    <row r="187" spans="1:89" ht="12.5">
      <c r="A187" t="s">
        <v>19</v>
      </c>
      <c r="B187" t="s">
        <v>348</v>
      </c>
      <c r="C187" t="s">
        <v>348</v>
      </c>
      <c r="E187" s="2">
        <v>66.791549374975006</v>
      </c>
      <c r="F187" s="2">
        <f>E187</f>
        <v>66.791549374975006</v>
      </c>
      <c r="I187" s="2">
        <f>F187</f>
        <v>66.791549374975006</v>
      </c>
      <c r="J187" s="2">
        <f>I187</f>
        <v>66.791549374975006</v>
      </c>
      <c r="L187" s="2">
        <f>J187</f>
        <v>66.791549374975006</v>
      </c>
      <c r="V187" s="2">
        <f>L187</f>
        <v>66.791549374975006</v>
      </c>
      <c r="W187">
        <v>5</v>
      </c>
      <c r="AG187" s="130" t="s">
        <v>342</v>
      </c>
      <c r="AI187">
        <v>1</v>
      </c>
      <c r="AJ187">
        <v>1.03762389140165</v>
      </c>
      <c r="AK187">
        <v>1.4462721176687101</v>
      </c>
      <c r="AL187">
        <v>1.91684835209244</v>
      </c>
      <c r="AM187">
        <v>2.4175631359905001</v>
      </c>
      <c r="AN187">
        <v>2.95866601655253</v>
      </c>
      <c r="AO187">
        <v>3.5407792877150399</v>
      </c>
      <c r="AP187">
        <v>4.1652085465605202</v>
      </c>
      <c r="AQ187">
        <v>4.8364928782729599</v>
      </c>
      <c r="AR187">
        <v>5.5487509950602103</v>
      </c>
      <c r="AS187">
        <v>6.28934178872169</v>
      </c>
      <c r="AT187">
        <v>7.0315676291967604</v>
      </c>
      <c r="AU187">
        <v>7.7696570452703</v>
      </c>
      <c r="AV187">
        <v>8.4814636939075196</v>
      </c>
      <c r="AW187">
        <v>9.1612283057352109</v>
      </c>
      <c r="AX187">
        <v>9.8079259260343896</v>
      </c>
      <c r="AY187">
        <v>10.422581509524001</v>
      </c>
      <c r="AZ187">
        <v>11.010722490581401</v>
      </c>
      <c r="BA187">
        <v>0</v>
      </c>
      <c r="BB187">
        <v>0</v>
      </c>
      <c r="BC187">
        <v>0</v>
      </c>
      <c r="BD187">
        <v>0</v>
      </c>
      <c r="BE187">
        <v>0</v>
      </c>
      <c r="BF187">
        <v>0</v>
      </c>
      <c r="BG187">
        <v>0</v>
      </c>
      <c r="BH187">
        <v>0</v>
      </c>
      <c r="BJ187" t="s">
        <v>343</v>
      </c>
      <c r="BL187">
        <v>1</v>
      </c>
      <c r="BM187">
        <v>0.99756097560975698</v>
      </c>
      <c r="BN187">
        <v>0.98536585365853702</v>
      </c>
      <c r="BO187">
        <v>0.97317073170731705</v>
      </c>
      <c r="BP187">
        <v>0.96097560975609797</v>
      </c>
      <c r="BQ187">
        <v>0.948780487804878</v>
      </c>
      <c r="BR187">
        <v>0.93658536585365804</v>
      </c>
      <c r="BS187">
        <v>0.92439024390243896</v>
      </c>
      <c r="BT187">
        <v>0.91219512195121999</v>
      </c>
      <c r="BU187">
        <v>0.90</v>
      </c>
      <c r="BV187">
        <v>0.8875</v>
      </c>
      <c r="BW187">
        <v>0.875000000000001</v>
      </c>
      <c r="BX187">
        <v>0.86250000000000104</v>
      </c>
      <c r="BY187">
        <v>0.85000000000000098</v>
      </c>
      <c r="BZ187">
        <v>0.8375</v>
      </c>
      <c r="CA187">
        <v>0.82500000000000095</v>
      </c>
      <c r="CB187">
        <v>0.812500000000001</v>
      </c>
      <c r="CC187">
        <v>0.80000000000000104</v>
      </c>
      <c r="CD187" t="e">
        <v>#VALUE!</v>
      </c>
      <c r="CE187" t="e">
        <v>#VALUE!</v>
      </c>
      <c r="CF187" t="e">
        <v>#VALUE!</v>
      </c>
      <c r="CG187" t="e">
        <v>#VALUE!</v>
      </c>
      <c r="CH187" t="e">
        <v>#VALUE!</v>
      </c>
      <c r="CI187" t="e">
        <v>#VALUE!</v>
      </c>
      <c r="CJ187" t="e">
        <v>#VALUE!</v>
      </c>
      <c r="CK187" t="e">
        <v>#VALUE!</v>
      </c>
    </row>
    <row r="188" spans="1:89" ht="12.5">
      <c r="A188" t="s">
        <v>19</v>
      </c>
      <c r="B188" t="s">
        <v>349</v>
      </c>
      <c r="C188" t="s">
        <v>349</v>
      </c>
      <c r="E188" s="2">
        <v>70.706715986611698</v>
      </c>
      <c r="F188" s="2">
        <f>E188</f>
        <v>70.706715986611698</v>
      </c>
      <c r="I188" s="2">
        <f>F188</f>
        <v>70.706715986611698</v>
      </c>
      <c r="J188" s="2">
        <f>I188</f>
        <v>70.706715986611698</v>
      </c>
      <c r="L188" s="2">
        <f>J188</f>
        <v>70.706715986611698</v>
      </c>
      <c r="V188" s="2">
        <f>L188</f>
        <v>70.706715986611698</v>
      </c>
      <c r="W188">
        <v>5</v>
      </c>
      <c r="AG188" s="130" t="s">
        <v>342</v>
      </c>
      <c r="AI188">
        <v>1</v>
      </c>
      <c r="AJ188">
        <v>1.03762389140165</v>
      </c>
      <c r="AK188">
        <v>1.4462721176687101</v>
      </c>
      <c r="AL188">
        <v>1.91684835209244</v>
      </c>
      <c r="AM188">
        <v>2.4175631359905001</v>
      </c>
      <c r="AN188">
        <v>2.95866601655253</v>
      </c>
      <c r="AO188">
        <v>3.5407792877150399</v>
      </c>
      <c r="AP188">
        <v>4.1652085465605202</v>
      </c>
      <c r="AQ188">
        <v>4.8364928782729599</v>
      </c>
      <c r="AR188">
        <v>5.5487509950602103</v>
      </c>
      <c r="AS188">
        <v>6.28934178872169</v>
      </c>
      <c r="AT188">
        <v>7.0315676291967604</v>
      </c>
      <c r="AU188">
        <v>7.7696570452703</v>
      </c>
      <c r="AV188">
        <v>8.4814636939075196</v>
      </c>
      <c r="AW188">
        <v>9.1612283057352109</v>
      </c>
      <c r="AX188">
        <v>9.8079259260343896</v>
      </c>
      <c r="AY188">
        <v>10.422581509524001</v>
      </c>
      <c r="AZ188">
        <v>11.010722490581401</v>
      </c>
      <c r="BA188">
        <v>0</v>
      </c>
      <c r="BB188">
        <v>0</v>
      </c>
      <c r="BC188">
        <v>0</v>
      </c>
      <c r="BD188">
        <v>0</v>
      </c>
      <c r="BE188">
        <v>0</v>
      </c>
      <c r="BF188">
        <v>0</v>
      </c>
      <c r="BG188">
        <v>0</v>
      </c>
      <c r="BH188">
        <v>0</v>
      </c>
      <c r="BJ188" t="s">
        <v>343</v>
      </c>
      <c r="BL188">
        <v>1</v>
      </c>
      <c r="BM188">
        <v>0.99756097560975698</v>
      </c>
      <c r="BN188">
        <v>0.98536585365853702</v>
      </c>
      <c r="BO188">
        <v>0.97317073170731705</v>
      </c>
      <c r="BP188">
        <v>0.96097560975609797</v>
      </c>
      <c r="BQ188">
        <v>0.948780487804878</v>
      </c>
      <c r="BR188">
        <v>0.93658536585365804</v>
      </c>
      <c r="BS188">
        <v>0.92439024390243896</v>
      </c>
      <c r="BT188">
        <v>0.91219512195121999</v>
      </c>
      <c r="BU188">
        <v>0.90</v>
      </c>
      <c r="BV188">
        <v>0.8875</v>
      </c>
      <c r="BW188">
        <v>0.875000000000001</v>
      </c>
      <c r="BX188">
        <v>0.86250000000000104</v>
      </c>
      <c r="BY188">
        <v>0.85000000000000098</v>
      </c>
      <c r="BZ188">
        <v>0.8375</v>
      </c>
      <c r="CA188">
        <v>0.82500000000000095</v>
      </c>
      <c r="CB188">
        <v>0.812500000000001</v>
      </c>
      <c r="CC188">
        <v>0.80000000000000104</v>
      </c>
      <c r="CD188" t="e">
        <v>#VALUE!</v>
      </c>
      <c r="CE188" t="e">
        <v>#VALUE!</v>
      </c>
      <c r="CF188" t="e">
        <v>#VALUE!</v>
      </c>
      <c r="CG188" t="e">
        <v>#VALUE!</v>
      </c>
      <c r="CH188" t="e">
        <v>#VALUE!</v>
      </c>
      <c r="CI188" t="e">
        <v>#VALUE!</v>
      </c>
      <c r="CJ188" t="e">
        <v>#VALUE!</v>
      </c>
      <c r="CK188" t="e">
        <v>#VALUE!</v>
      </c>
    </row>
    <row r="189" spans="1:89" ht="12.5">
      <c r="A189" t="s">
        <v>19</v>
      </c>
      <c r="B189" t="s">
        <v>350</v>
      </c>
      <c r="C189" t="s">
        <v>350</v>
      </c>
      <c r="D189">
        <v>531.78300000000002</v>
      </c>
      <c r="E189">
        <v>536.05448155687498</v>
      </c>
      <c r="F189"/>
      <c r="G189">
        <v>557.15038533408006</v>
      </c>
      <c r="H189">
        <v>578.248318439949</v>
      </c>
      <c r="I189">
        <v>595.39625846516606</v>
      </c>
      <c r="J189">
        <v>608.39404552052804</v>
      </c>
      <c r="K189">
        <v>617.03204281385899</v>
      </c>
      <c r="L189">
        <v>621.52473263407296</v>
      </c>
      <c r="M189">
        <v>623.17064553659395</v>
      </c>
      <c r="N189">
        <v>622.31117211105402</v>
      </c>
      <c r="O189">
        <v>618.76122999767404</v>
      </c>
      <c r="P189">
        <v>612.89526935486901</v>
      </c>
      <c r="Q189">
        <v>604.72330629256203</v>
      </c>
      <c r="R189">
        <v>594.72776694081301</v>
      </c>
      <c r="S189">
        <v>583.56172073160701</v>
      </c>
      <c r="T189">
        <v>571.81530128933696</v>
      </c>
      <c r="U189">
        <v>559.76104135925596</v>
      </c>
      <c r="V189">
        <v>547.68770132878296</v>
      </c>
      <c r="W189">
        <v>5</v>
      </c>
      <c r="AG189" s="130" t="s">
        <v>347</v>
      </c>
      <c r="AI189">
        <v>1</v>
      </c>
      <c r="AJ189">
        <v>1.00805201609879</v>
      </c>
      <c r="AK189">
        <v>1.0483120965927399</v>
      </c>
      <c r="AL189">
        <v>1.0891035363266901</v>
      </c>
      <c r="AM189">
        <v>1.1227124426722399</v>
      </c>
      <c r="AN189">
        <v>1.14854492301775</v>
      </c>
      <c r="AO189">
        <v>1.1659561239518199</v>
      </c>
      <c r="AP189">
        <v>1.1751399906687601</v>
      </c>
      <c r="AQ189">
        <v>1.1785515293092901</v>
      </c>
      <c r="AR189">
        <v>1.17674547198093</v>
      </c>
      <c r="AS189">
        <v>1.1691818842672701</v>
      </c>
      <c r="AT189">
        <v>1.15651440870038</v>
      </c>
      <c r="AU189">
        <v>1.13863586790409</v>
      </c>
      <c r="AV189">
        <v>1.1164939385358901</v>
      </c>
      <c r="AW189">
        <v>1.0914644048131501</v>
      </c>
      <c r="AX189">
        <v>1.06483421041404</v>
      </c>
      <c r="AY189">
        <v>1.0372065947764399</v>
      </c>
      <c r="AZ189">
        <v>1.0092425463358401</v>
      </c>
      <c r="BA189">
        <v>0</v>
      </c>
      <c r="BB189">
        <v>0</v>
      </c>
      <c r="BC189">
        <v>0</v>
      </c>
      <c r="BD189">
        <v>0</v>
      </c>
      <c r="BE189">
        <v>0</v>
      </c>
      <c r="BF189">
        <v>0</v>
      </c>
      <c r="BG189">
        <v>0</v>
      </c>
      <c r="BH189">
        <v>0</v>
      </c>
      <c r="BJ189" t="s">
        <v>343</v>
      </c>
      <c r="BL189">
        <v>1</v>
      </c>
      <c r="BM189">
        <v>0.99756097560975698</v>
      </c>
      <c r="BN189">
        <v>0.98536585365853702</v>
      </c>
      <c r="BO189">
        <v>0.97317073170731705</v>
      </c>
      <c r="BP189">
        <v>0.96097560975609797</v>
      </c>
      <c r="BQ189">
        <v>0.948780487804878</v>
      </c>
      <c r="BR189">
        <v>0.93658536585365804</v>
      </c>
      <c r="BS189">
        <v>0.92439024390243896</v>
      </c>
      <c r="BT189">
        <v>0.91219512195121999</v>
      </c>
      <c r="BU189">
        <v>0.90</v>
      </c>
      <c r="BV189">
        <v>0.8875</v>
      </c>
      <c r="BW189">
        <v>0.875000000000001</v>
      </c>
      <c r="BX189">
        <v>0.86250000000000104</v>
      </c>
      <c r="BY189">
        <v>0.85000000000000098</v>
      </c>
      <c r="BZ189">
        <v>0.8375</v>
      </c>
      <c r="CA189">
        <v>0.82500000000000095</v>
      </c>
      <c r="CB189">
        <v>0.812500000000001</v>
      </c>
      <c r="CC189">
        <v>0.80000000000000104</v>
      </c>
      <c r="CD189" t="e">
        <v>#VALUE!</v>
      </c>
      <c r="CE189" t="e">
        <v>#VALUE!</v>
      </c>
      <c r="CF189" t="e">
        <v>#VALUE!</v>
      </c>
      <c r="CG189" t="e">
        <v>#VALUE!</v>
      </c>
      <c r="CH189" t="e">
        <v>#VALUE!</v>
      </c>
      <c r="CI189" t="e">
        <v>#VALUE!</v>
      </c>
      <c r="CJ189" t="e">
        <v>#VALUE!</v>
      </c>
      <c r="CK189" t="e">
        <v>#VALUE!</v>
      </c>
    </row>
    <row r="190" spans="1:89" ht="12.5">
      <c r="A190" t="s">
        <v>19</v>
      </c>
      <c r="B190" t="s">
        <v>351</v>
      </c>
      <c r="C190" t="s">
        <v>351</v>
      </c>
      <c r="D190">
        <v>168.165</v>
      </c>
      <c r="E190">
        <v>169.51576468411301</v>
      </c>
      <c r="F190"/>
      <c r="G190">
        <v>176.18689305544899</v>
      </c>
      <c r="H190">
        <v>182.85866315857001</v>
      </c>
      <c r="I190">
        <v>188.28133243220401</v>
      </c>
      <c r="J190">
        <v>192.39160459239901</v>
      </c>
      <c r="K190">
        <v>195.123186487331</v>
      </c>
      <c r="L190">
        <v>196.54390355353399</v>
      </c>
      <c r="M190">
        <v>197.06438830624799</v>
      </c>
      <c r="N190">
        <v>196.792598217798</v>
      </c>
      <c r="O190">
        <v>195.670004950438</v>
      </c>
      <c r="P190">
        <v>193.81502035804399</v>
      </c>
      <c r="Q190">
        <v>191.23081182115399</v>
      </c>
      <c r="R190">
        <v>188.06993628529301</v>
      </c>
      <c r="S190">
        <v>184.53891299050699</v>
      </c>
      <c r="T190">
        <v>180.82435907376001</v>
      </c>
      <c r="U190">
        <v>177.012457186821</v>
      </c>
      <c r="V190">
        <v>173.19452162621801</v>
      </c>
      <c r="W190">
        <v>5</v>
      </c>
      <c r="AG190" s="130" t="s">
        <v>347</v>
      </c>
      <c r="AI190">
        <v>1</v>
      </c>
      <c r="AJ190">
        <v>1.00805201609879</v>
      </c>
      <c r="AK190">
        <v>1.0483120965927399</v>
      </c>
      <c r="AL190">
        <v>1.0891035363266901</v>
      </c>
      <c r="AM190">
        <v>1.1227124426722399</v>
      </c>
      <c r="AN190">
        <v>1.14854492301775</v>
      </c>
      <c r="AO190">
        <v>1.1659561239518199</v>
      </c>
      <c r="AP190">
        <v>1.1751399906687601</v>
      </c>
      <c r="AQ190">
        <v>1.1785515293092901</v>
      </c>
      <c r="AR190">
        <v>1.17674547198093</v>
      </c>
      <c r="AS190">
        <v>1.1691818842672701</v>
      </c>
      <c r="AT190">
        <v>1.15651440870038</v>
      </c>
      <c r="AU190">
        <v>1.13863586790409</v>
      </c>
      <c r="AV190">
        <v>1.1164939385358901</v>
      </c>
      <c r="AW190">
        <v>1.0914644048131501</v>
      </c>
      <c r="AX190">
        <v>1.06483421041404</v>
      </c>
      <c r="AY190">
        <v>1.0372065947764399</v>
      </c>
      <c r="AZ190">
        <v>1.0092425463358401</v>
      </c>
      <c r="BA190">
        <v>0</v>
      </c>
      <c r="BB190">
        <v>0</v>
      </c>
      <c r="BC190">
        <v>0</v>
      </c>
      <c r="BD190">
        <v>0</v>
      </c>
      <c r="BE190">
        <v>0</v>
      </c>
      <c r="BF190">
        <v>0</v>
      </c>
      <c r="BG190">
        <v>0</v>
      </c>
      <c r="BH190">
        <v>0</v>
      </c>
      <c r="BJ190" t="s">
        <v>343</v>
      </c>
      <c r="BL190">
        <v>1</v>
      </c>
      <c r="BM190">
        <v>0.99756097560975698</v>
      </c>
      <c r="BN190">
        <v>0.98536585365853702</v>
      </c>
      <c r="BO190">
        <v>0.97317073170731705</v>
      </c>
      <c r="BP190">
        <v>0.96097560975609797</v>
      </c>
      <c r="BQ190">
        <v>0.948780487804878</v>
      </c>
      <c r="BR190">
        <v>0.93658536585365804</v>
      </c>
      <c r="BS190">
        <v>0.92439024390243896</v>
      </c>
      <c r="BT190">
        <v>0.91219512195121999</v>
      </c>
      <c r="BU190">
        <v>0.90</v>
      </c>
      <c r="BV190">
        <v>0.8875</v>
      </c>
      <c r="BW190">
        <v>0.875000000000001</v>
      </c>
      <c r="BX190">
        <v>0.86250000000000104</v>
      </c>
      <c r="BY190">
        <v>0.85000000000000098</v>
      </c>
      <c r="BZ190">
        <v>0.8375</v>
      </c>
      <c r="CA190">
        <v>0.82500000000000095</v>
      </c>
      <c r="CB190">
        <v>0.812500000000001</v>
      </c>
      <c r="CC190">
        <v>0.80000000000000104</v>
      </c>
      <c r="CD190" t="e">
        <v>#VALUE!</v>
      </c>
      <c r="CE190" t="e">
        <v>#VALUE!</v>
      </c>
      <c r="CF190" t="e">
        <v>#VALUE!</v>
      </c>
      <c r="CG190" t="e">
        <v>#VALUE!</v>
      </c>
      <c r="CH190" t="e">
        <v>#VALUE!</v>
      </c>
      <c r="CI190" t="e">
        <v>#VALUE!</v>
      </c>
      <c r="CJ190" t="e">
        <v>#VALUE!</v>
      </c>
      <c r="CK190" t="e">
        <v>#VALUE!</v>
      </c>
    </row>
    <row r="191" spans="1:89" ht="12.5">
      <c r="A191" t="s">
        <v>19</v>
      </c>
      <c r="B191" t="s">
        <v>352</v>
      </c>
      <c r="C191" t="s">
        <v>352</v>
      </c>
      <c r="D191">
        <v>37.835</v>
      </c>
      <c r="E191">
        <v>38.138904985124299</v>
      </c>
      <c r="F191"/>
      <c r="G191">
        <v>39.639824569636303</v>
      </c>
      <c r="H191">
        <v>41.140888535691197</v>
      </c>
      <c r="I191">
        <v>42.3609205992474</v>
      </c>
      <c r="J191">
        <v>43.2856798962531</v>
      </c>
      <c r="K191">
        <v>43.900251305254898</v>
      </c>
      <c r="L191">
        <v>44.219894692403003</v>
      </c>
      <c r="M191">
        <v>44.336997184710697</v>
      </c>
      <c r="N191">
        <v>44.275847849257502</v>
      </c>
      <c r="O191">
        <v>44.023278549637702</v>
      </c>
      <c r="P191">
        <v>43.605930456674002</v>
      </c>
      <c r="Q191">
        <v>43.024516190963404</v>
      </c>
      <c r="R191">
        <v>42.313359137478301</v>
      </c>
      <c r="S191">
        <v>41.518923515570002</v>
      </c>
      <c r="T191">
        <v>40.683195822886503</v>
      </c>
      <c r="U191">
        <v>39.825566067037599</v>
      </c>
      <c r="V191">
        <v>38.966578810858003</v>
      </c>
      <c r="W191">
        <v>5</v>
      </c>
      <c r="AG191" s="130" t="s">
        <v>347</v>
      </c>
      <c r="AI191">
        <v>1</v>
      </c>
      <c r="AJ191">
        <v>1.00805201609879</v>
      </c>
      <c r="AK191">
        <v>1.0483120965927399</v>
      </c>
      <c r="AL191">
        <v>1.0891035363266901</v>
      </c>
      <c r="AM191">
        <v>1.1227124426722399</v>
      </c>
      <c r="AN191">
        <v>1.14854492301775</v>
      </c>
      <c r="AO191">
        <v>1.1659561239518199</v>
      </c>
      <c r="AP191">
        <v>1.1751399906687601</v>
      </c>
      <c r="AQ191">
        <v>1.1785515293092901</v>
      </c>
      <c r="AR191">
        <v>1.17674547198093</v>
      </c>
      <c r="AS191">
        <v>1.1691818842672701</v>
      </c>
      <c r="AT191">
        <v>1.15651440870038</v>
      </c>
      <c r="AU191">
        <v>1.13863586790409</v>
      </c>
      <c r="AV191">
        <v>1.1164939385358901</v>
      </c>
      <c r="AW191">
        <v>1.0914644048131501</v>
      </c>
      <c r="AX191">
        <v>1.06483421041404</v>
      </c>
      <c r="AY191">
        <v>1.0372065947764399</v>
      </c>
      <c r="AZ191">
        <v>1.0092425463358401</v>
      </c>
      <c r="BA191">
        <v>0</v>
      </c>
      <c r="BB191">
        <v>0</v>
      </c>
      <c r="BC191">
        <v>0</v>
      </c>
      <c r="BD191">
        <v>0</v>
      </c>
      <c r="BE191">
        <v>0</v>
      </c>
      <c r="BF191">
        <v>0</v>
      </c>
      <c r="BG191">
        <v>0</v>
      </c>
      <c r="BH191">
        <v>0</v>
      </c>
      <c r="BJ191" t="s">
        <v>343</v>
      </c>
      <c r="BL191">
        <v>1</v>
      </c>
      <c r="BM191">
        <v>0.99756097560975698</v>
      </c>
      <c r="BN191">
        <v>0.98536585365853702</v>
      </c>
      <c r="BO191">
        <v>0.97317073170731705</v>
      </c>
      <c r="BP191">
        <v>0.96097560975609797</v>
      </c>
      <c r="BQ191">
        <v>0.948780487804878</v>
      </c>
      <c r="BR191">
        <v>0.93658536585365804</v>
      </c>
      <c r="BS191">
        <v>0.92439024390243896</v>
      </c>
      <c r="BT191">
        <v>0.91219512195121999</v>
      </c>
      <c r="BU191">
        <v>0.90</v>
      </c>
      <c r="BV191">
        <v>0.8875</v>
      </c>
      <c r="BW191">
        <v>0.875000000000001</v>
      </c>
      <c r="BX191">
        <v>0.86250000000000104</v>
      </c>
      <c r="BY191">
        <v>0.85000000000000098</v>
      </c>
      <c r="BZ191">
        <v>0.8375</v>
      </c>
      <c r="CA191">
        <v>0.82500000000000095</v>
      </c>
      <c r="CB191">
        <v>0.812500000000001</v>
      </c>
      <c r="CC191">
        <v>0.80000000000000104</v>
      </c>
      <c r="CD191" t="e">
        <v>#VALUE!</v>
      </c>
      <c r="CE191" t="e">
        <v>#VALUE!</v>
      </c>
      <c r="CF191" t="e">
        <v>#VALUE!</v>
      </c>
      <c r="CG191" t="e">
        <v>#VALUE!</v>
      </c>
      <c r="CH191" t="e">
        <v>#VALUE!</v>
      </c>
      <c r="CI191" t="e">
        <v>#VALUE!</v>
      </c>
      <c r="CJ191" t="e">
        <v>#VALUE!</v>
      </c>
      <c r="CK191" t="e">
        <v>#VALUE!</v>
      </c>
    </row>
    <row r="192" spans="1:89" ht="12.5">
      <c r="A192" t="s">
        <v>19</v>
      </c>
      <c r="B192" t="s">
        <v>353</v>
      </c>
      <c r="C192" t="s">
        <v>353</v>
      </c>
      <c r="D192">
        <v>568.10400000000004</v>
      </c>
      <c r="E192">
        <v>584.72906002863499</v>
      </c>
      <c r="F192"/>
      <c r="G192">
        <v>780.801081496547</v>
      </c>
      <c r="H192">
        <v>990.31618182965303</v>
      </c>
      <c r="I192">
        <v>1202.97877553391</v>
      </c>
      <c r="J192">
        <v>1427.02378057992</v>
      </c>
      <c r="K192">
        <v>1666.0988974572001</v>
      </c>
      <c r="L192">
        <v>1923.5467067764</v>
      </c>
      <c r="M192">
        <v>2200.4364829759302</v>
      </c>
      <c r="N192">
        <v>2495.57104956898</v>
      </c>
      <c r="O192">
        <v>2807.4228819920299</v>
      </c>
      <c r="P192">
        <v>3127.40357717487</v>
      </c>
      <c r="Q192">
        <v>3457.3420422870599</v>
      </c>
      <c r="R192">
        <v>3790.19017424105</v>
      </c>
      <c r="S192">
        <v>4123.2268479786899</v>
      </c>
      <c r="T192">
        <v>4454.4292357328204</v>
      </c>
      <c r="U192">
        <v>4783.6885741564001</v>
      </c>
      <c r="V192">
        <v>5111.6620682643597</v>
      </c>
      <c r="W192">
        <v>5</v>
      </c>
      <c r="AG192" s="130" t="s">
        <v>354</v>
      </c>
      <c r="AI192">
        <v>1</v>
      </c>
      <c r="AJ192">
        <v>1.02933566406356</v>
      </c>
      <c r="AK192">
        <v>1.37961979296951</v>
      </c>
      <c r="AL192">
        <v>1.7600239905175199</v>
      </c>
      <c r="AM192">
        <v>2.1533235440379599</v>
      </c>
      <c r="AN192">
        <v>2.5760124460598202</v>
      </c>
      <c r="AO192">
        <v>3.0368031995184701</v>
      </c>
      <c r="AP192">
        <v>3.5444360498617402</v>
      </c>
      <c r="AQ192">
        <v>4.1037602158197304</v>
      </c>
      <c r="AR192">
        <v>4.7153366018221901</v>
      </c>
      <c r="AS192">
        <v>5.3792672238188404</v>
      </c>
      <c r="AT192">
        <v>6.0799654343246603</v>
      </c>
      <c r="AU192">
        <v>6.8236538688809203</v>
      </c>
      <c r="AV192">
        <v>7.59651566494815</v>
      </c>
      <c r="AW192">
        <v>8.3935199950964101</v>
      </c>
      <c r="AX192">
        <v>9.2107539653715502</v>
      </c>
      <c r="AY192">
        <v>10.0487034714338</v>
      </c>
      <c r="AZ192">
        <v>10.909887351219</v>
      </c>
      <c r="BA192">
        <v>0</v>
      </c>
      <c r="BB192">
        <v>0</v>
      </c>
      <c r="BC192">
        <v>0</v>
      </c>
      <c r="BD192">
        <v>0</v>
      </c>
      <c r="BE192">
        <v>0</v>
      </c>
      <c r="BF192">
        <v>0</v>
      </c>
      <c r="BG192">
        <v>0</v>
      </c>
      <c r="BH192">
        <v>0</v>
      </c>
      <c r="BJ192" t="s">
        <v>343</v>
      </c>
      <c r="BL192">
        <v>1</v>
      </c>
      <c r="BM192">
        <v>0.99756097560975698</v>
      </c>
      <c r="BN192">
        <v>0.98536585365853702</v>
      </c>
      <c r="BO192">
        <v>0.97317073170731705</v>
      </c>
      <c r="BP192">
        <v>0.96097560975609797</v>
      </c>
      <c r="BQ192">
        <v>0.948780487804878</v>
      </c>
      <c r="BR192">
        <v>0.93658536585365804</v>
      </c>
      <c r="BS192">
        <v>0.92439024390243896</v>
      </c>
      <c r="BT192">
        <v>0.91219512195121999</v>
      </c>
      <c r="BU192">
        <v>0.90</v>
      </c>
      <c r="BV192">
        <v>0.8875</v>
      </c>
      <c r="BW192">
        <v>0.875000000000001</v>
      </c>
      <c r="BX192">
        <v>0.86250000000000104</v>
      </c>
      <c r="BY192">
        <v>0.85000000000000098</v>
      </c>
      <c r="BZ192">
        <v>0.8375</v>
      </c>
      <c r="CA192">
        <v>0.82500000000000095</v>
      </c>
      <c r="CB192">
        <v>0.812500000000001</v>
      </c>
      <c r="CC192">
        <v>0.80000000000000104</v>
      </c>
      <c r="CD192" t="e">
        <v>#VALUE!</v>
      </c>
      <c r="CE192" t="e">
        <v>#VALUE!</v>
      </c>
      <c r="CF192" t="e">
        <v>#VALUE!</v>
      </c>
      <c r="CG192" t="e">
        <v>#VALUE!</v>
      </c>
      <c r="CH192" t="e">
        <v>#VALUE!</v>
      </c>
      <c r="CI192" t="e">
        <v>#VALUE!</v>
      </c>
      <c r="CJ192" t="e">
        <v>#VALUE!</v>
      </c>
      <c r="CK192" t="e">
        <v>#VALUE!</v>
      </c>
    </row>
    <row r="193" spans="1:89" ht="12.5">
      <c r="A193" t="s">
        <v>19</v>
      </c>
      <c r="B193" t="s">
        <v>355</v>
      </c>
      <c r="C193" t="s">
        <v>355</v>
      </c>
      <c r="D193">
        <v>127.30</v>
      </c>
      <c r="E193">
        <v>132.07783961597801</v>
      </c>
      <c r="F193"/>
      <c r="G193">
        <v>183.33294376528099</v>
      </c>
      <c r="H193">
        <v>241.38391997778001</v>
      </c>
      <c r="I193">
        <v>301.97704613248499</v>
      </c>
      <c r="J193">
        <v>366.10416060442998</v>
      </c>
      <c r="K193">
        <v>433.566840514055</v>
      </c>
      <c r="L193">
        <v>504.24672016815202</v>
      </c>
      <c r="M193">
        <v>578.37784453524603</v>
      </c>
      <c r="N193">
        <v>655.03646726819704</v>
      </c>
      <c r="O193">
        <v>732.62846141658702</v>
      </c>
      <c r="P193">
        <v>808.28086187012195</v>
      </c>
      <c r="Q193">
        <v>881.45847153819</v>
      </c>
      <c r="R193">
        <v>950.09905597458499</v>
      </c>
      <c r="S193">
        <v>1013.87273132779</v>
      </c>
      <c r="T193">
        <v>1072.9179788778399</v>
      </c>
      <c r="U193">
        <v>1127.54965767977</v>
      </c>
      <c r="V193">
        <v>1178.4513012891</v>
      </c>
      <c r="W193">
        <v>5</v>
      </c>
      <c r="AG193" s="130" t="s">
        <v>342</v>
      </c>
      <c r="AI193">
        <v>1</v>
      </c>
      <c r="AJ193">
        <v>1.03762389140165</v>
      </c>
      <c r="AK193">
        <v>1.4462721176687101</v>
      </c>
      <c r="AL193">
        <v>1.91684835209244</v>
      </c>
      <c r="AM193">
        <v>2.4175631359905001</v>
      </c>
      <c r="AN193">
        <v>2.95866601655253</v>
      </c>
      <c r="AO193">
        <v>3.5407792877150399</v>
      </c>
      <c r="AP193">
        <v>4.1652085465605202</v>
      </c>
      <c r="AQ193">
        <v>4.8364928782729599</v>
      </c>
      <c r="AR193">
        <v>5.5487509950602103</v>
      </c>
      <c r="AS193">
        <v>6.28934178872169</v>
      </c>
      <c r="AT193">
        <v>7.0315676291967604</v>
      </c>
      <c r="AU193">
        <v>7.7696570452703</v>
      </c>
      <c r="AV193">
        <v>8.4814636939075196</v>
      </c>
      <c r="AW193">
        <v>9.1612283057352109</v>
      </c>
      <c r="AX193">
        <v>9.8079259260343896</v>
      </c>
      <c r="AY193">
        <v>10.422581509524001</v>
      </c>
      <c r="AZ193">
        <v>11.010722490581401</v>
      </c>
      <c r="BA193">
        <v>0</v>
      </c>
      <c r="BB193">
        <v>0</v>
      </c>
      <c r="BC193">
        <v>0</v>
      </c>
      <c r="BD193">
        <v>0</v>
      </c>
      <c r="BE193">
        <v>0</v>
      </c>
      <c r="BF193">
        <v>0</v>
      </c>
      <c r="BG193">
        <v>0</v>
      </c>
      <c r="BH193">
        <v>0</v>
      </c>
      <c r="BJ193" t="s">
        <v>343</v>
      </c>
      <c r="BL193">
        <v>1</v>
      </c>
      <c r="BM193">
        <v>0.99756097560975698</v>
      </c>
      <c r="BN193">
        <v>0.98536585365853702</v>
      </c>
      <c r="BO193">
        <v>0.97317073170731705</v>
      </c>
      <c r="BP193">
        <v>0.96097560975609797</v>
      </c>
      <c r="BQ193">
        <v>0.948780487804878</v>
      </c>
      <c r="BR193">
        <v>0.93658536585365804</v>
      </c>
      <c r="BS193">
        <v>0.92439024390243896</v>
      </c>
      <c r="BT193">
        <v>0.91219512195121999</v>
      </c>
      <c r="BU193">
        <v>0.90</v>
      </c>
      <c r="BV193">
        <v>0.8875</v>
      </c>
      <c r="BW193">
        <v>0.875000000000001</v>
      </c>
      <c r="BX193">
        <v>0.86250000000000104</v>
      </c>
      <c r="BY193">
        <v>0.85000000000000098</v>
      </c>
      <c r="BZ193">
        <v>0.8375</v>
      </c>
      <c r="CA193">
        <v>0.82500000000000095</v>
      </c>
      <c r="CB193">
        <v>0.812500000000001</v>
      </c>
      <c r="CC193">
        <v>0.80000000000000104</v>
      </c>
      <c r="CD193" t="e">
        <v>#VALUE!</v>
      </c>
      <c r="CE193" t="e">
        <v>#VALUE!</v>
      </c>
      <c r="CF193" t="e">
        <v>#VALUE!</v>
      </c>
      <c r="CG193" t="e">
        <v>#VALUE!</v>
      </c>
      <c r="CH193" t="e">
        <v>#VALUE!</v>
      </c>
      <c r="CI193" t="e">
        <v>#VALUE!</v>
      </c>
      <c r="CJ193" t="e">
        <v>#VALUE!</v>
      </c>
      <c r="CK193" t="e">
        <v>#VALUE!</v>
      </c>
    </row>
    <row r="194" spans="1:89" ht="12.5">
      <c r="A194" t="s">
        <v>19</v>
      </c>
      <c r="B194" t="s">
        <v>356</v>
      </c>
      <c r="C194" t="s">
        <v>356</v>
      </c>
      <c r="D194">
        <v>179.96</v>
      </c>
      <c r="E194">
        <v>186.71428136128301</v>
      </c>
      <c r="F194"/>
      <c r="G194">
        <v>259.17200754124099</v>
      </c>
      <c r="H194">
        <v>341.23684398429901</v>
      </c>
      <c r="I194">
        <v>426.89543772193201</v>
      </c>
      <c r="J194">
        <v>517.54991942162803</v>
      </c>
      <c r="K194">
        <v>612.91978490894996</v>
      </c>
      <c r="L194">
        <v>712.83770433197697</v>
      </c>
      <c r="M194">
        <v>817.63453969020395</v>
      </c>
      <c r="N194">
        <v>926.00441987105103</v>
      </c>
      <c r="O194">
        <v>1035.6937778203401</v>
      </c>
      <c r="P194">
        <v>1142.64119326117</v>
      </c>
      <c r="Q194">
        <v>1246.0900749254699</v>
      </c>
      <c r="R194">
        <v>1343.12510693783</v>
      </c>
      <c r="S194">
        <v>1433.27994288884</v>
      </c>
      <c r="T194">
        <v>1516.7503494018499</v>
      </c>
      <c r="U194">
        <v>1593.9814328048001</v>
      </c>
      <c r="V194">
        <v>1665.9394829535399</v>
      </c>
      <c r="W194">
        <v>5</v>
      </c>
      <c r="AG194" s="130" t="s">
        <v>342</v>
      </c>
      <c r="AI194">
        <v>1</v>
      </c>
      <c r="AJ194">
        <v>1.03762389140165</v>
      </c>
      <c r="AK194">
        <v>1.4462721176687101</v>
      </c>
      <c r="AL194">
        <v>1.91684835209244</v>
      </c>
      <c r="AM194">
        <v>2.4175631359905001</v>
      </c>
      <c r="AN194">
        <v>2.95866601655253</v>
      </c>
      <c r="AO194">
        <v>3.5407792877150399</v>
      </c>
      <c r="AP194">
        <v>4.1652085465605202</v>
      </c>
      <c r="AQ194">
        <v>4.8364928782729599</v>
      </c>
      <c r="AR194">
        <v>5.5487509950602103</v>
      </c>
      <c r="AS194">
        <v>6.28934178872169</v>
      </c>
      <c r="AT194">
        <v>7.0315676291967604</v>
      </c>
      <c r="AU194">
        <v>7.7696570452703</v>
      </c>
      <c r="AV194">
        <v>8.4814636939075196</v>
      </c>
      <c r="AW194">
        <v>9.1612283057352109</v>
      </c>
      <c r="AX194">
        <v>9.8079259260343896</v>
      </c>
      <c r="AY194">
        <v>10.422581509524001</v>
      </c>
      <c r="AZ194">
        <v>11.010722490581401</v>
      </c>
      <c r="BA194">
        <v>0</v>
      </c>
      <c r="BB194">
        <v>0</v>
      </c>
      <c r="BC194">
        <v>0</v>
      </c>
      <c r="BD194">
        <v>0</v>
      </c>
      <c r="BE194">
        <v>0</v>
      </c>
      <c r="BF194">
        <v>0</v>
      </c>
      <c r="BG194">
        <v>0</v>
      </c>
      <c r="BH194">
        <v>0</v>
      </c>
      <c r="BJ194" t="s">
        <v>343</v>
      </c>
      <c r="BL194">
        <v>1</v>
      </c>
      <c r="BM194">
        <v>0.99756097560975698</v>
      </c>
      <c r="BN194">
        <v>0.98536585365853702</v>
      </c>
      <c r="BO194">
        <v>0.97317073170731705</v>
      </c>
      <c r="BP194">
        <v>0.96097560975609797</v>
      </c>
      <c r="BQ194">
        <v>0.948780487804878</v>
      </c>
      <c r="BR194">
        <v>0.93658536585365804</v>
      </c>
      <c r="BS194">
        <v>0.92439024390243896</v>
      </c>
      <c r="BT194">
        <v>0.91219512195121999</v>
      </c>
      <c r="BU194">
        <v>0.90</v>
      </c>
      <c r="BV194">
        <v>0.8875</v>
      </c>
      <c r="BW194">
        <v>0.875000000000001</v>
      </c>
      <c r="BX194">
        <v>0.86250000000000104</v>
      </c>
      <c r="BY194">
        <v>0.85000000000000098</v>
      </c>
      <c r="BZ194">
        <v>0.8375</v>
      </c>
      <c r="CA194">
        <v>0.82500000000000095</v>
      </c>
      <c r="CB194">
        <v>0.812500000000001</v>
      </c>
      <c r="CC194">
        <v>0.80000000000000104</v>
      </c>
      <c r="CD194" t="e">
        <v>#VALUE!</v>
      </c>
      <c r="CE194" t="e">
        <v>#VALUE!</v>
      </c>
      <c r="CF194" t="e">
        <v>#VALUE!</v>
      </c>
      <c r="CG194" t="e">
        <v>#VALUE!</v>
      </c>
      <c r="CH194" t="e">
        <v>#VALUE!</v>
      </c>
      <c r="CI194" t="e">
        <v>#VALUE!</v>
      </c>
      <c r="CJ194" t="e">
        <v>#VALUE!</v>
      </c>
      <c r="CK194" t="e">
        <v>#VALUE!</v>
      </c>
    </row>
    <row r="195" spans="1:89" ht="12.5">
      <c r="A195" t="s">
        <v>20</v>
      </c>
      <c r="B195" t="s">
        <v>341</v>
      </c>
      <c r="C195" t="s">
        <v>341</v>
      </c>
      <c r="E195" s="2">
        <v>0.256072074981676</v>
      </c>
      <c r="F195" s="2">
        <f>E195</f>
        <v>0.256072074981676</v>
      </c>
      <c r="I195" s="2">
        <f>F195</f>
        <v>0.256072074981676</v>
      </c>
      <c r="J195" s="2">
        <f>I195</f>
        <v>0.256072074981676</v>
      </c>
      <c r="L195" s="2">
        <f>J195</f>
        <v>0.256072074981676</v>
      </c>
      <c r="V195" s="2">
        <f>L195</f>
        <v>0.256072074981676</v>
      </c>
      <c r="W195">
        <v>5</v>
      </c>
      <c r="AG195" s="130" t="s">
        <v>342</v>
      </c>
      <c r="AI195">
        <v>1</v>
      </c>
      <c r="AJ195">
        <v>1.05651166418708</v>
      </c>
      <c r="AK195">
        <v>1.38934575154197</v>
      </c>
      <c r="AL195">
        <v>1.56808500721045</v>
      </c>
      <c r="AM195">
        <v>1.74195387975481</v>
      </c>
      <c r="AN195">
        <v>1.9524766659183499</v>
      </c>
      <c r="AO195">
        <v>2.21129186912367</v>
      </c>
      <c r="AP195">
        <v>2.4993293710737299</v>
      </c>
      <c r="AQ195">
        <v>2.7808032707666701</v>
      </c>
      <c r="AR195">
        <v>3.05129027102921</v>
      </c>
      <c r="AS195">
        <v>3.3043456754422298</v>
      </c>
      <c r="AT195">
        <v>3.5258672516199701</v>
      </c>
      <c r="AU195">
        <v>3.7138336003165699</v>
      </c>
      <c r="AV195">
        <v>3.8750699166327398</v>
      </c>
      <c r="AW195">
        <v>4.0194216039541404</v>
      </c>
      <c r="AX195">
        <v>4.1515022087948497</v>
      </c>
      <c r="AY195">
        <v>4.2675305255067304</v>
      </c>
      <c r="AZ195">
        <v>4.3594447382739796</v>
      </c>
      <c r="BA195">
        <v>0</v>
      </c>
      <c r="BB195">
        <v>0</v>
      </c>
      <c r="BC195">
        <v>0</v>
      </c>
      <c r="BD195">
        <v>0</v>
      </c>
      <c r="BE195">
        <v>0</v>
      </c>
      <c r="BF195">
        <v>0</v>
      </c>
      <c r="BG195">
        <v>0</v>
      </c>
      <c r="BH195">
        <v>0</v>
      </c>
      <c r="BJ195" t="s">
        <v>357</v>
      </c>
      <c r="BL195">
        <v>0.80</v>
      </c>
      <c r="BM195">
        <v>0.79756097560975603</v>
      </c>
      <c r="BN195">
        <v>0.78536585365853595</v>
      </c>
      <c r="BO195">
        <v>0.77317073170731698</v>
      </c>
      <c r="BP195">
        <v>0.76097560975609702</v>
      </c>
      <c r="BQ195">
        <v>0.74878048780487805</v>
      </c>
      <c r="BR195">
        <v>0.73658536585365797</v>
      </c>
      <c r="BS195">
        <v>0.724390243902439</v>
      </c>
      <c r="BT195">
        <v>0.71219512195122003</v>
      </c>
      <c r="BU195">
        <v>0.69999999999999896</v>
      </c>
      <c r="BV195">
        <v>0.687499999999999</v>
      </c>
      <c r="BW195">
        <v>0.675</v>
      </c>
      <c r="BX195">
        <v>0.6625</v>
      </c>
      <c r="BY195">
        <v>0.64999999999999902</v>
      </c>
      <c r="BZ195">
        <v>0.63749999999999896</v>
      </c>
      <c r="CA195">
        <v>0.625</v>
      </c>
      <c r="CB195">
        <v>0.6125</v>
      </c>
      <c r="CC195">
        <v>0.60</v>
      </c>
      <c r="CD195" t="e">
        <v>#VALUE!</v>
      </c>
      <c r="CE195" t="e">
        <v>#VALUE!</v>
      </c>
      <c r="CF195" t="e">
        <v>#VALUE!</v>
      </c>
      <c r="CG195" t="e">
        <v>#VALUE!</v>
      </c>
      <c r="CH195" t="e">
        <v>#VALUE!</v>
      </c>
      <c r="CI195" t="e">
        <v>#VALUE!</v>
      </c>
      <c r="CJ195" t="e">
        <v>#VALUE!</v>
      </c>
      <c r="CK195" t="e">
        <v>#VALUE!</v>
      </c>
    </row>
    <row r="196" spans="1:89" ht="12.5">
      <c r="A196" t="s">
        <v>20</v>
      </c>
      <c r="B196" t="s">
        <v>344</v>
      </c>
      <c r="C196" t="s">
        <v>344</v>
      </c>
      <c r="E196" s="2">
        <v>47.3746158946769</v>
      </c>
      <c r="F196" s="2">
        <f>E196</f>
        <v>47.3746158946769</v>
      </c>
      <c r="I196" s="2">
        <f>F196</f>
        <v>47.3746158946769</v>
      </c>
      <c r="J196" s="2">
        <f>I196</f>
        <v>47.3746158946769</v>
      </c>
      <c r="L196" s="2">
        <f>J196</f>
        <v>47.3746158946769</v>
      </c>
      <c r="V196" s="2">
        <f>L196</f>
        <v>47.3746158946769</v>
      </c>
      <c r="W196">
        <v>5</v>
      </c>
      <c r="AG196" s="130" t="s">
        <v>342</v>
      </c>
      <c r="AI196">
        <v>1</v>
      </c>
      <c r="AJ196">
        <v>1.05651166418708</v>
      </c>
      <c r="AK196">
        <v>1.38934575154197</v>
      </c>
      <c r="AL196">
        <v>1.56808500721045</v>
      </c>
      <c r="AM196">
        <v>1.74195387975481</v>
      </c>
      <c r="AN196">
        <v>1.9524766659183499</v>
      </c>
      <c r="AO196">
        <v>2.21129186912367</v>
      </c>
      <c r="AP196">
        <v>2.4993293710737299</v>
      </c>
      <c r="AQ196">
        <v>2.7808032707666701</v>
      </c>
      <c r="AR196">
        <v>3.05129027102921</v>
      </c>
      <c r="AS196">
        <v>3.3043456754422298</v>
      </c>
      <c r="AT196">
        <v>3.5258672516199701</v>
      </c>
      <c r="AU196">
        <v>3.7138336003165699</v>
      </c>
      <c r="AV196">
        <v>3.8750699166327398</v>
      </c>
      <c r="AW196">
        <v>4.0194216039541404</v>
      </c>
      <c r="AX196">
        <v>4.1515022087948497</v>
      </c>
      <c r="AY196">
        <v>4.2675305255067304</v>
      </c>
      <c r="AZ196">
        <v>4.3594447382739796</v>
      </c>
      <c r="BA196">
        <v>0</v>
      </c>
      <c r="BB196">
        <v>0</v>
      </c>
      <c r="BC196">
        <v>0</v>
      </c>
      <c r="BD196">
        <v>0</v>
      </c>
      <c r="BE196">
        <v>0</v>
      </c>
      <c r="BF196">
        <v>0</v>
      </c>
      <c r="BG196">
        <v>0</v>
      </c>
      <c r="BH196">
        <v>0</v>
      </c>
      <c r="BJ196" t="s">
        <v>357</v>
      </c>
      <c r="BL196">
        <v>0.80</v>
      </c>
      <c r="BM196">
        <v>0.79756097560975603</v>
      </c>
      <c r="BN196">
        <v>0.78536585365853595</v>
      </c>
      <c r="BO196">
        <v>0.77317073170731698</v>
      </c>
      <c r="BP196">
        <v>0.76097560975609702</v>
      </c>
      <c r="BQ196">
        <v>0.74878048780487805</v>
      </c>
      <c r="BR196">
        <v>0.73658536585365797</v>
      </c>
      <c r="BS196">
        <v>0.724390243902439</v>
      </c>
      <c r="BT196">
        <v>0.71219512195122003</v>
      </c>
      <c r="BU196">
        <v>0.69999999999999896</v>
      </c>
      <c r="BV196">
        <v>0.687499999999999</v>
      </c>
      <c r="BW196">
        <v>0.675</v>
      </c>
      <c r="BX196">
        <v>0.6625</v>
      </c>
      <c r="BY196">
        <v>0.64999999999999902</v>
      </c>
      <c r="BZ196">
        <v>0.63749999999999896</v>
      </c>
      <c r="CA196">
        <v>0.625</v>
      </c>
      <c r="CB196">
        <v>0.6125</v>
      </c>
      <c r="CC196">
        <v>0.60</v>
      </c>
      <c r="CD196" t="e">
        <v>#VALUE!</v>
      </c>
      <c r="CE196" t="e">
        <v>#VALUE!</v>
      </c>
      <c r="CF196" t="e">
        <v>#VALUE!</v>
      </c>
      <c r="CG196" t="e">
        <v>#VALUE!</v>
      </c>
      <c r="CH196" t="e">
        <v>#VALUE!</v>
      </c>
      <c r="CI196" t="e">
        <v>#VALUE!</v>
      </c>
      <c r="CJ196" t="e">
        <v>#VALUE!</v>
      </c>
      <c r="CK196" t="e">
        <v>#VALUE!</v>
      </c>
    </row>
    <row r="197" spans="1:89" ht="12.5">
      <c r="A197" t="s">
        <v>20</v>
      </c>
      <c r="B197" t="s">
        <v>345</v>
      </c>
      <c r="C197" t="s">
        <v>345</v>
      </c>
      <c r="E197" s="2">
        <v>1.54205978731801</v>
      </c>
      <c r="I197" s="2">
        <v>2.2933747443728998</v>
      </c>
      <c r="J197" s="2">
        <v>2.5009100557680299</v>
      </c>
      <c r="L197" s="2">
        <v>3.0041186043157202</v>
      </c>
      <c r="V197" s="2">
        <v>4.3879747618520097</v>
      </c>
      <c r="W197">
        <v>5</v>
      </c>
      <c r="AG197" s="130" t="s">
        <v>342</v>
      </c>
      <c r="AI197">
        <v>1</v>
      </c>
      <c r="AJ197">
        <v>1.05651166418708</v>
      </c>
      <c r="AK197">
        <v>1.38934575154197</v>
      </c>
      <c r="AL197">
        <v>1.56808500721045</v>
      </c>
      <c r="AM197">
        <v>1.74195387975481</v>
      </c>
      <c r="AN197">
        <v>1.9524766659183499</v>
      </c>
      <c r="AO197">
        <v>2.21129186912367</v>
      </c>
      <c r="AP197">
        <v>2.4993293710737299</v>
      </c>
      <c r="AQ197">
        <v>2.7808032707666701</v>
      </c>
      <c r="AR197">
        <v>3.05129027102921</v>
      </c>
      <c r="AS197">
        <v>3.3043456754422298</v>
      </c>
      <c r="AT197">
        <v>3.5258672516199701</v>
      </c>
      <c r="AU197">
        <v>3.7138336003165699</v>
      </c>
      <c r="AV197">
        <v>3.8750699166327398</v>
      </c>
      <c r="AW197">
        <v>4.0194216039541404</v>
      </c>
      <c r="AX197">
        <v>4.1515022087948497</v>
      </c>
      <c r="AY197">
        <v>4.2675305255067304</v>
      </c>
      <c r="AZ197">
        <v>4.3594447382739796</v>
      </c>
      <c r="BA197">
        <v>0</v>
      </c>
      <c r="BB197">
        <v>0</v>
      </c>
      <c r="BC197">
        <v>0</v>
      </c>
      <c r="BD197">
        <v>0</v>
      </c>
      <c r="BE197">
        <v>0</v>
      </c>
      <c r="BF197">
        <v>0</v>
      </c>
      <c r="BG197">
        <v>0</v>
      </c>
      <c r="BH197">
        <v>0</v>
      </c>
      <c r="BJ197" t="s">
        <v>357</v>
      </c>
      <c r="BL197">
        <v>0.80</v>
      </c>
      <c r="BM197">
        <v>0.79756097560975603</v>
      </c>
      <c r="BN197">
        <v>0.78536585365853595</v>
      </c>
      <c r="BO197">
        <v>0.77317073170731698</v>
      </c>
      <c r="BP197">
        <v>0.76097560975609702</v>
      </c>
      <c r="BQ197">
        <v>0.74878048780487805</v>
      </c>
      <c r="BR197">
        <v>0.73658536585365797</v>
      </c>
      <c r="BS197">
        <v>0.724390243902439</v>
      </c>
      <c r="BT197">
        <v>0.71219512195122003</v>
      </c>
      <c r="BU197">
        <v>0.69999999999999896</v>
      </c>
      <c r="BV197">
        <v>0.687499999999999</v>
      </c>
      <c r="BW197">
        <v>0.675</v>
      </c>
      <c r="BX197">
        <v>0.6625</v>
      </c>
      <c r="BY197">
        <v>0.64999999999999902</v>
      </c>
      <c r="BZ197">
        <v>0.63749999999999896</v>
      </c>
      <c r="CA197">
        <v>0.625</v>
      </c>
      <c r="CB197">
        <v>0.6125</v>
      </c>
      <c r="CC197">
        <v>0.60</v>
      </c>
      <c r="CD197" t="e">
        <v>#VALUE!</v>
      </c>
      <c r="CE197" t="e">
        <v>#VALUE!</v>
      </c>
      <c r="CF197" t="e">
        <v>#VALUE!</v>
      </c>
      <c r="CG197" t="e">
        <v>#VALUE!</v>
      </c>
      <c r="CH197" t="e">
        <v>#VALUE!</v>
      </c>
      <c r="CI197" t="e">
        <v>#VALUE!</v>
      </c>
      <c r="CJ197" t="e">
        <v>#VALUE!</v>
      </c>
      <c r="CK197" t="e">
        <v>#VALUE!</v>
      </c>
    </row>
    <row r="198" spans="1:89" ht="12.5">
      <c r="A198" t="s">
        <v>20</v>
      </c>
      <c r="B198" t="s">
        <v>346</v>
      </c>
      <c r="C198" t="s">
        <v>346</v>
      </c>
      <c r="E198" s="2">
        <v>0.35284344557661701</v>
      </c>
      <c r="I198" s="2">
        <v>0.38007761406759899</v>
      </c>
      <c r="J198" s="2">
        <v>0.388635517829094</v>
      </c>
      <c r="L198" s="2">
        <v>0.40586358450952498</v>
      </c>
      <c r="V198" s="2">
        <v>0.43999748671341898</v>
      </c>
      <c r="W198">
        <v>5</v>
      </c>
      <c r="AG198" s="130" t="s">
        <v>347</v>
      </c>
      <c r="AI198">
        <v>1</v>
      </c>
      <c r="AJ198">
        <v>1.0081657917287301</v>
      </c>
      <c r="AK198">
        <v>1.04899475037238</v>
      </c>
      <c r="AL198">
        <v>1.0784349889255</v>
      </c>
      <c r="AM198">
        <v>1.10934026935236</v>
      </c>
      <c r="AN198">
        <v>1.14269868123305</v>
      </c>
      <c r="AO198">
        <v>1.1775319606141399</v>
      </c>
      <c r="AP198">
        <v>1.21231160844976</v>
      </c>
      <c r="AQ198">
        <v>1.2415850160503701</v>
      </c>
      <c r="AR198">
        <v>1.2653693782625901</v>
      </c>
      <c r="AS198">
        <v>1.28413448286069</v>
      </c>
      <c r="AT198">
        <v>1.3000550685433701</v>
      </c>
      <c r="AU198">
        <v>1.31457509302719</v>
      </c>
      <c r="AV198">
        <v>1.3286773236778</v>
      </c>
      <c r="AW198">
        <v>1.3424514193383801</v>
      </c>
      <c r="AX198">
        <v>1.35458013193606</v>
      </c>
      <c r="AY198">
        <v>1.36304490929575</v>
      </c>
      <c r="AZ198">
        <v>1.36655511441676</v>
      </c>
      <c r="BA198">
        <v>0</v>
      </c>
      <c r="BB198">
        <v>0</v>
      </c>
      <c r="BC198">
        <v>0</v>
      </c>
      <c r="BD198">
        <v>0</v>
      </c>
      <c r="BE198">
        <v>0</v>
      </c>
      <c r="BF198">
        <v>0</v>
      </c>
      <c r="BG198">
        <v>0</v>
      </c>
      <c r="BH198">
        <v>0</v>
      </c>
      <c r="BJ198" t="s">
        <v>357</v>
      </c>
      <c r="BL198">
        <v>0.80</v>
      </c>
      <c r="BM198">
        <v>0.79756097560975603</v>
      </c>
      <c r="BN198">
        <v>0.78536585365853595</v>
      </c>
      <c r="BO198">
        <v>0.77317073170731698</v>
      </c>
      <c r="BP198">
        <v>0.76097560975609702</v>
      </c>
      <c r="BQ198">
        <v>0.74878048780487805</v>
      </c>
      <c r="BR198">
        <v>0.73658536585365797</v>
      </c>
      <c r="BS198">
        <v>0.724390243902439</v>
      </c>
      <c r="BT198">
        <v>0.71219512195122003</v>
      </c>
      <c r="BU198">
        <v>0.69999999999999896</v>
      </c>
      <c r="BV198">
        <v>0.687499999999999</v>
      </c>
      <c r="BW198">
        <v>0.675</v>
      </c>
      <c r="BX198">
        <v>0.6625</v>
      </c>
      <c r="BY198">
        <v>0.64999999999999902</v>
      </c>
      <c r="BZ198">
        <v>0.63749999999999896</v>
      </c>
      <c r="CA198">
        <v>0.625</v>
      </c>
      <c r="CB198">
        <v>0.6125</v>
      </c>
      <c r="CC198">
        <v>0.60</v>
      </c>
      <c r="CD198" t="e">
        <v>#VALUE!</v>
      </c>
      <c r="CE198" t="e">
        <v>#VALUE!</v>
      </c>
      <c r="CF198" t="e">
        <v>#VALUE!</v>
      </c>
      <c r="CG198" t="e">
        <v>#VALUE!</v>
      </c>
      <c r="CH198" t="e">
        <v>#VALUE!</v>
      </c>
      <c r="CI198" t="e">
        <v>#VALUE!</v>
      </c>
      <c r="CJ198" t="e">
        <v>#VALUE!</v>
      </c>
      <c r="CK198" t="e">
        <v>#VALUE!</v>
      </c>
    </row>
    <row r="199" spans="1:89" ht="12.5">
      <c r="A199" t="s">
        <v>20</v>
      </c>
      <c r="B199" t="s">
        <v>348</v>
      </c>
      <c r="C199" t="s">
        <v>348</v>
      </c>
      <c r="E199" s="2">
        <v>3.8464892493351601</v>
      </c>
      <c r="F199" s="2">
        <f>E199</f>
        <v>3.8464892493351601</v>
      </c>
      <c r="I199" s="2">
        <f>F199</f>
        <v>3.8464892493351601</v>
      </c>
      <c r="J199" s="2">
        <f>I199</f>
        <v>3.8464892493351601</v>
      </c>
      <c r="L199" s="2">
        <f>J199</f>
        <v>3.8464892493351601</v>
      </c>
      <c r="V199" s="2">
        <f>L199</f>
        <v>3.8464892493351601</v>
      </c>
      <c r="W199">
        <v>5</v>
      </c>
      <c r="AG199" s="130" t="s">
        <v>342</v>
      </c>
      <c r="AI199">
        <v>1</v>
      </c>
      <c r="AJ199">
        <v>1.05651166418708</v>
      </c>
      <c r="AK199">
        <v>1.38934575154197</v>
      </c>
      <c r="AL199">
        <v>1.56808500721045</v>
      </c>
      <c r="AM199">
        <v>1.74195387975481</v>
      </c>
      <c r="AN199">
        <v>1.9524766659183499</v>
      </c>
      <c r="AO199">
        <v>2.21129186912367</v>
      </c>
      <c r="AP199">
        <v>2.4993293710737299</v>
      </c>
      <c r="AQ199">
        <v>2.7808032707666701</v>
      </c>
      <c r="AR199">
        <v>3.05129027102921</v>
      </c>
      <c r="AS199">
        <v>3.3043456754422298</v>
      </c>
      <c r="AT199">
        <v>3.5258672516199701</v>
      </c>
      <c r="AU199">
        <v>3.7138336003165699</v>
      </c>
      <c r="AV199">
        <v>3.8750699166327398</v>
      </c>
      <c r="AW199">
        <v>4.0194216039541404</v>
      </c>
      <c r="AX199">
        <v>4.1515022087948497</v>
      </c>
      <c r="AY199">
        <v>4.2675305255067304</v>
      </c>
      <c r="AZ199">
        <v>4.3594447382739796</v>
      </c>
      <c r="BA199">
        <v>0</v>
      </c>
      <c r="BB199">
        <v>0</v>
      </c>
      <c r="BC199">
        <v>0</v>
      </c>
      <c r="BD199">
        <v>0</v>
      </c>
      <c r="BE199">
        <v>0</v>
      </c>
      <c r="BF199">
        <v>0</v>
      </c>
      <c r="BG199">
        <v>0</v>
      </c>
      <c r="BH199">
        <v>0</v>
      </c>
      <c r="BJ199" t="s">
        <v>357</v>
      </c>
      <c r="BL199">
        <v>0.80</v>
      </c>
      <c r="BM199">
        <v>0.79756097560975603</v>
      </c>
      <c r="BN199">
        <v>0.78536585365853595</v>
      </c>
      <c r="BO199">
        <v>0.77317073170731698</v>
      </c>
      <c r="BP199">
        <v>0.76097560975609702</v>
      </c>
      <c r="BQ199">
        <v>0.74878048780487805</v>
      </c>
      <c r="BR199">
        <v>0.73658536585365797</v>
      </c>
      <c r="BS199">
        <v>0.724390243902439</v>
      </c>
      <c r="BT199">
        <v>0.71219512195122003</v>
      </c>
      <c r="BU199">
        <v>0.69999999999999896</v>
      </c>
      <c r="BV199">
        <v>0.687499999999999</v>
      </c>
      <c r="BW199">
        <v>0.675</v>
      </c>
      <c r="BX199">
        <v>0.6625</v>
      </c>
      <c r="BY199">
        <v>0.64999999999999902</v>
      </c>
      <c r="BZ199">
        <v>0.63749999999999896</v>
      </c>
      <c r="CA199">
        <v>0.625</v>
      </c>
      <c r="CB199">
        <v>0.6125</v>
      </c>
      <c r="CC199">
        <v>0.60</v>
      </c>
      <c r="CD199" t="e">
        <v>#VALUE!</v>
      </c>
      <c r="CE199" t="e">
        <v>#VALUE!</v>
      </c>
      <c r="CF199" t="e">
        <v>#VALUE!</v>
      </c>
      <c r="CG199" t="e">
        <v>#VALUE!</v>
      </c>
      <c r="CH199" t="e">
        <v>#VALUE!</v>
      </c>
      <c r="CI199" t="e">
        <v>#VALUE!</v>
      </c>
      <c r="CJ199" t="e">
        <v>#VALUE!</v>
      </c>
      <c r="CK199" t="e">
        <v>#VALUE!</v>
      </c>
    </row>
    <row r="200" spans="1:89" ht="12.5">
      <c r="A200" t="s">
        <v>20</v>
      </c>
      <c r="B200" t="s">
        <v>349</v>
      </c>
      <c r="C200" t="s">
        <v>349</v>
      </c>
      <c r="E200" s="2">
        <v>6.1104851039827199</v>
      </c>
      <c r="F200" s="2">
        <f>E200</f>
        <v>6.1104851039827199</v>
      </c>
      <c r="I200" s="2">
        <f>F200</f>
        <v>6.1104851039827199</v>
      </c>
      <c r="J200" s="2">
        <f>I200</f>
        <v>6.1104851039827199</v>
      </c>
      <c r="L200" s="2">
        <f>J200</f>
        <v>6.1104851039827199</v>
      </c>
      <c r="V200" s="2">
        <f>L200</f>
        <v>6.1104851039827199</v>
      </c>
      <c r="W200">
        <v>5</v>
      </c>
      <c r="AG200" s="130" t="s">
        <v>342</v>
      </c>
      <c r="AI200">
        <v>1</v>
      </c>
      <c r="AJ200">
        <v>1.05651166418708</v>
      </c>
      <c r="AK200">
        <v>1.38934575154197</v>
      </c>
      <c r="AL200">
        <v>1.56808500721045</v>
      </c>
      <c r="AM200">
        <v>1.74195387975481</v>
      </c>
      <c r="AN200">
        <v>1.9524766659183499</v>
      </c>
      <c r="AO200">
        <v>2.21129186912367</v>
      </c>
      <c r="AP200">
        <v>2.4993293710737299</v>
      </c>
      <c r="AQ200">
        <v>2.7808032707666701</v>
      </c>
      <c r="AR200">
        <v>3.05129027102921</v>
      </c>
      <c r="AS200">
        <v>3.3043456754422298</v>
      </c>
      <c r="AT200">
        <v>3.5258672516199701</v>
      </c>
      <c r="AU200">
        <v>3.7138336003165699</v>
      </c>
      <c r="AV200">
        <v>3.8750699166327398</v>
      </c>
      <c r="AW200">
        <v>4.0194216039541404</v>
      </c>
      <c r="AX200">
        <v>4.1515022087948497</v>
      </c>
      <c r="AY200">
        <v>4.2675305255067304</v>
      </c>
      <c r="AZ200">
        <v>4.3594447382739796</v>
      </c>
      <c r="BA200">
        <v>0</v>
      </c>
      <c r="BB200">
        <v>0</v>
      </c>
      <c r="BC200">
        <v>0</v>
      </c>
      <c r="BD200">
        <v>0</v>
      </c>
      <c r="BE200">
        <v>0</v>
      </c>
      <c r="BF200">
        <v>0</v>
      </c>
      <c r="BG200">
        <v>0</v>
      </c>
      <c r="BH200">
        <v>0</v>
      </c>
      <c r="BJ200" t="s">
        <v>357</v>
      </c>
      <c r="BL200">
        <v>0.80</v>
      </c>
      <c r="BM200">
        <v>0.79756097560975603</v>
      </c>
      <c r="BN200">
        <v>0.78536585365853595</v>
      </c>
      <c r="BO200">
        <v>0.77317073170731698</v>
      </c>
      <c r="BP200">
        <v>0.76097560975609702</v>
      </c>
      <c r="BQ200">
        <v>0.74878048780487805</v>
      </c>
      <c r="BR200">
        <v>0.73658536585365797</v>
      </c>
      <c r="BS200">
        <v>0.724390243902439</v>
      </c>
      <c r="BT200">
        <v>0.71219512195122003</v>
      </c>
      <c r="BU200">
        <v>0.69999999999999896</v>
      </c>
      <c r="BV200">
        <v>0.687499999999999</v>
      </c>
      <c r="BW200">
        <v>0.675</v>
      </c>
      <c r="BX200">
        <v>0.6625</v>
      </c>
      <c r="BY200">
        <v>0.64999999999999902</v>
      </c>
      <c r="BZ200">
        <v>0.63749999999999896</v>
      </c>
      <c r="CA200">
        <v>0.625</v>
      </c>
      <c r="CB200">
        <v>0.6125</v>
      </c>
      <c r="CC200">
        <v>0.60</v>
      </c>
      <c r="CD200" t="e">
        <v>#VALUE!</v>
      </c>
      <c r="CE200" t="e">
        <v>#VALUE!</v>
      </c>
      <c r="CF200" t="e">
        <v>#VALUE!</v>
      </c>
      <c r="CG200" t="e">
        <v>#VALUE!</v>
      </c>
      <c r="CH200" t="e">
        <v>#VALUE!</v>
      </c>
      <c r="CI200" t="e">
        <v>#VALUE!</v>
      </c>
      <c r="CJ200" t="e">
        <v>#VALUE!</v>
      </c>
      <c r="CK200" t="e">
        <v>#VALUE!</v>
      </c>
    </row>
    <row r="201" spans="1:89" ht="12.5">
      <c r="A201" t="s">
        <v>20</v>
      </c>
      <c r="B201" t="s">
        <v>350</v>
      </c>
      <c r="C201" t="s">
        <v>350</v>
      </c>
      <c r="D201">
        <v>0.154</v>
      </c>
      <c r="E201">
        <v>0.15500295838993999</v>
      </c>
      <c r="F201"/>
      <c r="G201">
        <v>0.15993297461068701</v>
      </c>
      <c r="H201">
        <v>0.16340338975816601</v>
      </c>
      <c r="I201">
        <v>0.16696683851386801</v>
      </c>
      <c r="J201">
        <v>0.17072629732563799</v>
      </c>
      <c r="K201">
        <v>0.174559715033517</v>
      </c>
      <c r="L201">
        <v>0.178294530025673</v>
      </c>
      <c r="M201">
        <v>0.18136069861510401</v>
      </c>
      <c r="N201">
        <v>0.18379265771884001</v>
      </c>
      <c r="O201">
        <v>0.18566650645239699</v>
      </c>
      <c r="P201">
        <v>0.18722027337135</v>
      </c>
      <c r="Q201">
        <v>0.188605575040553</v>
      </c>
      <c r="R201">
        <v>0.18992070992174601</v>
      </c>
      <c r="S201">
        <v>0.19117586123809899</v>
      </c>
      <c r="T201">
        <v>0.19225537752597399</v>
      </c>
      <c r="U201">
        <v>0.19299123791825501</v>
      </c>
      <c r="V201">
        <v>0.19328944034446899</v>
      </c>
      <c r="W201">
        <v>5</v>
      </c>
      <c r="AG201" s="130" t="s">
        <v>347</v>
      </c>
      <c r="AI201">
        <v>1</v>
      </c>
      <c r="AJ201">
        <v>1.0081657917287301</v>
      </c>
      <c r="AK201">
        <v>1.04899475037238</v>
      </c>
      <c r="AL201">
        <v>1.0784349889255</v>
      </c>
      <c r="AM201">
        <v>1.10934026935236</v>
      </c>
      <c r="AN201">
        <v>1.14269868123305</v>
      </c>
      <c r="AO201">
        <v>1.1775319606141399</v>
      </c>
      <c r="AP201">
        <v>1.21231160844976</v>
      </c>
      <c r="AQ201">
        <v>1.2415850160503701</v>
      </c>
      <c r="AR201">
        <v>1.2653693782625901</v>
      </c>
      <c r="AS201">
        <v>1.28413448286069</v>
      </c>
      <c r="AT201">
        <v>1.3000550685433701</v>
      </c>
      <c r="AU201">
        <v>1.31457509302719</v>
      </c>
      <c r="AV201">
        <v>1.3286773236778</v>
      </c>
      <c r="AW201">
        <v>1.3424514193383801</v>
      </c>
      <c r="AX201">
        <v>1.35458013193606</v>
      </c>
      <c r="AY201">
        <v>1.36304490929575</v>
      </c>
      <c r="AZ201">
        <v>1.36655511441676</v>
      </c>
      <c r="BA201">
        <v>0</v>
      </c>
      <c r="BB201">
        <v>0</v>
      </c>
      <c r="BC201">
        <v>0</v>
      </c>
      <c r="BD201">
        <v>0</v>
      </c>
      <c r="BE201">
        <v>0</v>
      </c>
      <c r="BF201">
        <v>0</v>
      </c>
      <c r="BG201">
        <v>0</v>
      </c>
      <c r="BH201">
        <v>0</v>
      </c>
      <c r="BJ201" t="s">
        <v>357</v>
      </c>
      <c r="BL201">
        <v>0.80</v>
      </c>
      <c r="BM201">
        <v>0.79756097560975603</v>
      </c>
      <c r="BN201">
        <v>0.78536585365853595</v>
      </c>
      <c r="BO201">
        <v>0.77317073170731698</v>
      </c>
      <c r="BP201">
        <v>0.76097560975609702</v>
      </c>
      <c r="BQ201">
        <v>0.74878048780487805</v>
      </c>
      <c r="BR201">
        <v>0.73658536585365797</v>
      </c>
      <c r="BS201">
        <v>0.724390243902439</v>
      </c>
      <c r="BT201">
        <v>0.71219512195122003</v>
      </c>
      <c r="BU201">
        <v>0.69999999999999896</v>
      </c>
      <c r="BV201">
        <v>0.687499999999999</v>
      </c>
      <c r="BW201">
        <v>0.675</v>
      </c>
      <c r="BX201">
        <v>0.6625</v>
      </c>
      <c r="BY201">
        <v>0.64999999999999902</v>
      </c>
      <c r="BZ201">
        <v>0.63749999999999896</v>
      </c>
      <c r="CA201">
        <v>0.625</v>
      </c>
      <c r="CB201">
        <v>0.6125</v>
      </c>
      <c r="CC201">
        <v>0.60</v>
      </c>
      <c r="CD201" t="e">
        <v>#VALUE!</v>
      </c>
      <c r="CE201" t="e">
        <v>#VALUE!</v>
      </c>
      <c r="CF201" t="e">
        <v>#VALUE!</v>
      </c>
      <c r="CG201" t="e">
        <v>#VALUE!</v>
      </c>
      <c r="CH201" t="e">
        <v>#VALUE!</v>
      </c>
      <c r="CI201" t="e">
        <v>#VALUE!</v>
      </c>
      <c r="CJ201" t="e">
        <v>#VALUE!</v>
      </c>
      <c r="CK201" t="e">
        <v>#VALUE!</v>
      </c>
    </row>
    <row r="202" spans="1:89" ht="12.5">
      <c r="A202" t="s">
        <v>20</v>
      </c>
      <c r="B202" t="s">
        <v>351</v>
      </c>
      <c r="C202" t="s">
        <v>351</v>
      </c>
      <c r="D202">
        <v>0.09</v>
      </c>
      <c r="E202">
        <v>0.090586144513601294</v>
      </c>
      <c r="F202"/>
      <c r="G202">
        <v>0.093467322824427601</v>
      </c>
      <c r="H202">
        <v>0.0954954875210062</v>
      </c>
      <c r="I202">
        <v>0.097578022508104795</v>
      </c>
      <c r="J202">
        <v>0.099775108826671302</v>
      </c>
      <c r="K202">
        <v>0.102015417876731</v>
      </c>
      <c r="L202">
        <v>0.104198101963055</v>
      </c>
      <c r="M202">
        <v>0.105990018671165</v>
      </c>
      <c r="N202">
        <v>0.107411293472049</v>
      </c>
      <c r="O202">
        <v>0.108506399874778</v>
      </c>
      <c r="P202">
        <v>0.109414445476763</v>
      </c>
      <c r="Q202">
        <v>0.11022403736136201</v>
      </c>
      <c r="R202">
        <v>0.11099262268154</v>
      </c>
      <c r="S202">
        <v>0.11172615267161599</v>
      </c>
      <c r="T202">
        <v>0.112357038813881</v>
      </c>
      <c r="U202">
        <v>0.112787087095084</v>
      </c>
      <c r="V202">
        <v>0.11296136124027401</v>
      </c>
      <c r="W202">
        <v>5</v>
      </c>
      <c r="AG202" s="130" t="s">
        <v>347</v>
      </c>
      <c r="AI202">
        <v>1</v>
      </c>
      <c r="AJ202">
        <v>1.0081657917287301</v>
      </c>
      <c r="AK202">
        <v>1.04899475037238</v>
      </c>
      <c r="AL202">
        <v>1.0784349889255</v>
      </c>
      <c r="AM202">
        <v>1.10934026935236</v>
      </c>
      <c r="AN202">
        <v>1.14269868123305</v>
      </c>
      <c r="AO202">
        <v>1.1775319606141399</v>
      </c>
      <c r="AP202">
        <v>1.21231160844976</v>
      </c>
      <c r="AQ202">
        <v>1.2415850160503701</v>
      </c>
      <c r="AR202">
        <v>1.2653693782625901</v>
      </c>
      <c r="AS202">
        <v>1.28413448286069</v>
      </c>
      <c r="AT202">
        <v>1.3000550685433701</v>
      </c>
      <c r="AU202">
        <v>1.31457509302719</v>
      </c>
      <c r="AV202">
        <v>1.3286773236778</v>
      </c>
      <c r="AW202">
        <v>1.3424514193383801</v>
      </c>
      <c r="AX202">
        <v>1.35458013193606</v>
      </c>
      <c r="AY202">
        <v>1.36304490929575</v>
      </c>
      <c r="AZ202">
        <v>1.36655511441676</v>
      </c>
      <c r="BA202">
        <v>0</v>
      </c>
      <c r="BB202">
        <v>0</v>
      </c>
      <c r="BC202">
        <v>0</v>
      </c>
      <c r="BD202">
        <v>0</v>
      </c>
      <c r="BE202">
        <v>0</v>
      </c>
      <c r="BF202">
        <v>0</v>
      </c>
      <c r="BG202">
        <v>0</v>
      </c>
      <c r="BH202">
        <v>0</v>
      </c>
      <c r="BJ202" t="s">
        <v>357</v>
      </c>
      <c r="BL202">
        <v>0.80</v>
      </c>
      <c r="BM202">
        <v>0.79756097560975603</v>
      </c>
      <c r="BN202">
        <v>0.78536585365853595</v>
      </c>
      <c r="BO202">
        <v>0.77317073170731698</v>
      </c>
      <c r="BP202">
        <v>0.76097560975609702</v>
      </c>
      <c r="BQ202">
        <v>0.74878048780487805</v>
      </c>
      <c r="BR202">
        <v>0.73658536585365797</v>
      </c>
      <c r="BS202">
        <v>0.724390243902439</v>
      </c>
      <c r="BT202">
        <v>0.71219512195122003</v>
      </c>
      <c r="BU202">
        <v>0.69999999999999896</v>
      </c>
      <c r="BV202">
        <v>0.687499999999999</v>
      </c>
      <c r="BW202">
        <v>0.675</v>
      </c>
      <c r="BX202">
        <v>0.6625</v>
      </c>
      <c r="BY202">
        <v>0.64999999999999902</v>
      </c>
      <c r="BZ202">
        <v>0.63749999999999896</v>
      </c>
      <c r="CA202">
        <v>0.625</v>
      </c>
      <c r="CB202">
        <v>0.6125</v>
      </c>
      <c r="CC202">
        <v>0.60</v>
      </c>
      <c r="CD202" t="e">
        <v>#VALUE!</v>
      </c>
      <c r="CE202" t="e">
        <v>#VALUE!</v>
      </c>
      <c r="CF202" t="e">
        <v>#VALUE!</v>
      </c>
      <c r="CG202" t="e">
        <v>#VALUE!</v>
      </c>
      <c r="CH202" t="e">
        <v>#VALUE!</v>
      </c>
      <c r="CI202" t="e">
        <v>#VALUE!</v>
      </c>
      <c r="CJ202" t="e">
        <v>#VALUE!</v>
      </c>
      <c r="CK202" t="e">
        <v>#VALUE!</v>
      </c>
    </row>
    <row r="203" spans="1:89" ht="12.5">
      <c r="A203" t="s">
        <v>20</v>
      </c>
      <c r="B203" t="s">
        <v>352</v>
      </c>
      <c r="C203" t="s">
        <v>352</v>
      </c>
      <c r="D203">
        <v>0.385</v>
      </c>
      <c r="E203">
        <v>0.38750739597485001</v>
      </c>
      <c r="F203"/>
      <c r="G203">
        <v>0.39983243652671802</v>
      </c>
      <c r="H203">
        <v>0.40850847439541499</v>
      </c>
      <c r="I203">
        <v>0.417417096284671</v>
      </c>
      <c r="J203">
        <v>0.426815743314094</v>
      </c>
      <c r="K203">
        <v>0.43639928758379298</v>
      </c>
      <c r="L203">
        <v>0.44573632506418198</v>
      </c>
      <c r="M203">
        <v>0.45340174653776</v>
      </c>
      <c r="N203">
        <v>0.45948164429710098</v>
      </c>
      <c r="O203">
        <v>0.46416626613099299</v>
      </c>
      <c r="P203">
        <v>0.46805068342837602</v>
      </c>
      <c r="Q203">
        <v>0.47151393760138099</v>
      </c>
      <c r="R203">
        <v>0.47480177480436497</v>
      </c>
      <c r="S203">
        <v>0.477939653095246</v>
      </c>
      <c r="T203">
        <v>0.48063844381493398</v>
      </c>
      <c r="U203">
        <v>0.48247809479563802</v>
      </c>
      <c r="V203">
        <v>0.483223600861173</v>
      </c>
      <c r="W203">
        <v>5</v>
      </c>
      <c r="AG203" s="130" t="s">
        <v>347</v>
      </c>
      <c r="AI203">
        <v>1</v>
      </c>
      <c r="AJ203">
        <v>1.0081657917287301</v>
      </c>
      <c r="AK203">
        <v>1.04899475037238</v>
      </c>
      <c r="AL203">
        <v>1.0784349889255</v>
      </c>
      <c r="AM203">
        <v>1.10934026935236</v>
      </c>
      <c r="AN203">
        <v>1.14269868123305</v>
      </c>
      <c r="AO203">
        <v>1.1775319606141399</v>
      </c>
      <c r="AP203">
        <v>1.21231160844976</v>
      </c>
      <c r="AQ203">
        <v>1.2415850160503701</v>
      </c>
      <c r="AR203">
        <v>1.2653693782625901</v>
      </c>
      <c r="AS203">
        <v>1.28413448286069</v>
      </c>
      <c r="AT203">
        <v>1.3000550685433701</v>
      </c>
      <c r="AU203">
        <v>1.31457509302719</v>
      </c>
      <c r="AV203">
        <v>1.3286773236778</v>
      </c>
      <c r="AW203">
        <v>1.3424514193383801</v>
      </c>
      <c r="AX203">
        <v>1.35458013193606</v>
      </c>
      <c r="AY203">
        <v>1.36304490929575</v>
      </c>
      <c r="AZ203">
        <v>1.36655511441676</v>
      </c>
      <c r="BA203">
        <v>0</v>
      </c>
      <c r="BB203">
        <v>0</v>
      </c>
      <c r="BC203">
        <v>0</v>
      </c>
      <c r="BD203">
        <v>0</v>
      </c>
      <c r="BE203">
        <v>0</v>
      </c>
      <c r="BF203">
        <v>0</v>
      </c>
      <c r="BG203">
        <v>0</v>
      </c>
      <c r="BH203">
        <v>0</v>
      </c>
      <c r="BJ203" t="s">
        <v>357</v>
      </c>
      <c r="BL203">
        <v>0.80</v>
      </c>
      <c r="BM203">
        <v>0.79756097560975603</v>
      </c>
      <c r="BN203">
        <v>0.78536585365853595</v>
      </c>
      <c r="BO203">
        <v>0.77317073170731698</v>
      </c>
      <c r="BP203">
        <v>0.76097560975609702</v>
      </c>
      <c r="BQ203">
        <v>0.74878048780487805</v>
      </c>
      <c r="BR203">
        <v>0.73658536585365797</v>
      </c>
      <c r="BS203">
        <v>0.724390243902439</v>
      </c>
      <c r="BT203">
        <v>0.71219512195122003</v>
      </c>
      <c r="BU203">
        <v>0.69999999999999896</v>
      </c>
      <c r="BV203">
        <v>0.687499999999999</v>
      </c>
      <c r="BW203">
        <v>0.675</v>
      </c>
      <c r="BX203">
        <v>0.6625</v>
      </c>
      <c r="BY203">
        <v>0.64999999999999902</v>
      </c>
      <c r="BZ203">
        <v>0.63749999999999896</v>
      </c>
      <c r="CA203">
        <v>0.625</v>
      </c>
      <c r="CB203">
        <v>0.6125</v>
      </c>
      <c r="CC203">
        <v>0.60</v>
      </c>
      <c r="CD203" t="e">
        <v>#VALUE!</v>
      </c>
      <c r="CE203" t="e">
        <v>#VALUE!</v>
      </c>
      <c r="CF203" t="e">
        <v>#VALUE!</v>
      </c>
      <c r="CG203" t="e">
        <v>#VALUE!</v>
      </c>
      <c r="CH203" t="e">
        <v>#VALUE!</v>
      </c>
      <c r="CI203" t="e">
        <v>#VALUE!</v>
      </c>
      <c r="CJ203" t="e">
        <v>#VALUE!</v>
      </c>
      <c r="CK203" t="e">
        <v>#VALUE!</v>
      </c>
    </row>
    <row r="204" spans="1:89" ht="12.5">
      <c r="A204" t="s">
        <v>20</v>
      </c>
      <c r="B204" t="s">
        <v>353</v>
      </c>
      <c r="C204" t="s">
        <v>353</v>
      </c>
      <c r="D204">
        <v>28.295999999999999</v>
      </c>
      <c r="E204">
        <v>29.378222072913399</v>
      </c>
      <c r="F204"/>
      <c r="G204">
        <v>35.465884410472498</v>
      </c>
      <c r="H204">
        <v>38.148742519690401</v>
      </c>
      <c r="I204">
        <v>40.469177286008097</v>
      </c>
      <c r="J204">
        <v>43.139850737175401</v>
      </c>
      <c r="K204">
        <v>46.287425474341902</v>
      </c>
      <c r="L204">
        <v>49.567746173498897</v>
      </c>
      <c r="M204">
        <v>52.6173732246464</v>
      </c>
      <c r="N204">
        <v>55.440362643646701</v>
      </c>
      <c r="O204">
        <v>57.998236915063302</v>
      </c>
      <c r="P204">
        <v>60.111192586441099</v>
      </c>
      <c r="Q204">
        <v>61.770900370482501</v>
      </c>
      <c r="R204">
        <v>63.069407740493098</v>
      </c>
      <c r="S204">
        <v>64.139259300452395</v>
      </c>
      <c r="T204">
        <v>65.085815141012802</v>
      </c>
      <c r="U204">
        <v>65.945495273524699</v>
      </c>
      <c r="V204">
        <v>66.693873376483495</v>
      </c>
      <c r="W204">
        <v>5</v>
      </c>
      <c r="AG204" s="130" t="s">
        <v>354</v>
      </c>
      <c r="AI204">
        <v>1</v>
      </c>
      <c r="AJ204">
        <v>1.0479542877322301</v>
      </c>
      <c r="AK204">
        <v>1.32445443702056</v>
      </c>
      <c r="AL204">
        <v>1.45403758530945</v>
      </c>
      <c r="AM204">
        <v>1.57026110732623</v>
      </c>
      <c r="AN204">
        <v>1.7086539942546399</v>
      </c>
      <c r="AO204">
        <v>1.8779039067189101</v>
      </c>
      <c r="AP204">
        <v>2.0616228976556101</v>
      </c>
      <c r="AQ204">
        <v>2.2397203854897798</v>
      </c>
      <c r="AR204">
        <v>2.41138305023531</v>
      </c>
      <c r="AS204">
        <v>2.5732084291367099</v>
      </c>
      <c r="AT204">
        <v>2.7120906928738702</v>
      </c>
      <c r="AU204">
        <v>2.8251209231147101</v>
      </c>
      <c r="AV204">
        <v>2.91648683060721</v>
      </c>
      <c r="AW204">
        <v>2.9940909190852398</v>
      </c>
      <c r="AX204">
        <v>3.0647889415454799</v>
      </c>
      <c r="AY204">
        <v>3.13088035207267</v>
      </c>
      <c r="AZ204">
        <v>3.1900980006463602</v>
      </c>
      <c r="BA204">
        <v>0</v>
      </c>
      <c r="BB204">
        <v>0</v>
      </c>
      <c r="BC204">
        <v>0</v>
      </c>
      <c r="BD204">
        <v>0</v>
      </c>
      <c r="BE204">
        <v>0</v>
      </c>
      <c r="BF204">
        <v>0</v>
      </c>
      <c r="BG204">
        <v>0</v>
      </c>
      <c r="BH204">
        <v>0</v>
      </c>
      <c r="BJ204" t="s">
        <v>357</v>
      </c>
      <c r="BL204">
        <v>0.80</v>
      </c>
      <c r="BM204">
        <v>0.79756097560975603</v>
      </c>
      <c r="BN204">
        <v>0.78536585365853595</v>
      </c>
      <c r="BO204">
        <v>0.77317073170731698</v>
      </c>
      <c r="BP204">
        <v>0.76097560975609702</v>
      </c>
      <c r="BQ204">
        <v>0.74878048780487805</v>
      </c>
      <c r="BR204">
        <v>0.73658536585365797</v>
      </c>
      <c r="BS204">
        <v>0.724390243902439</v>
      </c>
      <c r="BT204">
        <v>0.71219512195122003</v>
      </c>
      <c r="BU204">
        <v>0.69999999999999896</v>
      </c>
      <c r="BV204">
        <v>0.687499999999999</v>
      </c>
      <c r="BW204">
        <v>0.675</v>
      </c>
      <c r="BX204">
        <v>0.6625</v>
      </c>
      <c r="BY204">
        <v>0.64999999999999902</v>
      </c>
      <c r="BZ204">
        <v>0.63749999999999896</v>
      </c>
      <c r="CA204">
        <v>0.625</v>
      </c>
      <c r="CB204">
        <v>0.6125</v>
      </c>
      <c r="CC204">
        <v>0.60</v>
      </c>
      <c r="CD204" t="e">
        <v>#VALUE!</v>
      </c>
      <c r="CE204" t="e">
        <v>#VALUE!</v>
      </c>
      <c r="CF204" t="e">
        <v>#VALUE!</v>
      </c>
      <c r="CG204" t="e">
        <v>#VALUE!</v>
      </c>
      <c r="CH204" t="e">
        <v>#VALUE!</v>
      </c>
      <c r="CI204" t="e">
        <v>#VALUE!</v>
      </c>
      <c r="CJ204" t="e">
        <v>#VALUE!</v>
      </c>
      <c r="CK204" t="e">
        <v>#VALUE!</v>
      </c>
    </row>
    <row r="205" spans="1:89" ht="12.5">
      <c r="A205" t="s">
        <v>20</v>
      </c>
      <c r="B205" t="s">
        <v>355</v>
      </c>
      <c r="C205" t="s">
        <v>355</v>
      </c>
      <c r="D205">
        <v>11.60</v>
      </c>
      <c r="E205">
        <v>12.122829377059601</v>
      </c>
      <c r="F205"/>
      <c r="G205">
        <v>15.122195693321</v>
      </c>
      <c r="H205">
        <v>16.6263758913102</v>
      </c>
      <c r="I205">
        <v>18.0292560329613</v>
      </c>
      <c r="J205">
        <v>19.6607849726621</v>
      </c>
      <c r="K205">
        <v>21.5804606891795</v>
      </c>
      <c r="L205">
        <v>23.616734946386</v>
      </c>
      <c r="M205">
        <v>25.510968335169999</v>
      </c>
      <c r="N205">
        <v>27.247973523533901</v>
      </c>
      <c r="O205">
        <v>28.801572776158</v>
      </c>
      <c r="P205">
        <v>30.104891204826899</v>
      </c>
      <c r="Q205">
        <v>31.1681453700938</v>
      </c>
      <c r="R205">
        <v>32.0477038981183</v>
      </c>
      <c r="S205">
        <v>32.8087648332491</v>
      </c>
      <c r="T205">
        <v>33.482587140634799</v>
      </c>
      <c r="U205">
        <v>34.055757626447097</v>
      </c>
      <c r="V205">
        <v>34.495854042918097</v>
      </c>
      <c r="W205">
        <v>5</v>
      </c>
      <c r="AG205" s="130" t="s">
        <v>342</v>
      </c>
      <c r="AI205">
        <v>1</v>
      </c>
      <c r="AJ205">
        <v>1.05651166418708</v>
      </c>
      <c r="AK205">
        <v>1.38934575154197</v>
      </c>
      <c r="AL205">
        <v>1.56808500721045</v>
      </c>
      <c r="AM205">
        <v>1.74195387975481</v>
      </c>
      <c r="AN205">
        <v>1.9524766659183499</v>
      </c>
      <c r="AO205">
        <v>2.21129186912367</v>
      </c>
      <c r="AP205">
        <v>2.4993293710737299</v>
      </c>
      <c r="AQ205">
        <v>2.7808032707666701</v>
      </c>
      <c r="AR205">
        <v>3.05129027102921</v>
      </c>
      <c r="AS205">
        <v>3.3043456754422298</v>
      </c>
      <c r="AT205">
        <v>3.5258672516199701</v>
      </c>
      <c r="AU205">
        <v>3.7138336003165699</v>
      </c>
      <c r="AV205">
        <v>3.8750699166327398</v>
      </c>
      <c r="AW205">
        <v>4.0194216039541404</v>
      </c>
      <c r="AX205">
        <v>4.1515022087948497</v>
      </c>
      <c r="AY205">
        <v>4.2675305255067304</v>
      </c>
      <c r="AZ205">
        <v>4.3594447382739796</v>
      </c>
      <c r="BA205">
        <v>0</v>
      </c>
      <c r="BB205">
        <v>0</v>
      </c>
      <c r="BC205">
        <v>0</v>
      </c>
      <c r="BD205">
        <v>0</v>
      </c>
      <c r="BE205">
        <v>0</v>
      </c>
      <c r="BF205">
        <v>0</v>
      </c>
      <c r="BG205">
        <v>0</v>
      </c>
      <c r="BH205">
        <v>0</v>
      </c>
      <c r="BJ205" t="s">
        <v>357</v>
      </c>
      <c r="BL205">
        <v>0.80</v>
      </c>
      <c r="BM205">
        <v>0.79756097560975603</v>
      </c>
      <c r="BN205">
        <v>0.78536585365853595</v>
      </c>
      <c r="BO205">
        <v>0.77317073170731698</v>
      </c>
      <c r="BP205">
        <v>0.76097560975609702</v>
      </c>
      <c r="BQ205">
        <v>0.74878048780487805</v>
      </c>
      <c r="BR205">
        <v>0.73658536585365797</v>
      </c>
      <c r="BS205">
        <v>0.724390243902439</v>
      </c>
      <c r="BT205">
        <v>0.71219512195122003</v>
      </c>
      <c r="BU205">
        <v>0.69999999999999896</v>
      </c>
      <c r="BV205">
        <v>0.687499999999999</v>
      </c>
      <c r="BW205">
        <v>0.675</v>
      </c>
      <c r="BX205">
        <v>0.6625</v>
      </c>
      <c r="BY205">
        <v>0.64999999999999902</v>
      </c>
      <c r="BZ205">
        <v>0.63749999999999896</v>
      </c>
      <c r="CA205">
        <v>0.625</v>
      </c>
      <c r="CB205">
        <v>0.6125</v>
      </c>
      <c r="CC205">
        <v>0.60</v>
      </c>
      <c r="CD205" t="e">
        <v>#VALUE!</v>
      </c>
      <c r="CE205" t="e">
        <v>#VALUE!</v>
      </c>
      <c r="CF205" t="e">
        <v>#VALUE!</v>
      </c>
      <c r="CG205" t="e">
        <v>#VALUE!</v>
      </c>
      <c r="CH205" t="e">
        <v>#VALUE!</v>
      </c>
      <c r="CI205" t="e">
        <v>#VALUE!</v>
      </c>
      <c r="CJ205" t="e">
        <v>#VALUE!</v>
      </c>
      <c r="CK205" t="e">
        <v>#VALUE!</v>
      </c>
    </row>
    <row r="206" spans="1:89" ht="12.5">
      <c r="A206" t="s">
        <v>20</v>
      </c>
      <c r="B206" t="s">
        <v>356</v>
      </c>
      <c r="C206" t="s">
        <v>356</v>
      </c>
      <c r="D206">
        <v>6.28</v>
      </c>
      <c r="E206">
        <v>6.5630490075805401</v>
      </c>
      <c r="F206"/>
      <c r="G206">
        <v>8.1868438753496395</v>
      </c>
      <c r="H206">
        <v>9.0011759135713802</v>
      </c>
      <c r="I206">
        <v>9.7606661971548991</v>
      </c>
      <c r="J206">
        <v>10.6439422093377</v>
      </c>
      <c r="K206">
        <v>11.683214924831599</v>
      </c>
      <c r="L206">
        <v>12.785611677871</v>
      </c>
      <c r="M206">
        <v>13.8111104435231</v>
      </c>
      <c r="N206">
        <v>14.751489114464899</v>
      </c>
      <c r="O206">
        <v>15.5925756064028</v>
      </c>
      <c r="P206">
        <v>16.298165238475299</v>
      </c>
      <c r="Q206">
        <v>16.873789045188701</v>
      </c>
      <c r="R206">
        <v>17.349963834498499</v>
      </c>
      <c r="S206">
        <v>17.761986478690002</v>
      </c>
      <c r="T206">
        <v>18.126779934757501</v>
      </c>
      <c r="U206">
        <v>18.437082577076499</v>
      </c>
      <c r="V206">
        <v>18.6753416715109</v>
      </c>
      <c r="W206">
        <v>5</v>
      </c>
      <c r="AG206" s="130" t="s">
        <v>342</v>
      </c>
      <c r="AI206">
        <v>1</v>
      </c>
      <c r="AJ206">
        <v>1.05651166418708</v>
      </c>
      <c r="AK206">
        <v>1.38934575154197</v>
      </c>
      <c r="AL206">
        <v>1.56808500721045</v>
      </c>
      <c r="AM206">
        <v>1.74195387975481</v>
      </c>
      <c r="AN206">
        <v>1.9524766659183499</v>
      </c>
      <c r="AO206">
        <v>2.21129186912367</v>
      </c>
      <c r="AP206">
        <v>2.4993293710737299</v>
      </c>
      <c r="AQ206">
        <v>2.7808032707666701</v>
      </c>
      <c r="AR206">
        <v>3.05129027102921</v>
      </c>
      <c r="AS206">
        <v>3.3043456754422298</v>
      </c>
      <c r="AT206">
        <v>3.5258672516199701</v>
      </c>
      <c r="AU206">
        <v>3.7138336003165699</v>
      </c>
      <c r="AV206">
        <v>3.8750699166327398</v>
      </c>
      <c r="AW206">
        <v>4.0194216039541404</v>
      </c>
      <c r="AX206">
        <v>4.1515022087948497</v>
      </c>
      <c r="AY206">
        <v>4.2675305255067304</v>
      </c>
      <c r="AZ206">
        <v>4.3594447382739796</v>
      </c>
      <c r="BA206">
        <v>0</v>
      </c>
      <c r="BB206">
        <v>0</v>
      </c>
      <c r="BC206">
        <v>0</v>
      </c>
      <c r="BD206">
        <v>0</v>
      </c>
      <c r="BE206">
        <v>0</v>
      </c>
      <c r="BF206">
        <v>0</v>
      </c>
      <c r="BG206">
        <v>0</v>
      </c>
      <c r="BH206">
        <v>0</v>
      </c>
      <c r="BJ206" t="s">
        <v>357</v>
      </c>
      <c r="BL206">
        <v>0.80</v>
      </c>
      <c r="BM206">
        <v>0.79756097560975603</v>
      </c>
      <c r="BN206">
        <v>0.78536585365853595</v>
      </c>
      <c r="BO206">
        <v>0.77317073170731698</v>
      </c>
      <c r="BP206">
        <v>0.76097560975609702</v>
      </c>
      <c r="BQ206">
        <v>0.74878048780487805</v>
      </c>
      <c r="BR206">
        <v>0.73658536585365797</v>
      </c>
      <c r="BS206">
        <v>0.724390243902439</v>
      </c>
      <c r="BT206">
        <v>0.71219512195122003</v>
      </c>
      <c r="BU206">
        <v>0.69999999999999896</v>
      </c>
      <c r="BV206">
        <v>0.687499999999999</v>
      </c>
      <c r="BW206">
        <v>0.675</v>
      </c>
      <c r="BX206">
        <v>0.6625</v>
      </c>
      <c r="BY206">
        <v>0.64999999999999902</v>
      </c>
      <c r="BZ206">
        <v>0.63749999999999896</v>
      </c>
      <c r="CA206">
        <v>0.625</v>
      </c>
      <c r="CB206">
        <v>0.6125</v>
      </c>
      <c r="CC206">
        <v>0.60</v>
      </c>
      <c r="CD206" t="e">
        <v>#VALUE!</v>
      </c>
      <c r="CE206" t="e">
        <v>#VALUE!</v>
      </c>
      <c r="CF206" t="e">
        <v>#VALUE!</v>
      </c>
      <c r="CG206" t="e">
        <v>#VALUE!</v>
      </c>
      <c r="CH206" t="e">
        <v>#VALUE!</v>
      </c>
      <c r="CI206" t="e">
        <v>#VALUE!</v>
      </c>
      <c r="CJ206" t="e">
        <v>#VALUE!</v>
      </c>
      <c r="CK206" t="e">
        <v>#VALUE!</v>
      </c>
    </row>
    <row r="207" spans="1:89" ht="12.5">
      <c r="A207" t="s">
        <v>21</v>
      </c>
      <c r="B207" t="s">
        <v>341</v>
      </c>
      <c r="C207" t="s">
        <v>341</v>
      </c>
      <c r="E207" s="2">
        <v>37.686269082102697</v>
      </c>
      <c r="F207" s="2">
        <f>E207</f>
        <v>37.686269082102697</v>
      </c>
      <c r="I207" s="2">
        <f>F207</f>
        <v>37.686269082102697</v>
      </c>
      <c r="J207" s="2">
        <f>I207</f>
        <v>37.686269082102697</v>
      </c>
      <c r="L207" s="2">
        <f>J207</f>
        <v>37.686269082102697</v>
      </c>
      <c r="V207" s="2">
        <f>L207</f>
        <v>37.686269082102697</v>
      </c>
      <c r="W207">
        <v>5</v>
      </c>
      <c r="AG207" s="130" t="s">
        <v>342</v>
      </c>
      <c r="AI207">
        <v>1</v>
      </c>
      <c r="AJ207">
        <v>0.99015492820675999</v>
      </c>
      <c r="AK207">
        <v>1.1441947948731399</v>
      </c>
      <c r="AL207">
        <v>1.2043160297901001</v>
      </c>
      <c r="AM207">
        <v>1.28055143077042</v>
      </c>
      <c r="AN207">
        <v>1.3580064173029001</v>
      </c>
      <c r="AO207">
        <v>1.43639707786436</v>
      </c>
      <c r="AP207">
        <v>1.5123384835356399</v>
      </c>
      <c r="AQ207">
        <v>1.58431705345552</v>
      </c>
      <c r="AR207">
        <v>1.65118632103046</v>
      </c>
      <c r="AS207">
        <v>1.7134994670972401</v>
      </c>
      <c r="AT207">
        <v>1.76981137924015</v>
      </c>
      <c r="AU207">
        <v>1.8208224891962601</v>
      </c>
      <c r="AV207">
        <v>1.86823700281963</v>
      </c>
      <c r="AW207">
        <v>1.9122383160876999</v>
      </c>
      <c r="AX207">
        <v>1.9514064569823699</v>
      </c>
      <c r="AY207">
        <v>1.9838991776861401</v>
      </c>
      <c r="AZ207">
        <v>2.00724360238581</v>
      </c>
      <c r="BA207">
        <v>0</v>
      </c>
      <c r="BB207">
        <v>0</v>
      </c>
      <c r="BC207">
        <v>0</v>
      </c>
      <c r="BD207">
        <v>0</v>
      </c>
      <c r="BE207">
        <v>0</v>
      </c>
      <c r="BF207">
        <v>0</v>
      </c>
      <c r="BG207">
        <v>0</v>
      </c>
      <c r="BH207">
        <v>0</v>
      </c>
      <c r="BJ207" t="s">
        <v>357</v>
      </c>
      <c r="BL207">
        <v>0.80</v>
      </c>
      <c r="BM207">
        <v>0.79756097560975603</v>
      </c>
      <c r="BN207">
        <v>0.78536585365853595</v>
      </c>
      <c r="BO207">
        <v>0.77317073170731698</v>
      </c>
      <c r="BP207">
        <v>0.76097560975609702</v>
      </c>
      <c r="BQ207">
        <v>0.74878048780487805</v>
      </c>
      <c r="BR207">
        <v>0.73658536585365797</v>
      </c>
      <c r="BS207">
        <v>0.724390243902439</v>
      </c>
      <c r="BT207">
        <v>0.71219512195122003</v>
      </c>
      <c r="BU207">
        <v>0.69999999999999896</v>
      </c>
      <c r="BV207">
        <v>0.687499999999999</v>
      </c>
      <c r="BW207">
        <v>0.675</v>
      </c>
      <c r="BX207">
        <v>0.6625</v>
      </c>
      <c r="BY207">
        <v>0.64999999999999902</v>
      </c>
      <c r="BZ207">
        <v>0.63749999999999896</v>
      </c>
      <c r="CA207">
        <v>0.625</v>
      </c>
      <c r="CB207">
        <v>0.6125</v>
      </c>
      <c r="CC207">
        <v>0.60</v>
      </c>
      <c r="CD207" t="e">
        <v>#VALUE!</v>
      </c>
      <c r="CE207" t="e">
        <v>#VALUE!</v>
      </c>
      <c r="CF207" t="e">
        <v>#VALUE!</v>
      </c>
      <c r="CG207" t="e">
        <v>#VALUE!</v>
      </c>
      <c r="CH207" t="e">
        <v>#VALUE!</v>
      </c>
      <c r="CI207" t="e">
        <v>#VALUE!</v>
      </c>
      <c r="CJ207" t="e">
        <v>#VALUE!</v>
      </c>
      <c r="CK207" t="e">
        <v>#VALUE!</v>
      </c>
    </row>
    <row r="208" spans="1:89" ht="12.5">
      <c r="A208" t="s">
        <v>21</v>
      </c>
      <c r="B208" t="s">
        <v>344</v>
      </c>
      <c r="C208" t="s">
        <v>344</v>
      </c>
      <c r="E208" s="2">
        <v>171.69554689834601</v>
      </c>
      <c r="F208" s="2">
        <f>E208</f>
        <v>171.69554689834601</v>
      </c>
      <c r="I208" s="2">
        <f>F208</f>
        <v>171.69554689834601</v>
      </c>
      <c r="J208" s="2">
        <f>I208</f>
        <v>171.69554689834601</v>
      </c>
      <c r="L208" s="2">
        <f>J208</f>
        <v>171.69554689834601</v>
      </c>
      <c r="V208" s="2">
        <f>L208</f>
        <v>171.69554689834601</v>
      </c>
      <c r="W208">
        <v>5</v>
      </c>
      <c r="AG208" s="130" t="s">
        <v>342</v>
      </c>
      <c r="AI208">
        <v>1</v>
      </c>
      <c r="AJ208">
        <v>0.99015492820675999</v>
      </c>
      <c r="AK208">
        <v>1.1441947948731399</v>
      </c>
      <c r="AL208">
        <v>1.2043160297901001</v>
      </c>
      <c r="AM208">
        <v>1.28055143077042</v>
      </c>
      <c r="AN208">
        <v>1.3580064173029001</v>
      </c>
      <c r="AO208">
        <v>1.43639707786436</v>
      </c>
      <c r="AP208">
        <v>1.5123384835356399</v>
      </c>
      <c r="AQ208">
        <v>1.58431705345552</v>
      </c>
      <c r="AR208">
        <v>1.65118632103046</v>
      </c>
      <c r="AS208">
        <v>1.7134994670972401</v>
      </c>
      <c r="AT208">
        <v>1.76981137924015</v>
      </c>
      <c r="AU208">
        <v>1.8208224891962601</v>
      </c>
      <c r="AV208">
        <v>1.86823700281963</v>
      </c>
      <c r="AW208">
        <v>1.9122383160876999</v>
      </c>
      <c r="AX208">
        <v>1.9514064569823699</v>
      </c>
      <c r="AY208">
        <v>1.9838991776861401</v>
      </c>
      <c r="AZ208">
        <v>2.00724360238581</v>
      </c>
      <c r="BA208">
        <v>0</v>
      </c>
      <c r="BB208">
        <v>0</v>
      </c>
      <c r="BC208">
        <v>0</v>
      </c>
      <c r="BD208">
        <v>0</v>
      </c>
      <c r="BE208">
        <v>0</v>
      </c>
      <c r="BF208">
        <v>0</v>
      </c>
      <c r="BG208">
        <v>0</v>
      </c>
      <c r="BH208">
        <v>0</v>
      </c>
      <c r="BJ208" t="s">
        <v>357</v>
      </c>
      <c r="BL208">
        <v>0.80</v>
      </c>
      <c r="BM208">
        <v>0.79756097560975603</v>
      </c>
      <c r="BN208">
        <v>0.78536585365853595</v>
      </c>
      <c r="BO208">
        <v>0.77317073170731698</v>
      </c>
      <c r="BP208">
        <v>0.76097560975609702</v>
      </c>
      <c r="BQ208">
        <v>0.74878048780487805</v>
      </c>
      <c r="BR208">
        <v>0.73658536585365797</v>
      </c>
      <c r="BS208">
        <v>0.724390243902439</v>
      </c>
      <c r="BT208">
        <v>0.71219512195122003</v>
      </c>
      <c r="BU208">
        <v>0.69999999999999896</v>
      </c>
      <c r="BV208">
        <v>0.687499999999999</v>
      </c>
      <c r="BW208">
        <v>0.675</v>
      </c>
      <c r="BX208">
        <v>0.6625</v>
      </c>
      <c r="BY208">
        <v>0.64999999999999902</v>
      </c>
      <c r="BZ208">
        <v>0.63749999999999896</v>
      </c>
      <c r="CA208">
        <v>0.625</v>
      </c>
      <c r="CB208">
        <v>0.6125</v>
      </c>
      <c r="CC208">
        <v>0.60</v>
      </c>
      <c r="CD208" t="e">
        <v>#VALUE!</v>
      </c>
      <c r="CE208" t="e">
        <v>#VALUE!</v>
      </c>
      <c r="CF208" t="e">
        <v>#VALUE!</v>
      </c>
      <c r="CG208" t="e">
        <v>#VALUE!</v>
      </c>
      <c r="CH208" t="e">
        <v>#VALUE!</v>
      </c>
      <c r="CI208" t="e">
        <v>#VALUE!</v>
      </c>
      <c r="CJ208" t="e">
        <v>#VALUE!</v>
      </c>
      <c r="CK208" t="e">
        <v>#VALUE!</v>
      </c>
    </row>
    <row r="209" spans="1:89" ht="12.5">
      <c r="A209" t="s">
        <v>21</v>
      </c>
      <c r="B209" t="s">
        <v>345</v>
      </c>
      <c r="C209" t="s">
        <v>345</v>
      </c>
      <c r="E209" s="2">
        <v>1.6356752850649601</v>
      </c>
      <c r="I209" s="2">
        <v>2.00210413796029</v>
      </c>
      <c r="J209" s="2">
        <v>2.0927803854261202</v>
      </c>
      <c r="L209" s="2">
        <v>2.2653211463483398</v>
      </c>
      <c r="V209" s="2">
        <v>2.7407409664445801</v>
      </c>
      <c r="W209">
        <v>5</v>
      </c>
      <c r="AG209" s="130" t="s">
        <v>342</v>
      </c>
      <c r="AI209">
        <v>1</v>
      </c>
      <c r="AJ209">
        <v>0.99015492820675999</v>
      </c>
      <c r="AK209">
        <v>1.1441947948731399</v>
      </c>
      <c r="AL209">
        <v>1.2043160297901001</v>
      </c>
      <c r="AM209">
        <v>1.28055143077042</v>
      </c>
      <c r="AN209">
        <v>1.3580064173029001</v>
      </c>
      <c r="AO209">
        <v>1.43639707786436</v>
      </c>
      <c r="AP209">
        <v>1.5123384835356399</v>
      </c>
      <c r="AQ209">
        <v>1.58431705345552</v>
      </c>
      <c r="AR209">
        <v>1.65118632103046</v>
      </c>
      <c r="AS209">
        <v>1.7134994670972401</v>
      </c>
      <c r="AT209">
        <v>1.76981137924015</v>
      </c>
      <c r="AU209">
        <v>1.8208224891962601</v>
      </c>
      <c r="AV209">
        <v>1.86823700281963</v>
      </c>
      <c r="AW209">
        <v>1.9122383160876999</v>
      </c>
      <c r="AX209">
        <v>1.9514064569823699</v>
      </c>
      <c r="AY209">
        <v>1.9838991776861401</v>
      </c>
      <c r="AZ209">
        <v>2.00724360238581</v>
      </c>
      <c r="BA209">
        <v>0</v>
      </c>
      <c r="BB209">
        <v>0</v>
      </c>
      <c r="BC209">
        <v>0</v>
      </c>
      <c r="BD209">
        <v>0</v>
      </c>
      <c r="BE209">
        <v>0</v>
      </c>
      <c r="BF209">
        <v>0</v>
      </c>
      <c r="BG209">
        <v>0</v>
      </c>
      <c r="BH209">
        <v>0</v>
      </c>
      <c r="BJ209" t="s">
        <v>357</v>
      </c>
      <c r="BL209">
        <v>0.80</v>
      </c>
      <c r="BM209">
        <v>0.79756097560975603</v>
      </c>
      <c r="BN209">
        <v>0.78536585365853595</v>
      </c>
      <c r="BO209">
        <v>0.77317073170731698</v>
      </c>
      <c r="BP209">
        <v>0.76097560975609702</v>
      </c>
      <c r="BQ209">
        <v>0.74878048780487805</v>
      </c>
      <c r="BR209">
        <v>0.73658536585365797</v>
      </c>
      <c r="BS209">
        <v>0.724390243902439</v>
      </c>
      <c r="BT209">
        <v>0.71219512195122003</v>
      </c>
      <c r="BU209">
        <v>0.69999999999999896</v>
      </c>
      <c r="BV209">
        <v>0.687499999999999</v>
      </c>
      <c r="BW209">
        <v>0.675</v>
      </c>
      <c r="BX209">
        <v>0.6625</v>
      </c>
      <c r="BY209">
        <v>0.64999999999999902</v>
      </c>
      <c r="BZ209">
        <v>0.63749999999999896</v>
      </c>
      <c r="CA209">
        <v>0.625</v>
      </c>
      <c r="CB209">
        <v>0.6125</v>
      </c>
      <c r="CC209">
        <v>0.60</v>
      </c>
      <c r="CD209" t="e">
        <v>#VALUE!</v>
      </c>
      <c r="CE209" t="e">
        <v>#VALUE!</v>
      </c>
      <c r="CF209" t="e">
        <v>#VALUE!</v>
      </c>
      <c r="CG209" t="e">
        <v>#VALUE!</v>
      </c>
      <c r="CH209" t="e">
        <v>#VALUE!</v>
      </c>
      <c r="CI209" t="e">
        <v>#VALUE!</v>
      </c>
      <c r="CJ209" t="e">
        <v>#VALUE!</v>
      </c>
      <c r="CK209" t="e">
        <v>#VALUE!</v>
      </c>
    </row>
    <row r="210" spans="1:89" ht="12.5">
      <c r="A210" t="s">
        <v>21</v>
      </c>
      <c r="B210" t="s">
        <v>346</v>
      </c>
      <c r="C210" t="s">
        <v>346</v>
      </c>
      <c r="E210" s="2">
        <v>20.125158584013601</v>
      </c>
      <c r="I210" s="2">
        <v>19.579917364644299</v>
      </c>
      <c r="J210" s="2">
        <v>19.4340318121154</v>
      </c>
      <c r="L210" s="2">
        <v>19.168995409724399</v>
      </c>
      <c r="V210" s="2">
        <v>17.293739347328899</v>
      </c>
      <c r="W210">
        <v>5</v>
      </c>
      <c r="AG210" s="130" t="s">
        <v>347</v>
      </c>
      <c r="AI210">
        <v>1</v>
      </c>
      <c r="AJ210">
        <v>0.99766868950829102</v>
      </c>
      <c r="AK210">
        <v>0.986012137049744</v>
      </c>
      <c r="AL210">
        <v>0.97374127083826001</v>
      </c>
      <c r="AM210">
        <v>0.962810294293591</v>
      </c>
      <c r="AN210">
        <v>0.95322980618151598</v>
      </c>
      <c r="AO210">
        <v>0.94428993799221095</v>
      </c>
      <c r="AP210">
        <v>0.93545633943098405</v>
      </c>
      <c r="AQ210">
        <v>0.9231460803107</v>
      </c>
      <c r="AR210">
        <v>0.90788631239029804</v>
      </c>
      <c r="AS210">
        <v>0.89059532998675095</v>
      </c>
      <c r="AT210">
        <v>0.87401194374418001</v>
      </c>
      <c r="AU210">
        <v>0.85996370266061295</v>
      </c>
      <c r="AV210">
        <v>0.84859520773770003</v>
      </c>
      <c r="AW210">
        <v>0.838394816226259</v>
      </c>
      <c r="AX210">
        <v>0.82740248626278901</v>
      </c>
      <c r="AY210">
        <v>0.81450815055703696</v>
      </c>
      <c r="AZ210">
        <v>0.79936400704389698</v>
      </c>
      <c r="BA210">
        <v>0</v>
      </c>
      <c r="BB210">
        <v>0</v>
      </c>
      <c r="BC210">
        <v>0</v>
      </c>
      <c r="BD210">
        <v>0</v>
      </c>
      <c r="BE210">
        <v>0</v>
      </c>
      <c r="BF210">
        <v>0</v>
      </c>
      <c r="BG210">
        <v>0</v>
      </c>
      <c r="BH210">
        <v>0</v>
      </c>
      <c r="BJ210" t="s">
        <v>357</v>
      </c>
      <c r="BL210">
        <v>0.80</v>
      </c>
      <c r="BM210">
        <v>0.79756097560975603</v>
      </c>
      <c r="BN210">
        <v>0.78536585365853595</v>
      </c>
      <c r="BO210">
        <v>0.77317073170731698</v>
      </c>
      <c r="BP210">
        <v>0.76097560975609702</v>
      </c>
      <c r="BQ210">
        <v>0.74878048780487805</v>
      </c>
      <c r="BR210">
        <v>0.73658536585365797</v>
      </c>
      <c r="BS210">
        <v>0.724390243902439</v>
      </c>
      <c r="BT210">
        <v>0.71219512195122003</v>
      </c>
      <c r="BU210">
        <v>0.69999999999999896</v>
      </c>
      <c r="BV210">
        <v>0.687499999999999</v>
      </c>
      <c r="BW210">
        <v>0.675</v>
      </c>
      <c r="BX210">
        <v>0.6625</v>
      </c>
      <c r="BY210">
        <v>0.64999999999999902</v>
      </c>
      <c r="BZ210">
        <v>0.63749999999999896</v>
      </c>
      <c r="CA210">
        <v>0.625</v>
      </c>
      <c r="CB210">
        <v>0.6125</v>
      </c>
      <c r="CC210">
        <v>0.60</v>
      </c>
      <c r="CD210" t="e">
        <v>#VALUE!</v>
      </c>
      <c r="CE210" t="e">
        <v>#VALUE!</v>
      </c>
      <c r="CF210" t="e">
        <v>#VALUE!</v>
      </c>
      <c r="CG210" t="e">
        <v>#VALUE!</v>
      </c>
      <c r="CH210" t="e">
        <v>#VALUE!</v>
      </c>
      <c r="CI210" t="e">
        <v>#VALUE!</v>
      </c>
      <c r="CJ210" t="e">
        <v>#VALUE!</v>
      </c>
      <c r="CK210" t="e">
        <v>#VALUE!</v>
      </c>
    </row>
    <row r="211" spans="1:89" ht="12.5">
      <c r="A211" t="s">
        <v>21</v>
      </c>
      <c r="B211" t="s">
        <v>348</v>
      </c>
      <c r="C211" t="s">
        <v>348</v>
      </c>
      <c r="E211" s="2">
        <v>25.736282399591101</v>
      </c>
      <c r="F211" s="2">
        <f>E211</f>
        <v>25.736282399591101</v>
      </c>
      <c r="I211" s="2">
        <f>F211</f>
        <v>25.736282399591101</v>
      </c>
      <c r="J211" s="2">
        <f>I211</f>
        <v>25.736282399591101</v>
      </c>
      <c r="L211" s="2">
        <f>J211</f>
        <v>25.736282399591101</v>
      </c>
      <c r="V211" s="2">
        <f>L211</f>
        <v>25.736282399591101</v>
      </c>
      <c r="W211">
        <v>5</v>
      </c>
      <c r="AG211" s="130" t="s">
        <v>342</v>
      </c>
      <c r="AI211">
        <v>1</v>
      </c>
      <c r="AJ211">
        <v>0.99015492820675999</v>
      </c>
      <c r="AK211">
        <v>1.1441947948731399</v>
      </c>
      <c r="AL211">
        <v>1.2043160297901001</v>
      </c>
      <c r="AM211">
        <v>1.28055143077042</v>
      </c>
      <c r="AN211">
        <v>1.3580064173029001</v>
      </c>
      <c r="AO211">
        <v>1.43639707786436</v>
      </c>
      <c r="AP211">
        <v>1.5123384835356399</v>
      </c>
      <c r="AQ211">
        <v>1.58431705345552</v>
      </c>
      <c r="AR211">
        <v>1.65118632103046</v>
      </c>
      <c r="AS211">
        <v>1.7134994670972401</v>
      </c>
      <c r="AT211">
        <v>1.76981137924015</v>
      </c>
      <c r="AU211">
        <v>1.8208224891962601</v>
      </c>
      <c r="AV211">
        <v>1.86823700281963</v>
      </c>
      <c r="AW211">
        <v>1.9122383160876999</v>
      </c>
      <c r="AX211">
        <v>1.9514064569823699</v>
      </c>
      <c r="AY211">
        <v>1.9838991776861401</v>
      </c>
      <c r="AZ211">
        <v>2.00724360238581</v>
      </c>
      <c r="BA211">
        <v>0</v>
      </c>
      <c r="BB211">
        <v>0</v>
      </c>
      <c r="BC211">
        <v>0</v>
      </c>
      <c r="BD211">
        <v>0</v>
      </c>
      <c r="BE211">
        <v>0</v>
      </c>
      <c r="BF211">
        <v>0</v>
      </c>
      <c r="BG211">
        <v>0</v>
      </c>
      <c r="BH211">
        <v>0</v>
      </c>
      <c r="BJ211" t="s">
        <v>357</v>
      </c>
      <c r="BL211">
        <v>0.80</v>
      </c>
      <c r="BM211">
        <v>0.79756097560975603</v>
      </c>
      <c r="BN211">
        <v>0.78536585365853595</v>
      </c>
      <c r="BO211">
        <v>0.77317073170731698</v>
      </c>
      <c r="BP211">
        <v>0.76097560975609702</v>
      </c>
      <c r="BQ211">
        <v>0.74878048780487805</v>
      </c>
      <c r="BR211">
        <v>0.73658536585365797</v>
      </c>
      <c r="BS211">
        <v>0.724390243902439</v>
      </c>
      <c r="BT211">
        <v>0.71219512195122003</v>
      </c>
      <c r="BU211">
        <v>0.69999999999999896</v>
      </c>
      <c r="BV211">
        <v>0.687499999999999</v>
      </c>
      <c r="BW211">
        <v>0.675</v>
      </c>
      <c r="BX211">
        <v>0.6625</v>
      </c>
      <c r="BY211">
        <v>0.64999999999999902</v>
      </c>
      <c r="BZ211">
        <v>0.63749999999999896</v>
      </c>
      <c r="CA211">
        <v>0.625</v>
      </c>
      <c r="CB211">
        <v>0.6125</v>
      </c>
      <c r="CC211">
        <v>0.60</v>
      </c>
      <c r="CD211" t="e">
        <v>#VALUE!</v>
      </c>
      <c r="CE211" t="e">
        <v>#VALUE!</v>
      </c>
      <c r="CF211" t="e">
        <v>#VALUE!</v>
      </c>
      <c r="CG211" t="e">
        <v>#VALUE!</v>
      </c>
      <c r="CH211" t="e">
        <v>#VALUE!</v>
      </c>
      <c r="CI211" t="e">
        <v>#VALUE!</v>
      </c>
      <c r="CJ211" t="e">
        <v>#VALUE!</v>
      </c>
      <c r="CK211" t="e">
        <v>#VALUE!</v>
      </c>
    </row>
    <row r="212" spans="1:89" ht="12.5">
      <c r="A212" t="s">
        <v>21</v>
      </c>
      <c r="B212" t="s">
        <v>349</v>
      </c>
      <c r="C212" t="s">
        <v>349</v>
      </c>
      <c r="E212" s="2">
        <v>204.21234347853701</v>
      </c>
      <c r="F212" s="2">
        <f>E212</f>
        <v>204.21234347853701</v>
      </c>
      <c r="I212" s="2">
        <f>F212</f>
        <v>204.21234347853701</v>
      </c>
      <c r="J212" s="2">
        <f>I212</f>
        <v>204.21234347853701</v>
      </c>
      <c r="L212" s="2">
        <f>J212</f>
        <v>204.21234347853701</v>
      </c>
      <c r="V212" s="2">
        <f>L212</f>
        <v>204.21234347853701</v>
      </c>
      <c r="W212">
        <v>5</v>
      </c>
      <c r="AG212" s="130" t="s">
        <v>342</v>
      </c>
      <c r="AI212">
        <v>1</v>
      </c>
      <c r="AJ212">
        <v>0.99015492820675999</v>
      </c>
      <c r="AK212">
        <v>1.1441947948731399</v>
      </c>
      <c r="AL212">
        <v>1.2043160297901001</v>
      </c>
      <c r="AM212">
        <v>1.28055143077042</v>
      </c>
      <c r="AN212">
        <v>1.3580064173029001</v>
      </c>
      <c r="AO212">
        <v>1.43639707786436</v>
      </c>
      <c r="AP212">
        <v>1.5123384835356399</v>
      </c>
      <c r="AQ212">
        <v>1.58431705345552</v>
      </c>
      <c r="AR212">
        <v>1.65118632103046</v>
      </c>
      <c r="AS212">
        <v>1.7134994670972401</v>
      </c>
      <c r="AT212">
        <v>1.76981137924015</v>
      </c>
      <c r="AU212">
        <v>1.8208224891962601</v>
      </c>
      <c r="AV212">
        <v>1.86823700281963</v>
      </c>
      <c r="AW212">
        <v>1.9122383160876999</v>
      </c>
      <c r="AX212">
        <v>1.9514064569823699</v>
      </c>
      <c r="AY212">
        <v>1.9838991776861401</v>
      </c>
      <c r="AZ212">
        <v>2.00724360238581</v>
      </c>
      <c r="BA212">
        <v>0</v>
      </c>
      <c r="BB212">
        <v>0</v>
      </c>
      <c r="BC212">
        <v>0</v>
      </c>
      <c r="BD212">
        <v>0</v>
      </c>
      <c r="BE212">
        <v>0</v>
      </c>
      <c r="BF212">
        <v>0</v>
      </c>
      <c r="BG212">
        <v>0</v>
      </c>
      <c r="BH212">
        <v>0</v>
      </c>
      <c r="BJ212" t="s">
        <v>357</v>
      </c>
      <c r="BL212">
        <v>0.80</v>
      </c>
      <c r="BM212">
        <v>0.79756097560975603</v>
      </c>
      <c r="BN212">
        <v>0.78536585365853595</v>
      </c>
      <c r="BO212">
        <v>0.77317073170731698</v>
      </c>
      <c r="BP212">
        <v>0.76097560975609702</v>
      </c>
      <c r="BQ212">
        <v>0.74878048780487805</v>
      </c>
      <c r="BR212">
        <v>0.73658536585365797</v>
      </c>
      <c r="BS212">
        <v>0.724390243902439</v>
      </c>
      <c r="BT212">
        <v>0.71219512195122003</v>
      </c>
      <c r="BU212">
        <v>0.69999999999999896</v>
      </c>
      <c r="BV212">
        <v>0.687499999999999</v>
      </c>
      <c r="BW212">
        <v>0.675</v>
      </c>
      <c r="BX212">
        <v>0.6625</v>
      </c>
      <c r="BY212">
        <v>0.64999999999999902</v>
      </c>
      <c r="BZ212">
        <v>0.63749999999999896</v>
      </c>
      <c r="CA212">
        <v>0.625</v>
      </c>
      <c r="CB212">
        <v>0.6125</v>
      </c>
      <c r="CC212">
        <v>0.60</v>
      </c>
      <c r="CD212" t="e">
        <v>#VALUE!</v>
      </c>
      <c r="CE212" t="e">
        <v>#VALUE!</v>
      </c>
      <c r="CF212" t="e">
        <v>#VALUE!</v>
      </c>
      <c r="CG212" t="e">
        <v>#VALUE!</v>
      </c>
      <c r="CH212" t="e">
        <v>#VALUE!</v>
      </c>
      <c r="CI212" t="e">
        <v>#VALUE!</v>
      </c>
      <c r="CJ212" t="e">
        <v>#VALUE!</v>
      </c>
      <c r="CK212" t="e">
        <v>#VALUE!</v>
      </c>
    </row>
    <row r="213" spans="1:89" ht="12.5">
      <c r="A213" t="s">
        <v>21</v>
      </c>
      <c r="B213" t="s">
        <v>350</v>
      </c>
      <c r="C213" t="s">
        <v>350</v>
      </c>
      <c r="D213">
        <v>1.5680000000000001</v>
      </c>
      <c r="E213">
        <v>1.5650845199603001</v>
      </c>
      <c r="F213"/>
      <c r="G213">
        <v>1.5507232253760199</v>
      </c>
      <c r="H213">
        <v>1.53580206297745</v>
      </c>
      <c r="I213">
        <v>1.52268243957336</v>
      </c>
      <c r="J213">
        <v>1.5113372758075401</v>
      </c>
      <c r="K213">
        <v>1.5008968555155699</v>
      </c>
      <c r="L213">
        <v>1.4907260409257601</v>
      </c>
      <c r="M213">
        <v>1.4767546223243799</v>
      </c>
      <c r="N213">
        <v>1.4596669118256</v>
      </c>
      <c r="O213">
        <v>1.4405545364672601</v>
      </c>
      <c r="P213">
        <v>1.4224483795548899</v>
      </c>
      <c r="Q213">
        <v>1.4073013671324499</v>
      </c>
      <c r="R213">
        <v>1.3952086660585099</v>
      </c>
      <c r="S213">
        <v>1.3845172403982899</v>
      </c>
      <c r="T213">
        <v>1.3731718470555401</v>
      </c>
      <c r="U213">
        <v>1.3600645502062401</v>
      </c>
      <c r="V213">
        <v>1.3448919486394899</v>
      </c>
      <c r="W213">
        <v>5</v>
      </c>
      <c r="AG213" s="130" t="s">
        <v>347</v>
      </c>
      <c r="AI213">
        <v>1</v>
      </c>
      <c r="AJ213">
        <v>0.99766868950829102</v>
      </c>
      <c r="AK213">
        <v>0.986012137049744</v>
      </c>
      <c r="AL213">
        <v>0.97374127083826001</v>
      </c>
      <c r="AM213">
        <v>0.962810294293591</v>
      </c>
      <c r="AN213">
        <v>0.95322980618151598</v>
      </c>
      <c r="AO213">
        <v>0.94428993799221095</v>
      </c>
      <c r="AP213">
        <v>0.93545633943098405</v>
      </c>
      <c r="AQ213">
        <v>0.9231460803107</v>
      </c>
      <c r="AR213">
        <v>0.90788631239029804</v>
      </c>
      <c r="AS213">
        <v>0.89059532998675095</v>
      </c>
      <c r="AT213">
        <v>0.87401194374418001</v>
      </c>
      <c r="AU213">
        <v>0.85996370266061295</v>
      </c>
      <c r="AV213">
        <v>0.84859520773770003</v>
      </c>
      <c r="AW213">
        <v>0.838394816226259</v>
      </c>
      <c r="AX213">
        <v>0.82740248626278901</v>
      </c>
      <c r="AY213">
        <v>0.81450815055703696</v>
      </c>
      <c r="AZ213">
        <v>0.79936400704389698</v>
      </c>
      <c r="BA213">
        <v>0</v>
      </c>
      <c r="BB213">
        <v>0</v>
      </c>
      <c r="BC213">
        <v>0</v>
      </c>
      <c r="BD213">
        <v>0</v>
      </c>
      <c r="BE213">
        <v>0</v>
      </c>
      <c r="BF213">
        <v>0</v>
      </c>
      <c r="BG213">
        <v>0</v>
      </c>
      <c r="BH213">
        <v>0</v>
      </c>
      <c r="BJ213" t="s">
        <v>357</v>
      </c>
      <c r="BL213">
        <v>0.80</v>
      </c>
      <c r="BM213">
        <v>0.79756097560975603</v>
      </c>
      <c r="BN213">
        <v>0.78536585365853595</v>
      </c>
      <c r="BO213">
        <v>0.77317073170731698</v>
      </c>
      <c r="BP213">
        <v>0.76097560975609702</v>
      </c>
      <c r="BQ213">
        <v>0.74878048780487805</v>
      </c>
      <c r="BR213">
        <v>0.73658536585365797</v>
      </c>
      <c r="BS213">
        <v>0.724390243902439</v>
      </c>
      <c r="BT213">
        <v>0.71219512195122003</v>
      </c>
      <c r="BU213">
        <v>0.69999999999999896</v>
      </c>
      <c r="BV213">
        <v>0.687499999999999</v>
      </c>
      <c r="BW213">
        <v>0.675</v>
      </c>
      <c r="BX213">
        <v>0.6625</v>
      </c>
      <c r="BY213">
        <v>0.64999999999999902</v>
      </c>
      <c r="BZ213">
        <v>0.63749999999999896</v>
      </c>
      <c r="CA213">
        <v>0.625</v>
      </c>
      <c r="CB213">
        <v>0.6125</v>
      </c>
      <c r="CC213">
        <v>0.60</v>
      </c>
      <c r="CD213" t="e">
        <v>#VALUE!</v>
      </c>
      <c r="CE213" t="e">
        <v>#VALUE!</v>
      </c>
      <c r="CF213" t="e">
        <v>#VALUE!</v>
      </c>
      <c r="CG213" t="e">
        <v>#VALUE!</v>
      </c>
      <c r="CH213" t="e">
        <v>#VALUE!</v>
      </c>
      <c r="CI213" t="e">
        <v>#VALUE!</v>
      </c>
      <c r="CJ213" t="e">
        <v>#VALUE!</v>
      </c>
      <c r="CK213" t="e">
        <v>#VALUE!</v>
      </c>
    </row>
    <row r="214" spans="1:89" ht="12.5">
      <c r="A214" t="s">
        <v>21</v>
      </c>
      <c r="B214" t="s">
        <v>351</v>
      </c>
      <c r="C214" t="s">
        <v>351</v>
      </c>
      <c r="D214">
        <v>0.93</v>
      </c>
      <c r="E214">
        <v>0.92827079308869898</v>
      </c>
      <c r="F214"/>
      <c r="G214">
        <v>0.91975293341817699</v>
      </c>
      <c r="H214">
        <v>0.91090300929147106</v>
      </c>
      <c r="I214">
        <v>0.90312160000205799</v>
      </c>
      <c r="J214">
        <v>0.89639264445217404</v>
      </c>
      <c r="K214">
        <v>0.89020030333512501</v>
      </c>
      <c r="L214">
        <v>0.88416786866132302</v>
      </c>
      <c r="M214">
        <v>0.87588124921025101</v>
      </c>
      <c r="N214">
        <v>0.86574631887615106</v>
      </c>
      <c r="O214">
        <v>0.85441053502203601</v>
      </c>
      <c r="P214">
        <v>0.84367155164926599</v>
      </c>
      <c r="Q214">
        <v>0.83468767310789305</v>
      </c>
      <c r="R214">
        <v>0.82751534402704696</v>
      </c>
      <c r="S214">
        <v>0.821174128552556</v>
      </c>
      <c r="T214">
        <v>0.81444503683778902</v>
      </c>
      <c r="U214">
        <v>0.806670938578958</v>
      </c>
      <c r="V214">
        <v>0.79767188280275902</v>
      </c>
      <c r="W214">
        <v>5</v>
      </c>
      <c r="AG214" s="130" t="s">
        <v>347</v>
      </c>
      <c r="AI214">
        <v>1</v>
      </c>
      <c r="AJ214">
        <v>0.99766868950829102</v>
      </c>
      <c r="AK214">
        <v>0.986012137049744</v>
      </c>
      <c r="AL214">
        <v>0.97374127083826001</v>
      </c>
      <c r="AM214">
        <v>0.962810294293591</v>
      </c>
      <c r="AN214">
        <v>0.95322980618151598</v>
      </c>
      <c r="AO214">
        <v>0.94428993799221095</v>
      </c>
      <c r="AP214">
        <v>0.93545633943098405</v>
      </c>
      <c r="AQ214">
        <v>0.9231460803107</v>
      </c>
      <c r="AR214">
        <v>0.90788631239029804</v>
      </c>
      <c r="AS214">
        <v>0.89059532998675095</v>
      </c>
      <c r="AT214">
        <v>0.87401194374418001</v>
      </c>
      <c r="AU214">
        <v>0.85996370266061295</v>
      </c>
      <c r="AV214">
        <v>0.84859520773770003</v>
      </c>
      <c r="AW214">
        <v>0.838394816226259</v>
      </c>
      <c r="AX214">
        <v>0.82740248626278901</v>
      </c>
      <c r="AY214">
        <v>0.81450815055703696</v>
      </c>
      <c r="AZ214">
        <v>0.79936400704389698</v>
      </c>
      <c r="BA214">
        <v>0</v>
      </c>
      <c r="BB214">
        <v>0</v>
      </c>
      <c r="BC214">
        <v>0</v>
      </c>
      <c r="BD214">
        <v>0</v>
      </c>
      <c r="BE214">
        <v>0</v>
      </c>
      <c r="BF214">
        <v>0</v>
      </c>
      <c r="BG214">
        <v>0</v>
      </c>
      <c r="BH214">
        <v>0</v>
      </c>
      <c r="BJ214" t="s">
        <v>357</v>
      </c>
      <c r="BL214">
        <v>0.80</v>
      </c>
      <c r="BM214">
        <v>0.79756097560975603</v>
      </c>
      <c r="BN214">
        <v>0.78536585365853595</v>
      </c>
      <c r="BO214">
        <v>0.77317073170731698</v>
      </c>
      <c r="BP214">
        <v>0.76097560975609702</v>
      </c>
      <c r="BQ214">
        <v>0.74878048780487805</v>
      </c>
      <c r="BR214">
        <v>0.73658536585365797</v>
      </c>
      <c r="BS214">
        <v>0.724390243902439</v>
      </c>
      <c r="BT214">
        <v>0.71219512195122003</v>
      </c>
      <c r="BU214">
        <v>0.69999999999999896</v>
      </c>
      <c r="BV214">
        <v>0.687499999999999</v>
      </c>
      <c r="BW214">
        <v>0.675</v>
      </c>
      <c r="BX214">
        <v>0.6625</v>
      </c>
      <c r="BY214">
        <v>0.64999999999999902</v>
      </c>
      <c r="BZ214">
        <v>0.63749999999999896</v>
      </c>
      <c r="CA214">
        <v>0.625</v>
      </c>
      <c r="CB214">
        <v>0.6125</v>
      </c>
      <c r="CC214">
        <v>0.60</v>
      </c>
      <c r="CD214" t="e">
        <v>#VALUE!</v>
      </c>
      <c r="CE214" t="e">
        <v>#VALUE!</v>
      </c>
      <c r="CF214" t="e">
        <v>#VALUE!</v>
      </c>
      <c r="CG214" t="e">
        <v>#VALUE!</v>
      </c>
      <c r="CH214" t="e">
        <v>#VALUE!</v>
      </c>
      <c r="CI214" t="e">
        <v>#VALUE!</v>
      </c>
      <c r="CJ214" t="e">
        <v>#VALUE!</v>
      </c>
      <c r="CK214" t="e">
        <v>#VALUE!</v>
      </c>
    </row>
    <row r="215" spans="1:89" ht="12.5">
      <c r="A215" t="s">
        <v>21</v>
      </c>
      <c r="B215" t="s">
        <v>352</v>
      </c>
      <c r="C215" t="s">
        <v>352</v>
      </c>
      <c r="D215">
        <v>3.535</v>
      </c>
      <c r="E215">
        <v>3.5284271543747798</v>
      </c>
      <c r="F215"/>
      <c r="G215">
        <v>3.49605012863791</v>
      </c>
      <c r="H215">
        <v>3.4624109009089801</v>
      </c>
      <c r="I215">
        <v>3.43283317850244</v>
      </c>
      <c r="J215">
        <v>3.4072559119768102</v>
      </c>
      <c r="K215">
        <v>3.3837183573007201</v>
      </c>
      <c r="L215">
        <v>3.3607886190513701</v>
      </c>
      <c r="M215">
        <v>3.3292905547938001</v>
      </c>
      <c r="N215">
        <v>3.29076692174967</v>
      </c>
      <c r="O215">
        <v>3.2476787540891401</v>
      </c>
      <c r="P215">
        <v>3.2068590699786599</v>
      </c>
      <c r="Q215">
        <v>3.1727106714369899</v>
      </c>
      <c r="R215">
        <v>3.1454481087479702</v>
      </c>
      <c r="S215">
        <v>3.1213446714336399</v>
      </c>
      <c r="T215">
        <v>3.0957668873350399</v>
      </c>
      <c r="U215">
        <v>3.0662169547060398</v>
      </c>
      <c r="V215">
        <v>3.0320108663524201</v>
      </c>
      <c r="W215">
        <v>5</v>
      </c>
      <c r="AG215" s="130" t="s">
        <v>347</v>
      </c>
      <c r="AI215">
        <v>1</v>
      </c>
      <c r="AJ215">
        <v>0.99766868950829102</v>
      </c>
      <c r="AK215">
        <v>0.986012137049744</v>
      </c>
      <c r="AL215">
        <v>0.97374127083826001</v>
      </c>
      <c r="AM215">
        <v>0.962810294293591</v>
      </c>
      <c r="AN215">
        <v>0.95322980618151598</v>
      </c>
      <c r="AO215">
        <v>0.94428993799221095</v>
      </c>
      <c r="AP215">
        <v>0.93545633943098405</v>
      </c>
      <c r="AQ215">
        <v>0.9231460803107</v>
      </c>
      <c r="AR215">
        <v>0.90788631239029804</v>
      </c>
      <c r="AS215">
        <v>0.89059532998675095</v>
      </c>
      <c r="AT215">
        <v>0.87401194374418001</v>
      </c>
      <c r="AU215">
        <v>0.85996370266061295</v>
      </c>
      <c r="AV215">
        <v>0.84859520773770003</v>
      </c>
      <c r="AW215">
        <v>0.838394816226259</v>
      </c>
      <c r="AX215">
        <v>0.82740248626278901</v>
      </c>
      <c r="AY215">
        <v>0.81450815055703696</v>
      </c>
      <c r="AZ215">
        <v>0.79936400704389698</v>
      </c>
      <c r="BA215">
        <v>0</v>
      </c>
      <c r="BB215">
        <v>0</v>
      </c>
      <c r="BC215">
        <v>0</v>
      </c>
      <c r="BD215">
        <v>0</v>
      </c>
      <c r="BE215">
        <v>0</v>
      </c>
      <c r="BF215">
        <v>0</v>
      </c>
      <c r="BG215">
        <v>0</v>
      </c>
      <c r="BH215">
        <v>0</v>
      </c>
      <c r="BJ215" t="s">
        <v>357</v>
      </c>
      <c r="BL215">
        <v>0.80</v>
      </c>
      <c r="BM215">
        <v>0.79756097560975603</v>
      </c>
      <c r="BN215">
        <v>0.78536585365853595</v>
      </c>
      <c r="BO215">
        <v>0.77317073170731698</v>
      </c>
      <c r="BP215">
        <v>0.76097560975609702</v>
      </c>
      <c r="BQ215">
        <v>0.74878048780487805</v>
      </c>
      <c r="BR215">
        <v>0.73658536585365797</v>
      </c>
      <c r="BS215">
        <v>0.724390243902439</v>
      </c>
      <c r="BT215">
        <v>0.71219512195122003</v>
      </c>
      <c r="BU215">
        <v>0.69999999999999896</v>
      </c>
      <c r="BV215">
        <v>0.687499999999999</v>
      </c>
      <c r="BW215">
        <v>0.675</v>
      </c>
      <c r="BX215">
        <v>0.6625</v>
      </c>
      <c r="BY215">
        <v>0.64999999999999902</v>
      </c>
      <c r="BZ215">
        <v>0.63749999999999896</v>
      </c>
      <c r="CA215">
        <v>0.625</v>
      </c>
      <c r="CB215">
        <v>0.6125</v>
      </c>
      <c r="CC215">
        <v>0.60</v>
      </c>
      <c r="CD215" t="e">
        <v>#VALUE!</v>
      </c>
      <c r="CE215" t="e">
        <v>#VALUE!</v>
      </c>
      <c r="CF215" t="e">
        <v>#VALUE!</v>
      </c>
      <c r="CG215" t="e">
        <v>#VALUE!</v>
      </c>
      <c r="CH215" t="e">
        <v>#VALUE!</v>
      </c>
      <c r="CI215" t="e">
        <v>#VALUE!</v>
      </c>
      <c r="CJ215" t="e">
        <v>#VALUE!</v>
      </c>
      <c r="CK215" t="e">
        <v>#VALUE!</v>
      </c>
    </row>
    <row r="216" spans="1:89" ht="12.5">
      <c r="A216" t="s">
        <v>21</v>
      </c>
      <c r="B216" t="s">
        <v>353</v>
      </c>
      <c r="C216" t="s">
        <v>353</v>
      </c>
      <c r="D216">
        <v>286.14</v>
      </c>
      <c r="E216">
        <v>284.42124679790999</v>
      </c>
      <c r="F216"/>
      <c r="G216">
        <v>322.22352235821199</v>
      </c>
      <c r="H216">
        <v>338.61864569963501</v>
      </c>
      <c r="I216">
        <v>358.04098082883598</v>
      </c>
      <c r="J216">
        <v>377.11429953964898</v>
      </c>
      <c r="K216">
        <v>395.93051551106203</v>
      </c>
      <c r="L216">
        <v>413.94542869257299</v>
      </c>
      <c r="M216">
        <v>432.09510895212998</v>
      </c>
      <c r="N216">
        <v>450.15975304006298</v>
      </c>
      <c r="O216">
        <v>468.07464990486699</v>
      </c>
      <c r="P216">
        <v>484.64975681410499</v>
      </c>
      <c r="Q216">
        <v>499.30053251169397</v>
      </c>
      <c r="R216">
        <v>512.21284799083401</v>
      </c>
      <c r="S216">
        <v>523.96990999547495</v>
      </c>
      <c r="T216">
        <v>535.11748328381998</v>
      </c>
      <c r="U216">
        <v>545.85008033966801</v>
      </c>
      <c r="V216">
        <v>555.98163947280705</v>
      </c>
      <c r="W216">
        <v>5</v>
      </c>
      <c r="AG216" s="130" t="s">
        <v>354</v>
      </c>
      <c r="AI216">
        <v>1</v>
      </c>
      <c r="AJ216">
        <v>0.99246868085513096</v>
      </c>
      <c r="AK216">
        <v>1.16042668429691</v>
      </c>
      <c r="AL216">
        <v>1.2367926325576699</v>
      </c>
      <c r="AM216">
        <v>1.3300142700592401</v>
      </c>
      <c r="AN216">
        <v>1.42463696424145</v>
      </c>
      <c r="AO216">
        <v>1.5211398746008999</v>
      </c>
      <c r="AP216">
        <v>1.6166852687700599</v>
      </c>
      <c r="AQ216">
        <v>1.7162148951792</v>
      </c>
      <c r="AR216">
        <v>1.8187148528357</v>
      </c>
      <c r="AS216">
        <v>1.9239933215490099</v>
      </c>
      <c r="AT216">
        <v>2.0249281396069501</v>
      </c>
      <c r="AU216">
        <v>2.1173248168066601</v>
      </c>
      <c r="AV216">
        <v>2.2015644040699098</v>
      </c>
      <c r="AW216">
        <v>2.2808327044470098</v>
      </c>
      <c r="AX216">
        <v>2.35847303988229</v>
      </c>
      <c r="AY216">
        <v>2.4357020569154102</v>
      </c>
      <c r="AZ216">
        <v>2.5110507662319299</v>
      </c>
      <c r="BA216">
        <v>0</v>
      </c>
      <c r="BB216">
        <v>0</v>
      </c>
      <c r="BC216">
        <v>0</v>
      </c>
      <c r="BD216">
        <v>0</v>
      </c>
      <c r="BE216">
        <v>0</v>
      </c>
      <c r="BF216">
        <v>0</v>
      </c>
      <c r="BG216">
        <v>0</v>
      </c>
      <c r="BH216">
        <v>0</v>
      </c>
      <c r="BJ216" t="s">
        <v>357</v>
      </c>
      <c r="BL216">
        <v>0.80</v>
      </c>
      <c r="BM216">
        <v>0.79756097560975603</v>
      </c>
      <c r="BN216">
        <v>0.78536585365853595</v>
      </c>
      <c r="BO216">
        <v>0.77317073170731698</v>
      </c>
      <c r="BP216">
        <v>0.76097560975609702</v>
      </c>
      <c r="BQ216">
        <v>0.74878048780487805</v>
      </c>
      <c r="BR216">
        <v>0.73658536585365797</v>
      </c>
      <c r="BS216">
        <v>0.724390243902439</v>
      </c>
      <c r="BT216">
        <v>0.71219512195122003</v>
      </c>
      <c r="BU216">
        <v>0.69999999999999896</v>
      </c>
      <c r="BV216">
        <v>0.687499999999999</v>
      </c>
      <c r="BW216">
        <v>0.675</v>
      </c>
      <c r="BX216">
        <v>0.6625</v>
      </c>
      <c r="BY216">
        <v>0.64999999999999902</v>
      </c>
      <c r="BZ216">
        <v>0.63749999999999896</v>
      </c>
      <c r="CA216">
        <v>0.625</v>
      </c>
      <c r="CB216">
        <v>0.6125</v>
      </c>
      <c r="CC216">
        <v>0.60</v>
      </c>
      <c r="CD216" t="e">
        <v>#VALUE!</v>
      </c>
      <c r="CE216" t="e">
        <v>#VALUE!</v>
      </c>
      <c r="CF216" t="e">
        <v>#VALUE!</v>
      </c>
      <c r="CG216" t="e">
        <v>#VALUE!</v>
      </c>
      <c r="CH216" t="e">
        <v>#VALUE!</v>
      </c>
      <c r="CI216" t="e">
        <v>#VALUE!</v>
      </c>
      <c r="CJ216" t="e">
        <v>#VALUE!</v>
      </c>
      <c r="CK216" t="e">
        <v>#VALUE!</v>
      </c>
    </row>
    <row r="217" spans="1:89" ht="12.5">
      <c r="A217" t="s">
        <v>21</v>
      </c>
      <c r="B217" t="s">
        <v>355</v>
      </c>
      <c r="C217" t="s">
        <v>355</v>
      </c>
      <c r="D217">
        <v>85</v>
      </c>
      <c r="E217">
        <v>84.332576169529005</v>
      </c>
      <c r="F217"/>
      <c r="G217">
        <v>94.636374806830204</v>
      </c>
      <c r="H217">
        <v>98.481065673305196</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137.14487555462901</v>
      </c>
      <c r="T217">
        <v>138.90057650580999</v>
      </c>
      <c r="U217">
        <v>140.31718056253101</v>
      </c>
      <c r="V217">
        <v>141.307842958853</v>
      </c>
      <c r="W217">
        <v>5</v>
      </c>
      <c r="AG217" s="130" t="s">
        <v>342</v>
      </c>
      <c r="AI217">
        <v>1</v>
      </c>
      <c r="AJ217">
        <v>0.99015492820675999</v>
      </c>
      <c r="AK217">
        <v>1.1441947948731399</v>
      </c>
      <c r="AL217">
        <v>1.2043160297901001</v>
      </c>
      <c r="AM217">
        <v>1.28055143077042</v>
      </c>
      <c r="AN217">
        <v>1.3580064173029001</v>
      </c>
      <c r="AO217">
        <v>1.43639707786436</v>
      </c>
      <c r="AP217">
        <v>1.5123384835356399</v>
      </c>
      <c r="AQ217">
        <v>1.58431705345552</v>
      </c>
      <c r="AR217">
        <v>1.65118632103046</v>
      </c>
      <c r="AS217">
        <v>1.7134994670972401</v>
      </c>
      <c r="AT217">
        <v>1.76981137924015</v>
      </c>
      <c r="AU217">
        <v>1.8208224891962601</v>
      </c>
      <c r="AV217">
        <v>1.86823700281963</v>
      </c>
      <c r="AW217">
        <v>1.9122383160876999</v>
      </c>
      <c r="AX217">
        <v>1.9514064569823699</v>
      </c>
      <c r="AY217">
        <v>1.9838991776861401</v>
      </c>
      <c r="AZ217">
        <v>2.00724360238581</v>
      </c>
      <c r="BA217">
        <v>0</v>
      </c>
      <c r="BB217">
        <v>0</v>
      </c>
      <c r="BC217">
        <v>0</v>
      </c>
      <c r="BD217">
        <v>0</v>
      </c>
      <c r="BE217">
        <v>0</v>
      </c>
      <c r="BF217">
        <v>0</v>
      </c>
      <c r="BG217">
        <v>0</v>
      </c>
      <c r="BH217">
        <v>0</v>
      </c>
      <c r="BJ217" t="s">
        <v>357</v>
      </c>
      <c r="BL217">
        <v>0.80</v>
      </c>
      <c r="BM217">
        <v>0.79756097560975603</v>
      </c>
      <c r="BN217">
        <v>0.78536585365853595</v>
      </c>
      <c r="BO217">
        <v>0.77317073170731698</v>
      </c>
      <c r="BP217">
        <v>0.76097560975609702</v>
      </c>
      <c r="BQ217">
        <v>0.74878048780487805</v>
      </c>
      <c r="BR217">
        <v>0.73658536585365797</v>
      </c>
      <c r="BS217">
        <v>0.724390243902439</v>
      </c>
      <c r="BT217">
        <v>0.71219512195122003</v>
      </c>
      <c r="BU217">
        <v>0.69999999999999896</v>
      </c>
      <c r="BV217">
        <v>0.687499999999999</v>
      </c>
      <c r="BW217">
        <v>0.675</v>
      </c>
      <c r="BX217">
        <v>0.6625</v>
      </c>
      <c r="BY217">
        <v>0.64999999999999902</v>
      </c>
      <c r="BZ217">
        <v>0.63749999999999896</v>
      </c>
      <c r="CA217">
        <v>0.625</v>
      </c>
      <c r="CB217">
        <v>0.6125</v>
      </c>
      <c r="CC217">
        <v>0.60</v>
      </c>
      <c r="CD217" t="e">
        <v>#VALUE!</v>
      </c>
      <c r="CE217" t="e">
        <v>#VALUE!</v>
      </c>
      <c r="CF217" t="e">
        <v>#VALUE!</v>
      </c>
      <c r="CG217" t="e">
        <v>#VALUE!</v>
      </c>
      <c r="CH217" t="e">
        <v>#VALUE!</v>
      </c>
      <c r="CI217" t="e">
        <v>#VALUE!</v>
      </c>
      <c r="CJ217" t="e">
        <v>#VALUE!</v>
      </c>
      <c r="CK217" t="e">
        <v>#VALUE!</v>
      </c>
    </row>
    <row r="218" spans="1:89" ht="12.5">
      <c r="A218" t="s">
        <v>21</v>
      </c>
      <c r="B218" t="s">
        <v>356</v>
      </c>
      <c r="C218" t="s">
        <v>356</v>
      </c>
      <c r="D218">
        <v>55.28</v>
      </c>
      <c r="E218">
        <v>54.845938948841898</v>
      </c>
      <c r="F218"/>
      <c r="G218">
        <v>61.547044697900901</v>
      </c>
      <c r="H218">
        <v>64.047450710827107</v>
      </c>
      <c r="I218">
        <v>67.132689674058696</v>
      </c>
      <c r="J218">
        <v>70.173161079374097</v>
      </c>
      <c r="K218">
        <v>73.156871208488596</v>
      </c>
      <c r="L218">
        <v>75.9586370391402</v>
      </c>
      <c r="M218">
        <v>78.533359184211307</v>
      </c>
      <c r="N218">
        <v>80.853619348157594</v>
      </c>
      <c r="O218">
        <v>82.951379175868098</v>
      </c>
      <c r="P218">
        <v>84.7914887496012</v>
      </c>
      <c r="Q218">
        <v>86.410597178006597</v>
      </c>
      <c r="R218">
        <v>87.873192076694806</v>
      </c>
      <c r="S218">
        <v>89.192573184233694</v>
      </c>
      <c r="T218">
        <v>90.334398461660896</v>
      </c>
      <c r="U218">
        <v>91.255691076431901</v>
      </c>
      <c r="V218">
        <v>91.899971279592606</v>
      </c>
      <c r="W218">
        <v>5</v>
      </c>
      <c r="AG218" s="130" t="s">
        <v>342</v>
      </c>
      <c r="AI218">
        <v>1</v>
      </c>
      <c r="AJ218">
        <v>0.99015492820675999</v>
      </c>
      <c r="AK218">
        <v>1.1441947948731399</v>
      </c>
      <c r="AL218">
        <v>1.2043160297901001</v>
      </c>
      <c r="AM218">
        <v>1.28055143077042</v>
      </c>
      <c r="AN218">
        <v>1.3580064173029001</v>
      </c>
      <c r="AO218">
        <v>1.43639707786436</v>
      </c>
      <c r="AP218">
        <v>1.5123384835356399</v>
      </c>
      <c r="AQ218">
        <v>1.58431705345552</v>
      </c>
      <c r="AR218">
        <v>1.65118632103046</v>
      </c>
      <c r="AS218">
        <v>1.7134994670972401</v>
      </c>
      <c r="AT218">
        <v>1.76981137924015</v>
      </c>
      <c r="AU218">
        <v>1.8208224891962601</v>
      </c>
      <c r="AV218">
        <v>1.86823700281963</v>
      </c>
      <c r="AW218">
        <v>1.9122383160876999</v>
      </c>
      <c r="AX218">
        <v>1.9514064569823699</v>
      </c>
      <c r="AY218">
        <v>1.9838991776861401</v>
      </c>
      <c r="AZ218">
        <v>2.00724360238581</v>
      </c>
      <c r="BA218">
        <v>0</v>
      </c>
      <c r="BB218">
        <v>0</v>
      </c>
      <c r="BC218">
        <v>0</v>
      </c>
      <c r="BD218">
        <v>0</v>
      </c>
      <c r="BE218">
        <v>0</v>
      </c>
      <c r="BF218">
        <v>0</v>
      </c>
      <c r="BG218">
        <v>0</v>
      </c>
      <c r="BH218">
        <v>0</v>
      </c>
      <c r="BJ218" t="s">
        <v>357</v>
      </c>
      <c r="BL218">
        <v>0.80</v>
      </c>
      <c r="BM218">
        <v>0.79756097560975603</v>
      </c>
      <c r="BN218">
        <v>0.78536585365853595</v>
      </c>
      <c r="BO218">
        <v>0.77317073170731698</v>
      </c>
      <c r="BP218">
        <v>0.76097560975609702</v>
      </c>
      <c r="BQ218">
        <v>0.74878048780487805</v>
      </c>
      <c r="BR218">
        <v>0.73658536585365797</v>
      </c>
      <c r="BS218">
        <v>0.724390243902439</v>
      </c>
      <c r="BT218">
        <v>0.71219512195122003</v>
      </c>
      <c r="BU218">
        <v>0.69999999999999896</v>
      </c>
      <c r="BV218">
        <v>0.687499999999999</v>
      </c>
      <c r="BW218">
        <v>0.675</v>
      </c>
      <c r="BX218">
        <v>0.6625</v>
      </c>
      <c r="BY218">
        <v>0.64999999999999902</v>
      </c>
      <c r="BZ218">
        <v>0.63749999999999896</v>
      </c>
      <c r="CA218">
        <v>0.625</v>
      </c>
      <c r="CB218">
        <v>0.6125</v>
      </c>
      <c r="CC218">
        <v>0.60</v>
      </c>
      <c r="CD218" t="e">
        <v>#VALUE!</v>
      </c>
      <c r="CE218" t="e">
        <v>#VALUE!</v>
      </c>
      <c r="CF218" t="e">
        <v>#VALUE!</v>
      </c>
      <c r="CG218" t="e">
        <v>#VALUE!</v>
      </c>
      <c r="CH218" t="e">
        <v>#VALUE!</v>
      </c>
      <c r="CI218" t="e">
        <v>#VALUE!</v>
      </c>
      <c r="CJ218" t="e">
        <v>#VALUE!</v>
      </c>
      <c r="CK218" t="e">
        <v>#VALUE!</v>
      </c>
    </row>
    <row r="219" spans="1:89" ht="12.5">
      <c r="A219" t="s">
        <v>22</v>
      </c>
      <c r="B219" t="s">
        <v>341</v>
      </c>
      <c r="C219" t="s">
        <v>341</v>
      </c>
      <c r="E219" s="2">
        <v>147.201253049397</v>
      </c>
      <c r="F219" s="2">
        <f>E219</f>
        <v>147.201253049397</v>
      </c>
      <c r="I219" s="2">
        <f>F219</f>
        <v>147.201253049397</v>
      </c>
      <c r="J219" s="2">
        <f>I219</f>
        <v>147.201253049397</v>
      </c>
      <c r="L219" s="2">
        <f>J219</f>
        <v>147.201253049397</v>
      </c>
      <c r="V219" s="2">
        <f>L219</f>
        <v>147.201253049397</v>
      </c>
      <c r="W219">
        <v>5</v>
      </c>
      <c r="AG219" s="130" t="s">
        <v>342</v>
      </c>
      <c r="AI219">
        <v>1</v>
      </c>
      <c r="AJ219">
        <v>0.99661471398738299</v>
      </c>
      <c r="AK219">
        <v>1.06924009217147</v>
      </c>
      <c r="AL219">
        <v>1.11202981109995</v>
      </c>
      <c r="AM219">
        <v>1.1595013914991299</v>
      </c>
      <c r="AN219">
        <v>1.2001041626465401</v>
      </c>
      <c r="AO219">
        <v>1.2418861703425701</v>
      </c>
      <c r="AP219">
        <v>1.2861669900308701</v>
      </c>
      <c r="AQ219">
        <v>1.3284655228267099</v>
      </c>
      <c r="AR219">
        <v>1.3659418552567999</v>
      </c>
      <c r="AS219">
        <v>1.3982431909322399</v>
      </c>
      <c r="AT219">
        <v>1.4242058865149501</v>
      </c>
      <c r="AU219">
        <v>1.4449253650468099</v>
      </c>
      <c r="AV219">
        <v>1.4635339126990701</v>
      </c>
      <c r="AW219">
        <v>1.4817116979096101</v>
      </c>
      <c r="AX219">
        <v>1.49833016206414</v>
      </c>
      <c r="AY219">
        <v>1.5109762558284501</v>
      </c>
      <c r="AZ219">
        <v>1.51698354019676</v>
      </c>
      <c r="BA219">
        <v>0</v>
      </c>
      <c r="BB219">
        <v>0</v>
      </c>
      <c r="BC219">
        <v>0</v>
      </c>
      <c r="BD219">
        <v>0</v>
      </c>
      <c r="BE219">
        <v>0</v>
      </c>
      <c r="BF219">
        <v>0</v>
      </c>
      <c r="BG219">
        <v>0</v>
      </c>
      <c r="BH219">
        <v>0</v>
      </c>
      <c r="BJ219" t="s">
        <v>357</v>
      </c>
      <c r="BL219">
        <v>0.80</v>
      </c>
      <c r="BM219">
        <v>0.79756097560975603</v>
      </c>
      <c r="BN219">
        <v>0.78536585365853595</v>
      </c>
      <c r="BO219">
        <v>0.77317073170731698</v>
      </c>
      <c r="BP219">
        <v>0.76097560975609702</v>
      </c>
      <c r="BQ219">
        <v>0.74878048780487805</v>
      </c>
      <c r="BR219">
        <v>0.73658536585365797</v>
      </c>
      <c r="BS219">
        <v>0.724390243902439</v>
      </c>
      <c r="BT219">
        <v>0.71219512195122003</v>
      </c>
      <c r="BU219">
        <v>0.69999999999999896</v>
      </c>
      <c r="BV219">
        <v>0.687499999999999</v>
      </c>
      <c r="BW219">
        <v>0.675</v>
      </c>
      <c r="BX219">
        <v>0.6625</v>
      </c>
      <c r="BY219">
        <v>0.64999999999999902</v>
      </c>
      <c r="BZ219">
        <v>0.63749999999999896</v>
      </c>
      <c r="CA219">
        <v>0.625</v>
      </c>
      <c r="CB219">
        <v>0.6125</v>
      </c>
      <c r="CC219">
        <v>0.60</v>
      </c>
      <c r="CD219" t="e">
        <v>#VALUE!</v>
      </c>
      <c r="CE219" t="e">
        <v>#VALUE!</v>
      </c>
      <c r="CF219" t="e">
        <v>#VALUE!</v>
      </c>
      <c r="CG219" t="e">
        <v>#VALUE!</v>
      </c>
      <c r="CH219" t="e">
        <v>#VALUE!</v>
      </c>
      <c r="CI219" t="e">
        <v>#VALUE!</v>
      </c>
      <c r="CJ219" t="e">
        <v>#VALUE!</v>
      </c>
      <c r="CK219" t="e">
        <v>#VALUE!</v>
      </c>
    </row>
    <row r="220" spans="1:89" ht="12.5">
      <c r="A220" t="s">
        <v>22</v>
      </c>
      <c r="B220" t="s">
        <v>344</v>
      </c>
      <c r="C220" t="s">
        <v>344</v>
      </c>
      <c r="E220" s="2">
        <v>304.69874417251202</v>
      </c>
      <c r="F220" s="2">
        <f>E220</f>
        <v>304.69874417251202</v>
      </c>
      <c r="I220" s="2">
        <f>F220</f>
        <v>304.69874417251202</v>
      </c>
      <c r="J220" s="2">
        <f>I220</f>
        <v>304.69874417251202</v>
      </c>
      <c r="L220" s="2">
        <f>J220</f>
        <v>304.69874417251202</v>
      </c>
      <c r="V220" s="2">
        <f>L220</f>
        <v>304.69874417251202</v>
      </c>
      <c r="W220">
        <v>5</v>
      </c>
      <c r="AG220" s="130" t="s">
        <v>342</v>
      </c>
      <c r="AI220">
        <v>1</v>
      </c>
      <c r="AJ220">
        <v>0.99661471398738299</v>
      </c>
      <c r="AK220">
        <v>1.06924009217147</v>
      </c>
      <c r="AL220">
        <v>1.11202981109995</v>
      </c>
      <c r="AM220">
        <v>1.1595013914991299</v>
      </c>
      <c r="AN220">
        <v>1.2001041626465401</v>
      </c>
      <c r="AO220">
        <v>1.2418861703425701</v>
      </c>
      <c r="AP220">
        <v>1.2861669900308701</v>
      </c>
      <c r="AQ220">
        <v>1.3284655228267099</v>
      </c>
      <c r="AR220">
        <v>1.3659418552567999</v>
      </c>
      <c r="AS220">
        <v>1.3982431909322399</v>
      </c>
      <c r="AT220">
        <v>1.4242058865149501</v>
      </c>
      <c r="AU220">
        <v>1.4449253650468099</v>
      </c>
      <c r="AV220">
        <v>1.4635339126990701</v>
      </c>
      <c r="AW220">
        <v>1.4817116979096101</v>
      </c>
      <c r="AX220">
        <v>1.49833016206414</v>
      </c>
      <c r="AY220">
        <v>1.5109762558284501</v>
      </c>
      <c r="AZ220">
        <v>1.51698354019676</v>
      </c>
      <c r="BA220">
        <v>0</v>
      </c>
      <c r="BB220">
        <v>0</v>
      </c>
      <c r="BC220">
        <v>0</v>
      </c>
      <c r="BD220">
        <v>0</v>
      </c>
      <c r="BE220">
        <v>0</v>
      </c>
      <c r="BF220">
        <v>0</v>
      </c>
      <c r="BG220">
        <v>0</v>
      </c>
      <c r="BH220">
        <v>0</v>
      </c>
      <c r="BJ220" t="s">
        <v>357</v>
      </c>
      <c r="BL220">
        <v>0.80</v>
      </c>
      <c r="BM220">
        <v>0.79756097560975603</v>
      </c>
      <c r="BN220">
        <v>0.78536585365853595</v>
      </c>
      <c r="BO220">
        <v>0.77317073170731698</v>
      </c>
      <c r="BP220">
        <v>0.76097560975609702</v>
      </c>
      <c r="BQ220">
        <v>0.74878048780487805</v>
      </c>
      <c r="BR220">
        <v>0.73658536585365797</v>
      </c>
      <c r="BS220">
        <v>0.724390243902439</v>
      </c>
      <c r="BT220">
        <v>0.71219512195122003</v>
      </c>
      <c r="BU220">
        <v>0.69999999999999896</v>
      </c>
      <c r="BV220">
        <v>0.687499999999999</v>
      </c>
      <c r="BW220">
        <v>0.675</v>
      </c>
      <c r="BX220">
        <v>0.6625</v>
      </c>
      <c r="BY220">
        <v>0.64999999999999902</v>
      </c>
      <c r="BZ220">
        <v>0.63749999999999896</v>
      </c>
      <c r="CA220">
        <v>0.625</v>
      </c>
      <c r="CB220">
        <v>0.6125</v>
      </c>
      <c r="CC220">
        <v>0.60</v>
      </c>
      <c r="CD220" t="e">
        <v>#VALUE!</v>
      </c>
      <c r="CE220" t="e">
        <v>#VALUE!</v>
      </c>
      <c r="CF220" t="e">
        <v>#VALUE!</v>
      </c>
      <c r="CG220" t="e">
        <v>#VALUE!</v>
      </c>
      <c r="CH220" t="e">
        <v>#VALUE!</v>
      </c>
      <c r="CI220" t="e">
        <v>#VALUE!</v>
      </c>
      <c r="CJ220" t="e">
        <v>#VALUE!</v>
      </c>
      <c r="CK220" t="e">
        <v>#VALUE!</v>
      </c>
    </row>
    <row r="221" spans="1:89" ht="12.5">
      <c r="A221" t="s">
        <v>22</v>
      </c>
      <c r="B221" t="s">
        <v>345</v>
      </c>
      <c r="C221" t="s">
        <v>345</v>
      </c>
      <c r="E221" s="2">
        <v>2.0041537019361901</v>
      </c>
      <c r="I221" s="2">
        <v>2.25537567940657</v>
      </c>
      <c r="J221" s="2">
        <v>2.3145124783805602</v>
      </c>
      <c r="L221" s="2">
        <v>2.4351813330723902</v>
      </c>
      <c r="V221" s="2">
        <v>2.7227704244892998</v>
      </c>
      <c r="W221">
        <v>5</v>
      </c>
      <c r="AG221" s="130" t="s">
        <v>342</v>
      </c>
      <c r="AI221">
        <v>1</v>
      </c>
      <c r="AJ221">
        <v>0.99661471398738299</v>
      </c>
      <c r="AK221">
        <v>1.06924009217147</v>
      </c>
      <c r="AL221">
        <v>1.11202981109995</v>
      </c>
      <c r="AM221">
        <v>1.1595013914991299</v>
      </c>
      <c r="AN221">
        <v>1.2001041626465401</v>
      </c>
      <c r="AO221">
        <v>1.2418861703425701</v>
      </c>
      <c r="AP221">
        <v>1.2861669900308701</v>
      </c>
      <c r="AQ221">
        <v>1.3284655228267099</v>
      </c>
      <c r="AR221">
        <v>1.3659418552567999</v>
      </c>
      <c r="AS221">
        <v>1.3982431909322399</v>
      </c>
      <c r="AT221">
        <v>1.4242058865149501</v>
      </c>
      <c r="AU221">
        <v>1.4449253650468099</v>
      </c>
      <c r="AV221">
        <v>1.4635339126990701</v>
      </c>
      <c r="AW221">
        <v>1.4817116979096101</v>
      </c>
      <c r="AX221">
        <v>1.49833016206414</v>
      </c>
      <c r="AY221">
        <v>1.5109762558284501</v>
      </c>
      <c r="AZ221">
        <v>1.51698354019676</v>
      </c>
      <c r="BA221">
        <v>0</v>
      </c>
      <c r="BB221">
        <v>0</v>
      </c>
      <c r="BC221">
        <v>0</v>
      </c>
      <c r="BD221">
        <v>0</v>
      </c>
      <c r="BE221">
        <v>0</v>
      </c>
      <c r="BF221">
        <v>0</v>
      </c>
      <c r="BG221">
        <v>0</v>
      </c>
      <c r="BH221">
        <v>0</v>
      </c>
      <c r="BJ221" t="s">
        <v>357</v>
      </c>
      <c r="BL221">
        <v>0.80</v>
      </c>
      <c r="BM221">
        <v>0.79756097560975603</v>
      </c>
      <c r="BN221">
        <v>0.78536585365853595</v>
      </c>
      <c r="BO221">
        <v>0.77317073170731698</v>
      </c>
      <c r="BP221">
        <v>0.76097560975609702</v>
      </c>
      <c r="BQ221">
        <v>0.74878048780487805</v>
      </c>
      <c r="BR221">
        <v>0.73658536585365797</v>
      </c>
      <c r="BS221">
        <v>0.724390243902439</v>
      </c>
      <c r="BT221">
        <v>0.71219512195122003</v>
      </c>
      <c r="BU221">
        <v>0.69999999999999896</v>
      </c>
      <c r="BV221">
        <v>0.687499999999999</v>
      </c>
      <c r="BW221">
        <v>0.675</v>
      </c>
      <c r="BX221">
        <v>0.6625</v>
      </c>
      <c r="BY221">
        <v>0.64999999999999902</v>
      </c>
      <c r="BZ221">
        <v>0.63749999999999896</v>
      </c>
      <c r="CA221">
        <v>0.625</v>
      </c>
      <c r="CB221">
        <v>0.6125</v>
      </c>
      <c r="CC221">
        <v>0.60</v>
      </c>
      <c r="CD221" t="e">
        <v>#VALUE!</v>
      </c>
      <c r="CE221" t="e">
        <v>#VALUE!</v>
      </c>
      <c r="CF221" t="e">
        <v>#VALUE!</v>
      </c>
      <c r="CG221" t="e">
        <v>#VALUE!</v>
      </c>
      <c r="CH221" t="e">
        <v>#VALUE!</v>
      </c>
      <c r="CI221" t="e">
        <v>#VALUE!</v>
      </c>
      <c r="CJ221" t="e">
        <v>#VALUE!</v>
      </c>
      <c r="CK221" t="e">
        <v>#VALUE!</v>
      </c>
    </row>
    <row r="222" spans="1:89" ht="12.5">
      <c r="A222" t="s">
        <v>22</v>
      </c>
      <c r="B222" t="s">
        <v>346</v>
      </c>
      <c r="C222" t="s">
        <v>346</v>
      </c>
      <c r="E222" s="2">
        <v>66.750699473204605</v>
      </c>
      <c r="I222" s="2">
        <v>62.827989733219901</v>
      </c>
      <c r="J222" s="2">
        <v>61.455797488152697</v>
      </c>
      <c r="L222" s="2">
        <v>58.781450776272102</v>
      </c>
      <c r="V222" s="2">
        <v>46.9474788673513</v>
      </c>
      <c r="W222">
        <v>5</v>
      </c>
      <c r="AG222" s="130" t="s">
        <v>347</v>
      </c>
      <c r="AI222">
        <v>1</v>
      </c>
      <c r="AJ222">
        <v>0.99513304428566096</v>
      </c>
      <c r="AK222">
        <v>0.97079826571396399</v>
      </c>
      <c r="AL222">
        <v>0.94602776735384198</v>
      </c>
      <c r="AM222">
        <v>0.91989259388711897</v>
      </c>
      <c r="AN222">
        <v>0.89306112800731097</v>
      </c>
      <c r="AO222">
        <v>0.86608890075285805</v>
      </c>
      <c r="AP222">
        <v>0.84007934876746004</v>
      </c>
      <c r="AQ222">
        <v>0.81527174577873696</v>
      </c>
      <c r="AR222">
        <v>0.79055314316812497</v>
      </c>
      <c r="AS222">
        <v>0.7644456416216</v>
      </c>
      <c r="AT222">
        <v>0.73681975938137401</v>
      </c>
      <c r="AU222">
        <v>0.708925060804943</v>
      </c>
      <c r="AV222">
        <v>0.68286711664744104</v>
      </c>
      <c r="AW222">
        <v>0.65928047867846695</v>
      </c>
      <c r="AX222">
        <v>0.637398679890398</v>
      </c>
      <c r="AY222">
        <v>0.61617615607991505</v>
      </c>
      <c r="AZ222">
        <v>0.59482262859566604</v>
      </c>
      <c r="BA222">
        <v>0</v>
      </c>
      <c r="BB222">
        <v>0</v>
      </c>
      <c r="BC222">
        <v>0</v>
      </c>
      <c r="BD222">
        <v>0</v>
      </c>
      <c r="BE222">
        <v>0</v>
      </c>
      <c r="BF222">
        <v>0</v>
      </c>
      <c r="BG222">
        <v>0</v>
      </c>
      <c r="BH222">
        <v>0</v>
      </c>
      <c r="BJ222" t="s">
        <v>357</v>
      </c>
      <c r="BL222">
        <v>0.80</v>
      </c>
      <c r="BM222">
        <v>0.79756097560975603</v>
      </c>
      <c r="BN222">
        <v>0.78536585365853595</v>
      </c>
      <c r="BO222">
        <v>0.77317073170731698</v>
      </c>
      <c r="BP222">
        <v>0.76097560975609702</v>
      </c>
      <c r="BQ222">
        <v>0.74878048780487805</v>
      </c>
      <c r="BR222">
        <v>0.73658536585365797</v>
      </c>
      <c r="BS222">
        <v>0.724390243902439</v>
      </c>
      <c r="BT222">
        <v>0.71219512195122003</v>
      </c>
      <c r="BU222">
        <v>0.69999999999999896</v>
      </c>
      <c r="BV222">
        <v>0.687499999999999</v>
      </c>
      <c r="BW222">
        <v>0.675</v>
      </c>
      <c r="BX222">
        <v>0.6625</v>
      </c>
      <c r="BY222">
        <v>0.64999999999999902</v>
      </c>
      <c r="BZ222">
        <v>0.63749999999999896</v>
      </c>
      <c r="CA222">
        <v>0.625</v>
      </c>
      <c r="CB222">
        <v>0.6125</v>
      </c>
      <c r="CC222">
        <v>0.60</v>
      </c>
      <c r="CD222" t="e">
        <v>#VALUE!</v>
      </c>
      <c r="CE222" t="e">
        <v>#VALUE!</v>
      </c>
      <c r="CF222" t="e">
        <v>#VALUE!</v>
      </c>
      <c r="CG222" t="e">
        <v>#VALUE!</v>
      </c>
      <c r="CH222" t="e">
        <v>#VALUE!</v>
      </c>
      <c r="CI222" t="e">
        <v>#VALUE!</v>
      </c>
      <c r="CJ222" t="e">
        <v>#VALUE!</v>
      </c>
      <c r="CK222" t="e">
        <v>#VALUE!</v>
      </c>
    </row>
    <row r="223" spans="1:89" ht="12.5">
      <c r="A223" t="s">
        <v>22</v>
      </c>
      <c r="B223" t="s">
        <v>348</v>
      </c>
      <c r="C223" t="s">
        <v>348</v>
      </c>
      <c r="E223" s="2">
        <v>130.64811391798099</v>
      </c>
      <c r="F223" s="2">
        <f>E223</f>
        <v>130.64811391798099</v>
      </c>
      <c r="I223" s="2">
        <f>F223</f>
        <v>130.64811391798099</v>
      </c>
      <c r="J223" s="2">
        <f>I223</f>
        <v>130.64811391798099</v>
      </c>
      <c r="L223" s="2">
        <f>J223</f>
        <v>130.64811391798099</v>
      </c>
      <c r="V223" s="2">
        <f>L223</f>
        <v>130.64811391798099</v>
      </c>
      <c r="W223">
        <v>5</v>
      </c>
      <c r="AG223" s="130" t="s">
        <v>342</v>
      </c>
      <c r="AI223">
        <v>1</v>
      </c>
      <c r="AJ223">
        <v>0.99661471398738299</v>
      </c>
      <c r="AK223">
        <v>1.06924009217147</v>
      </c>
      <c r="AL223">
        <v>1.11202981109995</v>
      </c>
      <c r="AM223">
        <v>1.1595013914991299</v>
      </c>
      <c r="AN223">
        <v>1.2001041626465401</v>
      </c>
      <c r="AO223">
        <v>1.2418861703425701</v>
      </c>
      <c r="AP223">
        <v>1.2861669900308701</v>
      </c>
      <c r="AQ223">
        <v>1.3284655228267099</v>
      </c>
      <c r="AR223">
        <v>1.3659418552567999</v>
      </c>
      <c r="AS223">
        <v>1.3982431909322399</v>
      </c>
      <c r="AT223">
        <v>1.4242058865149501</v>
      </c>
      <c r="AU223">
        <v>1.4449253650468099</v>
      </c>
      <c r="AV223">
        <v>1.4635339126990701</v>
      </c>
      <c r="AW223">
        <v>1.4817116979096101</v>
      </c>
      <c r="AX223">
        <v>1.49833016206414</v>
      </c>
      <c r="AY223">
        <v>1.5109762558284501</v>
      </c>
      <c r="AZ223">
        <v>1.51698354019676</v>
      </c>
      <c r="BA223">
        <v>0</v>
      </c>
      <c r="BB223">
        <v>0</v>
      </c>
      <c r="BC223">
        <v>0</v>
      </c>
      <c r="BD223">
        <v>0</v>
      </c>
      <c r="BE223">
        <v>0</v>
      </c>
      <c r="BF223">
        <v>0</v>
      </c>
      <c r="BG223">
        <v>0</v>
      </c>
      <c r="BH223">
        <v>0</v>
      </c>
      <c r="BJ223" t="s">
        <v>357</v>
      </c>
      <c r="BL223">
        <v>0.80</v>
      </c>
      <c r="BM223">
        <v>0.79756097560975603</v>
      </c>
      <c r="BN223">
        <v>0.78536585365853595</v>
      </c>
      <c r="BO223">
        <v>0.77317073170731698</v>
      </c>
      <c r="BP223">
        <v>0.76097560975609702</v>
      </c>
      <c r="BQ223">
        <v>0.74878048780487805</v>
      </c>
      <c r="BR223">
        <v>0.73658536585365797</v>
      </c>
      <c r="BS223">
        <v>0.724390243902439</v>
      </c>
      <c r="BT223">
        <v>0.71219512195122003</v>
      </c>
      <c r="BU223">
        <v>0.69999999999999896</v>
      </c>
      <c r="BV223">
        <v>0.687499999999999</v>
      </c>
      <c r="BW223">
        <v>0.675</v>
      </c>
      <c r="BX223">
        <v>0.6625</v>
      </c>
      <c r="BY223">
        <v>0.64999999999999902</v>
      </c>
      <c r="BZ223">
        <v>0.63749999999999896</v>
      </c>
      <c r="CA223">
        <v>0.625</v>
      </c>
      <c r="CB223">
        <v>0.6125</v>
      </c>
      <c r="CC223">
        <v>0.60</v>
      </c>
      <c r="CD223" t="e">
        <v>#VALUE!</v>
      </c>
      <c r="CE223" t="e">
        <v>#VALUE!</v>
      </c>
      <c r="CF223" t="e">
        <v>#VALUE!</v>
      </c>
      <c r="CG223" t="e">
        <v>#VALUE!</v>
      </c>
      <c r="CH223" t="e">
        <v>#VALUE!</v>
      </c>
      <c r="CI223" t="e">
        <v>#VALUE!</v>
      </c>
      <c r="CJ223" t="e">
        <v>#VALUE!</v>
      </c>
      <c r="CK223" t="e">
        <v>#VALUE!</v>
      </c>
    </row>
    <row r="224" spans="1:89" ht="12.5">
      <c r="A224" t="s">
        <v>22</v>
      </c>
      <c r="B224" t="s">
        <v>349</v>
      </c>
      <c r="C224" t="s">
        <v>349</v>
      </c>
      <c r="E224" s="2">
        <v>187.66044154924001</v>
      </c>
      <c r="F224" s="2">
        <f>E224</f>
        <v>187.66044154924001</v>
      </c>
      <c r="I224" s="2">
        <f>F224</f>
        <v>187.66044154924001</v>
      </c>
      <c r="J224" s="2">
        <f>I224</f>
        <v>187.66044154924001</v>
      </c>
      <c r="L224" s="2">
        <f>J224</f>
        <v>187.66044154924001</v>
      </c>
      <c r="V224" s="2">
        <f>L224</f>
        <v>187.66044154924001</v>
      </c>
      <c r="W224">
        <v>5</v>
      </c>
      <c r="AG224" s="130" t="s">
        <v>342</v>
      </c>
      <c r="AI224">
        <v>1</v>
      </c>
      <c r="AJ224">
        <v>0.99661471398738299</v>
      </c>
      <c r="AK224">
        <v>1.06924009217147</v>
      </c>
      <c r="AL224">
        <v>1.11202981109995</v>
      </c>
      <c r="AM224">
        <v>1.1595013914991299</v>
      </c>
      <c r="AN224">
        <v>1.2001041626465401</v>
      </c>
      <c r="AO224">
        <v>1.2418861703425701</v>
      </c>
      <c r="AP224">
        <v>1.2861669900308701</v>
      </c>
      <c r="AQ224">
        <v>1.3284655228267099</v>
      </c>
      <c r="AR224">
        <v>1.3659418552567999</v>
      </c>
      <c r="AS224">
        <v>1.3982431909322399</v>
      </c>
      <c r="AT224">
        <v>1.4242058865149501</v>
      </c>
      <c r="AU224">
        <v>1.4449253650468099</v>
      </c>
      <c r="AV224">
        <v>1.4635339126990701</v>
      </c>
      <c r="AW224">
        <v>1.4817116979096101</v>
      </c>
      <c r="AX224">
        <v>1.49833016206414</v>
      </c>
      <c r="AY224">
        <v>1.5109762558284501</v>
      </c>
      <c r="AZ224">
        <v>1.51698354019676</v>
      </c>
      <c r="BA224">
        <v>0</v>
      </c>
      <c r="BB224">
        <v>0</v>
      </c>
      <c r="BC224">
        <v>0</v>
      </c>
      <c r="BD224">
        <v>0</v>
      </c>
      <c r="BE224">
        <v>0</v>
      </c>
      <c r="BF224">
        <v>0</v>
      </c>
      <c r="BG224">
        <v>0</v>
      </c>
      <c r="BH224">
        <v>0</v>
      </c>
      <c r="BJ224" t="s">
        <v>357</v>
      </c>
      <c r="BL224">
        <v>0.80</v>
      </c>
      <c r="BM224">
        <v>0.79756097560975603</v>
      </c>
      <c r="BN224">
        <v>0.78536585365853595</v>
      </c>
      <c r="BO224">
        <v>0.77317073170731698</v>
      </c>
      <c r="BP224">
        <v>0.76097560975609702</v>
      </c>
      <c r="BQ224">
        <v>0.74878048780487805</v>
      </c>
      <c r="BR224">
        <v>0.73658536585365797</v>
      </c>
      <c r="BS224">
        <v>0.724390243902439</v>
      </c>
      <c r="BT224">
        <v>0.71219512195122003</v>
      </c>
      <c r="BU224">
        <v>0.69999999999999896</v>
      </c>
      <c r="BV224">
        <v>0.687499999999999</v>
      </c>
      <c r="BW224">
        <v>0.675</v>
      </c>
      <c r="BX224">
        <v>0.6625</v>
      </c>
      <c r="BY224">
        <v>0.64999999999999902</v>
      </c>
      <c r="BZ224">
        <v>0.63749999999999896</v>
      </c>
      <c r="CA224">
        <v>0.625</v>
      </c>
      <c r="CB224">
        <v>0.6125</v>
      </c>
      <c r="CC224">
        <v>0.60</v>
      </c>
      <c r="CD224" t="e">
        <v>#VALUE!</v>
      </c>
      <c r="CE224" t="e">
        <v>#VALUE!</v>
      </c>
      <c r="CF224" t="e">
        <v>#VALUE!</v>
      </c>
      <c r="CG224" t="e">
        <v>#VALUE!</v>
      </c>
      <c r="CH224" t="e">
        <v>#VALUE!</v>
      </c>
      <c r="CI224" t="e">
        <v>#VALUE!</v>
      </c>
      <c r="CJ224" t="e">
        <v>#VALUE!</v>
      </c>
      <c r="CK224" t="e">
        <v>#VALUE!</v>
      </c>
    </row>
    <row r="225" spans="1:89" ht="12.5">
      <c r="A225" t="s">
        <v>22</v>
      </c>
      <c r="B225" t="s">
        <v>350</v>
      </c>
      <c r="C225" t="s">
        <v>350</v>
      </c>
      <c r="D225">
        <v>14.12</v>
      </c>
      <c r="E225">
        <v>14.0651904814574</v>
      </c>
      <c r="F225"/>
      <c r="G225">
        <v>13.795066038509701</v>
      </c>
      <c r="H225">
        <v>13.522918167129401</v>
      </c>
      <c r="I225">
        <v>13.2386274621664</v>
      </c>
      <c r="J225">
        <v>12.9494897384218</v>
      </c>
      <c r="K225">
        <v>12.6614108942813</v>
      </c>
      <c r="L225">
        <v>12.385972109199599</v>
      </c>
      <c r="M225">
        <v>12.1254805911524</v>
      </c>
      <c r="N225">
        <v>11.868133937814999</v>
      </c>
      <c r="O225">
        <v>11.598676991281</v>
      </c>
      <c r="P225">
        <v>11.315745183708501</v>
      </c>
      <c r="Q225">
        <v>11.031934035467</v>
      </c>
      <c r="R225">
        <v>10.768358660564401</v>
      </c>
      <c r="S225">
        <v>10.531243379937299</v>
      </c>
      <c r="T225">
        <v>10.3127831076399</v>
      </c>
      <c r="U225">
        <v>10.102469270594</v>
      </c>
      <c r="V225">
        <v>9.8924091897877702</v>
      </c>
      <c r="W225">
        <v>5</v>
      </c>
      <c r="AG225" s="130" t="s">
        <v>347</v>
      </c>
      <c r="AI225">
        <v>1</v>
      </c>
      <c r="AJ225">
        <v>0.99513304428566096</v>
      </c>
      <c r="AK225">
        <v>0.97079826571396399</v>
      </c>
      <c r="AL225">
        <v>0.94602776735384198</v>
      </c>
      <c r="AM225">
        <v>0.91989259388711897</v>
      </c>
      <c r="AN225">
        <v>0.89306112800731097</v>
      </c>
      <c r="AO225">
        <v>0.86608890075285805</v>
      </c>
      <c r="AP225">
        <v>0.84007934876746004</v>
      </c>
      <c r="AQ225">
        <v>0.81527174577873696</v>
      </c>
      <c r="AR225">
        <v>0.79055314316812497</v>
      </c>
      <c r="AS225">
        <v>0.7644456416216</v>
      </c>
      <c r="AT225">
        <v>0.73681975938137401</v>
      </c>
      <c r="AU225">
        <v>0.708925060804943</v>
      </c>
      <c r="AV225">
        <v>0.68286711664744104</v>
      </c>
      <c r="AW225">
        <v>0.65928047867846695</v>
      </c>
      <c r="AX225">
        <v>0.637398679890398</v>
      </c>
      <c r="AY225">
        <v>0.61617615607991505</v>
      </c>
      <c r="AZ225">
        <v>0.59482262859566604</v>
      </c>
      <c r="BA225">
        <v>0</v>
      </c>
      <c r="BB225">
        <v>0</v>
      </c>
      <c r="BC225">
        <v>0</v>
      </c>
      <c r="BD225">
        <v>0</v>
      </c>
      <c r="BE225">
        <v>0</v>
      </c>
      <c r="BF225">
        <v>0</v>
      </c>
      <c r="BG225">
        <v>0</v>
      </c>
      <c r="BH225">
        <v>0</v>
      </c>
      <c r="BJ225" t="s">
        <v>357</v>
      </c>
      <c r="BL225">
        <v>0.80</v>
      </c>
      <c r="BM225">
        <v>0.79756097560975603</v>
      </c>
      <c r="BN225">
        <v>0.78536585365853595</v>
      </c>
      <c r="BO225">
        <v>0.77317073170731698</v>
      </c>
      <c r="BP225">
        <v>0.76097560975609702</v>
      </c>
      <c r="BQ225">
        <v>0.74878048780487805</v>
      </c>
      <c r="BR225">
        <v>0.73658536585365797</v>
      </c>
      <c r="BS225">
        <v>0.724390243902439</v>
      </c>
      <c r="BT225">
        <v>0.71219512195122003</v>
      </c>
      <c r="BU225">
        <v>0.69999999999999896</v>
      </c>
      <c r="BV225">
        <v>0.687499999999999</v>
      </c>
      <c r="BW225">
        <v>0.675</v>
      </c>
      <c r="BX225">
        <v>0.6625</v>
      </c>
      <c r="BY225">
        <v>0.64999999999999902</v>
      </c>
      <c r="BZ225">
        <v>0.63749999999999896</v>
      </c>
      <c r="CA225">
        <v>0.625</v>
      </c>
      <c r="CB225">
        <v>0.6125</v>
      </c>
      <c r="CC225">
        <v>0.60</v>
      </c>
      <c r="CD225" t="e">
        <v>#VALUE!</v>
      </c>
      <c r="CE225" t="e">
        <v>#VALUE!</v>
      </c>
      <c r="CF225" t="e">
        <v>#VALUE!</v>
      </c>
      <c r="CG225" t="e">
        <v>#VALUE!</v>
      </c>
      <c r="CH225" t="e">
        <v>#VALUE!</v>
      </c>
      <c r="CI225" t="e">
        <v>#VALUE!</v>
      </c>
      <c r="CJ225" t="e">
        <v>#VALUE!</v>
      </c>
      <c r="CK225" t="e">
        <v>#VALUE!</v>
      </c>
    </row>
    <row r="226" spans="1:89" ht="12.5">
      <c r="A226" t="s">
        <v>22</v>
      </c>
      <c r="B226" t="s">
        <v>351</v>
      </c>
      <c r="C226" t="s">
        <v>351</v>
      </c>
      <c r="D226">
        <v>4.455</v>
      </c>
      <c r="E226">
        <v>4.4377070534626499</v>
      </c>
      <c r="F226"/>
      <c r="G226">
        <v>4.3524801134249698</v>
      </c>
      <c r="H226">
        <v>4.2666147616544796</v>
      </c>
      <c r="I226">
        <v>4.1769182254923196</v>
      </c>
      <c r="J226">
        <v>4.0856924068462401</v>
      </c>
      <c r="K226">
        <v>3.9948006752140999</v>
      </c>
      <c r="L226">
        <v>3.9078970075413801</v>
      </c>
      <c r="M226">
        <v>3.8257093508204099</v>
      </c>
      <c r="N226">
        <v>3.7445139300967099</v>
      </c>
      <c r="O226">
        <v>3.6594975917958101</v>
      </c>
      <c r="P226">
        <v>3.5702298012338098</v>
      </c>
      <c r="Q226">
        <v>3.4806845699720701</v>
      </c>
      <c r="R226">
        <v>3.39752392583671</v>
      </c>
      <c r="S226">
        <v>3.32271170379751</v>
      </c>
      <c r="T226">
        <v>3.2537853218509798</v>
      </c>
      <c r="U226">
        <v>3.1874292209983301</v>
      </c>
      <c r="V226">
        <v>3.1211531827552799</v>
      </c>
      <c r="W226">
        <v>5</v>
      </c>
      <c r="AG226" s="130" t="s">
        <v>347</v>
      </c>
      <c r="AI226">
        <v>1</v>
      </c>
      <c r="AJ226">
        <v>0.99513304428566096</v>
      </c>
      <c r="AK226">
        <v>0.97079826571396399</v>
      </c>
      <c r="AL226">
        <v>0.94602776735384198</v>
      </c>
      <c r="AM226">
        <v>0.91989259388711897</v>
      </c>
      <c r="AN226">
        <v>0.89306112800731097</v>
      </c>
      <c r="AO226">
        <v>0.86608890075285805</v>
      </c>
      <c r="AP226">
        <v>0.84007934876746004</v>
      </c>
      <c r="AQ226">
        <v>0.81527174577873696</v>
      </c>
      <c r="AR226">
        <v>0.79055314316812497</v>
      </c>
      <c r="AS226">
        <v>0.7644456416216</v>
      </c>
      <c r="AT226">
        <v>0.73681975938137401</v>
      </c>
      <c r="AU226">
        <v>0.708925060804943</v>
      </c>
      <c r="AV226">
        <v>0.68286711664744104</v>
      </c>
      <c r="AW226">
        <v>0.65928047867846695</v>
      </c>
      <c r="AX226">
        <v>0.637398679890398</v>
      </c>
      <c r="AY226">
        <v>0.61617615607991505</v>
      </c>
      <c r="AZ226">
        <v>0.59482262859566604</v>
      </c>
      <c r="BA226">
        <v>0</v>
      </c>
      <c r="BB226">
        <v>0</v>
      </c>
      <c r="BC226">
        <v>0</v>
      </c>
      <c r="BD226">
        <v>0</v>
      </c>
      <c r="BE226">
        <v>0</v>
      </c>
      <c r="BF226">
        <v>0</v>
      </c>
      <c r="BG226">
        <v>0</v>
      </c>
      <c r="BH226">
        <v>0</v>
      </c>
      <c r="BJ226" t="s">
        <v>357</v>
      </c>
      <c r="BL226">
        <v>0.80</v>
      </c>
      <c r="BM226">
        <v>0.79756097560975603</v>
      </c>
      <c r="BN226">
        <v>0.78536585365853595</v>
      </c>
      <c r="BO226">
        <v>0.77317073170731698</v>
      </c>
      <c r="BP226">
        <v>0.76097560975609702</v>
      </c>
      <c r="BQ226">
        <v>0.74878048780487805</v>
      </c>
      <c r="BR226">
        <v>0.73658536585365797</v>
      </c>
      <c r="BS226">
        <v>0.724390243902439</v>
      </c>
      <c r="BT226">
        <v>0.71219512195122003</v>
      </c>
      <c r="BU226">
        <v>0.69999999999999896</v>
      </c>
      <c r="BV226">
        <v>0.687499999999999</v>
      </c>
      <c r="BW226">
        <v>0.675</v>
      </c>
      <c r="BX226">
        <v>0.6625</v>
      </c>
      <c r="BY226">
        <v>0.64999999999999902</v>
      </c>
      <c r="BZ226">
        <v>0.63749999999999896</v>
      </c>
      <c r="CA226">
        <v>0.625</v>
      </c>
      <c r="CB226">
        <v>0.6125</v>
      </c>
      <c r="CC226">
        <v>0.60</v>
      </c>
      <c r="CD226" t="e">
        <v>#VALUE!</v>
      </c>
      <c r="CE226" t="e">
        <v>#VALUE!</v>
      </c>
      <c r="CF226" t="e">
        <v>#VALUE!</v>
      </c>
      <c r="CG226" t="e">
        <v>#VALUE!</v>
      </c>
      <c r="CH226" t="e">
        <v>#VALUE!</v>
      </c>
      <c r="CI226" t="e">
        <v>#VALUE!</v>
      </c>
      <c r="CJ226" t="e">
        <v>#VALUE!</v>
      </c>
      <c r="CK226" t="e">
        <v>#VALUE!</v>
      </c>
    </row>
    <row r="227" spans="1:89" ht="12.5">
      <c r="A227" t="s">
        <v>22</v>
      </c>
      <c r="B227" t="s">
        <v>352</v>
      </c>
      <c r="C227" t="s">
        <v>352</v>
      </c>
      <c r="D227">
        <v>3.115</v>
      </c>
      <c r="E227">
        <v>3.1029085233526699</v>
      </c>
      <c r="F227"/>
      <c r="G227">
        <v>3.0433166225182502</v>
      </c>
      <c r="H227">
        <v>2.9832783350288898</v>
      </c>
      <c r="I227">
        <v>2.9205612283745399</v>
      </c>
      <c r="J227">
        <v>2.8567748254379399</v>
      </c>
      <c r="K227">
        <v>2.79322202094095</v>
      </c>
      <c r="L227">
        <v>2.7324577280564299</v>
      </c>
      <c r="M227">
        <v>2.6749909377790302</v>
      </c>
      <c r="N227">
        <v>2.61821793316527</v>
      </c>
      <c r="O227">
        <v>2.55877328809067</v>
      </c>
      <c r="P227">
        <v>2.4963559665192698</v>
      </c>
      <c r="Q227">
        <v>2.4337446544249102</v>
      </c>
      <c r="R227">
        <v>2.3755975373695501</v>
      </c>
      <c r="S227">
        <v>2.32328775697626</v>
      </c>
      <c r="T227">
        <v>2.2750934405310401</v>
      </c>
      <c r="U227">
        <v>2.2286963015510199</v>
      </c>
      <c r="V227">
        <v>2.1823551434978001</v>
      </c>
      <c r="W227">
        <v>5</v>
      </c>
      <c r="AG227" s="130" t="s">
        <v>347</v>
      </c>
      <c r="AI227">
        <v>1</v>
      </c>
      <c r="AJ227">
        <v>0.99513304428566096</v>
      </c>
      <c r="AK227">
        <v>0.97079826571396399</v>
      </c>
      <c r="AL227">
        <v>0.94602776735384198</v>
      </c>
      <c r="AM227">
        <v>0.91989259388711897</v>
      </c>
      <c r="AN227">
        <v>0.89306112800731097</v>
      </c>
      <c r="AO227">
        <v>0.86608890075285805</v>
      </c>
      <c r="AP227">
        <v>0.84007934876746004</v>
      </c>
      <c r="AQ227">
        <v>0.81527174577873696</v>
      </c>
      <c r="AR227">
        <v>0.79055314316812497</v>
      </c>
      <c r="AS227">
        <v>0.7644456416216</v>
      </c>
      <c r="AT227">
        <v>0.73681975938137401</v>
      </c>
      <c r="AU227">
        <v>0.708925060804943</v>
      </c>
      <c r="AV227">
        <v>0.68286711664744104</v>
      </c>
      <c r="AW227">
        <v>0.65928047867846695</v>
      </c>
      <c r="AX227">
        <v>0.637398679890398</v>
      </c>
      <c r="AY227">
        <v>0.61617615607991505</v>
      </c>
      <c r="AZ227">
        <v>0.59482262859566604</v>
      </c>
      <c r="BA227">
        <v>0</v>
      </c>
      <c r="BB227">
        <v>0</v>
      </c>
      <c r="BC227">
        <v>0</v>
      </c>
      <c r="BD227">
        <v>0</v>
      </c>
      <c r="BE227">
        <v>0</v>
      </c>
      <c r="BF227">
        <v>0</v>
      </c>
      <c r="BG227">
        <v>0</v>
      </c>
      <c r="BH227">
        <v>0</v>
      </c>
      <c r="BJ227" t="s">
        <v>357</v>
      </c>
      <c r="BL227">
        <v>0.80</v>
      </c>
      <c r="BM227">
        <v>0.79756097560975603</v>
      </c>
      <c r="BN227">
        <v>0.78536585365853595</v>
      </c>
      <c r="BO227">
        <v>0.77317073170731698</v>
      </c>
      <c r="BP227">
        <v>0.76097560975609702</v>
      </c>
      <c r="BQ227">
        <v>0.74878048780487805</v>
      </c>
      <c r="BR227">
        <v>0.73658536585365797</v>
      </c>
      <c r="BS227">
        <v>0.724390243902439</v>
      </c>
      <c r="BT227">
        <v>0.71219512195122003</v>
      </c>
      <c r="BU227">
        <v>0.69999999999999896</v>
      </c>
      <c r="BV227">
        <v>0.687499999999999</v>
      </c>
      <c r="BW227">
        <v>0.675</v>
      </c>
      <c r="BX227">
        <v>0.6625</v>
      </c>
      <c r="BY227">
        <v>0.64999999999999902</v>
      </c>
      <c r="BZ227">
        <v>0.63749999999999896</v>
      </c>
      <c r="CA227">
        <v>0.625</v>
      </c>
      <c r="CB227">
        <v>0.6125</v>
      </c>
      <c r="CC227">
        <v>0.60</v>
      </c>
      <c r="CD227" t="e">
        <v>#VALUE!</v>
      </c>
      <c r="CE227" t="e">
        <v>#VALUE!</v>
      </c>
      <c r="CF227" t="e">
        <v>#VALUE!</v>
      </c>
      <c r="CG227" t="e">
        <v>#VALUE!</v>
      </c>
      <c r="CH227" t="e">
        <v>#VALUE!</v>
      </c>
      <c r="CI227" t="e">
        <v>#VALUE!</v>
      </c>
      <c r="CJ227" t="e">
        <v>#VALUE!</v>
      </c>
      <c r="CK227" t="e">
        <v>#VALUE!</v>
      </c>
    </row>
    <row r="228" spans="1:89" ht="12.5">
      <c r="A228" t="s">
        <v>22</v>
      </c>
      <c r="B228" t="s">
        <v>353</v>
      </c>
      <c r="C228" t="s">
        <v>353</v>
      </c>
      <c r="D228">
        <v>687.19200000000001</v>
      </c>
      <c r="E228">
        <v>688.00804149629096</v>
      </c>
      <c r="F228"/>
      <c r="G228">
        <v>741.91514010037895</v>
      </c>
      <c r="H228">
        <v>780.49175769334499</v>
      </c>
      <c r="I228">
        <v>823.44104393153202</v>
      </c>
      <c r="J228">
        <v>864.20532400352499</v>
      </c>
      <c r="K228">
        <v>906.88172123178697</v>
      </c>
      <c r="L228">
        <v>951.37001831578596</v>
      </c>
      <c r="M228">
        <v>994.94846050284195</v>
      </c>
      <c r="N228">
        <v>1036.9868706562399</v>
      </c>
      <c r="O228">
        <v>1078.76981652578</v>
      </c>
      <c r="P228">
        <v>1120.0990274640901</v>
      </c>
      <c r="Q228">
        <v>1160.5181605888999</v>
      </c>
      <c r="R228">
        <v>1199.3888383973899</v>
      </c>
      <c r="S228">
        <v>1236.5803792343499</v>
      </c>
      <c r="T228">
        <v>1272.0784290843901</v>
      </c>
      <c r="U228">
        <v>1305.7166823053601</v>
      </c>
      <c r="V228">
        <v>1337.06757119091</v>
      </c>
      <c r="W228">
        <v>5</v>
      </c>
      <c r="AG228" s="130" t="s">
        <v>354</v>
      </c>
      <c r="AI228">
        <v>1</v>
      </c>
      <c r="AJ228">
        <v>1.00148891619088</v>
      </c>
      <c r="AK228">
        <v>1.10140296901448</v>
      </c>
      <c r="AL228">
        <v>1.17547269697002</v>
      </c>
      <c r="AM228">
        <v>1.2604747545574999</v>
      </c>
      <c r="AN228">
        <v>1.3438096508850801</v>
      </c>
      <c r="AO228">
        <v>1.43390149586613</v>
      </c>
      <c r="AP228">
        <v>1.53100655541396</v>
      </c>
      <c r="AQ228">
        <v>1.62947572966333</v>
      </c>
      <c r="AR228">
        <v>1.7278305286129401</v>
      </c>
      <c r="AS228">
        <v>1.82909433294194</v>
      </c>
      <c r="AT228">
        <v>1.93290946446754</v>
      </c>
      <c r="AU228">
        <v>2.0381919682824798</v>
      </c>
      <c r="AV228">
        <v>2.1432191959752598</v>
      </c>
      <c r="AW228">
        <v>2.2474678772223302</v>
      </c>
      <c r="AX228">
        <v>2.3506954271097298</v>
      </c>
      <c r="AY228">
        <v>2.4521822873530401</v>
      </c>
      <c r="AZ228">
        <v>2.5503124246941402</v>
      </c>
      <c r="BA228">
        <v>0</v>
      </c>
      <c r="BB228">
        <v>0</v>
      </c>
      <c r="BC228">
        <v>0</v>
      </c>
      <c r="BD228">
        <v>0</v>
      </c>
      <c r="BE228">
        <v>0</v>
      </c>
      <c r="BF228">
        <v>0</v>
      </c>
      <c r="BG228">
        <v>0</v>
      </c>
      <c r="BH228">
        <v>0</v>
      </c>
      <c r="BJ228" t="s">
        <v>357</v>
      </c>
      <c r="BL228">
        <v>0.80</v>
      </c>
      <c r="BM228">
        <v>0.79756097560975603</v>
      </c>
      <c r="BN228">
        <v>0.78536585365853595</v>
      </c>
      <c r="BO228">
        <v>0.77317073170731698</v>
      </c>
      <c r="BP228">
        <v>0.76097560975609702</v>
      </c>
      <c r="BQ228">
        <v>0.74878048780487805</v>
      </c>
      <c r="BR228">
        <v>0.73658536585365797</v>
      </c>
      <c r="BS228">
        <v>0.724390243902439</v>
      </c>
      <c r="BT228">
        <v>0.71219512195122003</v>
      </c>
      <c r="BU228">
        <v>0.69999999999999896</v>
      </c>
      <c r="BV228">
        <v>0.687499999999999</v>
      </c>
      <c r="BW228">
        <v>0.675</v>
      </c>
      <c r="BX228">
        <v>0.6625</v>
      </c>
      <c r="BY228">
        <v>0.64999999999999902</v>
      </c>
      <c r="BZ228">
        <v>0.63749999999999896</v>
      </c>
      <c r="CA228">
        <v>0.625</v>
      </c>
      <c r="CB228">
        <v>0.6125</v>
      </c>
      <c r="CC228">
        <v>0.60</v>
      </c>
      <c r="CD228" t="e">
        <v>#VALUE!</v>
      </c>
      <c r="CE228" t="e">
        <v>#VALUE!</v>
      </c>
      <c r="CF228" t="e">
        <v>#VALUE!</v>
      </c>
      <c r="CG228" t="e">
        <v>#VALUE!</v>
      </c>
      <c r="CH228" t="e">
        <v>#VALUE!</v>
      </c>
      <c r="CI228" t="e">
        <v>#VALUE!</v>
      </c>
      <c r="CJ228" t="e">
        <v>#VALUE!</v>
      </c>
      <c r="CK228" t="e">
        <v>#VALUE!</v>
      </c>
    </row>
    <row r="229" spans="1:89" ht="12.5">
      <c r="A229" t="s">
        <v>22</v>
      </c>
      <c r="B229" t="s">
        <v>355</v>
      </c>
      <c r="C229" t="s">
        <v>355</v>
      </c>
      <c r="D229">
        <v>96.80</v>
      </c>
      <c r="E229">
        <v>96.538642708953702</v>
      </c>
      <c r="F229"/>
      <c r="G229">
        <v>102.063668575959</v>
      </c>
      <c r="H229">
        <v>105.22165878455201</v>
      </c>
      <c r="I229">
        <v>108.639824719206</v>
      </c>
      <c r="J229">
        <v>111.488401802683</v>
      </c>
      <c r="K229">
        <v>114.347460941356</v>
      </c>
      <c r="L229">
        <v>117.300933764647</v>
      </c>
      <c r="M229">
        <v>120.04837497567701</v>
      </c>
      <c r="N229">
        <v>122.41899048032001</v>
      </c>
      <c r="O229">
        <v>124.409250249737</v>
      </c>
      <c r="P229">
        <v>125.9685281144</v>
      </c>
      <c r="Q229">
        <v>127.182626780273</v>
      </c>
      <c r="R229">
        <v>128.24728009618099</v>
      </c>
      <c r="S229">
        <v>129.26274876802901</v>
      </c>
      <c r="T229">
        <v>130.16885805026499</v>
      </c>
      <c r="U229">
        <v>130.84177592296601</v>
      </c>
      <c r="V229">
        <v>131.15389350344799</v>
      </c>
      <c r="W229">
        <v>5</v>
      </c>
      <c r="AG229" s="130" t="s">
        <v>342</v>
      </c>
      <c r="AI229">
        <v>1</v>
      </c>
      <c r="AJ229">
        <v>0.99661471398738299</v>
      </c>
      <c r="AK229">
        <v>1.06924009217147</v>
      </c>
      <c r="AL229">
        <v>1.11202981109995</v>
      </c>
      <c r="AM229">
        <v>1.1595013914991299</v>
      </c>
      <c r="AN229">
        <v>1.2001041626465401</v>
      </c>
      <c r="AO229">
        <v>1.2418861703425701</v>
      </c>
      <c r="AP229">
        <v>1.2861669900308701</v>
      </c>
      <c r="AQ229">
        <v>1.3284655228267099</v>
      </c>
      <c r="AR229">
        <v>1.3659418552567999</v>
      </c>
      <c r="AS229">
        <v>1.3982431909322399</v>
      </c>
      <c r="AT229">
        <v>1.4242058865149501</v>
      </c>
      <c r="AU229">
        <v>1.4449253650468099</v>
      </c>
      <c r="AV229">
        <v>1.4635339126990701</v>
      </c>
      <c r="AW229">
        <v>1.4817116979096101</v>
      </c>
      <c r="AX229">
        <v>1.49833016206414</v>
      </c>
      <c r="AY229">
        <v>1.5109762558284501</v>
      </c>
      <c r="AZ229">
        <v>1.51698354019676</v>
      </c>
      <c r="BA229">
        <v>0</v>
      </c>
      <c r="BB229">
        <v>0</v>
      </c>
      <c r="BC229">
        <v>0</v>
      </c>
      <c r="BD229">
        <v>0</v>
      </c>
      <c r="BE229">
        <v>0</v>
      </c>
      <c r="BF229">
        <v>0</v>
      </c>
      <c r="BG229">
        <v>0</v>
      </c>
      <c r="BH229">
        <v>0</v>
      </c>
      <c r="BJ229" t="s">
        <v>357</v>
      </c>
      <c r="BL229">
        <v>0.80</v>
      </c>
      <c r="BM229">
        <v>0.79756097560975603</v>
      </c>
      <c r="BN229">
        <v>0.78536585365853595</v>
      </c>
      <c r="BO229">
        <v>0.77317073170731698</v>
      </c>
      <c r="BP229">
        <v>0.76097560975609702</v>
      </c>
      <c r="BQ229">
        <v>0.74878048780487805</v>
      </c>
      <c r="BR229">
        <v>0.73658536585365797</v>
      </c>
      <c r="BS229">
        <v>0.724390243902439</v>
      </c>
      <c r="BT229">
        <v>0.71219512195122003</v>
      </c>
      <c r="BU229">
        <v>0.69999999999999896</v>
      </c>
      <c r="BV229">
        <v>0.687499999999999</v>
      </c>
      <c r="BW229">
        <v>0.675</v>
      </c>
      <c r="BX229">
        <v>0.6625</v>
      </c>
      <c r="BY229">
        <v>0.64999999999999902</v>
      </c>
      <c r="BZ229">
        <v>0.63749999999999896</v>
      </c>
      <c r="CA229">
        <v>0.625</v>
      </c>
      <c r="CB229">
        <v>0.6125</v>
      </c>
      <c r="CC229">
        <v>0.60</v>
      </c>
      <c r="CD229" t="e">
        <v>#VALUE!</v>
      </c>
      <c r="CE229" t="e">
        <v>#VALUE!</v>
      </c>
      <c r="CF229" t="e">
        <v>#VALUE!</v>
      </c>
      <c r="CG229" t="e">
        <v>#VALUE!</v>
      </c>
      <c r="CH229" t="e">
        <v>#VALUE!</v>
      </c>
      <c r="CI229" t="e">
        <v>#VALUE!</v>
      </c>
      <c r="CJ229" t="e">
        <v>#VALUE!</v>
      </c>
      <c r="CK229" t="e">
        <v>#VALUE!</v>
      </c>
    </row>
    <row r="230" spans="1:89" ht="12.5">
      <c r="A230" t="s">
        <v>22</v>
      </c>
      <c r="B230" t="s">
        <v>356</v>
      </c>
      <c r="C230" t="s">
        <v>356</v>
      </c>
      <c r="D230">
        <v>114.16</v>
      </c>
      <c r="E230">
        <v>113.851771194774</v>
      </c>
      <c r="F230"/>
      <c r="G230">
        <v>120.367648808176</v>
      </c>
      <c r="H230">
        <v>124.091989326906</v>
      </c>
      <c r="I230">
        <v>128.12316518537699</v>
      </c>
      <c r="J230">
        <v>131.48260278713099</v>
      </c>
      <c r="K230">
        <v>134.85440228373201</v>
      </c>
      <c r="L230">
        <v>138.337547505911</v>
      </c>
      <c r="M230">
        <v>141.577711644868</v>
      </c>
      <c r="N230">
        <v>144.37347059125301</v>
      </c>
      <c r="O230">
        <v>146.72066124493699</v>
      </c>
      <c r="P230">
        <v>148.55957819772701</v>
      </c>
      <c r="Q230">
        <v>149.99141191359499</v>
      </c>
      <c r="R230">
        <v>151.246998923348</v>
      </c>
      <c r="S230">
        <v>152.44458057188299</v>
      </c>
      <c r="T230">
        <v>153.51319044440399</v>
      </c>
      <c r="U230">
        <v>154.30678862981199</v>
      </c>
      <c r="V230">
        <v>154.674881016049</v>
      </c>
      <c r="W230">
        <v>5</v>
      </c>
      <c r="AG230" s="130" t="s">
        <v>342</v>
      </c>
      <c r="AI230">
        <v>1</v>
      </c>
      <c r="AJ230">
        <v>0.99661471398738299</v>
      </c>
      <c r="AK230">
        <v>1.06924009217147</v>
      </c>
      <c r="AL230">
        <v>1.11202981109995</v>
      </c>
      <c r="AM230">
        <v>1.1595013914991299</v>
      </c>
      <c r="AN230">
        <v>1.2001041626465401</v>
      </c>
      <c r="AO230">
        <v>1.2418861703425701</v>
      </c>
      <c r="AP230">
        <v>1.2861669900308701</v>
      </c>
      <c r="AQ230">
        <v>1.3284655228267099</v>
      </c>
      <c r="AR230">
        <v>1.3659418552567999</v>
      </c>
      <c r="AS230">
        <v>1.3982431909322399</v>
      </c>
      <c r="AT230">
        <v>1.4242058865149501</v>
      </c>
      <c r="AU230">
        <v>1.4449253650468099</v>
      </c>
      <c r="AV230">
        <v>1.4635339126990701</v>
      </c>
      <c r="AW230">
        <v>1.4817116979096101</v>
      </c>
      <c r="AX230">
        <v>1.49833016206414</v>
      </c>
      <c r="AY230">
        <v>1.5109762558284501</v>
      </c>
      <c r="AZ230">
        <v>1.51698354019676</v>
      </c>
      <c r="BA230">
        <v>0</v>
      </c>
      <c r="BB230">
        <v>0</v>
      </c>
      <c r="BC230">
        <v>0</v>
      </c>
      <c r="BD230">
        <v>0</v>
      </c>
      <c r="BE230">
        <v>0</v>
      </c>
      <c r="BF230">
        <v>0</v>
      </c>
      <c r="BG230">
        <v>0</v>
      </c>
      <c r="BH230">
        <v>0</v>
      </c>
      <c r="BJ230" t="s">
        <v>357</v>
      </c>
      <c r="BL230">
        <v>0.80</v>
      </c>
      <c r="BM230">
        <v>0.79756097560975603</v>
      </c>
      <c r="BN230">
        <v>0.78536585365853595</v>
      </c>
      <c r="BO230">
        <v>0.77317073170731698</v>
      </c>
      <c r="BP230">
        <v>0.76097560975609702</v>
      </c>
      <c r="BQ230">
        <v>0.74878048780487805</v>
      </c>
      <c r="BR230">
        <v>0.73658536585365797</v>
      </c>
      <c r="BS230">
        <v>0.724390243902439</v>
      </c>
      <c r="BT230">
        <v>0.71219512195122003</v>
      </c>
      <c r="BU230">
        <v>0.69999999999999896</v>
      </c>
      <c r="BV230">
        <v>0.687499999999999</v>
      </c>
      <c r="BW230">
        <v>0.675</v>
      </c>
      <c r="BX230">
        <v>0.6625</v>
      </c>
      <c r="BY230">
        <v>0.64999999999999902</v>
      </c>
      <c r="BZ230">
        <v>0.63749999999999896</v>
      </c>
      <c r="CA230">
        <v>0.625</v>
      </c>
      <c r="CB230">
        <v>0.6125</v>
      </c>
      <c r="CC230">
        <v>0.60</v>
      </c>
      <c r="CD230" t="e">
        <v>#VALUE!</v>
      </c>
      <c r="CE230" t="e">
        <v>#VALUE!</v>
      </c>
      <c r="CF230" t="e">
        <v>#VALUE!</v>
      </c>
      <c r="CG230" t="e">
        <v>#VALUE!</v>
      </c>
      <c r="CH230" t="e">
        <v>#VALUE!</v>
      </c>
      <c r="CI230" t="e">
        <v>#VALUE!</v>
      </c>
      <c r="CJ230" t="e">
        <v>#VALUE!</v>
      </c>
      <c r="CK230" t="e">
        <v>#VALUE!</v>
      </c>
    </row>
    <row r="231" spans="1:89" ht="12.5">
      <c r="A231" t="s">
        <v>23</v>
      </c>
      <c r="B231" t="s">
        <v>341</v>
      </c>
      <c r="C231" t="s">
        <v>341</v>
      </c>
      <c r="E231" s="2">
        <v>90.136915586846001</v>
      </c>
      <c r="F231" s="2">
        <f>E231</f>
        <v>90.136915586846001</v>
      </c>
      <c r="I231" s="2">
        <f>F231</f>
        <v>90.136915586846001</v>
      </c>
      <c r="J231" s="2">
        <f>I231</f>
        <v>90.136915586846001</v>
      </c>
      <c r="L231" s="2">
        <f>J231</f>
        <v>90.136915586846001</v>
      </c>
      <c r="V231" s="2">
        <f>L231</f>
        <v>90.136915586846001</v>
      </c>
      <c r="W231">
        <v>5</v>
      </c>
      <c r="AG231" s="130" t="s">
        <v>342</v>
      </c>
      <c r="AI231">
        <v>1</v>
      </c>
      <c r="AJ231">
        <v>1.0007894164633799</v>
      </c>
      <c r="AK231">
        <v>1.2158105064093301</v>
      </c>
      <c r="AL231">
        <v>1.40669245927961</v>
      </c>
      <c r="AM231">
        <v>1.63133174234812</v>
      </c>
      <c r="AN231">
        <v>1.8882728451538</v>
      </c>
      <c r="AO231">
        <v>2.17187201987731</v>
      </c>
      <c r="AP231">
        <v>2.4767316393066001</v>
      </c>
      <c r="AQ231">
        <v>2.80352684491355</v>
      </c>
      <c r="AR231">
        <v>3.1539405725668401</v>
      </c>
      <c r="AS231">
        <v>3.5324808224329698</v>
      </c>
      <c r="AT231">
        <v>3.9319426968848901</v>
      </c>
      <c r="AU231">
        <v>4.34651397012136</v>
      </c>
      <c r="AV231">
        <v>4.7681845383142001</v>
      </c>
      <c r="AW231">
        <v>5.1948031082572497</v>
      </c>
      <c r="AX231">
        <v>5.6265805711829699</v>
      </c>
      <c r="AY231">
        <v>6.0633418389245897</v>
      </c>
      <c r="AZ231">
        <v>6.5055393254522702</v>
      </c>
      <c r="BA231">
        <v>0</v>
      </c>
      <c r="BB231">
        <v>0</v>
      </c>
      <c r="BC231">
        <v>0</v>
      </c>
      <c r="BD231">
        <v>0</v>
      </c>
      <c r="BE231">
        <v>0</v>
      </c>
      <c r="BF231">
        <v>0</v>
      </c>
      <c r="BG231">
        <v>0</v>
      </c>
      <c r="BH231">
        <v>0</v>
      </c>
      <c r="BJ231" t="s">
        <v>343</v>
      </c>
      <c r="BL231">
        <v>1</v>
      </c>
      <c r="BM231">
        <v>0.99756097560975698</v>
      </c>
      <c r="BN231">
        <v>0.98536585365853702</v>
      </c>
      <c r="BO231">
        <v>0.97317073170731705</v>
      </c>
      <c r="BP231">
        <v>0.96097560975609797</v>
      </c>
      <c r="BQ231">
        <v>0.948780487804878</v>
      </c>
      <c r="BR231">
        <v>0.93658536585365804</v>
      </c>
      <c r="BS231">
        <v>0.92439024390243896</v>
      </c>
      <c r="BT231">
        <v>0.91219512195121999</v>
      </c>
      <c r="BU231">
        <v>0.90</v>
      </c>
      <c r="BV231">
        <v>0.8875</v>
      </c>
      <c r="BW231">
        <v>0.875000000000001</v>
      </c>
      <c r="BX231">
        <v>0.86250000000000104</v>
      </c>
      <c r="BY231">
        <v>0.85000000000000098</v>
      </c>
      <c r="BZ231">
        <v>0.8375</v>
      </c>
      <c r="CA231">
        <v>0.82500000000000095</v>
      </c>
      <c r="CB231">
        <v>0.812500000000001</v>
      </c>
      <c r="CC231">
        <v>0.80000000000000104</v>
      </c>
      <c r="CD231" t="e">
        <v>#VALUE!</v>
      </c>
      <c r="CE231" t="e">
        <v>#VALUE!</v>
      </c>
      <c r="CF231" t="e">
        <v>#VALUE!</v>
      </c>
      <c r="CG231" t="e">
        <v>#VALUE!</v>
      </c>
      <c r="CH231" t="e">
        <v>#VALUE!</v>
      </c>
      <c r="CI231" t="e">
        <v>#VALUE!</v>
      </c>
      <c r="CJ231" t="e">
        <v>#VALUE!</v>
      </c>
      <c r="CK231" t="e">
        <v>#VALUE!</v>
      </c>
    </row>
    <row r="232" spans="1:89" ht="12.5">
      <c r="A232" t="s">
        <v>23</v>
      </c>
      <c r="B232" t="s">
        <v>344</v>
      </c>
      <c r="C232" t="s">
        <v>344</v>
      </c>
      <c r="E232" s="2">
        <v>322.67156483178502</v>
      </c>
      <c r="F232" s="2">
        <f>E232</f>
        <v>322.67156483178502</v>
      </c>
      <c r="I232" s="2">
        <f>F232</f>
        <v>322.67156483178502</v>
      </c>
      <c r="J232" s="2">
        <f>I232</f>
        <v>322.67156483178502</v>
      </c>
      <c r="L232" s="2">
        <f>J232</f>
        <v>322.67156483178502</v>
      </c>
      <c r="V232" s="2">
        <f>L232</f>
        <v>322.67156483178502</v>
      </c>
      <c r="W232">
        <v>5</v>
      </c>
      <c r="AG232" s="130" t="s">
        <v>342</v>
      </c>
      <c r="AI232">
        <v>1</v>
      </c>
      <c r="AJ232">
        <v>1.0007894164633799</v>
      </c>
      <c r="AK232">
        <v>1.2158105064093301</v>
      </c>
      <c r="AL232">
        <v>1.40669245927961</v>
      </c>
      <c r="AM232">
        <v>1.63133174234812</v>
      </c>
      <c r="AN232">
        <v>1.8882728451538</v>
      </c>
      <c r="AO232">
        <v>2.17187201987731</v>
      </c>
      <c r="AP232">
        <v>2.4767316393066001</v>
      </c>
      <c r="AQ232">
        <v>2.80352684491355</v>
      </c>
      <c r="AR232">
        <v>3.1539405725668401</v>
      </c>
      <c r="AS232">
        <v>3.5324808224329698</v>
      </c>
      <c r="AT232">
        <v>3.9319426968848901</v>
      </c>
      <c r="AU232">
        <v>4.34651397012136</v>
      </c>
      <c r="AV232">
        <v>4.7681845383142001</v>
      </c>
      <c r="AW232">
        <v>5.1948031082572497</v>
      </c>
      <c r="AX232">
        <v>5.6265805711829699</v>
      </c>
      <c r="AY232">
        <v>6.0633418389245897</v>
      </c>
      <c r="AZ232">
        <v>6.5055393254522702</v>
      </c>
      <c r="BA232">
        <v>0</v>
      </c>
      <c r="BB232">
        <v>0</v>
      </c>
      <c r="BC232">
        <v>0</v>
      </c>
      <c r="BD232">
        <v>0</v>
      </c>
      <c r="BE232">
        <v>0</v>
      </c>
      <c r="BF232">
        <v>0</v>
      </c>
      <c r="BG232">
        <v>0</v>
      </c>
      <c r="BH232">
        <v>0</v>
      </c>
      <c r="BJ232" t="s">
        <v>343</v>
      </c>
      <c r="BL232">
        <v>1</v>
      </c>
      <c r="BM232">
        <v>0.99756097560975698</v>
      </c>
      <c r="BN232">
        <v>0.98536585365853702</v>
      </c>
      <c r="BO232">
        <v>0.97317073170731705</v>
      </c>
      <c r="BP232">
        <v>0.96097560975609797</v>
      </c>
      <c r="BQ232">
        <v>0.948780487804878</v>
      </c>
      <c r="BR232">
        <v>0.93658536585365804</v>
      </c>
      <c r="BS232">
        <v>0.92439024390243896</v>
      </c>
      <c r="BT232">
        <v>0.91219512195121999</v>
      </c>
      <c r="BU232">
        <v>0.90</v>
      </c>
      <c r="BV232">
        <v>0.8875</v>
      </c>
      <c r="BW232">
        <v>0.875000000000001</v>
      </c>
      <c r="BX232">
        <v>0.86250000000000104</v>
      </c>
      <c r="BY232">
        <v>0.85000000000000098</v>
      </c>
      <c r="BZ232">
        <v>0.8375</v>
      </c>
      <c r="CA232">
        <v>0.82500000000000095</v>
      </c>
      <c r="CB232">
        <v>0.812500000000001</v>
      </c>
      <c r="CC232">
        <v>0.80000000000000104</v>
      </c>
      <c r="CD232" t="e">
        <v>#VALUE!</v>
      </c>
      <c r="CE232" t="e">
        <v>#VALUE!</v>
      </c>
      <c r="CF232" t="e">
        <v>#VALUE!</v>
      </c>
      <c r="CG232" t="e">
        <v>#VALUE!</v>
      </c>
      <c r="CH232" t="e">
        <v>#VALUE!</v>
      </c>
      <c r="CI232" t="e">
        <v>#VALUE!</v>
      </c>
      <c r="CJ232" t="e">
        <v>#VALUE!</v>
      </c>
      <c r="CK232" t="e">
        <v>#VALUE!</v>
      </c>
    </row>
    <row r="233" spans="1:89" ht="12.5">
      <c r="A233" t="s">
        <v>23</v>
      </c>
      <c r="B233" t="s">
        <v>345</v>
      </c>
      <c r="C233" t="s">
        <v>345</v>
      </c>
      <c r="E233" s="2">
        <v>1.8464634830718401</v>
      </c>
      <c r="I233" s="2">
        <v>2.9750260287216999</v>
      </c>
      <c r="J233" s="2">
        <v>3.4196038686686299</v>
      </c>
      <c r="L233" s="2">
        <v>4.4067460448818503</v>
      </c>
      <c r="V233" s="2">
        <v>10.1928288864832</v>
      </c>
      <c r="W233">
        <v>5</v>
      </c>
      <c r="AG233" s="130" t="s">
        <v>342</v>
      </c>
      <c r="AI233">
        <v>1</v>
      </c>
      <c r="AJ233">
        <v>1.0007894164633799</v>
      </c>
      <c r="AK233">
        <v>1.2158105064093301</v>
      </c>
      <c r="AL233">
        <v>1.40669245927961</v>
      </c>
      <c r="AM233">
        <v>1.63133174234812</v>
      </c>
      <c r="AN233">
        <v>1.8882728451538</v>
      </c>
      <c r="AO233">
        <v>2.17187201987731</v>
      </c>
      <c r="AP233">
        <v>2.4767316393066001</v>
      </c>
      <c r="AQ233">
        <v>2.80352684491355</v>
      </c>
      <c r="AR233">
        <v>3.1539405725668401</v>
      </c>
      <c r="AS233">
        <v>3.5324808224329698</v>
      </c>
      <c r="AT233">
        <v>3.9319426968848901</v>
      </c>
      <c r="AU233">
        <v>4.34651397012136</v>
      </c>
      <c r="AV233">
        <v>4.7681845383142001</v>
      </c>
      <c r="AW233">
        <v>5.1948031082572497</v>
      </c>
      <c r="AX233">
        <v>5.6265805711829699</v>
      </c>
      <c r="AY233">
        <v>6.0633418389245897</v>
      </c>
      <c r="AZ233">
        <v>6.5055393254522702</v>
      </c>
      <c r="BA233">
        <v>0</v>
      </c>
      <c r="BB233">
        <v>0</v>
      </c>
      <c r="BC233">
        <v>0</v>
      </c>
      <c r="BD233">
        <v>0</v>
      </c>
      <c r="BE233">
        <v>0</v>
      </c>
      <c r="BF233">
        <v>0</v>
      </c>
      <c r="BG233">
        <v>0</v>
      </c>
      <c r="BH233">
        <v>0</v>
      </c>
      <c r="BJ233" t="s">
        <v>343</v>
      </c>
      <c r="BL233">
        <v>1</v>
      </c>
      <c r="BM233">
        <v>0.99756097560975698</v>
      </c>
      <c r="BN233">
        <v>0.98536585365853702</v>
      </c>
      <c r="BO233">
        <v>0.97317073170731705</v>
      </c>
      <c r="BP233">
        <v>0.96097560975609797</v>
      </c>
      <c r="BQ233">
        <v>0.948780487804878</v>
      </c>
      <c r="BR233">
        <v>0.93658536585365804</v>
      </c>
      <c r="BS233">
        <v>0.92439024390243896</v>
      </c>
      <c r="BT233">
        <v>0.91219512195121999</v>
      </c>
      <c r="BU233">
        <v>0.90</v>
      </c>
      <c r="BV233">
        <v>0.8875</v>
      </c>
      <c r="BW233">
        <v>0.875000000000001</v>
      </c>
      <c r="BX233">
        <v>0.86250000000000104</v>
      </c>
      <c r="BY233">
        <v>0.85000000000000098</v>
      </c>
      <c r="BZ233">
        <v>0.8375</v>
      </c>
      <c r="CA233">
        <v>0.82500000000000095</v>
      </c>
      <c r="CB233">
        <v>0.812500000000001</v>
      </c>
      <c r="CC233">
        <v>0.80000000000000104</v>
      </c>
      <c r="CD233" t="e">
        <v>#VALUE!</v>
      </c>
      <c r="CE233" t="e">
        <v>#VALUE!</v>
      </c>
      <c r="CF233" t="e">
        <v>#VALUE!</v>
      </c>
      <c r="CG233" t="e">
        <v>#VALUE!</v>
      </c>
      <c r="CH233" t="e">
        <v>#VALUE!</v>
      </c>
      <c r="CI233" t="e">
        <v>#VALUE!</v>
      </c>
      <c r="CJ233" t="e">
        <v>#VALUE!</v>
      </c>
      <c r="CK233" t="e">
        <v>#VALUE!</v>
      </c>
    </row>
    <row r="234" spans="1:89" ht="12.5">
      <c r="A234" t="s">
        <v>23</v>
      </c>
      <c r="B234" t="s">
        <v>346</v>
      </c>
      <c r="C234" t="s">
        <v>346</v>
      </c>
      <c r="E234" s="2">
        <v>5.3776419182884396</v>
      </c>
      <c r="I234" s="2">
        <v>5.9759908455788997</v>
      </c>
      <c r="J234" s="2">
        <v>6.1187464181690601</v>
      </c>
      <c r="L234" s="2">
        <v>6.3018439649189801</v>
      </c>
      <c r="V234" s="2">
        <v>5.9315434349210001</v>
      </c>
      <c r="W234">
        <v>5</v>
      </c>
      <c r="AG234" s="130" t="s">
        <v>347</v>
      </c>
      <c r="AI234">
        <v>1</v>
      </c>
      <c r="AJ234">
        <v>1.0080441712140999</v>
      </c>
      <c r="AK234">
        <v>1.0482622448697601</v>
      </c>
      <c r="AL234">
        <v>1.0885238598684299</v>
      </c>
      <c r="AM234">
        <v>1.12330523906063</v>
      </c>
      <c r="AN234">
        <v>1.1515875691434101</v>
      </c>
      <c r="AO234">
        <v>1.1732338382921399</v>
      </c>
      <c r="AP234">
        <v>1.1885987548724199</v>
      </c>
      <c r="AQ234">
        <v>1.19815163673558</v>
      </c>
      <c r="AR234">
        <v>1.20231513639837</v>
      </c>
      <c r="AS234">
        <v>1.2019315444198599</v>
      </c>
      <c r="AT234">
        <v>1.1973719046459399</v>
      </c>
      <c r="AU234">
        <v>1.18889761547766</v>
      </c>
      <c r="AV234">
        <v>1.1765846063858201</v>
      </c>
      <c r="AW234">
        <v>1.16115844981834</v>
      </c>
      <c r="AX234">
        <v>1.1433428032939199</v>
      </c>
      <c r="AY234">
        <v>1.12380721355103</v>
      </c>
      <c r="AZ234">
        <v>1.1033748027396699</v>
      </c>
      <c r="BA234">
        <v>0</v>
      </c>
      <c r="BB234">
        <v>0</v>
      </c>
      <c r="BC234">
        <v>0</v>
      </c>
      <c r="BD234">
        <v>0</v>
      </c>
      <c r="BE234">
        <v>0</v>
      </c>
      <c r="BF234">
        <v>0</v>
      </c>
      <c r="BG234">
        <v>0</v>
      </c>
      <c r="BH234">
        <v>0</v>
      </c>
      <c r="BJ234" t="s">
        <v>343</v>
      </c>
      <c r="BL234">
        <v>1</v>
      </c>
      <c r="BM234">
        <v>0.99756097560975698</v>
      </c>
      <c r="BN234">
        <v>0.98536585365853702</v>
      </c>
      <c r="BO234">
        <v>0.97317073170731705</v>
      </c>
      <c r="BP234">
        <v>0.96097560975609797</v>
      </c>
      <c r="BQ234">
        <v>0.948780487804878</v>
      </c>
      <c r="BR234">
        <v>0.93658536585365804</v>
      </c>
      <c r="BS234">
        <v>0.92439024390243896</v>
      </c>
      <c r="BT234">
        <v>0.91219512195121999</v>
      </c>
      <c r="BU234">
        <v>0.90</v>
      </c>
      <c r="BV234">
        <v>0.8875</v>
      </c>
      <c r="BW234">
        <v>0.875000000000001</v>
      </c>
      <c r="BX234">
        <v>0.86250000000000104</v>
      </c>
      <c r="BY234">
        <v>0.85000000000000098</v>
      </c>
      <c r="BZ234">
        <v>0.8375</v>
      </c>
      <c r="CA234">
        <v>0.82500000000000095</v>
      </c>
      <c r="CB234">
        <v>0.812500000000001</v>
      </c>
      <c r="CC234">
        <v>0.80000000000000104</v>
      </c>
      <c r="CD234" t="e">
        <v>#VALUE!</v>
      </c>
      <c r="CE234" t="e">
        <v>#VALUE!</v>
      </c>
      <c r="CF234" t="e">
        <v>#VALUE!</v>
      </c>
      <c r="CG234" t="e">
        <v>#VALUE!</v>
      </c>
      <c r="CH234" t="e">
        <v>#VALUE!</v>
      </c>
      <c r="CI234" t="e">
        <v>#VALUE!</v>
      </c>
      <c r="CJ234" t="e">
        <v>#VALUE!</v>
      </c>
      <c r="CK234" t="e">
        <v>#VALUE!</v>
      </c>
    </row>
    <row r="235" spans="1:89" ht="12.5">
      <c r="A235" t="s">
        <v>23</v>
      </c>
      <c r="B235" t="s">
        <v>348</v>
      </c>
      <c r="C235" t="s">
        <v>348</v>
      </c>
      <c r="E235" s="2">
        <v>51.9865510775928</v>
      </c>
      <c r="F235" s="2">
        <f>E235</f>
        <v>51.9865510775928</v>
      </c>
      <c r="I235" s="2">
        <f>F235</f>
        <v>51.9865510775928</v>
      </c>
      <c r="J235" s="2">
        <f>I235</f>
        <v>51.9865510775928</v>
      </c>
      <c r="L235" s="2">
        <f>J235</f>
        <v>51.9865510775928</v>
      </c>
      <c r="V235" s="2">
        <f>L235</f>
        <v>51.9865510775928</v>
      </c>
      <c r="W235">
        <v>5</v>
      </c>
      <c r="AG235" s="130" t="s">
        <v>342</v>
      </c>
      <c r="AI235">
        <v>1</v>
      </c>
      <c r="AJ235">
        <v>1.0007894164633799</v>
      </c>
      <c r="AK235">
        <v>1.2158105064093301</v>
      </c>
      <c r="AL235">
        <v>1.40669245927961</v>
      </c>
      <c r="AM235">
        <v>1.63133174234812</v>
      </c>
      <c r="AN235">
        <v>1.8882728451538</v>
      </c>
      <c r="AO235">
        <v>2.17187201987731</v>
      </c>
      <c r="AP235">
        <v>2.4767316393066001</v>
      </c>
      <c r="AQ235">
        <v>2.80352684491355</v>
      </c>
      <c r="AR235">
        <v>3.1539405725668401</v>
      </c>
      <c r="AS235">
        <v>3.5324808224329698</v>
      </c>
      <c r="AT235">
        <v>3.9319426968848901</v>
      </c>
      <c r="AU235">
        <v>4.34651397012136</v>
      </c>
      <c r="AV235">
        <v>4.7681845383142001</v>
      </c>
      <c r="AW235">
        <v>5.1948031082572497</v>
      </c>
      <c r="AX235">
        <v>5.6265805711829699</v>
      </c>
      <c r="AY235">
        <v>6.0633418389245897</v>
      </c>
      <c r="AZ235">
        <v>6.5055393254522702</v>
      </c>
      <c r="BA235">
        <v>0</v>
      </c>
      <c r="BB235">
        <v>0</v>
      </c>
      <c r="BC235">
        <v>0</v>
      </c>
      <c r="BD235">
        <v>0</v>
      </c>
      <c r="BE235">
        <v>0</v>
      </c>
      <c r="BF235">
        <v>0</v>
      </c>
      <c r="BG235">
        <v>0</v>
      </c>
      <c r="BH235">
        <v>0</v>
      </c>
      <c r="BJ235" t="s">
        <v>343</v>
      </c>
      <c r="BL235">
        <v>1</v>
      </c>
      <c r="BM235">
        <v>0.99756097560975698</v>
      </c>
      <c r="BN235">
        <v>0.98536585365853702</v>
      </c>
      <c r="BO235">
        <v>0.97317073170731705</v>
      </c>
      <c r="BP235">
        <v>0.96097560975609797</v>
      </c>
      <c r="BQ235">
        <v>0.948780487804878</v>
      </c>
      <c r="BR235">
        <v>0.93658536585365804</v>
      </c>
      <c r="BS235">
        <v>0.92439024390243896</v>
      </c>
      <c r="BT235">
        <v>0.91219512195121999</v>
      </c>
      <c r="BU235">
        <v>0.90</v>
      </c>
      <c r="BV235">
        <v>0.8875</v>
      </c>
      <c r="BW235">
        <v>0.875000000000001</v>
      </c>
      <c r="BX235">
        <v>0.86250000000000104</v>
      </c>
      <c r="BY235">
        <v>0.85000000000000098</v>
      </c>
      <c r="BZ235">
        <v>0.8375</v>
      </c>
      <c r="CA235">
        <v>0.82500000000000095</v>
      </c>
      <c r="CB235">
        <v>0.812500000000001</v>
      </c>
      <c r="CC235">
        <v>0.80000000000000104</v>
      </c>
      <c r="CD235" t="e">
        <v>#VALUE!</v>
      </c>
      <c r="CE235" t="e">
        <v>#VALUE!</v>
      </c>
      <c r="CF235" t="e">
        <v>#VALUE!</v>
      </c>
      <c r="CG235" t="e">
        <v>#VALUE!</v>
      </c>
      <c r="CH235" t="e">
        <v>#VALUE!</v>
      </c>
      <c r="CI235" t="e">
        <v>#VALUE!</v>
      </c>
      <c r="CJ235" t="e">
        <v>#VALUE!</v>
      </c>
      <c r="CK235" t="e">
        <v>#VALUE!</v>
      </c>
    </row>
    <row r="236" spans="1:89" ht="12.5">
      <c r="A236" t="s">
        <v>23</v>
      </c>
      <c r="B236" t="s">
        <v>349</v>
      </c>
      <c r="C236" t="s">
        <v>349</v>
      </c>
      <c r="E236" s="2">
        <v>361.38056565237599</v>
      </c>
      <c r="F236" s="2">
        <f>E236</f>
        <v>361.38056565237599</v>
      </c>
      <c r="I236" s="2">
        <f>F236</f>
        <v>361.38056565237599</v>
      </c>
      <c r="J236" s="2">
        <f>I236</f>
        <v>361.38056565237599</v>
      </c>
      <c r="L236" s="2">
        <f>J236</f>
        <v>361.38056565237599</v>
      </c>
      <c r="V236" s="2">
        <f>L236</f>
        <v>361.38056565237599</v>
      </c>
      <c r="W236">
        <v>5</v>
      </c>
      <c r="AG236" s="130" t="s">
        <v>342</v>
      </c>
      <c r="AI236">
        <v>1</v>
      </c>
      <c r="AJ236">
        <v>1.0007894164633799</v>
      </c>
      <c r="AK236">
        <v>1.2158105064093301</v>
      </c>
      <c r="AL236">
        <v>1.40669245927961</v>
      </c>
      <c r="AM236">
        <v>1.63133174234812</v>
      </c>
      <c r="AN236">
        <v>1.8882728451538</v>
      </c>
      <c r="AO236">
        <v>2.17187201987731</v>
      </c>
      <c r="AP236">
        <v>2.4767316393066001</v>
      </c>
      <c r="AQ236">
        <v>2.80352684491355</v>
      </c>
      <c r="AR236">
        <v>3.1539405725668401</v>
      </c>
      <c r="AS236">
        <v>3.5324808224329698</v>
      </c>
      <c r="AT236">
        <v>3.9319426968848901</v>
      </c>
      <c r="AU236">
        <v>4.34651397012136</v>
      </c>
      <c r="AV236">
        <v>4.7681845383142001</v>
      </c>
      <c r="AW236">
        <v>5.1948031082572497</v>
      </c>
      <c r="AX236">
        <v>5.6265805711829699</v>
      </c>
      <c r="AY236">
        <v>6.0633418389245897</v>
      </c>
      <c r="AZ236">
        <v>6.5055393254522702</v>
      </c>
      <c r="BA236">
        <v>0</v>
      </c>
      <c r="BB236">
        <v>0</v>
      </c>
      <c r="BC236">
        <v>0</v>
      </c>
      <c r="BD236">
        <v>0</v>
      </c>
      <c r="BE236">
        <v>0</v>
      </c>
      <c r="BF236">
        <v>0</v>
      </c>
      <c r="BG236">
        <v>0</v>
      </c>
      <c r="BH236">
        <v>0</v>
      </c>
      <c r="BJ236" t="s">
        <v>343</v>
      </c>
      <c r="BL236">
        <v>1</v>
      </c>
      <c r="BM236">
        <v>0.99756097560975698</v>
      </c>
      <c r="BN236">
        <v>0.98536585365853702</v>
      </c>
      <c r="BO236">
        <v>0.97317073170731705</v>
      </c>
      <c r="BP236">
        <v>0.96097560975609797</v>
      </c>
      <c r="BQ236">
        <v>0.948780487804878</v>
      </c>
      <c r="BR236">
        <v>0.93658536585365804</v>
      </c>
      <c r="BS236">
        <v>0.92439024390243896</v>
      </c>
      <c r="BT236">
        <v>0.91219512195121999</v>
      </c>
      <c r="BU236">
        <v>0.90</v>
      </c>
      <c r="BV236">
        <v>0.8875</v>
      </c>
      <c r="BW236">
        <v>0.875000000000001</v>
      </c>
      <c r="BX236">
        <v>0.86250000000000104</v>
      </c>
      <c r="BY236">
        <v>0.85000000000000098</v>
      </c>
      <c r="BZ236">
        <v>0.8375</v>
      </c>
      <c r="CA236">
        <v>0.82500000000000095</v>
      </c>
      <c r="CB236">
        <v>0.812500000000001</v>
      </c>
      <c r="CC236">
        <v>0.80000000000000104</v>
      </c>
      <c r="CD236" t="e">
        <v>#VALUE!</v>
      </c>
      <c r="CE236" t="e">
        <v>#VALUE!</v>
      </c>
      <c r="CF236" t="e">
        <v>#VALUE!</v>
      </c>
      <c r="CG236" t="e">
        <v>#VALUE!</v>
      </c>
      <c r="CH236" t="e">
        <v>#VALUE!</v>
      </c>
      <c r="CI236" t="e">
        <v>#VALUE!</v>
      </c>
      <c r="CJ236" t="e">
        <v>#VALUE!</v>
      </c>
      <c r="CK236" t="e">
        <v>#VALUE!</v>
      </c>
    </row>
    <row r="237" spans="1:89" ht="12.5">
      <c r="A237" t="s">
        <v>23</v>
      </c>
      <c r="B237" t="s">
        <v>350</v>
      </c>
      <c r="C237" t="s">
        <v>350</v>
      </c>
      <c r="D237">
        <v>22.827000000000002</v>
      </c>
      <c r="E237">
        <v>23.010176432166901</v>
      </c>
      <c r="F237"/>
      <c r="G237">
        <v>23.914781797855301</v>
      </c>
      <c r="H237">
        <v>24.808656629113599</v>
      </c>
      <c r="I237">
        <v>25.5704276713073</v>
      </c>
      <c r="J237">
        <v>26.181258768261401</v>
      </c>
      <c r="K237">
        <v>26.642177095121301</v>
      </c>
      <c r="L237">
        <v>26.964707521270501</v>
      </c>
      <c r="M237">
        <v>27.162396562671599</v>
      </c>
      <c r="N237">
        <v>27.2473453812649</v>
      </c>
      <c r="O237">
        <v>27.2396302421622</v>
      </c>
      <c r="P237">
        <v>27.149211166884001</v>
      </c>
      <c r="Q237">
        <v>26.983485210096902</v>
      </c>
      <c r="R237">
        <v>26.745945231686001</v>
      </c>
      <c r="S237">
        <v>26.452263224648998</v>
      </c>
      <c r="T237">
        <v>26.1174312803521</v>
      </c>
      <c r="U237">
        <v>25.7548512390089</v>
      </c>
      <c r="V237">
        <v>25.3802434275939</v>
      </c>
      <c r="W237">
        <v>5</v>
      </c>
      <c r="AG237" s="130" t="s">
        <v>347</v>
      </c>
      <c r="AI237">
        <v>1</v>
      </c>
      <c r="AJ237">
        <v>1.0080441712140999</v>
      </c>
      <c r="AK237">
        <v>1.0482622448697601</v>
      </c>
      <c r="AL237">
        <v>1.0885238598684299</v>
      </c>
      <c r="AM237">
        <v>1.12330523906063</v>
      </c>
      <c r="AN237">
        <v>1.1515875691434101</v>
      </c>
      <c r="AO237">
        <v>1.1732338382921399</v>
      </c>
      <c r="AP237">
        <v>1.1885987548724199</v>
      </c>
      <c r="AQ237">
        <v>1.19815163673558</v>
      </c>
      <c r="AR237">
        <v>1.20231513639837</v>
      </c>
      <c r="AS237">
        <v>1.2019315444198599</v>
      </c>
      <c r="AT237">
        <v>1.1973719046459399</v>
      </c>
      <c r="AU237">
        <v>1.18889761547766</v>
      </c>
      <c r="AV237">
        <v>1.1765846063858201</v>
      </c>
      <c r="AW237">
        <v>1.16115844981834</v>
      </c>
      <c r="AX237">
        <v>1.1433428032939199</v>
      </c>
      <c r="AY237">
        <v>1.12380721355103</v>
      </c>
      <c r="AZ237">
        <v>1.1033748027396699</v>
      </c>
      <c r="BA237">
        <v>0</v>
      </c>
      <c r="BB237">
        <v>0</v>
      </c>
      <c r="BC237">
        <v>0</v>
      </c>
      <c r="BD237">
        <v>0</v>
      </c>
      <c r="BE237">
        <v>0</v>
      </c>
      <c r="BF237">
        <v>0</v>
      </c>
      <c r="BG237">
        <v>0</v>
      </c>
      <c r="BH237">
        <v>0</v>
      </c>
      <c r="BJ237" t="s">
        <v>343</v>
      </c>
      <c r="BL237">
        <v>1</v>
      </c>
      <c r="BM237">
        <v>0.99756097560975698</v>
      </c>
      <c r="BN237">
        <v>0.98536585365853702</v>
      </c>
      <c r="BO237">
        <v>0.97317073170731705</v>
      </c>
      <c r="BP237">
        <v>0.96097560975609797</v>
      </c>
      <c r="BQ237">
        <v>0.948780487804878</v>
      </c>
      <c r="BR237">
        <v>0.93658536585365804</v>
      </c>
      <c r="BS237">
        <v>0.92439024390243896</v>
      </c>
      <c r="BT237">
        <v>0.91219512195121999</v>
      </c>
      <c r="BU237">
        <v>0.90</v>
      </c>
      <c r="BV237">
        <v>0.8875</v>
      </c>
      <c r="BW237">
        <v>0.875000000000001</v>
      </c>
      <c r="BX237">
        <v>0.86250000000000104</v>
      </c>
      <c r="BY237">
        <v>0.85000000000000098</v>
      </c>
      <c r="BZ237">
        <v>0.8375</v>
      </c>
      <c r="CA237">
        <v>0.82500000000000095</v>
      </c>
      <c r="CB237">
        <v>0.812500000000001</v>
      </c>
      <c r="CC237">
        <v>0.80000000000000104</v>
      </c>
      <c r="CD237" t="e">
        <v>#VALUE!</v>
      </c>
      <c r="CE237" t="e">
        <v>#VALUE!</v>
      </c>
      <c r="CF237" t="e">
        <v>#VALUE!</v>
      </c>
      <c r="CG237" t="e">
        <v>#VALUE!</v>
      </c>
      <c r="CH237" t="e">
        <v>#VALUE!</v>
      </c>
      <c r="CI237" t="e">
        <v>#VALUE!</v>
      </c>
      <c r="CJ237" t="e">
        <v>#VALUE!</v>
      </c>
      <c r="CK237" t="e">
        <v>#VALUE!</v>
      </c>
    </row>
    <row r="238" spans="1:89" ht="12.5">
      <c r="A238" t="s">
        <v>23</v>
      </c>
      <c r="B238" t="s">
        <v>351</v>
      </c>
      <c r="C238" t="s">
        <v>351</v>
      </c>
      <c r="D238">
        <v>5.145</v>
      </c>
      <c r="E238">
        <v>5.1862863163577702</v>
      </c>
      <c r="F238"/>
      <c r="G238">
        <v>5.3901762101881703</v>
      </c>
      <c r="H238">
        <v>5.5916475383006796</v>
      </c>
      <c r="I238">
        <v>5.7633438633581404</v>
      </c>
      <c r="J238">
        <v>5.9010196855787003</v>
      </c>
      <c r="K238">
        <v>6.0049065209795103</v>
      </c>
      <c r="L238">
        <v>6.0776019712155298</v>
      </c>
      <c r="M238">
        <v>6.1221592988542097</v>
      </c>
      <c r="N238">
        <v>6.1413059966972297</v>
      </c>
      <c r="O238">
        <v>6.1395670739004098</v>
      </c>
      <c r="P238">
        <v>6.1191874295184796</v>
      </c>
      <c r="Q238">
        <v>6.0818342929841096</v>
      </c>
      <c r="R238">
        <v>6.0282949234250998</v>
      </c>
      <c r="S238">
        <v>5.9621016467700203</v>
      </c>
      <c r="T238">
        <v>5.8866335452495404</v>
      </c>
      <c r="U238">
        <v>5.8049112728216796</v>
      </c>
      <c r="V238">
        <v>5.7204780494576797</v>
      </c>
      <c r="W238">
        <v>5</v>
      </c>
      <c r="AG238" s="130" t="s">
        <v>347</v>
      </c>
      <c r="AI238">
        <v>1</v>
      </c>
      <c r="AJ238">
        <v>1.0080441712140999</v>
      </c>
      <c r="AK238">
        <v>1.0482622448697601</v>
      </c>
      <c r="AL238">
        <v>1.0885238598684299</v>
      </c>
      <c r="AM238">
        <v>1.12330523906063</v>
      </c>
      <c r="AN238">
        <v>1.1515875691434101</v>
      </c>
      <c r="AO238">
        <v>1.1732338382921399</v>
      </c>
      <c r="AP238">
        <v>1.1885987548724199</v>
      </c>
      <c r="AQ238">
        <v>1.19815163673558</v>
      </c>
      <c r="AR238">
        <v>1.20231513639837</v>
      </c>
      <c r="AS238">
        <v>1.2019315444198599</v>
      </c>
      <c r="AT238">
        <v>1.1973719046459399</v>
      </c>
      <c r="AU238">
        <v>1.18889761547766</v>
      </c>
      <c r="AV238">
        <v>1.1765846063858201</v>
      </c>
      <c r="AW238">
        <v>1.16115844981834</v>
      </c>
      <c r="AX238">
        <v>1.1433428032939199</v>
      </c>
      <c r="AY238">
        <v>1.12380721355103</v>
      </c>
      <c r="AZ238">
        <v>1.1033748027396699</v>
      </c>
      <c r="BA238">
        <v>0</v>
      </c>
      <c r="BB238">
        <v>0</v>
      </c>
      <c r="BC238">
        <v>0</v>
      </c>
      <c r="BD238">
        <v>0</v>
      </c>
      <c r="BE238">
        <v>0</v>
      </c>
      <c r="BF238">
        <v>0</v>
      </c>
      <c r="BG238">
        <v>0</v>
      </c>
      <c r="BH238">
        <v>0</v>
      </c>
      <c r="BJ238" t="s">
        <v>343</v>
      </c>
      <c r="BL238">
        <v>1</v>
      </c>
      <c r="BM238">
        <v>0.99756097560975698</v>
      </c>
      <c r="BN238">
        <v>0.98536585365853702</v>
      </c>
      <c r="BO238">
        <v>0.97317073170731705</v>
      </c>
      <c r="BP238">
        <v>0.96097560975609797</v>
      </c>
      <c r="BQ238">
        <v>0.948780487804878</v>
      </c>
      <c r="BR238">
        <v>0.93658536585365804</v>
      </c>
      <c r="BS238">
        <v>0.92439024390243896</v>
      </c>
      <c r="BT238">
        <v>0.91219512195121999</v>
      </c>
      <c r="BU238">
        <v>0.90</v>
      </c>
      <c r="BV238">
        <v>0.8875</v>
      </c>
      <c r="BW238">
        <v>0.875000000000001</v>
      </c>
      <c r="BX238">
        <v>0.86250000000000104</v>
      </c>
      <c r="BY238">
        <v>0.85000000000000098</v>
      </c>
      <c r="BZ238">
        <v>0.8375</v>
      </c>
      <c r="CA238">
        <v>0.82500000000000095</v>
      </c>
      <c r="CB238">
        <v>0.812500000000001</v>
      </c>
      <c r="CC238">
        <v>0.80000000000000104</v>
      </c>
      <c r="CD238" t="e">
        <v>#VALUE!</v>
      </c>
      <c r="CE238" t="e">
        <v>#VALUE!</v>
      </c>
      <c r="CF238" t="e">
        <v>#VALUE!</v>
      </c>
      <c r="CG238" t="e">
        <v>#VALUE!</v>
      </c>
      <c r="CH238" t="e">
        <v>#VALUE!</v>
      </c>
      <c r="CI238" t="e">
        <v>#VALUE!</v>
      </c>
      <c r="CJ238" t="e">
        <v>#VALUE!</v>
      </c>
      <c r="CK238" t="e">
        <v>#VALUE!</v>
      </c>
    </row>
    <row r="239" spans="1:89" ht="12.5">
      <c r="A239" t="s">
        <v>23</v>
      </c>
      <c r="B239" t="s">
        <v>352</v>
      </c>
      <c r="C239" t="s">
        <v>352</v>
      </c>
      <c r="D239">
        <v>16.765</v>
      </c>
      <c r="E239">
        <v>16.8995316022814</v>
      </c>
      <c r="F239"/>
      <c r="G239">
        <v>17.563907514830799</v>
      </c>
      <c r="H239">
        <v>18.2204025227621</v>
      </c>
      <c r="I239">
        <v>18.779875581962902</v>
      </c>
      <c r="J239">
        <v>19.228492716953699</v>
      </c>
      <c r="K239">
        <v>19.567008323463799</v>
      </c>
      <c r="L239">
        <v>19.8038866953213</v>
      </c>
      <c r="M239">
        <v>19.949076898987499</v>
      </c>
      <c r="N239">
        <v>20.0114664790338</v>
      </c>
      <c r="O239">
        <v>20.005800193185699</v>
      </c>
      <c r="P239">
        <v>19.939393052648601</v>
      </c>
      <c r="Q239">
        <v>19.8176777301999</v>
      </c>
      <c r="R239">
        <v>19.643219512385201</v>
      </c>
      <c r="S239">
        <v>19.427528495257398</v>
      </c>
      <c r="T239">
        <v>19.1816154297587</v>
      </c>
      <c r="U239">
        <v>18.9153231270856</v>
      </c>
      <c r="V239">
        <v>18.640197181566201</v>
      </c>
      <c r="W239">
        <v>5</v>
      </c>
      <c r="AG239" s="130" t="s">
        <v>347</v>
      </c>
      <c r="AI239">
        <v>1</v>
      </c>
      <c r="AJ239">
        <v>1.0080441712140999</v>
      </c>
      <c r="AK239">
        <v>1.0482622448697601</v>
      </c>
      <c r="AL239">
        <v>1.0885238598684299</v>
      </c>
      <c r="AM239">
        <v>1.12330523906063</v>
      </c>
      <c r="AN239">
        <v>1.1515875691434101</v>
      </c>
      <c r="AO239">
        <v>1.1732338382921399</v>
      </c>
      <c r="AP239">
        <v>1.1885987548724199</v>
      </c>
      <c r="AQ239">
        <v>1.19815163673558</v>
      </c>
      <c r="AR239">
        <v>1.20231513639837</v>
      </c>
      <c r="AS239">
        <v>1.2019315444198599</v>
      </c>
      <c r="AT239">
        <v>1.1973719046459399</v>
      </c>
      <c r="AU239">
        <v>1.18889761547766</v>
      </c>
      <c r="AV239">
        <v>1.1765846063858201</v>
      </c>
      <c r="AW239">
        <v>1.16115844981834</v>
      </c>
      <c r="AX239">
        <v>1.1433428032939199</v>
      </c>
      <c r="AY239">
        <v>1.12380721355103</v>
      </c>
      <c r="AZ239">
        <v>1.1033748027396699</v>
      </c>
      <c r="BA239">
        <v>0</v>
      </c>
      <c r="BB239">
        <v>0</v>
      </c>
      <c r="BC239">
        <v>0</v>
      </c>
      <c r="BD239">
        <v>0</v>
      </c>
      <c r="BE239">
        <v>0</v>
      </c>
      <c r="BF239">
        <v>0</v>
      </c>
      <c r="BG239">
        <v>0</v>
      </c>
      <c r="BH239">
        <v>0</v>
      </c>
      <c r="BJ239" t="s">
        <v>343</v>
      </c>
      <c r="BL239">
        <v>1</v>
      </c>
      <c r="BM239">
        <v>0.99756097560975698</v>
      </c>
      <c r="BN239">
        <v>0.98536585365853702</v>
      </c>
      <c r="BO239">
        <v>0.97317073170731705</v>
      </c>
      <c r="BP239">
        <v>0.96097560975609797</v>
      </c>
      <c r="BQ239">
        <v>0.948780487804878</v>
      </c>
      <c r="BR239">
        <v>0.93658536585365804</v>
      </c>
      <c r="BS239">
        <v>0.92439024390243896</v>
      </c>
      <c r="BT239">
        <v>0.91219512195121999</v>
      </c>
      <c r="BU239">
        <v>0.90</v>
      </c>
      <c r="BV239">
        <v>0.8875</v>
      </c>
      <c r="BW239">
        <v>0.875000000000001</v>
      </c>
      <c r="BX239">
        <v>0.86250000000000104</v>
      </c>
      <c r="BY239">
        <v>0.85000000000000098</v>
      </c>
      <c r="BZ239">
        <v>0.8375</v>
      </c>
      <c r="CA239">
        <v>0.82500000000000095</v>
      </c>
      <c r="CB239">
        <v>0.812500000000001</v>
      </c>
      <c r="CC239">
        <v>0.80000000000000104</v>
      </c>
      <c r="CD239" t="e">
        <v>#VALUE!</v>
      </c>
      <c r="CE239" t="e">
        <v>#VALUE!</v>
      </c>
      <c r="CF239" t="e">
        <v>#VALUE!</v>
      </c>
      <c r="CG239" t="e">
        <v>#VALUE!</v>
      </c>
      <c r="CH239" t="e">
        <v>#VALUE!</v>
      </c>
      <c r="CI239" t="e">
        <v>#VALUE!</v>
      </c>
      <c r="CJ239" t="e">
        <v>#VALUE!</v>
      </c>
      <c r="CK239" t="e">
        <v>#VALUE!</v>
      </c>
    </row>
    <row r="240" spans="1:89" ht="12.5">
      <c r="A240" t="s">
        <v>23</v>
      </c>
      <c r="B240" t="s">
        <v>353</v>
      </c>
      <c r="C240" t="s">
        <v>353</v>
      </c>
      <c r="D240">
        <v>803.32799999999997</v>
      </c>
      <c r="E240">
        <v>797.56066034960804</v>
      </c>
      <c r="F240"/>
      <c r="G240">
        <v>929.78018525872801</v>
      </c>
      <c r="H240">
        <v>1033.1172118009199</v>
      </c>
      <c r="I240">
        <v>1156.0111815092</v>
      </c>
      <c r="J240">
        <v>1297.5821367856399</v>
      </c>
      <c r="K240">
        <v>1454.31724085563</v>
      </c>
      <c r="L240">
        <v>1623.2030962136</v>
      </c>
      <c r="M240">
        <v>1805.20969663489</v>
      </c>
      <c r="N240">
        <v>2001.9507155246699</v>
      </c>
      <c r="O240">
        <v>2215.8315187667199</v>
      </c>
      <c r="P240">
        <v>2443.3000186192899</v>
      </c>
      <c r="Q240">
        <v>2682.0963755140801</v>
      </c>
      <c r="R240">
        <v>2929.43858405422</v>
      </c>
      <c r="S240">
        <v>3184.4594621875299</v>
      </c>
      <c r="T240">
        <v>3447.1626606979398</v>
      </c>
      <c r="U240">
        <v>3717.0424042090799</v>
      </c>
      <c r="V240">
        <v>3992.9905447461401</v>
      </c>
      <c r="W240">
        <v>5</v>
      </c>
      <c r="AG240" s="130" t="s">
        <v>354</v>
      </c>
      <c r="AI240">
        <v>1</v>
      </c>
      <c r="AJ240">
        <v>0.99280313803909304</v>
      </c>
      <c r="AK240">
        <v>1.15983429944134</v>
      </c>
      <c r="AL240">
        <v>1.2922936383311201</v>
      </c>
      <c r="AM240">
        <v>1.45226042363368</v>
      </c>
      <c r="AN240">
        <v>1.63971277195912</v>
      </c>
      <c r="AO240">
        <v>1.8511842643738201</v>
      </c>
      <c r="AP240">
        <v>2.0837407318102401</v>
      </c>
      <c r="AQ240">
        <v>2.3398764888824002</v>
      </c>
      <c r="AR240">
        <v>2.6232228781671298</v>
      </c>
      <c r="AS240">
        <v>2.9390033391111401</v>
      </c>
      <c r="AT240">
        <v>3.28381072048585</v>
      </c>
      <c r="AU240">
        <v>3.6559194951157101</v>
      </c>
      <c r="AV240">
        <v>4.0525641015828802</v>
      </c>
      <c r="AW240">
        <v>4.4738107095288902</v>
      </c>
      <c r="AX240">
        <v>4.9211667357970299</v>
      </c>
      <c r="AY240">
        <v>5.3953576430298202</v>
      </c>
      <c r="AZ240">
        <v>5.89603760145609</v>
      </c>
      <c r="BA240">
        <v>0</v>
      </c>
      <c r="BB240">
        <v>0</v>
      </c>
      <c r="BC240">
        <v>0</v>
      </c>
      <c r="BD240">
        <v>0</v>
      </c>
      <c r="BE240">
        <v>0</v>
      </c>
      <c r="BF240">
        <v>0</v>
      </c>
      <c r="BG240">
        <v>0</v>
      </c>
      <c r="BH240">
        <v>0</v>
      </c>
      <c r="BJ240" t="s">
        <v>343</v>
      </c>
      <c r="BL240">
        <v>1</v>
      </c>
      <c r="BM240">
        <v>0.99756097560975698</v>
      </c>
      <c r="BN240">
        <v>0.98536585365853702</v>
      </c>
      <c r="BO240">
        <v>0.97317073170731705</v>
      </c>
      <c r="BP240">
        <v>0.96097560975609797</v>
      </c>
      <c r="BQ240">
        <v>0.948780487804878</v>
      </c>
      <c r="BR240">
        <v>0.93658536585365804</v>
      </c>
      <c r="BS240">
        <v>0.92439024390243896</v>
      </c>
      <c r="BT240">
        <v>0.91219512195121999</v>
      </c>
      <c r="BU240">
        <v>0.90</v>
      </c>
      <c r="BV240">
        <v>0.8875</v>
      </c>
      <c r="BW240">
        <v>0.875000000000001</v>
      </c>
      <c r="BX240">
        <v>0.86250000000000104</v>
      </c>
      <c r="BY240">
        <v>0.85000000000000098</v>
      </c>
      <c r="BZ240">
        <v>0.8375</v>
      </c>
      <c r="CA240">
        <v>0.82500000000000095</v>
      </c>
      <c r="CB240">
        <v>0.812500000000001</v>
      </c>
      <c r="CC240">
        <v>0.80000000000000104</v>
      </c>
      <c r="CD240" t="e">
        <v>#VALUE!</v>
      </c>
      <c r="CE240" t="e">
        <v>#VALUE!</v>
      </c>
      <c r="CF240" t="e">
        <v>#VALUE!</v>
      </c>
      <c r="CG240" t="e">
        <v>#VALUE!</v>
      </c>
      <c r="CH240" t="e">
        <v>#VALUE!</v>
      </c>
      <c r="CI240" t="e">
        <v>#VALUE!</v>
      </c>
      <c r="CJ240" t="e">
        <v>#VALUE!</v>
      </c>
      <c r="CK240" t="e">
        <v>#VALUE!</v>
      </c>
    </row>
    <row r="241" spans="1:89" ht="12.5">
      <c r="A241" t="s">
        <v>23</v>
      </c>
      <c r="B241" t="s">
        <v>355</v>
      </c>
      <c r="C241" t="s">
        <v>355</v>
      </c>
      <c r="D241">
        <v>167.70</v>
      </c>
      <c r="E241">
        <v>167.832062250321</v>
      </c>
      <c r="F241"/>
      <c r="G241">
        <v>203.36333745472999</v>
      </c>
      <c r="H241">
        <v>234.43472709128801</v>
      </c>
      <c r="I241">
        <v>270.41138816245899</v>
      </c>
      <c r="J241">
        <v>310.82075254639801</v>
      </c>
      <c r="K241">
        <v>354.54250794735401</v>
      </c>
      <c r="L241">
        <v>400.54584523683798</v>
      </c>
      <c r="M241">
        <v>448.755797451494</v>
      </c>
      <c r="N241">
        <v>499.23691657067502</v>
      </c>
      <c r="O241">
        <v>552.41511404418998</v>
      </c>
      <c r="P241">
        <v>607.075051216112</v>
      </c>
      <c r="Q241">
        <v>662.28197069296004</v>
      </c>
      <c r="R241">
        <v>716.89472341498799</v>
      </c>
      <c r="S241">
        <v>770.61359731093</v>
      </c>
      <c r="T241">
        <v>823.45587083552698</v>
      </c>
      <c r="U241">
        <v>875.39124628058596</v>
      </c>
      <c r="V241">
        <v>926.46483825240398</v>
      </c>
      <c r="W241">
        <v>5</v>
      </c>
      <c r="AG241" s="130" t="s">
        <v>342</v>
      </c>
      <c r="AI241">
        <v>1</v>
      </c>
      <c r="AJ241">
        <v>1.0007894164633799</v>
      </c>
      <c r="AK241">
        <v>1.2158105064093301</v>
      </c>
      <c r="AL241">
        <v>1.40669245927961</v>
      </c>
      <c r="AM241">
        <v>1.63133174234812</v>
      </c>
      <c r="AN241">
        <v>1.8882728451538</v>
      </c>
      <c r="AO241">
        <v>2.17187201987731</v>
      </c>
      <c r="AP241">
        <v>2.4767316393066001</v>
      </c>
      <c r="AQ241">
        <v>2.80352684491355</v>
      </c>
      <c r="AR241">
        <v>3.1539405725668401</v>
      </c>
      <c r="AS241">
        <v>3.5324808224329698</v>
      </c>
      <c r="AT241">
        <v>3.9319426968848901</v>
      </c>
      <c r="AU241">
        <v>4.34651397012136</v>
      </c>
      <c r="AV241">
        <v>4.7681845383142001</v>
      </c>
      <c r="AW241">
        <v>5.1948031082572497</v>
      </c>
      <c r="AX241">
        <v>5.6265805711829699</v>
      </c>
      <c r="AY241">
        <v>6.0633418389245897</v>
      </c>
      <c r="AZ241">
        <v>6.5055393254522702</v>
      </c>
      <c r="BA241">
        <v>0</v>
      </c>
      <c r="BB241">
        <v>0</v>
      </c>
      <c r="BC241">
        <v>0</v>
      </c>
      <c r="BD241">
        <v>0</v>
      </c>
      <c r="BE241">
        <v>0</v>
      </c>
      <c r="BF241">
        <v>0</v>
      </c>
      <c r="BG241">
        <v>0</v>
      </c>
      <c r="BH241">
        <v>0</v>
      </c>
      <c r="BJ241" t="s">
        <v>343</v>
      </c>
      <c r="BL241">
        <v>1</v>
      </c>
      <c r="BM241">
        <v>0.99756097560975698</v>
      </c>
      <c r="BN241">
        <v>0.98536585365853702</v>
      </c>
      <c r="BO241">
        <v>0.97317073170731705</v>
      </c>
      <c r="BP241">
        <v>0.96097560975609797</v>
      </c>
      <c r="BQ241">
        <v>0.948780487804878</v>
      </c>
      <c r="BR241">
        <v>0.93658536585365804</v>
      </c>
      <c r="BS241">
        <v>0.92439024390243896</v>
      </c>
      <c r="BT241">
        <v>0.91219512195121999</v>
      </c>
      <c r="BU241">
        <v>0.90</v>
      </c>
      <c r="BV241">
        <v>0.8875</v>
      </c>
      <c r="BW241">
        <v>0.875000000000001</v>
      </c>
      <c r="BX241">
        <v>0.86250000000000104</v>
      </c>
      <c r="BY241">
        <v>0.85000000000000098</v>
      </c>
      <c r="BZ241">
        <v>0.8375</v>
      </c>
      <c r="CA241">
        <v>0.82500000000000095</v>
      </c>
      <c r="CB241">
        <v>0.812500000000001</v>
      </c>
      <c r="CC241">
        <v>0.80000000000000104</v>
      </c>
      <c r="CD241" t="e">
        <v>#VALUE!</v>
      </c>
      <c r="CE241" t="e">
        <v>#VALUE!</v>
      </c>
      <c r="CF241" t="e">
        <v>#VALUE!</v>
      </c>
      <c r="CG241" t="e">
        <v>#VALUE!</v>
      </c>
      <c r="CH241" t="e">
        <v>#VALUE!</v>
      </c>
      <c r="CI241" t="e">
        <v>#VALUE!</v>
      </c>
      <c r="CJ241" t="e">
        <v>#VALUE!</v>
      </c>
      <c r="CK241" t="e">
        <v>#VALUE!</v>
      </c>
    </row>
    <row r="242" spans="1:89" ht="12.5">
      <c r="A242" t="s">
        <v>23</v>
      </c>
      <c r="B242" t="s">
        <v>356</v>
      </c>
      <c r="C242" t="s">
        <v>356</v>
      </c>
      <c r="D242">
        <v>102.28</v>
      </c>
      <c r="E242">
        <v>102.36054458534799</v>
      </c>
      <c r="F242"/>
      <c r="G242">
        <v>124.031020601489</v>
      </c>
      <c r="H242">
        <v>142.98141852651699</v>
      </c>
      <c r="I242">
        <v>164.92353477195201</v>
      </c>
      <c r="J242">
        <v>189.56915068840499</v>
      </c>
      <c r="K242">
        <v>216.23498934320401</v>
      </c>
      <c r="L242">
        <v>244.29236166263399</v>
      </c>
      <c r="M242">
        <v>273.69554539856199</v>
      </c>
      <c r="N242">
        <v>304.48391071466102</v>
      </c>
      <c r="O242">
        <v>336.91722042003403</v>
      </c>
      <c r="P242">
        <v>370.25424113526498</v>
      </c>
      <c r="Q242">
        <v>403.92486560808601</v>
      </c>
      <c r="R242">
        <v>437.233108592039</v>
      </c>
      <c r="S242">
        <v>469.99617610591503</v>
      </c>
      <c r="T242">
        <v>502.22460625556198</v>
      </c>
      <c r="U242">
        <v>533.89992051030697</v>
      </c>
      <c r="V242">
        <v>565.04963420665501</v>
      </c>
      <c r="W242">
        <v>5</v>
      </c>
      <c r="AG242" s="130" t="s">
        <v>342</v>
      </c>
      <c r="AI242">
        <v>1</v>
      </c>
      <c r="AJ242">
        <v>1.0007894164633799</v>
      </c>
      <c r="AK242">
        <v>1.2158105064093301</v>
      </c>
      <c r="AL242">
        <v>1.40669245927961</v>
      </c>
      <c r="AM242">
        <v>1.63133174234812</v>
      </c>
      <c r="AN242">
        <v>1.8882728451538</v>
      </c>
      <c r="AO242">
        <v>2.17187201987731</v>
      </c>
      <c r="AP242">
        <v>2.4767316393066001</v>
      </c>
      <c r="AQ242">
        <v>2.80352684491355</v>
      </c>
      <c r="AR242">
        <v>3.1539405725668401</v>
      </c>
      <c r="AS242">
        <v>3.5324808224329698</v>
      </c>
      <c r="AT242">
        <v>3.9319426968848901</v>
      </c>
      <c r="AU242">
        <v>4.34651397012136</v>
      </c>
      <c r="AV242">
        <v>4.7681845383142001</v>
      </c>
      <c r="AW242">
        <v>5.1948031082572497</v>
      </c>
      <c r="AX242">
        <v>5.6265805711829699</v>
      </c>
      <c r="AY242">
        <v>6.0633418389245897</v>
      </c>
      <c r="AZ242">
        <v>6.5055393254522702</v>
      </c>
      <c r="BA242">
        <v>0</v>
      </c>
      <c r="BB242">
        <v>0</v>
      </c>
      <c r="BC242">
        <v>0</v>
      </c>
      <c r="BD242">
        <v>0</v>
      </c>
      <c r="BE242">
        <v>0</v>
      </c>
      <c r="BF242">
        <v>0</v>
      </c>
      <c r="BG242">
        <v>0</v>
      </c>
      <c r="BH242">
        <v>0</v>
      </c>
      <c r="BJ242" t="s">
        <v>343</v>
      </c>
      <c r="BL242">
        <v>1</v>
      </c>
      <c r="BM242">
        <v>0.99756097560975698</v>
      </c>
      <c r="BN242">
        <v>0.98536585365853702</v>
      </c>
      <c r="BO242">
        <v>0.97317073170731705</v>
      </c>
      <c r="BP242">
        <v>0.96097560975609797</v>
      </c>
      <c r="BQ242">
        <v>0.948780487804878</v>
      </c>
      <c r="BR242">
        <v>0.93658536585365804</v>
      </c>
      <c r="BS242">
        <v>0.92439024390243896</v>
      </c>
      <c r="BT242">
        <v>0.91219512195121999</v>
      </c>
      <c r="BU242">
        <v>0.90</v>
      </c>
      <c r="BV242">
        <v>0.8875</v>
      </c>
      <c r="BW242">
        <v>0.875000000000001</v>
      </c>
      <c r="BX242">
        <v>0.86250000000000104</v>
      </c>
      <c r="BY242">
        <v>0.85000000000000098</v>
      </c>
      <c r="BZ242">
        <v>0.8375</v>
      </c>
      <c r="CA242">
        <v>0.82500000000000095</v>
      </c>
      <c r="CB242">
        <v>0.812500000000001</v>
      </c>
      <c r="CC242">
        <v>0.80000000000000104</v>
      </c>
      <c r="CD242" t="e">
        <v>#VALUE!</v>
      </c>
      <c r="CE242" t="e">
        <v>#VALUE!</v>
      </c>
      <c r="CF242" t="e">
        <v>#VALUE!</v>
      </c>
      <c r="CG242" t="e">
        <v>#VALUE!</v>
      </c>
      <c r="CH242" t="e">
        <v>#VALUE!</v>
      </c>
      <c r="CI242" t="e">
        <v>#VALUE!</v>
      </c>
      <c r="CJ242" t="e">
        <v>#VALUE!</v>
      </c>
      <c r="CK242" t="e">
        <v>#VALUE!</v>
      </c>
    </row>
    <row r="243" spans="1:89" ht="12.5">
      <c r="A243" t="s">
        <v>24</v>
      </c>
      <c r="B243" t="s">
        <v>341</v>
      </c>
      <c r="C243" t="s">
        <v>341</v>
      </c>
      <c r="E243" s="2">
        <v>60.756895830790903</v>
      </c>
      <c r="F243" s="2">
        <f>E243</f>
        <v>60.756895830790903</v>
      </c>
      <c r="I243" s="2">
        <f>F243</f>
        <v>60.756895830790903</v>
      </c>
      <c r="J243" s="2">
        <f>I243</f>
        <v>60.756895830790903</v>
      </c>
      <c r="L243" s="2">
        <f>J243</f>
        <v>60.756895830790903</v>
      </c>
      <c r="V243" s="2">
        <f>L243</f>
        <v>60.756895830790903</v>
      </c>
      <c r="W243">
        <v>5</v>
      </c>
      <c r="AG243" s="130" t="s">
        <v>342</v>
      </c>
      <c r="AI243">
        <v>1</v>
      </c>
      <c r="AJ243">
        <v>1.0092620493445501</v>
      </c>
      <c r="AK243">
        <v>1.1940853470700701</v>
      </c>
      <c r="AL243">
        <v>1.39091045519109</v>
      </c>
      <c r="AM243">
        <v>1.6197461357171099</v>
      </c>
      <c r="AN243">
        <v>1.8798570309001299</v>
      </c>
      <c r="AO243">
        <v>2.15678013005784</v>
      </c>
      <c r="AP243">
        <v>2.4466568696582298</v>
      </c>
      <c r="AQ243">
        <v>2.7564422359828402</v>
      </c>
      <c r="AR243">
        <v>3.0933034149441401</v>
      </c>
      <c r="AS243">
        <v>3.4532114811172399</v>
      </c>
      <c r="AT243">
        <v>3.8184764409460401</v>
      </c>
      <c r="AU243">
        <v>4.1852827156616002</v>
      </c>
      <c r="AV243">
        <v>4.5537369785918802</v>
      </c>
      <c r="AW243">
        <v>4.9275019674203504</v>
      </c>
      <c r="AX243">
        <v>5.3130036031325298</v>
      </c>
      <c r="AY243">
        <v>5.7136152863475402</v>
      </c>
      <c r="AZ243">
        <v>6.1271149428221499</v>
      </c>
      <c r="BA243">
        <v>0</v>
      </c>
      <c r="BB243">
        <v>0</v>
      </c>
      <c r="BC243">
        <v>0</v>
      </c>
      <c r="BD243">
        <v>0</v>
      </c>
      <c r="BE243">
        <v>0</v>
      </c>
      <c r="BF243">
        <v>0</v>
      </c>
      <c r="BG243">
        <v>0</v>
      </c>
      <c r="BH243">
        <v>0</v>
      </c>
      <c r="BJ243" t="s">
        <v>343</v>
      </c>
      <c r="BL243">
        <v>1</v>
      </c>
      <c r="BM243">
        <v>0.99756097560975698</v>
      </c>
      <c r="BN243">
        <v>0.98536585365853702</v>
      </c>
      <c r="BO243">
        <v>0.97317073170731705</v>
      </c>
      <c r="BP243">
        <v>0.96097560975609797</v>
      </c>
      <c r="BQ243">
        <v>0.948780487804878</v>
      </c>
      <c r="BR243">
        <v>0.93658536585365804</v>
      </c>
      <c r="BS243">
        <v>0.92439024390243896</v>
      </c>
      <c r="BT243">
        <v>0.91219512195121999</v>
      </c>
      <c r="BU243">
        <v>0.90</v>
      </c>
      <c r="BV243">
        <v>0.8875</v>
      </c>
      <c r="BW243">
        <v>0.875000000000001</v>
      </c>
      <c r="BX243">
        <v>0.86250000000000104</v>
      </c>
      <c r="BY243">
        <v>0.85000000000000098</v>
      </c>
      <c r="BZ243">
        <v>0.8375</v>
      </c>
      <c r="CA243">
        <v>0.82500000000000095</v>
      </c>
      <c r="CB243">
        <v>0.812500000000001</v>
      </c>
      <c r="CC243">
        <v>0.80000000000000104</v>
      </c>
      <c r="CD243" t="e">
        <v>#VALUE!</v>
      </c>
      <c r="CE243" t="e">
        <v>#VALUE!</v>
      </c>
      <c r="CF243" t="e">
        <v>#VALUE!</v>
      </c>
      <c r="CG243" t="e">
        <v>#VALUE!</v>
      </c>
      <c r="CH243" t="e">
        <v>#VALUE!</v>
      </c>
      <c r="CI243" t="e">
        <v>#VALUE!</v>
      </c>
      <c r="CJ243" t="e">
        <v>#VALUE!</v>
      </c>
      <c r="CK243" t="e">
        <v>#VALUE!</v>
      </c>
    </row>
    <row r="244" spans="1:89" ht="12.5">
      <c r="A244" t="s">
        <v>24</v>
      </c>
      <c r="B244" t="s">
        <v>344</v>
      </c>
      <c r="C244" t="s">
        <v>344</v>
      </c>
      <c r="E244" s="2">
        <v>769.87232508321199</v>
      </c>
      <c r="F244" s="2">
        <f>E244</f>
        <v>769.87232508321199</v>
      </c>
      <c r="I244" s="2">
        <f>F244</f>
        <v>769.87232508321199</v>
      </c>
      <c r="J244" s="2">
        <f>I244</f>
        <v>769.87232508321199</v>
      </c>
      <c r="L244" s="2">
        <f>J244</f>
        <v>769.87232508321199</v>
      </c>
      <c r="V244" s="2">
        <f>L244</f>
        <v>769.87232508321199</v>
      </c>
      <c r="W244">
        <v>5</v>
      </c>
      <c r="AG244" s="130" t="s">
        <v>342</v>
      </c>
      <c r="AI244">
        <v>1</v>
      </c>
      <c r="AJ244">
        <v>1.0092620493445501</v>
      </c>
      <c r="AK244">
        <v>1.1940853470700701</v>
      </c>
      <c r="AL244">
        <v>1.39091045519109</v>
      </c>
      <c r="AM244">
        <v>1.6197461357171099</v>
      </c>
      <c r="AN244">
        <v>1.8798570309001299</v>
      </c>
      <c r="AO244">
        <v>2.15678013005784</v>
      </c>
      <c r="AP244">
        <v>2.4466568696582298</v>
      </c>
      <c r="AQ244">
        <v>2.7564422359828402</v>
      </c>
      <c r="AR244">
        <v>3.0933034149441401</v>
      </c>
      <c r="AS244">
        <v>3.4532114811172399</v>
      </c>
      <c r="AT244">
        <v>3.8184764409460401</v>
      </c>
      <c r="AU244">
        <v>4.1852827156616002</v>
      </c>
      <c r="AV244">
        <v>4.5537369785918802</v>
      </c>
      <c r="AW244">
        <v>4.9275019674203504</v>
      </c>
      <c r="AX244">
        <v>5.3130036031325298</v>
      </c>
      <c r="AY244">
        <v>5.7136152863475402</v>
      </c>
      <c r="AZ244">
        <v>6.1271149428221499</v>
      </c>
      <c r="BA244">
        <v>0</v>
      </c>
      <c r="BB244">
        <v>0</v>
      </c>
      <c r="BC244">
        <v>0</v>
      </c>
      <c r="BD244">
        <v>0</v>
      </c>
      <c r="BE244">
        <v>0</v>
      </c>
      <c r="BF244">
        <v>0</v>
      </c>
      <c r="BG244">
        <v>0</v>
      </c>
      <c r="BH244">
        <v>0</v>
      </c>
      <c r="BJ244" t="s">
        <v>343</v>
      </c>
      <c r="BL244">
        <v>1</v>
      </c>
      <c r="BM244">
        <v>0.99756097560975698</v>
      </c>
      <c r="BN244">
        <v>0.98536585365853702</v>
      </c>
      <c r="BO244">
        <v>0.97317073170731705</v>
      </c>
      <c r="BP244">
        <v>0.96097560975609797</v>
      </c>
      <c r="BQ244">
        <v>0.948780487804878</v>
      </c>
      <c r="BR244">
        <v>0.93658536585365804</v>
      </c>
      <c r="BS244">
        <v>0.92439024390243896</v>
      </c>
      <c r="BT244">
        <v>0.91219512195121999</v>
      </c>
      <c r="BU244">
        <v>0.90</v>
      </c>
      <c r="BV244">
        <v>0.8875</v>
      </c>
      <c r="BW244">
        <v>0.875000000000001</v>
      </c>
      <c r="BX244">
        <v>0.86250000000000104</v>
      </c>
      <c r="BY244">
        <v>0.85000000000000098</v>
      </c>
      <c r="BZ244">
        <v>0.8375</v>
      </c>
      <c r="CA244">
        <v>0.82500000000000095</v>
      </c>
      <c r="CB244">
        <v>0.812500000000001</v>
      </c>
      <c r="CC244">
        <v>0.80000000000000104</v>
      </c>
      <c r="CD244" t="e">
        <v>#VALUE!</v>
      </c>
      <c r="CE244" t="e">
        <v>#VALUE!</v>
      </c>
      <c r="CF244" t="e">
        <v>#VALUE!</v>
      </c>
      <c r="CG244" t="e">
        <v>#VALUE!</v>
      </c>
      <c r="CH244" t="e">
        <v>#VALUE!</v>
      </c>
      <c r="CI244" t="e">
        <v>#VALUE!</v>
      </c>
      <c r="CJ244" t="e">
        <v>#VALUE!</v>
      </c>
      <c r="CK244" t="e">
        <v>#VALUE!</v>
      </c>
    </row>
    <row r="245" spans="1:89" ht="12.5">
      <c r="A245" t="s">
        <v>24</v>
      </c>
      <c r="B245" t="s">
        <v>345</v>
      </c>
      <c r="C245" t="s">
        <v>345</v>
      </c>
      <c r="E245" s="2">
        <v>2.4230377485583601</v>
      </c>
      <c r="I245" s="2">
        <v>3.8438405139369198</v>
      </c>
      <c r="J245" s="2">
        <v>4.4294966471536998</v>
      </c>
      <c r="L245" s="2">
        <v>5.6668800882045103</v>
      </c>
      <c r="V245" s="2">
        <v>12.5737312548675</v>
      </c>
      <c r="W245">
        <v>5</v>
      </c>
      <c r="AG245" s="130" t="s">
        <v>342</v>
      </c>
      <c r="AI245">
        <v>1</v>
      </c>
      <c r="AJ245">
        <v>1.0092620493445501</v>
      </c>
      <c r="AK245">
        <v>1.1940853470700701</v>
      </c>
      <c r="AL245">
        <v>1.39091045519109</v>
      </c>
      <c r="AM245">
        <v>1.6197461357171099</v>
      </c>
      <c r="AN245">
        <v>1.8798570309001299</v>
      </c>
      <c r="AO245">
        <v>2.15678013005784</v>
      </c>
      <c r="AP245">
        <v>2.4466568696582298</v>
      </c>
      <c r="AQ245">
        <v>2.7564422359828402</v>
      </c>
      <c r="AR245">
        <v>3.0933034149441401</v>
      </c>
      <c r="AS245">
        <v>3.4532114811172399</v>
      </c>
      <c r="AT245">
        <v>3.8184764409460401</v>
      </c>
      <c r="AU245">
        <v>4.1852827156616002</v>
      </c>
      <c r="AV245">
        <v>4.5537369785918802</v>
      </c>
      <c r="AW245">
        <v>4.9275019674203504</v>
      </c>
      <c r="AX245">
        <v>5.3130036031325298</v>
      </c>
      <c r="AY245">
        <v>5.7136152863475402</v>
      </c>
      <c r="AZ245">
        <v>6.1271149428221499</v>
      </c>
      <c r="BA245">
        <v>0</v>
      </c>
      <c r="BB245">
        <v>0</v>
      </c>
      <c r="BC245">
        <v>0</v>
      </c>
      <c r="BD245">
        <v>0</v>
      </c>
      <c r="BE245">
        <v>0</v>
      </c>
      <c r="BF245">
        <v>0</v>
      </c>
      <c r="BG245">
        <v>0</v>
      </c>
      <c r="BH245">
        <v>0</v>
      </c>
      <c r="BJ245" t="s">
        <v>343</v>
      </c>
      <c r="BL245">
        <v>1</v>
      </c>
      <c r="BM245">
        <v>0.99756097560975698</v>
      </c>
      <c r="BN245">
        <v>0.98536585365853702</v>
      </c>
      <c r="BO245">
        <v>0.97317073170731705</v>
      </c>
      <c r="BP245">
        <v>0.96097560975609797</v>
      </c>
      <c r="BQ245">
        <v>0.948780487804878</v>
      </c>
      <c r="BR245">
        <v>0.93658536585365804</v>
      </c>
      <c r="BS245">
        <v>0.92439024390243896</v>
      </c>
      <c r="BT245">
        <v>0.91219512195121999</v>
      </c>
      <c r="BU245">
        <v>0.90</v>
      </c>
      <c r="BV245">
        <v>0.8875</v>
      </c>
      <c r="BW245">
        <v>0.875000000000001</v>
      </c>
      <c r="BX245">
        <v>0.86250000000000104</v>
      </c>
      <c r="BY245">
        <v>0.85000000000000098</v>
      </c>
      <c r="BZ245">
        <v>0.8375</v>
      </c>
      <c r="CA245">
        <v>0.82500000000000095</v>
      </c>
      <c r="CB245">
        <v>0.812500000000001</v>
      </c>
      <c r="CC245">
        <v>0.80000000000000104</v>
      </c>
      <c r="CD245" t="e">
        <v>#VALUE!</v>
      </c>
      <c r="CE245" t="e">
        <v>#VALUE!</v>
      </c>
      <c r="CF245" t="e">
        <v>#VALUE!</v>
      </c>
      <c r="CG245" t="e">
        <v>#VALUE!</v>
      </c>
      <c r="CH245" t="e">
        <v>#VALUE!</v>
      </c>
      <c r="CI245" t="e">
        <v>#VALUE!</v>
      </c>
      <c r="CJ245" t="e">
        <v>#VALUE!</v>
      </c>
      <c r="CK245" t="e">
        <v>#VALUE!</v>
      </c>
    </row>
    <row r="246" spans="1:89" ht="12.5">
      <c r="A246" t="s">
        <v>24</v>
      </c>
      <c r="B246" t="s">
        <v>346</v>
      </c>
      <c r="C246" t="s">
        <v>346</v>
      </c>
      <c r="E246" s="2">
        <v>1.0452751022568301</v>
      </c>
      <c r="I246" s="2">
        <v>1.28003974811183</v>
      </c>
      <c r="J246" s="2">
        <v>1.3496997790395699</v>
      </c>
      <c r="L246" s="2">
        <v>1.4683110550543299</v>
      </c>
      <c r="V246" s="2">
        <v>1.6022133109241801</v>
      </c>
      <c r="W246">
        <v>5</v>
      </c>
      <c r="AG246" s="130" t="s">
        <v>347</v>
      </c>
      <c r="AI246">
        <v>1</v>
      </c>
      <c r="AJ246">
        <v>1.0159165353664901</v>
      </c>
      <c r="AK246">
        <v>1.09549921219896</v>
      </c>
      <c r="AL246">
        <v>1.17481554148819</v>
      </c>
      <c r="AM246">
        <v>1.2506299362281099</v>
      </c>
      <c r="AN246">
        <v>1.3223636445896501</v>
      </c>
      <c r="AO246">
        <v>1.3886817149902899</v>
      </c>
      <c r="AP246">
        <v>1.4473807059475701</v>
      </c>
      <c r="AQ246">
        <v>1.4976954700613501</v>
      </c>
      <c r="AR246">
        <v>1.5385895723157701</v>
      </c>
      <c r="AS246">
        <v>1.5694064167895001</v>
      </c>
      <c r="AT246">
        <v>1.5907025705259901</v>
      </c>
      <c r="AU246">
        <v>1.60375329654095</v>
      </c>
      <c r="AV246">
        <v>1.61005634327467</v>
      </c>
      <c r="AW246">
        <v>1.6113273514956901</v>
      </c>
      <c r="AX246">
        <v>1.6090054176686399</v>
      </c>
      <c r="AY246">
        <v>1.60342321382187</v>
      </c>
      <c r="AZ246">
        <v>1.5940648645362601</v>
      </c>
      <c r="BA246">
        <v>0</v>
      </c>
      <c r="BB246">
        <v>0</v>
      </c>
      <c r="BC246">
        <v>0</v>
      </c>
      <c r="BD246">
        <v>0</v>
      </c>
      <c r="BE246">
        <v>0</v>
      </c>
      <c r="BF246">
        <v>0</v>
      </c>
      <c r="BG246">
        <v>0</v>
      </c>
      <c r="BH246">
        <v>0</v>
      </c>
      <c r="BJ246" t="s">
        <v>343</v>
      </c>
      <c r="BL246">
        <v>1</v>
      </c>
      <c r="BM246">
        <v>0.99756097560975698</v>
      </c>
      <c r="BN246">
        <v>0.98536585365853702</v>
      </c>
      <c r="BO246">
        <v>0.97317073170731705</v>
      </c>
      <c r="BP246">
        <v>0.96097560975609797</v>
      </c>
      <c r="BQ246">
        <v>0.948780487804878</v>
      </c>
      <c r="BR246">
        <v>0.93658536585365804</v>
      </c>
      <c r="BS246">
        <v>0.92439024390243896</v>
      </c>
      <c r="BT246">
        <v>0.91219512195121999</v>
      </c>
      <c r="BU246">
        <v>0.90</v>
      </c>
      <c r="BV246">
        <v>0.8875</v>
      </c>
      <c r="BW246">
        <v>0.875000000000001</v>
      </c>
      <c r="BX246">
        <v>0.86250000000000104</v>
      </c>
      <c r="BY246">
        <v>0.85000000000000098</v>
      </c>
      <c r="BZ246">
        <v>0.8375</v>
      </c>
      <c r="CA246">
        <v>0.82500000000000095</v>
      </c>
      <c r="CB246">
        <v>0.812500000000001</v>
      </c>
      <c r="CC246">
        <v>0.80000000000000104</v>
      </c>
      <c r="CD246" t="e">
        <v>#VALUE!</v>
      </c>
      <c r="CE246" t="e">
        <v>#VALUE!</v>
      </c>
      <c r="CF246" t="e">
        <v>#VALUE!</v>
      </c>
      <c r="CG246" t="e">
        <v>#VALUE!</v>
      </c>
      <c r="CH246" t="e">
        <v>#VALUE!</v>
      </c>
      <c r="CI246" t="e">
        <v>#VALUE!</v>
      </c>
      <c r="CJ246" t="e">
        <v>#VALUE!</v>
      </c>
      <c r="CK246" t="e">
        <v>#VALUE!</v>
      </c>
    </row>
    <row r="247" spans="1:89" ht="12.5">
      <c r="A247" t="s">
        <v>24</v>
      </c>
      <c r="B247" t="s">
        <v>348</v>
      </c>
      <c r="C247" t="s">
        <v>348</v>
      </c>
      <c r="E247" s="2">
        <v>0</v>
      </c>
      <c r="F247" s="2">
        <f>E247</f>
        <v>0</v>
      </c>
      <c r="I247" s="2">
        <f>F247</f>
        <v>0</v>
      </c>
      <c r="J247" s="2">
        <f>I247</f>
        <v>0</v>
      </c>
      <c r="L247" s="2">
        <f>J247</f>
        <v>0</v>
      </c>
      <c r="V247" s="2">
        <f>L247</f>
        <v>0</v>
      </c>
      <c r="W247">
        <v>5</v>
      </c>
      <c r="AG247" s="130" t="s">
        <v>342</v>
      </c>
      <c r="AI247">
        <v>1</v>
      </c>
      <c r="AJ247">
        <v>1.0092620493445501</v>
      </c>
      <c r="AK247">
        <v>1.1940853470700701</v>
      </c>
      <c r="AL247">
        <v>1.39091045519109</v>
      </c>
      <c r="AM247">
        <v>1.6197461357171099</v>
      </c>
      <c r="AN247">
        <v>1.8798570309001299</v>
      </c>
      <c r="AO247">
        <v>2.15678013005784</v>
      </c>
      <c r="AP247">
        <v>2.4466568696582298</v>
      </c>
      <c r="AQ247">
        <v>2.7564422359828402</v>
      </c>
      <c r="AR247">
        <v>3.0933034149441401</v>
      </c>
      <c r="AS247">
        <v>3.4532114811172399</v>
      </c>
      <c r="AT247">
        <v>3.8184764409460401</v>
      </c>
      <c r="AU247">
        <v>4.1852827156616002</v>
      </c>
      <c r="AV247">
        <v>4.5537369785918802</v>
      </c>
      <c r="AW247">
        <v>4.9275019674203504</v>
      </c>
      <c r="AX247">
        <v>5.3130036031325298</v>
      </c>
      <c r="AY247">
        <v>5.7136152863475402</v>
      </c>
      <c r="AZ247">
        <v>6.1271149428221499</v>
      </c>
      <c r="BA247">
        <v>0</v>
      </c>
      <c r="BB247">
        <v>0</v>
      </c>
      <c r="BC247">
        <v>0</v>
      </c>
      <c r="BD247">
        <v>0</v>
      </c>
      <c r="BE247">
        <v>0</v>
      </c>
      <c r="BF247">
        <v>0</v>
      </c>
      <c r="BG247">
        <v>0</v>
      </c>
      <c r="BH247">
        <v>0</v>
      </c>
      <c r="BJ247" t="s">
        <v>343</v>
      </c>
      <c r="BL247">
        <v>1</v>
      </c>
      <c r="BM247">
        <v>0.99756097560975698</v>
      </c>
      <c r="BN247">
        <v>0.98536585365853702</v>
      </c>
      <c r="BO247">
        <v>0.97317073170731705</v>
      </c>
      <c r="BP247">
        <v>0.96097560975609797</v>
      </c>
      <c r="BQ247">
        <v>0.948780487804878</v>
      </c>
      <c r="BR247">
        <v>0.93658536585365804</v>
      </c>
      <c r="BS247">
        <v>0.92439024390243896</v>
      </c>
      <c r="BT247">
        <v>0.91219512195121999</v>
      </c>
      <c r="BU247">
        <v>0.90</v>
      </c>
      <c r="BV247">
        <v>0.8875</v>
      </c>
      <c r="BW247">
        <v>0.875000000000001</v>
      </c>
      <c r="BX247">
        <v>0.86250000000000104</v>
      </c>
      <c r="BY247">
        <v>0.85000000000000098</v>
      </c>
      <c r="BZ247">
        <v>0.8375</v>
      </c>
      <c r="CA247">
        <v>0.82500000000000095</v>
      </c>
      <c r="CB247">
        <v>0.812500000000001</v>
      </c>
      <c r="CC247">
        <v>0.80000000000000104</v>
      </c>
      <c r="CD247" t="e">
        <v>#VALUE!</v>
      </c>
      <c r="CE247" t="e">
        <v>#VALUE!</v>
      </c>
      <c r="CF247" t="e">
        <v>#VALUE!</v>
      </c>
      <c r="CG247" t="e">
        <v>#VALUE!</v>
      </c>
      <c r="CH247" t="e">
        <v>#VALUE!</v>
      </c>
      <c r="CI247" t="e">
        <v>#VALUE!</v>
      </c>
      <c r="CJ247" t="e">
        <v>#VALUE!</v>
      </c>
      <c r="CK247" t="e">
        <v>#VALUE!</v>
      </c>
    </row>
    <row r="248" spans="1:89" ht="12.5">
      <c r="A248" t="s">
        <v>24</v>
      </c>
      <c r="B248" t="s">
        <v>349</v>
      </c>
      <c r="C248" t="s">
        <v>349</v>
      </c>
      <c r="E248" s="2">
        <v>877.34086645826505</v>
      </c>
      <c r="F248" s="2">
        <f>E248</f>
        <v>877.34086645826505</v>
      </c>
      <c r="I248" s="2">
        <f>F248</f>
        <v>877.34086645826505</v>
      </c>
      <c r="J248" s="2">
        <f>I248</f>
        <v>877.34086645826505</v>
      </c>
      <c r="L248" s="2">
        <f>J248</f>
        <v>877.34086645826505</v>
      </c>
      <c r="V248" s="2">
        <f>L248</f>
        <v>877.34086645826505</v>
      </c>
      <c r="W248">
        <v>5</v>
      </c>
      <c r="AG248" s="130" t="s">
        <v>342</v>
      </c>
      <c r="AI248">
        <v>1</v>
      </c>
      <c r="AJ248">
        <v>1.0092620493445501</v>
      </c>
      <c r="AK248">
        <v>1.1940853470700701</v>
      </c>
      <c r="AL248">
        <v>1.39091045519109</v>
      </c>
      <c r="AM248">
        <v>1.6197461357171099</v>
      </c>
      <c r="AN248">
        <v>1.8798570309001299</v>
      </c>
      <c r="AO248">
        <v>2.15678013005784</v>
      </c>
      <c r="AP248">
        <v>2.4466568696582298</v>
      </c>
      <c r="AQ248">
        <v>2.7564422359828402</v>
      </c>
      <c r="AR248">
        <v>3.0933034149441401</v>
      </c>
      <c r="AS248">
        <v>3.4532114811172399</v>
      </c>
      <c r="AT248">
        <v>3.8184764409460401</v>
      </c>
      <c r="AU248">
        <v>4.1852827156616002</v>
      </c>
      <c r="AV248">
        <v>4.5537369785918802</v>
      </c>
      <c r="AW248">
        <v>4.9275019674203504</v>
      </c>
      <c r="AX248">
        <v>5.3130036031325298</v>
      </c>
      <c r="AY248">
        <v>5.7136152863475402</v>
      </c>
      <c r="AZ248">
        <v>6.1271149428221499</v>
      </c>
      <c r="BA248">
        <v>0</v>
      </c>
      <c r="BB248">
        <v>0</v>
      </c>
      <c r="BC248">
        <v>0</v>
      </c>
      <c r="BD248">
        <v>0</v>
      </c>
      <c r="BE248">
        <v>0</v>
      </c>
      <c r="BF248">
        <v>0</v>
      </c>
      <c r="BG248">
        <v>0</v>
      </c>
      <c r="BH248">
        <v>0</v>
      </c>
      <c r="BJ248" t="s">
        <v>343</v>
      </c>
      <c r="BL248">
        <v>1</v>
      </c>
      <c r="BM248">
        <v>0.99756097560975698</v>
      </c>
      <c r="BN248">
        <v>0.98536585365853702</v>
      </c>
      <c r="BO248">
        <v>0.97317073170731705</v>
      </c>
      <c r="BP248">
        <v>0.96097560975609797</v>
      </c>
      <c r="BQ248">
        <v>0.948780487804878</v>
      </c>
      <c r="BR248">
        <v>0.93658536585365804</v>
      </c>
      <c r="BS248">
        <v>0.92439024390243896</v>
      </c>
      <c r="BT248">
        <v>0.91219512195121999</v>
      </c>
      <c r="BU248">
        <v>0.90</v>
      </c>
      <c r="BV248">
        <v>0.8875</v>
      </c>
      <c r="BW248">
        <v>0.875000000000001</v>
      </c>
      <c r="BX248">
        <v>0.86250000000000104</v>
      </c>
      <c r="BY248">
        <v>0.85000000000000098</v>
      </c>
      <c r="BZ248">
        <v>0.8375</v>
      </c>
      <c r="CA248">
        <v>0.82500000000000095</v>
      </c>
      <c r="CB248">
        <v>0.812500000000001</v>
      </c>
      <c r="CC248">
        <v>0.80000000000000104</v>
      </c>
      <c r="CD248" t="e">
        <v>#VALUE!</v>
      </c>
      <c r="CE248" t="e">
        <v>#VALUE!</v>
      </c>
      <c r="CF248" t="e">
        <v>#VALUE!</v>
      </c>
      <c r="CG248" t="e">
        <v>#VALUE!</v>
      </c>
      <c r="CH248" t="e">
        <v>#VALUE!</v>
      </c>
      <c r="CI248" t="e">
        <v>#VALUE!</v>
      </c>
      <c r="CJ248" t="e">
        <v>#VALUE!</v>
      </c>
      <c r="CK248" t="e">
        <v>#VALUE!</v>
      </c>
    </row>
    <row r="249" spans="1:89" ht="12.5">
      <c r="A249" t="s">
        <v>24</v>
      </c>
      <c r="B249" t="s">
        <v>350</v>
      </c>
      <c r="C249" t="s">
        <v>350</v>
      </c>
      <c r="D249">
        <v>32.705</v>
      </c>
      <c r="E249">
        <v>33.224280654309403</v>
      </c>
      <c r="F249"/>
      <c r="G249">
        <v>35.788845052134</v>
      </c>
      <c r="H249">
        <v>38.3105092934072</v>
      </c>
      <c r="I249">
        <v>40.6863224314029</v>
      </c>
      <c r="J249">
        <v>42.900480611325001</v>
      </c>
      <c r="K249">
        <v>44.915552321220503</v>
      </c>
      <c r="L249">
        <v>46.670564022449803</v>
      </c>
      <c r="M249">
        <v>48.150501801817803</v>
      </c>
      <c r="N249">
        <v>49.333762635065902</v>
      </c>
      <c r="O249">
        <v>50.210718997914903</v>
      </c>
      <c r="P249">
        <v>50.806889169079597</v>
      </c>
      <c r="Q249">
        <v>51.166412763973902</v>
      </c>
      <c r="R249">
        <v>51.3373422004478</v>
      </c>
      <c r="S249">
        <v>51.371283266742402</v>
      </c>
      <c r="T249">
        <v>51.310211508603103</v>
      </c>
      <c r="U249">
        <v>51.165575855892001</v>
      </c>
      <c r="V249">
        <v>50.926674322656702</v>
      </c>
      <c r="W249">
        <v>5</v>
      </c>
      <c r="AG249" s="130" t="s">
        <v>347</v>
      </c>
      <c r="AI249">
        <v>1</v>
      </c>
      <c r="AJ249">
        <v>1.0159165353664901</v>
      </c>
      <c r="AK249">
        <v>1.09549921219896</v>
      </c>
      <c r="AL249">
        <v>1.17481554148819</v>
      </c>
      <c r="AM249">
        <v>1.2506299362281099</v>
      </c>
      <c r="AN249">
        <v>1.3223636445896501</v>
      </c>
      <c r="AO249">
        <v>1.3886817149902899</v>
      </c>
      <c r="AP249">
        <v>1.4473807059475701</v>
      </c>
      <c r="AQ249">
        <v>1.4976954700613501</v>
      </c>
      <c r="AR249">
        <v>1.5385895723157701</v>
      </c>
      <c r="AS249">
        <v>1.5694064167895001</v>
      </c>
      <c r="AT249">
        <v>1.5907025705259901</v>
      </c>
      <c r="AU249">
        <v>1.60375329654095</v>
      </c>
      <c r="AV249">
        <v>1.61005634327467</v>
      </c>
      <c r="AW249">
        <v>1.6113273514956901</v>
      </c>
      <c r="AX249">
        <v>1.6090054176686399</v>
      </c>
      <c r="AY249">
        <v>1.60342321382187</v>
      </c>
      <c r="AZ249">
        <v>1.5940648645362601</v>
      </c>
      <c r="BA249">
        <v>0</v>
      </c>
      <c r="BB249">
        <v>0</v>
      </c>
      <c r="BC249">
        <v>0</v>
      </c>
      <c r="BD249">
        <v>0</v>
      </c>
      <c r="BE249">
        <v>0</v>
      </c>
      <c r="BF249">
        <v>0</v>
      </c>
      <c r="BG249">
        <v>0</v>
      </c>
      <c r="BH249">
        <v>0</v>
      </c>
      <c r="BJ249" t="s">
        <v>343</v>
      </c>
      <c r="BL249">
        <v>1</v>
      </c>
      <c r="BM249">
        <v>0.99756097560975698</v>
      </c>
      <c r="BN249">
        <v>0.98536585365853702</v>
      </c>
      <c r="BO249">
        <v>0.97317073170731705</v>
      </c>
      <c r="BP249">
        <v>0.96097560975609797</v>
      </c>
      <c r="BQ249">
        <v>0.948780487804878</v>
      </c>
      <c r="BR249">
        <v>0.93658536585365804</v>
      </c>
      <c r="BS249">
        <v>0.92439024390243896</v>
      </c>
      <c r="BT249">
        <v>0.91219512195121999</v>
      </c>
      <c r="BU249">
        <v>0.90</v>
      </c>
      <c r="BV249">
        <v>0.8875</v>
      </c>
      <c r="BW249">
        <v>0.875000000000001</v>
      </c>
      <c r="BX249">
        <v>0.86250000000000104</v>
      </c>
      <c r="BY249">
        <v>0.85000000000000098</v>
      </c>
      <c r="BZ249">
        <v>0.8375</v>
      </c>
      <c r="CA249">
        <v>0.82500000000000095</v>
      </c>
      <c r="CB249">
        <v>0.812500000000001</v>
      </c>
      <c r="CC249">
        <v>0.80000000000000104</v>
      </c>
      <c r="CD249" t="e">
        <v>#VALUE!</v>
      </c>
      <c r="CE249" t="e">
        <v>#VALUE!</v>
      </c>
      <c r="CF249" t="e">
        <v>#VALUE!</v>
      </c>
      <c r="CG249" t="e">
        <v>#VALUE!</v>
      </c>
      <c r="CH249" t="e">
        <v>#VALUE!</v>
      </c>
      <c r="CI249" t="e">
        <v>#VALUE!</v>
      </c>
      <c r="CJ249" t="e">
        <v>#VALUE!</v>
      </c>
      <c r="CK249" t="e">
        <v>#VALUE!</v>
      </c>
    </row>
    <row r="250" spans="1:89" ht="12.5">
      <c r="A250" t="s">
        <v>24</v>
      </c>
      <c r="B250" t="s">
        <v>351</v>
      </c>
      <c r="C250" t="s">
        <v>351</v>
      </c>
      <c r="D250">
        <v>9.69</v>
      </c>
      <c r="E250">
        <v>9.8438550539751901</v>
      </c>
      <c r="F250"/>
      <c r="G250">
        <v>10.6036969440507</v>
      </c>
      <c r="H250">
        <v>11.3508281624558</v>
      </c>
      <c r="I250">
        <v>12.0547458908514</v>
      </c>
      <c r="J250">
        <v>12.710767684566299</v>
      </c>
      <c r="K250">
        <v>13.307803149140099</v>
      </c>
      <c r="L250">
        <v>13.827786741401599</v>
      </c>
      <c r="M250">
        <v>14.266270064504299</v>
      </c>
      <c r="N250">
        <v>14.6168524670169</v>
      </c>
      <c r="O250">
        <v>14.876681458180601</v>
      </c>
      <c r="P250">
        <v>15.0533177204826</v>
      </c>
      <c r="Q250">
        <v>15.159839158627401</v>
      </c>
      <c r="R250">
        <v>15.2104829818786</v>
      </c>
      <c r="S250">
        <v>15.2205392097457</v>
      </c>
      <c r="T250">
        <v>15.2024445656127</v>
      </c>
      <c r="U250">
        <v>15.159591195340001</v>
      </c>
      <c r="V250">
        <v>15.0888082613222</v>
      </c>
      <c r="W250">
        <v>5</v>
      </c>
      <c r="AG250" s="130" t="s">
        <v>347</v>
      </c>
      <c r="AI250">
        <v>1</v>
      </c>
      <c r="AJ250">
        <v>1.0159165353664901</v>
      </c>
      <c r="AK250">
        <v>1.09549921219896</v>
      </c>
      <c r="AL250">
        <v>1.17481554148819</v>
      </c>
      <c r="AM250">
        <v>1.2506299362281099</v>
      </c>
      <c r="AN250">
        <v>1.3223636445896501</v>
      </c>
      <c r="AO250">
        <v>1.3886817149902899</v>
      </c>
      <c r="AP250">
        <v>1.4473807059475701</v>
      </c>
      <c r="AQ250">
        <v>1.4976954700613501</v>
      </c>
      <c r="AR250">
        <v>1.5385895723157701</v>
      </c>
      <c r="AS250">
        <v>1.5694064167895001</v>
      </c>
      <c r="AT250">
        <v>1.5907025705259901</v>
      </c>
      <c r="AU250">
        <v>1.60375329654095</v>
      </c>
      <c r="AV250">
        <v>1.61005634327467</v>
      </c>
      <c r="AW250">
        <v>1.6113273514956901</v>
      </c>
      <c r="AX250">
        <v>1.6090054176686399</v>
      </c>
      <c r="AY250">
        <v>1.60342321382187</v>
      </c>
      <c r="AZ250">
        <v>1.5940648645362601</v>
      </c>
      <c r="BA250">
        <v>0</v>
      </c>
      <c r="BB250">
        <v>0</v>
      </c>
      <c r="BC250">
        <v>0</v>
      </c>
      <c r="BD250">
        <v>0</v>
      </c>
      <c r="BE250">
        <v>0</v>
      </c>
      <c r="BF250">
        <v>0</v>
      </c>
      <c r="BG250">
        <v>0</v>
      </c>
      <c r="BH250">
        <v>0</v>
      </c>
      <c r="BJ250" t="s">
        <v>343</v>
      </c>
      <c r="BL250">
        <v>1</v>
      </c>
      <c r="BM250">
        <v>0.99756097560975698</v>
      </c>
      <c r="BN250">
        <v>0.98536585365853702</v>
      </c>
      <c r="BO250">
        <v>0.97317073170731705</v>
      </c>
      <c r="BP250">
        <v>0.96097560975609797</v>
      </c>
      <c r="BQ250">
        <v>0.948780487804878</v>
      </c>
      <c r="BR250">
        <v>0.93658536585365804</v>
      </c>
      <c r="BS250">
        <v>0.92439024390243896</v>
      </c>
      <c r="BT250">
        <v>0.91219512195121999</v>
      </c>
      <c r="BU250">
        <v>0.90</v>
      </c>
      <c r="BV250">
        <v>0.8875</v>
      </c>
      <c r="BW250">
        <v>0.875000000000001</v>
      </c>
      <c r="BX250">
        <v>0.86250000000000104</v>
      </c>
      <c r="BY250">
        <v>0.85000000000000098</v>
      </c>
      <c r="BZ250">
        <v>0.8375</v>
      </c>
      <c r="CA250">
        <v>0.82500000000000095</v>
      </c>
      <c r="CB250">
        <v>0.812500000000001</v>
      </c>
      <c r="CC250">
        <v>0.80000000000000104</v>
      </c>
      <c r="CD250" t="e">
        <v>#VALUE!</v>
      </c>
      <c r="CE250" t="e">
        <v>#VALUE!</v>
      </c>
      <c r="CF250" t="e">
        <v>#VALUE!</v>
      </c>
      <c r="CG250" t="e">
        <v>#VALUE!</v>
      </c>
      <c r="CH250" t="e">
        <v>#VALUE!</v>
      </c>
      <c r="CI250" t="e">
        <v>#VALUE!</v>
      </c>
      <c r="CJ250" t="e">
        <v>#VALUE!</v>
      </c>
      <c r="CK250" t="e">
        <v>#VALUE!</v>
      </c>
    </row>
    <row r="251" spans="1:89" ht="12.5">
      <c r="A251" t="s">
        <v>24</v>
      </c>
      <c r="B251" t="s">
        <v>352</v>
      </c>
      <c r="C251" t="s">
        <v>352</v>
      </c>
      <c r="D251">
        <v>20.86</v>
      </c>
      <c r="E251">
        <v>21.191209125482199</v>
      </c>
      <c r="F251"/>
      <c r="G251">
        <v>22.826947188121501</v>
      </c>
      <c r="H251">
        <v>24.435322545802599</v>
      </c>
      <c r="I251">
        <v>25.950670720656301</v>
      </c>
      <c r="J251">
        <v>27.362911651192199</v>
      </c>
      <c r="K251">
        <v>28.648170659552399</v>
      </c>
      <c r="L251">
        <v>29.7675574226664</v>
      </c>
      <c r="M251">
        <v>30.7114957219361</v>
      </c>
      <c r="N251">
        <v>31.4662066524224</v>
      </c>
      <c r="O251">
        <v>32.025549558064696</v>
      </c>
      <c r="P251">
        <v>32.405800582999603</v>
      </c>
      <c r="Q251">
        <v>32.635112987509501</v>
      </c>
      <c r="R251">
        <v>32.744135707119497</v>
      </c>
      <c r="S251">
        <v>32.765784098585698</v>
      </c>
      <c r="T251">
        <v>32.726831128862898</v>
      </c>
      <c r="U251">
        <v>32.634579188316998</v>
      </c>
      <c r="V251">
        <v>32.4822023045595</v>
      </c>
      <c r="W251">
        <v>5</v>
      </c>
      <c r="AG251" s="130" t="s">
        <v>347</v>
      </c>
      <c r="AI251">
        <v>1</v>
      </c>
      <c r="AJ251">
        <v>1.0159165353664901</v>
      </c>
      <c r="AK251">
        <v>1.09549921219896</v>
      </c>
      <c r="AL251">
        <v>1.17481554148819</v>
      </c>
      <c r="AM251">
        <v>1.2506299362281099</v>
      </c>
      <c r="AN251">
        <v>1.3223636445896501</v>
      </c>
      <c r="AO251">
        <v>1.3886817149902899</v>
      </c>
      <c r="AP251">
        <v>1.4473807059475701</v>
      </c>
      <c r="AQ251">
        <v>1.4976954700613501</v>
      </c>
      <c r="AR251">
        <v>1.5385895723157701</v>
      </c>
      <c r="AS251">
        <v>1.5694064167895001</v>
      </c>
      <c r="AT251">
        <v>1.5907025705259901</v>
      </c>
      <c r="AU251">
        <v>1.60375329654095</v>
      </c>
      <c r="AV251">
        <v>1.61005634327467</v>
      </c>
      <c r="AW251">
        <v>1.6113273514956901</v>
      </c>
      <c r="AX251">
        <v>1.6090054176686399</v>
      </c>
      <c r="AY251">
        <v>1.60342321382187</v>
      </c>
      <c r="AZ251">
        <v>1.5940648645362601</v>
      </c>
      <c r="BA251">
        <v>0</v>
      </c>
      <c r="BB251">
        <v>0</v>
      </c>
      <c r="BC251">
        <v>0</v>
      </c>
      <c r="BD251">
        <v>0</v>
      </c>
      <c r="BE251">
        <v>0</v>
      </c>
      <c r="BF251">
        <v>0</v>
      </c>
      <c r="BG251">
        <v>0</v>
      </c>
      <c r="BH251">
        <v>0</v>
      </c>
      <c r="BJ251" t="s">
        <v>343</v>
      </c>
      <c r="BL251">
        <v>1</v>
      </c>
      <c r="BM251">
        <v>0.99756097560975698</v>
      </c>
      <c r="BN251">
        <v>0.98536585365853702</v>
      </c>
      <c r="BO251">
        <v>0.97317073170731705</v>
      </c>
      <c r="BP251">
        <v>0.96097560975609797</v>
      </c>
      <c r="BQ251">
        <v>0.948780487804878</v>
      </c>
      <c r="BR251">
        <v>0.93658536585365804</v>
      </c>
      <c r="BS251">
        <v>0.92439024390243896</v>
      </c>
      <c r="BT251">
        <v>0.91219512195121999</v>
      </c>
      <c r="BU251">
        <v>0.90</v>
      </c>
      <c r="BV251">
        <v>0.8875</v>
      </c>
      <c r="BW251">
        <v>0.875000000000001</v>
      </c>
      <c r="BX251">
        <v>0.86250000000000104</v>
      </c>
      <c r="BY251">
        <v>0.85000000000000098</v>
      </c>
      <c r="BZ251">
        <v>0.8375</v>
      </c>
      <c r="CA251">
        <v>0.82500000000000095</v>
      </c>
      <c r="CB251">
        <v>0.812500000000001</v>
      </c>
      <c r="CC251">
        <v>0.80000000000000104</v>
      </c>
      <c r="CD251" t="e">
        <v>#VALUE!</v>
      </c>
      <c r="CE251" t="e">
        <v>#VALUE!</v>
      </c>
      <c r="CF251" t="e">
        <v>#VALUE!</v>
      </c>
      <c r="CG251" t="e">
        <v>#VALUE!</v>
      </c>
      <c r="CH251" t="e">
        <v>#VALUE!</v>
      </c>
      <c r="CI251" t="e">
        <v>#VALUE!</v>
      </c>
      <c r="CJ251" t="e">
        <v>#VALUE!</v>
      </c>
      <c r="CK251" t="e">
        <v>#VALUE!</v>
      </c>
    </row>
    <row r="252" spans="1:89" ht="12.5">
      <c r="A252" t="s">
        <v>24</v>
      </c>
      <c r="B252" t="s">
        <v>353</v>
      </c>
      <c r="C252" t="s">
        <v>353</v>
      </c>
      <c r="D252">
        <v>908.37599999999998</v>
      </c>
      <c r="E252">
        <v>902.44044148694297</v>
      </c>
      <c r="F252"/>
      <c r="G252">
        <v>988.85508479307703</v>
      </c>
      <c r="H252">
        <v>1071.7987976582299</v>
      </c>
      <c r="I252">
        <v>1168.5418090855201</v>
      </c>
      <c r="J252">
        <v>1276.78267529446</v>
      </c>
      <c r="K252">
        <v>1387.4190886312199</v>
      </c>
      <c r="L252">
        <v>1500.7890538244601</v>
      </c>
      <c r="M252">
        <v>1622.3126742637101</v>
      </c>
      <c r="N252">
        <v>1757.19725879159</v>
      </c>
      <c r="O252">
        <v>1904.46213532516</v>
      </c>
      <c r="P252">
        <v>2056.0573353846198</v>
      </c>
      <c r="Q252">
        <v>2210.5898026132299</v>
      </c>
      <c r="R252">
        <v>2368.0054913387198</v>
      </c>
      <c r="S252">
        <v>2529.0916811929101</v>
      </c>
      <c r="T252">
        <v>2695.5749969512499</v>
      </c>
      <c r="U252">
        <v>2868.9170807205901</v>
      </c>
      <c r="V252">
        <v>3049.4673226580899</v>
      </c>
      <c r="W252">
        <v>5</v>
      </c>
      <c r="AG252" s="130" t="s">
        <v>354</v>
      </c>
      <c r="AI252">
        <v>1</v>
      </c>
      <c r="AJ252">
        <v>0.99344977093069398</v>
      </c>
      <c r="AK252">
        <v>1.08999197240245</v>
      </c>
      <c r="AL252">
        <v>1.18393944076461</v>
      </c>
      <c r="AM252">
        <v>1.29514422196086</v>
      </c>
      <c r="AN252">
        <v>1.4215885612035799</v>
      </c>
      <c r="AO252">
        <v>1.5531133641180801</v>
      </c>
      <c r="AP252">
        <v>1.69040312587037</v>
      </c>
      <c r="AQ252">
        <v>1.84045574756925</v>
      </c>
      <c r="AR252">
        <v>2.0104799035446099</v>
      </c>
      <c r="AS252">
        <v>2.2003296559608798</v>
      </c>
      <c r="AT252">
        <v>2.4004968066930301</v>
      </c>
      <c r="AU252">
        <v>2.6096798832392798</v>
      </c>
      <c r="AV252">
        <v>2.8283090822338002</v>
      </c>
      <c r="AW252">
        <v>3.0580390526148902</v>
      </c>
      <c r="AX252">
        <v>3.3020420843770499</v>
      </c>
      <c r="AY252">
        <v>3.5633856595656601</v>
      </c>
      <c r="AZ252">
        <v>3.84370490758206</v>
      </c>
      <c r="BA252">
        <v>0</v>
      </c>
      <c r="BB252">
        <v>0</v>
      </c>
      <c r="BC252">
        <v>0</v>
      </c>
      <c r="BD252">
        <v>0</v>
      </c>
      <c r="BE252">
        <v>0</v>
      </c>
      <c r="BF252">
        <v>0</v>
      </c>
      <c r="BG252">
        <v>0</v>
      </c>
      <c r="BH252">
        <v>0</v>
      </c>
      <c r="BJ252" t="s">
        <v>343</v>
      </c>
      <c r="BL252">
        <v>1</v>
      </c>
      <c r="BM252">
        <v>0.99756097560975698</v>
      </c>
      <c r="BN252">
        <v>0.98536585365853702</v>
      </c>
      <c r="BO252">
        <v>0.97317073170731705</v>
      </c>
      <c r="BP252">
        <v>0.96097560975609797</v>
      </c>
      <c r="BQ252">
        <v>0.948780487804878</v>
      </c>
      <c r="BR252">
        <v>0.93658536585365804</v>
      </c>
      <c r="BS252">
        <v>0.92439024390243896</v>
      </c>
      <c r="BT252">
        <v>0.91219512195121999</v>
      </c>
      <c r="BU252">
        <v>0.90</v>
      </c>
      <c r="BV252">
        <v>0.8875</v>
      </c>
      <c r="BW252">
        <v>0.875000000000001</v>
      </c>
      <c r="BX252">
        <v>0.86250000000000104</v>
      </c>
      <c r="BY252">
        <v>0.85000000000000098</v>
      </c>
      <c r="BZ252">
        <v>0.8375</v>
      </c>
      <c r="CA252">
        <v>0.82500000000000095</v>
      </c>
      <c r="CB252">
        <v>0.812500000000001</v>
      </c>
      <c r="CC252">
        <v>0.80000000000000104</v>
      </c>
      <c r="CD252" t="e">
        <v>#VALUE!</v>
      </c>
      <c r="CE252" t="e">
        <v>#VALUE!</v>
      </c>
      <c r="CF252" t="e">
        <v>#VALUE!</v>
      </c>
      <c r="CG252" t="e">
        <v>#VALUE!</v>
      </c>
      <c r="CH252" t="e">
        <v>#VALUE!</v>
      </c>
      <c r="CI252" t="e">
        <v>#VALUE!</v>
      </c>
      <c r="CJ252" t="e">
        <v>#VALUE!</v>
      </c>
      <c r="CK252" t="e">
        <v>#VALUE!</v>
      </c>
    </row>
    <row r="253" spans="1:89" ht="12.5">
      <c r="A253" t="s">
        <v>24</v>
      </c>
      <c r="B253" t="s">
        <v>355</v>
      </c>
      <c r="C253" t="s">
        <v>355</v>
      </c>
      <c r="D253">
        <v>175.40</v>
      </c>
      <c r="E253">
        <v>177.02060110514401</v>
      </c>
      <c r="F253"/>
      <c r="G253">
        <v>208.96348268097401</v>
      </c>
      <c r="H253">
        <v>242.48352563023801</v>
      </c>
      <c r="I253">
        <v>280.820618141117</v>
      </c>
      <c r="J253">
        <v>323.60707526694199</v>
      </c>
      <c r="K253">
        <v>368.25484177283499</v>
      </c>
      <c r="L253">
        <v>414.00697129113303</v>
      </c>
      <c r="M253">
        <v>461.82407112091602</v>
      </c>
      <c r="N253">
        <v>512.619092012593</v>
      </c>
      <c r="O253">
        <v>565.552785443223</v>
      </c>
      <c r="P253">
        <v>617.89668025313699</v>
      </c>
      <c r="Q253">
        <v>669.09097994114302</v>
      </c>
      <c r="R253">
        <v>719.15928464281501</v>
      </c>
      <c r="S253">
        <v>768.59497267778397</v>
      </c>
      <c r="T253">
        <v>818.20287997631999</v>
      </c>
      <c r="U253">
        <v>868.32943675522097</v>
      </c>
      <c r="V253">
        <v>918.60288441460796</v>
      </c>
      <c r="W253">
        <v>5</v>
      </c>
      <c r="AG253" s="130" t="s">
        <v>342</v>
      </c>
      <c r="AI253">
        <v>1</v>
      </c>
      <c r="AJ253">
        <v>1.0092620493445501</v>
      </c>
      <c r="AK253">
        <v>1.1940853470700701</v>
      </c>
      <c r="AL253">
        <v>1.39091045519109</v>
      </c>
      <c r="AM253">
        <v>1.6197461357171099</v>
      </c>
      <c r="AN253">
        <v>1.8798570309001299</v>
      </c>
      <c r="AO253">
        <v>2.15678013005784</v>
      </c>
      <c r="AP253">
        <v>2.4466568696582298</v>
      </c>
      <c r="AQ253">
        <v>2.7564422359828402</v>
      </c>
      <c r="AR253">
        <v>3.0933034149441401</v>
      </c>
      <c r="AS253">
        <v>3.4532114811172399</v>
      </c>
      <c r="AT253">
        <v>3.8184764409460401</v>
      </c>
      <c r="AU253">
        <v>4.1852827156616002</v>
      </c>
      <c r="AV253">
        <v>4.5537369785918802</v>
      </c>
      <c r="AW253">
        <v>4.9275019674203504</v>
      </c>
      <c r="AX253">
        <v>5.3130036031325298</v>
      </c>
      <c r="AY253">
        <v>5.7136152863475402</v>
      </c>
      <c r="AZ253">
        <v>6.1271149428221499</v>
      </c>
      <c r="BA253">
        <v>0</v>
      </c>
      <c r="BB253">
        <v>0</v>
      </c>
      <c r="BC253">
        <v>0</v>
      </c>
      <c r="BD253">
        <v>0</v>
      </c>
      <c r="BE253">
        <v>0</v>
      </c>
      <c r="BF253">
        <v>0</v>
      </c>
      <c r="BG253">
        <v>0</v>
      </c>
      <c r="BH253">
        <v>0</v>
      </c>
      <c r="BJ253" t="s">
        <v>343</v>
      </c>
      <c r="BL253">
        <v>1</v>
      </c>
      <c r="BM253">
        <v>0.99756097560975698</v>
      </c>
      <c r="BN253">
        <v>0.98536585365853702</v>
      </c>
      <c r="BO253">
        <v>0.97317073170731705</v>
      </c>
      <c r="BP253">
        <v>0.96097560975609797</v>
      </c>
      <c r="BQ253">
        <v>0.948780487804878</v>
      </c>
      <c r="BR253">
        <v>0.93658536585365804</v>
      </c>
      <c r="BS253">
        <v>0.92439024390243896</v>
      </c>
      <c r="BT253">
        <v>0.91219512195121999</v>
      </c>
      <c r="BU253">
        <v>0.90</v>
      </c>
      <c r="BV253">
        <v>0.8875</v>
      </c>
      <c r="BW253">
        <v>0.875000000000001</v>
      </c>
      <c r="BX253">
        <v>0.86250000000000104</v>
      </c>
      <c r="BY253">
        <v>0.85000000000000098</v>
      </c>
      <c r="BZ253">
        <v>0.8375</v>
      </c>
      <c r="CA253">
        <v>0.82500000000000095</v>
      </c>
      <c r="CB253">
        <v>0.812500000000001</v>
      </c>
      <c r="CC253">
        <v>0.80000000000000104</v>
      </c>
      <c r="CD253" t="e">
        <v>#VALUE!</v>
      </c>
      <c r="CE253" t="e">
        <v>#VALUE!</v>
      </c>
      <c r="CF253" t="e">
        <v>#VALUE!</v>
      </c>
      <c r="CG253" t="e">
        <v>#VALUE!</v>
      </c>
      <c r="CH253" t="e">
        <v>#VALUE!</v>
      </c>
      <c r="CI253" t="e">
        <v>#VALUE!</v>
      </c>
      <c r="CJ253" t="e">
        <v>#VALUE!</v>
      </c>
      <c r="CK253" t="e">
        <v>#VALUE!</v>
      </c>
    </row>
    <row r="254" spans="1:89" ht="12.5">
      <c r="A254" t="s">
        <v>24</v>
      </c>
      <c r="B254" t="s">
        <v>356</v>
      </c>
      <c r="C254" t="s">
        <v>356</v>
      </c>
      <c r="D254">
        <v>222.24</v>
      </c>
      <c r="E254">
        <v>224.29337736378099</v>
      </c>
      <c r="F254"/>
      <c r="G254">
        <v>264.76650165917698</v>
      </c>
      <c r="H254">
        <v>307.237963147458</v>
      </c>
      <c r="I254">
        <v>355.81285162874502</v>
      </c>
      <c r="J254">
        <v>410.02529308623298</v>
      </c>
      <c r="K254">
        <v>466.59610054501098</v>
      </c>
      <c r="L254">
        <v>524.56618756979196</v>
      </c>
      <c r="M254">
        <v>585.15268851717406</v>
      </c>
      <c r="N254">
        <v>649.512354668635</v>
      </c>
      <c r="O254">
        <v>716.58181891050106</v>
      </c>
      <c r="P254">
        <v>782.90398072666596</v>
      </c>
      <c r="Q254">
        <v>847.769551779474</v>
      </c>
      <c r="R254">
        <v>911.20843454400995</v>
      </c>
      <c r="S254">
        <v>973.84576241682396</v>
      </c>
      <c r="T254">
        <v>1036.7013001478799</v>
      </c>
      <c r="U254">
        <v>1100.2139910175599</v>
      </c>
      <c r="V254">
        <v>1163.9127995000099</v>
      </c>
      <c r="W254">
        <v>5</v>
      </c>
      <c r="AG254" s="130" t="s">
        <v>342</v>
      </c>
      <c r="AI254">
        <v>1</v>
      </c>
      <c r="AJ254">
        <v>1.0092620493445501</v>
      </c>
      <c r="AK254">
        <v>1.1940853470700701</v>
      </c>
      <c r="AL254">
        <v>1.39091045519109</v>
      </c>
      <c r="AM254">
        <v>1.6197461357171099</v>
      </c>
      <c r="AN254">
        <v>1.8798570309001299</v>
      </c>
      <c r="AO254">
        <v>2.15678013005784</v>
      </c>
      <c r="AP254">
        <v>2.4466568696582298</v>
      </c>
      <c r="AQ254">
        <v>2.7564422359828402</v>
      </c>
      <c r="AR254">
        <v>3.0933034149441401</v>
      </c>
      <c r="AS254">
        <v>3.4532114811172399</v>
      </c>
      <c r="AT254">
        <v>3.8184764409460401</v>
      </c>
      <c r="AU254">
        <v>4.1852827156616002</v>
      </c>
      <c r="AV254">
        <v>4.5537369785918802</v>
      </c>
      <c r="AW254">
        <v>4.9275019674203504</v>
      </c>
      <c r="AX254">
        <v>5.3130036031325298</v>
      </c>
      <c r="AY254">
        <v>5.7136152863475402</v>
      </c>
      <c r="AZ254">
        <v>6.1271149428221499</v>
      </c>
      <c r="BA254">
        <v>0</v>
      </c>
      <c r="BB254">
        <v>0</v>
      </c>
      <c r="BC254">
        <v>0</v>
      </c>
      <c r="BD254">
        <v>0</v>
      </c>
      <c r="BE254">
        <v>0</v>
      </c>
      <c r="BF254">
        <v>0</v>
      </c>
      <c r="BG254">
        <v>0</v>
      </c>
      <c r="BH254">
        <v>0</v>
      </c>
      <c r="BJ254" t="s">
        <v>343</v>
      </c>
      <c r="BL254">
        <v>1</v>
      </c>
      <c r="BM254">
        <v>0.99756097560975698</v>
      </c>
      <c r="BN254">
        <v>0.98536585365853702</v>
      </c>
      <c r="BO254">
        <v>0.97317073170731705</v>
      </c>
      <c r="BP254">
        <v>0.96097560975609797</v>
      </c>
      <c r="BQ254">
        <v>0.948780487804878</v>
      </c>
      <c r="BR254">
        <v>0.93658536585365804</v>
      </c>
      <c r="BS254">
        <v>0.92439024390243896</v>
      </c>
      <c r="BT254">
        <v>0.91219512195121999</v>
      </c>
      <c r="BU254">
        <v>0.90</v>
      </c>
      <c r="BV254">
        <v>0.8875</v>
      </c>
      <c r="BW254">
        <v>0.875000000000001</v>
      </c>
      <c r="BX254">
        <v>0.86250000000000104</v>
      </c>
      <c r="BY254">
        <v>0.85000000000000098</v>
      </c>
      <c r="BZ254">
        <v>0.8375</v>
      </c>
      <c r="CA254">
        <v>0.82500000000000095</v>
      </c>
      <c r="CB254">
        <v>0.812500000000001</v>
      </c>
      <c r="CC254">
        <v>0.80000000000000104</v>
      </c>
      <c r="CD254" t="e">
        <v>#VALUE!</v>
      </c>
      <c r="CE254" t="e">
        <v>#VALUE!</v>
      </c>
      <c r="CF254" t="e">
        <v>#VALUE!</v>
      </c>
      <c r="CG254" t="e">
        <v>#VALUE!</v>
      </c>
      <c r="CH254" t="e">
        <v>#VALUE!</v>
      </c>
      <c r="CI254" t="e">
        <v>#VALUE!</v>
      </c>
      <c r="CJ254" t="e">
        <v>#VALUE!</v>
      </c>
      <c r="CK254" t="e">
        <v>#VALUE!</v>
      </c>
    </row>
    <row r="255" spans="1:89" ht="12.5">
      <c r="A255" t="s">
        <v>25</v>
      </c>
      <c r="B255" t="s">
        <v>341</v>
      </c>
      <c r="C255" t="s">
        <v>341</v>
      </c>
      <c r="E255" s="2">
        <v>2841.17573671432</v>
      </c>
      <c r="F255" s="2">
        <f>E255</f>
        <v>2841.17573671432</v>
      </c>
      <c r="I255" s="2">
        <f>F255</f>
        <v>2841.17573671432</v>
      </c>
      <c r="J255" s="2">
        <f>I255</f>
        <v>2841.17573671432</v>
      </c>
      <c r="L255" s="2">
        <f>J255</f>
        <v>2841.17573671432</v>
      </c>
      <c r="V255" s="2">
        <f>L255</f>
        <v>2841.17573671432</v>
      </c>
      <c r="W255">
        <v>5</v>
      </c>
      <c r="AG255" s="130" t="s">
        <v>342</v>
      </c>
      <c r="AI255">
        <v>1</v>
      </c>
      <c r="AJ255">
        <v>1.0117278898059101</v>
      </c>
      <c r="AK255">
        <v>1.1577307880957799</v>
      </c>
      <c r="AL255">
        <v>1.2763269345174699</v>
      </c>
      <c r="AM255">
        <v>1.38914444804718</v>
      </c>
      <c r="AN255">
        <v>1.5000891332334001</v>
      </c>
      <c r="AO255">
        <v>1.611556767737</v>
      </c>
      <c r="AP255">
        <v>1.7240763117870199</v>
      </c>
      <c r="AQ255">
        <v>1.8391221561518101</v>
      </c>
      <c r="AR255">
        <v>1.9568346985545</v>
      </c>
      <c r="AS255">
        <v>2.0775685827850201</v>
      </c>
      <c r="AT255">
        <v>2.1976249513974899</v>
      </c>
      <c r="AU255">
        <v>2.3152623574039999</v>
      </c>
      <c r="AV255">
        <v>2.4291742862128198</v>
      </c>
      <c r="AW255">
        <v>2.5392375141342298</v>
      </c>
      <c r="AX255">
        <v>2.6455271775643898</v>
      </c>
      <c r="AY255">
        <v>2.74797200426466</v>
      </c>
      <c r="AZ255">
        <v>2.8453990077530502</v>
      </c>
      <c r="BA255">
        <v>0</v>
      </c>
      <c r="BB255">
        <v>0</v>
      </c>
      <c r="BC255">
        <v>0</v>
      </c>
      <c r="BD255">
        <v>0</v>
      </c>
      <c r="BE255">
        <v>0</v>
      </c>
      <c r="BF255">
        <v>0</v>
      </c>
      <c r="BG255">
        <v>0</v>
      </c>
      <c r="BH255">
        <v>0</v>
      </c>
      <c r="BJ255" t="s">
        <v>357</v>
      </c>
      <c r="BL255">
        <v>0.80</v>
      </c>
      <c r="BM255">
        <v>0.79756097560975603</v>
      </c>
      <c r="BN255">
        <v>0.78536585365853595</v>
      </c>
      <c r="BO255">
        <v>0.77317073170731698</v>
      </c>
      <c r="BP255">
        <v>0.76097560975609702</v>
      </c>
      <c r="BQ255">
        <v>0.74878048780487805</v>
      </c>
      <c r="BR255">
        <v>0.73658536585365797</v>
      </c>
      <c r="BS255">
        <v>0.724390243902439</v>
      </c>
      <c r="BT255">
        <v>0.71219512195122003</v>
      </c>
      <c r="BU255">
        <v>0.69999999999999896</v>
      </c>
      <c r="BV255">
        <v>0.687499999999999</v>
      </c>
      <c r="BW255">
        <v>0.675</v>
      </c>
      <c r="BX255">
        <v>0.6625</v>
      </c>
      <c r="BY255">
        <v>0.64999999999999902</v>
      </c>
      <c r="BZ255">
        <v>0.63749999999999896</v>
      </c>
      <c r="CA255">
        <v>0.625</v>
      </c>
      <c r="CB255">
        <v>0.6125</v>
      </c>
      <c r="CC255">
        <v>0.60</v>
      </c>
      <c r="CD255" t="e">
        <v>#VALUE!</v>
      </c>
      <c r="CE255" t="e">
        <v>#VALUE!</v>
      </c>
      <c r="CF255" t="e">
        <v>#VALUE!</v>
      </c>
      <c r="CG255" t="e">
        <v>#VALUE!</v>
      </c>
      <c r="CH255" t="e">
        <v>#VALUE!</v>
      </c>
      <c r="CI255" t="e">
        <v>#VALUE!</v>
      </c>
      <c r="CJ255" t="e">
        <v>#VALUE!</v>
      </c>
      <c r="CK255" t="e">
        <v>#VALUE!</v>
      </c>
    </row>
    <row r="256" spans="1:89" ht="12.5">
      <c r="A256" t="s">
        <v>25</v>
      </c>
      <c r="B256" t="s">
        <v>344</v>
      </c>
      <c r="C256" t="s">
        <v>344</v>
      </c>
      <c r="E256" s="2">
        <v>1296.8771826910599</v>
      </c>
      <c r="F256" s="2">
        <f>E256</f>
        <v>1296.8771826910599</v>
      </c>
      <c r="I256" s="2">
        <f>F256</f>
        <v>1296.8771826910599</v>
      </c>
      <c r="J256" s="2">
        <f>I256</f>
        <v>1296.8771826910599</v>
      </c>
      <c r="L256" s="2">
        <f>J256</f>
        <v>1296.8771826910599</v>
      </c>
      <c r="V256" s="2">
        <f>L256</f>
        <v>1296.8771826910599</v>
      </c>
      <c r="W256">
        <v>5</v>
      </c>
      <c r="AG256" s="130" t="s">
        <v>342</v>
      </c>
      <c r="AI256">
        <v>1</v>
      </c>
      <c r="AJ256">
        <v>1.0117278898059101</v>
      </c>
      <c r="AK256">
        <v>1.1577307880957799</v>
      </c>
      <c r="AL256">
        <v>1.2763269345174699</v>
      </c>
      <c r="AM256">
        <v>1.38914444804718</v>
      </c>
      <c r="AN256">
        <v>1.5000891332334001</v>
      </c>
      <c r="AO256">
        <v>1.611556767737</v>
      </c>
      <c r="AP256">
        <v>1.7240763117870199</v>
      </c>
      <c r="AQ256">
        <v>1.8391221561518101</v>
      </c>
      <c r="AR256">
        <v>1.9568346985545</v>
      </c>
      <c r="AS256">
        <v>2.0775685827850201</v>
      </c>
      <c r="AT256">
        <v>2.1976249513974899</v>
      </c>
      <c r="AU256">
        <v>2.3152623574039999</v>
      </c>
      <c r="AV256">
        <v>2.4291742862128198</v>
      </c>
      <c r="AW256">
        <v>2.5392375141342298</v>
      </c>
      <c r="AX256">
        <v>2.6455271775643898</v>
      </c>
      <c r="AY256">
        <v>2.74797200426466</v>
      </c>
      <c r="AZ256">
        <v>2.8453990077530502</v>
      </c>
      <c r="BA256">
        <v>0</v>
      </c>
      <c r="BB256">
        <v>0</v>
      </c>
      <c r="BC256">
        <v>0</v>
      </c>
      <c r="BD256">
        <v>0</v>
      </c>
      <c r="BE256">
        <v>0</v>
      </c>
      <c r="BF256">
        <v>0</v>
      </c>
      <c r="BG256">
        <v>0</v>
      </c>
      <c r="BH256">
        <v>0</v>
      </c>
      <c r="BJ256" t="s">
        <v>357</v>
      </c>
      <c r="BL256">
        <v>0.80</v>
      </c>
      <c r="BM256">
        <v>0.79756097560975603</v>
      </c>
      <c r="BN256">
        <v>0.78536585365853595</v>
      </c>
      <c r="BO256">
        <v>0.77317073170731698</v>
      </c>
      <c r="BP256">
        <v>0.76097560975609702</v>
      </c>
      <c r="BQ256">
        <v>0.74878048780487805</v>
      </c>
      <c r="BR256">
        <v>0.73658536585365797</v>
      </c>
      <c r="BS256">
        <v>0.724390243902439</v>
      </c>
      <c r="BT256">
        <v>0.71219512195122003</v>
      </c>
      <c r="BU256">
        <v>0.69999999999999896</v>
      </c>
      <c r="BV256">
        <v>0.687499999999999</v>
      </c>
      <c r="BW256">
        <v>0.675</v>
      </c>
      <c r="BX256">
        <v>0.6625</v>
      </c>
      <c r="BY256">
        <v>0.64999999999999902</v>
      </c>
      <c r="BZ256">
        <v>0.63749999999999896</v>
      </c>
      <c r="CA256">
        <v>0.625</v>
      </c>
      <c r="CB256">
        <v>0.6125</v>
      </c>
      <c r="CC256">
        <v>0.60</v>
      </c>
      <c r="CD256" t="e">
        <v>#VALUE!</v>
      </c>
      <c r="CE256" t="e">
        <v>#VALUE!</v>
      </c>
      <c r="CF256" t="e">
        <v>#VALUE!</v>
      </c>
      <c r="CG256" t="e">
        <v>#VALUE!</v>
      </c>
      <c r="CH256" t="e">
        <v>#VALUE!</v>
      </c>
      <c r="CI256" t="e">
        <v>#VALUE!</v>
      </c>
      <c r="CJ256" t="e">
        <v>#VALUE!</v>
      </c>
      <c r="CK256" t="e">
        <v>#VALUE!</v>
      </c>
    </row>
    <row r="257" spans="1:89" ht="12.5">
      <c r="A257" t="s">
        <v>25</v>
      </c>
      <c r="B257" t="s">
        <v>345</v>
      </c>
      <c r="C257" t="s">
        <v>345</v>
      </c>
      <c r="E257" s="2">
        <v>679.57552148556795</v>
      </c>
      <c r="I257" s="2">
        <v>871.443239460521</v>
      </c>
      <c r="J257" s="2">
        <v>923.55703664228702</v>
      </c>
      <c r="L257" s="2">
        <v>1023.3743399238</v>
      </c>
      <c r="V257" s="2">
        <v>1430.8813451430599</v>
      </c>
      <c r="W257">
        <v>5</v>
      </c>
      <c r="AG257" s="130" t="s">
        <v>342</v>
      </c>
      <c r="AI257">
        <v>1</v>
      </c>
      <c r="AJ257">
        <v>1.0117278898059101</v>
      </c>
      <c r="AK257">
        <v>1.1577307880957799</v>
      </c>
      <c r="AL257">
        <v>1.2763269345174699</v>
      </c>
      <c r="AM257">
        <v>1.38914444804718</v>
      </c>
      <c r="AN257">
        <v>1.5000891332334001</v>
      </c>
      <c r="AO257">
        <v>1.611556767737</v>
      </c>
      <c r="AP257">
        <v>1.7240763117870199</v>
      </c>
      <c r="AQ257">
        <v>1.8391221561518101</v>
      </c>
      <c r="AR257">
        <v>1.9568346985545</v>
      </c>
      <c r="AS257">
        <v>2.0775685827850201</v>
      </c>
      <c r="AT257">
        <v>2.1976249513974899</v>
      </c>
      <c r="AU257">
        <v>2.3152623574039999</v>
      </c>
      <c r="AV257">
        <v>2.4291742862128198</v>
      </c>
      <c r="AW257">
        <v>2.5392375141342298</v>
      </c>
      <c r="AX257">
        <v>2.6455271775643898</v>
      </c>
      <c r="AY257">
        <v>2.74797200426466</v>
      </c>
      <c r="AZ257">
        <v>2.8453990077530502</v>
      </c>
      <c r="BA257">
        <v>0</v>
      </c>
      <c r="BB257">
        <v>0</v>
      </c>
      <c r="BC257">
        <v>0</v>
      </c>
      <c r="BD257">
        <v>0</v>
      </c>
      <c r="BE257">
        <v>0</v>
      </c>
      <c r="BF257">
        <v>0</v>
      </c>
      <c r="BG257">
        <v>0</v>
      </c>
      <c r="BH257">
        <v>0</v>
      </c>
      <c r="BJ257" t="s">
        <v>357</v>
      </c>
      <c r="BL257">
        <v>0.80</v>
      </c>
      <c r="BM257">
        <v>0.79756097560975603</v>
      </c>
      <c r="BN257">
        <v>0.78536585365853595</v>
      </c>
      <c r="BO257">
        <v>0.77317073170731698</v>
      </c>
      <c r="BP257">
        <v>0.76097560975609702</v>
      </c>
      <c r="BQ257">
        <v>0.74878048780487805</v>
      </c>
      <c r="BR257">
        <v>0.73658536585365797</v>
      </c>
      <c r="BS257">
        <v>0.724390243902439</v>
      </c>
      <c r="BT257">
        <v>0.71219512195122003</v>
      </c>
      <c r="BU257">
        <v>0.69999999999999896</v>
      </c>
      <c r="BV257">
        <v>0.687499999999999</v>
      </c>
      <c r="BW257">
        <v>0.675</v>
      </c>
      <c r="BX257">
        <v>0.6625</v>
      </c>
      <c r="BY257">
        <v>0.64999999999999902</v>
      </c>
      <c r="BZ257">
        <v>0.63749999999999896</v>
      </c>
      <c r="CA257">
        <v>0.625</v>
      </c>
      <c r="CB257">
        <v>0.6125</v>
      </c>
      <c r="CC257">
        <v>0.60</v>
      </c>
      <c r="CD257" t="e">
        <v>#VALUE!</v>
      </c>
      <c r="CE257" t="e">
        <v>#VALUE!</v>
      </c>
      <c r="CF257" t="e">
        <v>#VALUE!</v>
      </c>
      <c r="CG257" t="e">
        <v>#VALUE!</v>
      </c>
      <c r="CH257" t="e">
        <v>#VALUE!</v>
      </c>
      <c r="CI257" t="e">
        <v>#VALUE!</v>
      </c>
      <c r="CJ257" t="e">
        <v>#VALUE!</v>
      </c>
      <c r="CK257" t="e">
        <v>#VALUE!</v>
      </c>
    </row>
    <row r="258" spans="1:89" ht="12.5">
      <c r="A258" t="s">
        <v>25</v>
      </c>
      <c r="B258" t="s">
        <v>346</v>
      </c>
      <c r="C258" t="s">
        <v>346</v>
      </c>
      <c r="E258" s="2">
        <v>58.4320094976446</v>
      </c>
      <c r="I258" s="2">
        <v>61.936590282029101</v>
      </c>
      <c r="J258" s="2">
        <v>62.942323795677602</v>
      </c>
      <c r="L258" s="2">
        <v>64.553813624810104</v>
      </c>
      <c r="V258" s="2">
        <v>66.691317458581693</v>
      </c>
      <c r="W258">
        <v>5</v>
      </c>
      <c r="AG258" s="130" t="s">
        <v>347</v>
      </c>
      <c r="AI258">
        <v>1</v>
      </c>
      <c r="AJ258">
        <v>1.0049599988987801</v>
      </c>
      <c r="AK258">
        <v>1.02975999339271</v>
      </c>
      <c r="AL258">
        <v>1.0573747132462801</v>
      </c>
      <c r="AM258">
        <v>1.08336204718507</v>
      </c>
      <c r="AN258">
        <v>1.1068559261776201</v>
      </c>
      <c r="AO258">
        <v>1.1274670154963999</v>
      </c>
      <c r="AP258">
        <v>1.1457172221468499</v>
      </c>
      <c r="AQ258">
        <v>1.1607425323254901</v>
      </c>
      <c r="AR258">
        <v>1.17410146972096</v>
      </c>
      <c r="AS258">
        <v>1.18602152993378</v>
      </c>
      <c r="AT258">
        <v>1.1965070712562</v>
      </c>
      <c r="AU258">
        <v>1.2047831155837201</v>
      </c>
      <c r="AV258">
        <v>1.20985655258813</v>
      </c>
      <c r="AW258">
        <v>1.2113813665084101</v>
      </c>
      <c r="AX258">
        <v>1.20971163886783</v>
      </c>
      <c r="AY258">
        <v>1.20580586955285</v>
      </c>
      <c r="AZ258">
        <v>1.19995082129647</v>
      </c>
      <c r="BA258">
        <v>0</v>
      </c>
      <c r="BB258">
        <v>0</v>
      </c>
      <c r="BC258">
        <v>0</v>
      </c>
      <c r="BD258">
        <v>0</v>
      </c>
      <c r="BE258">
        <v>0</v>
      </c>
      <c r="BF258">
        <v>0</v>
      </c>
      <c r="BG258">
        <v>0</v>
      </c>
      <c r="BH258">
        <v>0</v>
      </c>
      <c r="BJ258" t="s">
        <v>357</v>
      </c>
      <c r="BL258">
        <v>0.80</v>
      </c>
      <c r="BM258">
        <v>0.79756097560975603</v>
      </c>
      <c r="BN258">
        <v>0.78536585365853595</v>
      </c>
      <c r="BO258">
        <v>0.77317073170731698</v>
      </c>
      <c r="BP258">
        <v>0.76097560975609702</v>
      </c>
      <c r="BQ258">
        <v>0.74878048780487805</v>
      </c>
      <c r="BR258">
        <v>0.73658536585365797</v>
      </c>
      <c r="BS258">
        <v>0.724390243902439</v>
      </c>
      <c r="BT258">
        <v>0.71219512195122003</v>
      </c>
      <c r="BU258">
        <v>0.69999999999999896</v>
      </c>
      <c r="BV258">
        <v>0.687499999999999</v>
      </c>
      <c r="BW258">
        <v>0.675</v>
      </c>
      <c r="BX258">
        <v>0.6625</v>
      </c>
      <c r="BY258">
        <v>0.64999999999999902</v>
      </c>
      <c r="BZ258">
        <v>0.63749999999999896</v>
      </c>
      <c r="CA258">
        <v>0.625</v>
      </c>
      <c r="CB258">
        <v>0.6125</v>
      </c>
      <c r="CC258">
        <v>0.60</v>
      </c>
      <c r="CD258" t="e">
        <v>#VALUE!</v>
      </c>
      <c r="CE258" t="e">
        <v>#VALUE!</v>
      </c>
      <c r="CF258" t="e">
        <v>#VALUE!</v>
      </c>
      <c r="CG258" t="e">
        <v>#VALUE!</v>
      </c>
      <c r="CH258" t="e">
        <v>#VALUE!</v>
      </c>
      <c r="CI258" t="e">
        <v>#VALUE!</v>
      </c>
      <c r="CJ258" t="e">
        <v>#VALUE!</v>
      </c>
      <c r="CK258" t="e">
        <v>#VALUE!</v>
      </c>
    </row>
    <row r="259" spans="1:89" ht="12.5">
      <c r="A259" t="s">
        <v>25</v>
      </c>
      <c r="B259" t="s">
        <v>348</v>
      </c>
      <c r="C259" t="s">
        <v>348</v>
      </c>
      <c r="E259" s="2">
        <v>449.84905940101999</v>
      </c>
      <c r="F259" s="2">
        <f>E259</f>
        <v>449.84905940101999</v>
      </c>
      <c r="I259" s="2">
        <f>F259</f>
        <v>449.84905940101999</v>
      </c>
      <c r="J259" s="2">
        <f>I259</f>
        <v>449.84905940101999</v>
      </c>
      <c r="L259" s="2">
        <f>J259</f>
        <v>449.84905940101999</v>
      </c>
      <c r="V259" s="2">
        <f>L259</f>
        <v>449.84905940101999</v>
      </c>
      <c r="W259">
        <v>5</v>
      </c>
      <c r="AG259" s="130" t="s">
        <v>342</v>
      </c>
      <c r="AI259">
        <v>1</v>
      </c>
      <c r="AJ259">
        <v>1.0117278898059101</v>
      </c>
      <c r="AK259">
        <v>1.1577307880957799</v>
      </c>
      <c r="AL259">
        <v>1.2763269345174699</v>
      </c>
      <c r="AM259">
        <v>1.38914444804718</v>
      </c>
      <c r="AN259">
        <v>1.5000891332334001</v>
      </c>
      <c r="AO259">
        <v>1.611556767737</v>
      </c>
      <c r="AP259">
        <v>1.7240763117870199</v>
      </c>
      <c r="AQ259">
        <v>1.8391221561518101</v>
      </c>
      <c r="AR259">
        <v>1.9568346985545</v>
      </c>
      <c r="AS259">
        <v>2.0775685827850201</v>
      </c>
      <c r="AT259">
        <v>2.1976249513974899</v>
      </c>
      <c r="AU259">
        <v>2.3152623574039999</v>
      </c>
      <c r="AV259">
        <v>2.4291742862128198</v>
      </c>
      <c r="AW259">
        <v>2.5392375141342298</v>
      </c>
      <c r="AX259">
        <v>2.6455271775643898</v>
      </c>
      <c r="AY259">
        <v>2.74797200426466</v>
      </c>
      <c r="AZ259">
        <v>2.8453990077530502</v>
      </c>
      <c r="BA259">
        <v>0</v>
      </c>
      <c r="BB259">
        <v>0</v>
      </c>
      <c r="BC259">
        <v>0</v>
      </c>
      <c r="BD259">
        <v>0</v>
      </c>
      <c r="BE259">
        <v>0</v>
      </c>
      <c r="BF259">
        <v>0</v>
      </c>
      <c r="BG259">
        <v>0</v>
      </c>
      <c r="BH259">
        <v>0</v>
      </c>
      <c r="BJ259" t="s">
        <v>357</v>
      </c>
      <c r="BL259">
        <v>0.80</v>
      </c>
      <c r="BM259">
        <v>0.79756097560975603</v>
      </c>
      <c r="BN259">
        <v>0.78536585365853595</v>
      </c>
      <c r="BO259">
        <v>0.77317073170731698</v>
      </c>
      <c r="BP259">
        <v>0.76097560975609702</v>
      </c>
      <c r="BQ259">
        <v>0.74878048780487805</v>
      </c>
      <c r="BR259">
        <v>0.73658536585365797</v>
      </c>
      <c r="BS259">
        <v>0.724390243902439</v>
      </c>
      <c r="BT259">
        <v>0.71219512195122003</v>
      </c>
      <c r="BU259">
        <v>0.69999999999999896</v>
      </c>
      <c r="BV259">
        <v>0.687499999999999</v>
      </c>
      <c r="BW259">
        <v>0.675</v>
      </c>
      <c r="BX259">
        <v>0.6625</v>
      </c>
      <c r="BY259">
        <v>0.64999999999999902</v>
      </c>
      <c r="BZ259">
        <v>0.63749999999999896</v>
      </c>
      <c r="CA259">
        <v>0.625</v>
      </c>
      <c r="CB259">
        <v>0.6125</v>
      </c>
      <c r="CC259">
        <v>0.60</v>
      </c>
      <c r="CD259" t="e">
        <v>#VALUE!</v>
      </c>
      <c r="CE259" t="e">
        <v>#VALUE!</v>
      </c>
      <c r="CF259" t="e">
        <v>#VALUE!</v>
      </c>
      <c r="CG259" t="e">
        <v>#VALUE!</v>
      </c>
      <c r="CH259" t="e">
        <v>#VALUE!</v>
      </c>
      <c r="CI259" t="e">
        <v>#VALUE!</v>
      </c>
      <c r="CJ259" t="e">
        <v>#VALUE!</v>
      </c>
      <c r="CK259" t="e">
        <v>#VALUE!</v>
      </c>
    </row>
    <row r="260" spans="1:89" ht="12.5">
      <c r="A260" t="s">
        <v>25</v>
      </c>
      <c r="B260" t="s">
        <v>349</v>
      </c>
      <c r="C260" t="s">
        <v>349</v>
      </c>
      <c r="E260" s="2">
        <v>1024.60125475921</v>
      </c>
      <c r="F260" s="2">
        <f>E260</f>
        <v>1024.60125475921</v>
      </c>
      <c r="I260" s="2">
        <f>F260</f>
        <v>1024.60125475921</v>
      </c>
      <c r="J260" s="2">
        <f>I260</f>
        <v>1024.60125475921</v>
      </c>
      <c r="L260" s="2">
        <f>J260</f>
        <v>1024.60125475921</v>
      </c>
      <c r="V260" s="2">
        <f>L260</f>
        <v>1024.60125475921</v>
      </c>
      <c r="W260">
        <v>5</v>
      </c>
      <c r="AG260" s="130" t="s">
        <v>342</v>
      </c>
      <c r="AI260">
        <v>1</v>
      </c>
      <c r="AJ260">
        <v>1.0117278898059101</v>
      </c>
      <c r="AK260">
        <v>1.1577307880957799</v>
      </c>
      <c r="AL260">
        <v>1.2763269345174699</v>
      </c>
      <c r="AM260">
        <v>1.38914444804718</v>
      </c>
      <c r="AN260">
        <v>1.5000891332334001</v>
      </c>
      <c r="AO260">
        <v>1.611556767737</v>
      </c>
      <c r="AP260">
        <v>1.7240763117870199</v>
      </c>
      <c r="AQ260">
        <v>1.8391221561518101</v>
      </c>
      <c r="AR260">
        <v>1.9568346985545</v>
      </c>
      <c r="AS260">
        <v>2.0775685827850201</v>
      </c>
      <c r="AT260">
        <v>2.1976249513974899</v>
      </c>
      <c r="AU260">
        <v>2.3152623574039999</v>
      </c>
      <c r="AV260">
        <v>2.4291742862128198</v>
      </c>
      <c r="AW260">
        <v>2.5392375141342298</v>
      </c>
      <c r="AX260">
        <v>2.6455271775643898</v>
      </c>
      <c r="AY260">
        <v>2.74797200426466</v>
      </c>
      <c r="AZ260">
        <v>2.8453990077530502</v>
      </c>
      <c r="BA260">
        <v>0</v>
      </c>
      <c r="BB260">
        <v>0</v>
      </c>
      <c r="BC260">
        <v>0</v>
      </c>
      <c r="BD260">
        <v>0</v>
      </c>
      <c r="BE260">
        <v>0</v>
      </c>
      <c r="BF260">
        <v>0</v>
      </c>
      <c r="BG260">
        <v>0</v>
      </c>
      <c r="BH260">
        <v>0</v>
      </c>
      <c r="BJ260" t="s">
        <v>357</v>
      </c>
      <c r="BL260">
        <v>0.80</v>
      </c>
      <c r="BM260">
        <v>0.79756097560975603</v>
      </c>
      <c r="BN260">
        <v>0.78536585365853595</v>
      </c>
      <c r="BO260">
        <v>0.77317073170731698</v>
      </c>
      <c r="BP260">
        <v>0.76097560975609702</v>
      </c>
      <c r="BQ260">
        <v>0.74878048780487805</v>
      </c>
      <c r="BR260">
        <v>0.73658536585365797</v>
      </c>
      <c r="BS260">
        <v>0.724390243902439</v>
      </c>
      <c r="BT260">
        <v>0.71219512195122003</v>
      </c>
      <c r="BU260">
        <v>0.69999999999999896</v>
      </c>
      <c r="BV260">
        <v>0.687499999999999</v>
      </c>
      <c r="BW260">
        <v>0.675</v>
      </c>
      <c r="BX260">
        <v>0.6625</v>
      </c>
      <c r="BY260">
        <v>0.64999999999999902</v>
      </c>
      <c r="BZ260">
        <v>0.63749999999999896</v>
      </c>
      <c r="CA260">
        <v>0.625</v>
      </c>
      <c r="CB260">
        <v>0.6125</v>
      </c>
      <c r="CC260">
        <v>0.60</v>
      </c>
      <c r="CD260" t="e">
        <v>#VALUE!</v>
      </c>
      <c r="CE260" t="e">
        <v>#VALUE!</v>
      </c>
      <c r="CF260" t="e">
        <v>#VALUE!</v>
      </c>
      <c r="CG260" t="e">
        <v>#VALUE!</v>
      </c>
      <c r="CH260" t="e">
        <v>#VALUE!</v>
      </c>
      <c r="CI260" t="e">
        <v>#VALUE!</v>
      </c>
      <c r="CJ260" t="e">
        <v>#VALUE!</v>
      </c>
      <c r="CK260" t="e">
        <v>#VALUE!</v>
      </c>
    </row>
    <row r="261" spans="1:89" ht="12.5">
      <c r="A261" t="s">
        <v>25</v>
      </c>
      <c r="B261" t="s">
        <v>350</v>
      </c>
      <c r="C261" t="s">
        <v>350</v>
      </c>
      <c r="D261">
        <v>14.532</v>
      </c>
      <c r="E261">
        <v>14.5894871614806</v>
      </c>
      <c r="F261"/>
      <c r="G261">
        <v>14.8722451281558</v>
      </c>
      <c r="H261">
        <v>15.1806040843639</v>
      </c>
      <c r="I261">
        <v>15.4645218693356</v>
      </c>
      <c r="J261">
        <v>15.7156365633431</v>
      </c>
      <c r="K261">
        <v>15.931194944689199</v>
      </c>
      <c r="L261">
        <v>16.117998391647699</v>
      </c>
      <c r="M261">
        <v>16.2685398461219</v>
      </c>
      <c r="N261">
        <v>16.3996036087457</v>
      </c>
      <c r="O261">
        <v>16.514070231880702</v>
      </c>
      <c r="P261">
        <v>16.612620130830301</v>
      </c>
      <c r="Q261">
        <v>16.6887458757882</v>
      </c>
      <c r="R261">
        <v>16.734426334671099</v>
      </c>
      <c r="S261">
        <v>16.7478717426679</v>
      </c>
      <c r="T261">
        <v>16.733443800556401</v>
      </c>
      <c r="U261">
        <v>16.700352323502202</v>
      </c>
      <c r="V261">
        <v>16.651697044296</v>
      </c>
      <c r="W261">
        <v>5</v>
      </c>
      <c r="AG261" s="130" t="s">
        <v>347</v>
      </c>
      <c r="AI261">
        <v>1</v>
      </c>
      <c r="AJ261">
        <v>1.0049599988987801</v>
      </c>
      <c r="AK261">
        <v>1.02975999339271</v>
      </c>
      <c r="AL261">
        <v>1.0573747132462801</v>
      </c>
      <c r="AM261">
        <v>1.08336204718507</v>
      </c>
      <c r="AN261">
        <v>1.1068559261776201</v>
      </c>
      <c r="AO261">
        <v>1.1274670154963999</v>
      </c>
      <c r="AP261">
        <v>1.1457172221468499</v>
      </c>
      <c r="AQ261">
        <v>1.1607425323254901</v>
      </c>
      <c r="AR261">
        <v>1.17410146972096</v>
      </c>
      <c r="AS261">
        <v>1.18602152993378</v>
      </c>
      <c r="AT261">
        <v>1.1965070712562</v>
      </c>
      <c r="AU261">
        <v>1.2047831155837201</v>
      </c>
      <c r="AV261">
        <v>1.20985655258813</v>
      </c>
      <c r="AW261">
        <v>1.2113813665084101</v>
      </c>
      <c r="AX261">
        <v>1.20971163886783</v>
      </c>
      <c r="AY261">
        <v>1.20580586955285</v>
      </c>
      <c r="AZ261">
        <v>1.19995082129647</v>
      </c>
      <c r="BA261">
        <v>0</v>
      </c>
      <c r="BB261">
        <v>0</v>
      </c>
      <c r="BC261">
        <v>0</v>
      </c>
      <c r="BD261">
        <v>0</v>
      </c>
      <c r="BE261">
        <v>0</v>
      </c>
      <c r="BF261">
        <v>0</v>
      </c>
      <c r="BG261">
        <v>0</v>
      </c>
      <c r="BH261">
        <v>0</v>
      </c>
      <c r="BJ261" t="s">
        <v>357</v>
      </c>
      <c r="BL261">
        <v>0.80</v>
      </c>
      <c r="BM261">
        <v>0.79756097560975603</v>
      </c>
      <c r="BN261">
        <v>0.78536585365853595</v>
      </c>
      <c r="BO261">
        <v>0.77317073170731698</v>
      </c>
      <c r="BP261">
        <v>0.76097560975609702</v>
      </c>
      <c r="BQ261">
        <v>0.74878048780487805</v>
      </c>
      <c r="BR261">
        <v>0.73658536585365797</v>
      </c>
      <c r="BS261">
        <v>0.724390243902439</v>
      </c>
      <c r="BT261">
        <v>0.71219512195122003</v>
      </c>
      <c r="BU261">
        <v>0.69999999999999896</v>
      </c>
      <c r="BV261">
        <v>0.687499999999999</v>
      </c>
      <c r="BW261">
        <v>0.675</v>
      </c>
      <c r="BX261">
        <v>0.6625</v>
      </c>
      <c r="BY261">
        <v>0.64999999999999902</v>
      </c>
      <c r="BZ261">
        <v>0.63749999999999896</v>
      </c>
      <c r="CA261">
        <v>0.625</v>
      </c>
      <c r="CB261">
        <v>0.6125</v>
      </c>
      <c r="CC261">
        <v>0.60</v>
      </c>
      <c r="CD261" t="e">
        <v>#VALUE!</v>
      </c>
      <c r="CE261" t="e">
        <v>#VALUE!</v>
      </c>
      <c r="CF261" t="e">
        <v>#VALUE!</v>
      </c>
      <c r="CG261" t="e">
        <v>#VALUE!</v>
      </c>
      <c r="CH261" t="e">
        <v>#VALUE!</v>
      </c>
      <c r="CI261" t="e">
        <v>#VALUE!</v>
      </c>
      <c r="CJ261" t="e">
        <v>#VALUE!</v>
      </c>
      <c r="CK261" t="e">
        <v>#VALUE!</v>
      </c>
    </row>
    <row r="262" spans="1:89" ht="12.5">
      <c r="A262" t="s">
        <v>25</v>
      </c>
      <c r="B262" t="s">
        <v>351</v>
      </c>
      <c r="C262" t="s">
        <v>351</v>
      </c>
      <c r="D262">
        <v>8.61</v>
      </c>
      <c r="E262">
        <v>8.6440603124379205</v>
      </c>
      <c r="F262"/>
      <c r="G262">
        <v>8.8115903215952294</v>
      </c>
      <c r="H262">
        <v>8.9942885470942109</v>
      </c>
      <c r="I262">
        <v>9.1625057318317609</v>
      </c>
      <c r="J262">
        <v>9.3112875592061499</v>
      </c>
      <c r="K262">
        <v>9.4390027851482099</v>
      </c>
      <c r="L262">
        <v>9.5496811279993494</v>
      </c>
      <c r="M262">
        <v>9.6388747643207999</v>
      </c>
      <c r="N262">
        <v>9.7165281496903795</v>
      </c>
      <c r="O262">
        <v>9.7843479697559204</v>
      </c>
      <c r="P262">
        <v>9.8427373607520394</v>
      </c>
      <c r="Q262">
        <v>9.8878407645566107</v>
      </c>
      <c r="R262">
        <v>9.9149057763224793</v>
      </c>
      <c r="S262">
        <v>9.9228719862627894</v>
      </c>
      <c r="T262">
        <v>9.9143236390579599</v>
      </c>
      <c r="U262">
        <v>9.8947174171039194</v>
      </c>
      <c r="V262">
        <v>9.8658898672851993</v>
      </c>
      <c r="W262">
        <v>5</v>
      </c>
      <c r="AG262" s="130" t="s">
        <v>347</v>
      </c>
      <c r="AI262">
        <v>1</v>
      </c>
      <c r="AJ262">
        <v>1.0049599988987801</v>
      </c>
      <c r="AK262">
        <v>1.02975999339271</v>
      </c>
      <c r="AL262">
        <v>1.0573747132462801</v>
      </c>
      <c r="AM262">
        <v>1.08336204718507</v>
      </c>
      <c r="AN262">
        <v>1.1068559261776201</v>
      </c>
      <c r="AO262">
        <v>1.1274670154963999</v>
      </c>
      <c r="AP262">
        <v>1.1457172221468499</v>
      </c>
      <c r="AQ262">
        <v>1.1607425323254901</v>
      </c>
      <c r="AR262">
        <v>1.17410146972096</v>
      </c>
      <c r="AS262">
        <v>1.18602152993378</v>
      </c>
      <c r="AT262">
        <v>1.1965070712562</v>
      </c>
      <c r="AU262">
        <v>1.2047831155837201</v>
      </c>
      <c r="AV262">
        <v>1.20985655258813</v>
      </c>
      <c r="AW262">
        <v>1.2113813665084101</v>
      </c>
      <c r="AX262">
        <v>1.20971163886783</v>
      </c>
      <c r="AY262">
        <v>1.20580586955285</v>
      </c>
      <c r="AZ262">
        <v>1.19995082129647</v>
      </c>
      <c r="BA262">
        <v>0</v>
      </c>
      <c r="BB262">
        <v>0</v>
      </c>
      <c r="BC262">
        <v>0</v>
      </c>
      <c r="BD262">
        <v>0</v>
      </c>
      <c r="BE262">
        <v>0</v>
      </c>
      <c r="BF262">
        <v>0</v>
      </c>
      <c r="BG262">
        <v>0</v>
      </c>
      <c r="BH262">
        <v>0</v>
      </c>
      <c r="BJ262" t="s">
        <v>357</v>
      </c>
      <c r="BL262">
        <v>0.80</v>
      </c>
      <c r="BM262">
        <v>0.79756097560975603</v>
      </c>
      <c r="BN262">
        <v>0.78536585365853595</v>
      </c>
      <c r="BO262">
        <v>0.77317073170731698</v>
      </c>
      <c r="BP262">
        <v>0.76097560975609702</v>
      </c>
      <c r="BQ262">
        <v>0.74878048780487805</v>
      </c>
      <c r="BR262">
        <v>0.73658536585365797</v>
      </c>
      <c r="BS262">
        <v>0.724390243902439</v>
      </c>
      <c r="BT262">
        <v>0.71219512195122003</v>
      </c>
      <c r="BU262">
        <v>0.69999999999999896</v>
      </c>
      <c r="BV262">
        <v>0.687499999999999</v>
      </c>
      <c r="BW262">
        <v>0.675</v>
      </c>
      <c r="BX262">
        <v>0.6625</v>
      </c>
      <c r="BY262">
        <v>0.64999999999999902</v>
      </c>
      <c r="BZ262">
        <v>0.63749999999999896</v>
      </c>
      <c r="CA262">
        <v>0.625</v>
      </c>
      <c r="CB262">
        <v>0.6125</v>
      </c>
      <c r="CC262">
        <v>0.60</v>
      </c>
      <c r="CD262" t="e">
        <v>#VALUE!</v>
      </c>
      <c r="CE262" t="e">
        <v>#VALUE!</v>
      </c>
      <c r="CF262" t="e">
        <v>#VALUE!</v>
      </c>
      <c r="CG262" t="e">
        <v>#VALUE!</v>
      </c>
      <c r="CH262" t="e">
        <v>#VALUE!</v>
      </c>
      <c r="CI262" t="e">
        <v>#VALUE!</v>
      </c>
      <c r="CJ262" t="e">
        <v>#VALUE!</v>
      </c>
      <c r="CK262" t="e">
        <v>#VALUE!</v>
      </c>
    </row>
    <row r="263" spans="1:89" ht="12.5">
      <c r="A263" t="s">
        <v>25</v>
      </c>
      <c r="B263" t="s">
        <v>352</v>
      </c>
      <c r="C263" t="s">
        <v>352</v>
      </c>
      <c r="D263">
        <v>19.775</v>
      </c>
      <c r="E263">
        <v>19.853227953363501</v>
      </c>
      <c r="F263"/>
      <c r="G263">
        <v>20.238002161387399</v>
      </c>
      <c r="H263">
        <v>20.657613939464401</v>
      </c>
      <c r="I263">
        <v>21.0439664166055</v>
      </c>
      <c r="J263">
        <v>21.385680776225499</v>
      </c>
      <c r="K263">
        <v>21.679010461824198</v>
      </c>
      <c r="L263">
        <v>21.933210720811498</v>
      </c>
      <c r="M263">
        <v>22.138066023744901</v>
      </c>
      <c r="N263">
        <v>22.3164162787604</v>
      </c>
      <c r="O263">
        <v>22.4721813126508</v>
      </c>
      <c r="P263">
        <v>22.606287027743502</v>
      </c>
      <c r="Q263">
        <v>22.7098781787581</v>
      </c>
      <c r="R263">
        <v>22.772039689521101</v>
      </c>
      <c r="S263">
        <v>22.790336066010099</v>
      </c>
      <c r="T263">
        <v>22.7707026669421</v>
      </c>
      <c r="U263">
        <v>22.725672116519199</v>
      </c>
      <c r="V263">
        <v>22.659462500065601</v>
      </c>
      <c r="W263">
        <v>5</v>
      </c>
      <c r="AG263" s="130" t="s">
        <v>347</v>
      </c>
      <c r="AI263">
        <v>1</v>
      </c>
      <c r="AJ263">
        <v>1.0049599988987801</v>
      </c>
      <c r="AK263">
        <v>1.02975999339271</v>
      </c>
      <c r="AL263">
        <v>1.0573747132462801</v>
      </c>
      <c r="AM263">
        <v>1.08336204718507</v>
      </c>
      <c r="AN263">
        <v>1.1068559261776201</v>
      </c>
      <c r="AO263">
        <v>1.1274670154963999</v>
      </c>
      <c r="AP263">
        <v>1.1457172221468499</v>
      </c>
      <c r="AQ263">
        <v>1.1607425323254901</v>
      </c>
      <c r="AR263">
        <v>1.17410146972096</v>
      </c>
      <c r="AS263">
        <v>1.18602152993378</v>
      </c>
      <c r="AT263">
        <v>1.1965070712562</v>
      </c>
      <c r="AU263">
        <v>1.2047831155837201</v>
      </c>
      <c r="AV263">
        <v>1.20985655258813</v>
      </c>
      <c r="AW263">
        <v>1.2113813665084101</v>
      </c>
      <c r="AX263">
        <v>1.20971163886783</v>
      </c>
      <c r="AY263">
        <v>1.20580586955285</v>
      </c>
      <c r="AZ263">
        <v>1.19995082129647</v>
      </c>
      <c r="BA263">
        <v>0</v>
      </c>
      <c r="BB263">
        <v>0</v>
      </c>
      <c r="BC263">
        <v>0</v>
      </c>
      <c r="BD263">
        <v>0</v>
      </c>
      <c r="BE263">
        <v>0</v>
      </c>
      <c r="BF263">
        <v>0</v>
      </c>
      <c r="BG263">
        <v>0</v>
      </c>
      <c r="BH263">
        <v>0</v>
      </c>
      <c r="BJ263" t="s">
        <v>357</v>
      </c>
      <c r="BL263">
        <v>0.80</v>
      </c>
      <c r="BM263">
        <v>0.79756097560975603</v>
      </c>
      <c r="BN263">
        <v>0.78536585365853595</v>
      </c>
      <c r="BO263">
        <v>0.77317073170731698</v>
      </c>
      <c r="BP263">
        <v>0.76097560975609702</v>
      </c>
      <c r="BQ263">
        <v>0.74878048780487805</v>
      </c>
      <c r="BR263">
        <v>0.73658536585365797</v>
      </c>
      <c r="BS263">
        <v>0.724390243902439</v>
      </c>
      <c r="BT263">
        <v>0.71219512195122003</v>
      </c>
      <c r="BU263">
        <v>0.69999999999999896</v>
      </c>
      <c r="BV263">
        <v>0.687499999999999</v>
      </c>
      <c r="BW263">
        <v>0.675</v>
      </c>
      <c r="BX263">
        <v>0.6625</v>
      </c>
      <c r="BY263">
        <v>0.64999999999999902</v>
      </c>
      <c r="BZ263">
        <v>0.63749999999999896</v>
      </c>
      <c r="CA263">
        <v>0.625</v>
      </c>
      <c r="CB263">
        <v>0.6125</v>
      </c>
      <c r="CC263">
        <v>0.60</v>
      </c>
      <c r="CD263" t="e">
        <v>#VALUE!</v>
      </c>
      <c r="CE263" t="e">
        <v>#VALUE!</v>
      </c>
      <c r="CF263" t="e">
        <v>#VALUE!</v>
      </c>
      <c r="CG263" t="e">
        <v>#VALUE!</v>
      </c>
      <c r="CH263" t="e">
        <v>#VALUE!</v>
      </c>
      <c r="CI263" t="e">
        <v>#VALUE!</v>
      </c>
      <c r="CJ263" t="e">
        <v>#VALUE!</v>
      </c>
      <c r="CK263" t="e">
        <v>#VALUE!</v>
      </c>
    </row>
    <row r="264" spans="1:89" ht="12.5">
      <c r="A264" t="s">
        <v>25</v>
      </c>
      <c r="B264" t="s">
        <v>353</v>
      </c>
      <c r="C264" t="s">
        <v>353</v>
      </c>
      <c r="D264">
        <v>6991.4880000000003</v>
      </c>
      <c r="E264">
        <v>7029.0404335718704</v>
      </c>
      <c r="F264"/>
      <c r="G264">
        <v>7673.5528040029303</v>
      </c>
      <c r="H264">
        <v>8110.4969805585197</v>
      </c>
      <c r="I264">
        <v>8494.9090551477293</v>
      </c>
      <c r="J264">
        <v>8857.1228420468597</v>
      </c>
      <c r="K264">
        <v>9213.7787267228905</v>
      </c>
      <c r="L264">
        <v>9566.0464606825608</v>
      </c>
      <c r="M264">
        <v>9926.5889724874905</v>
      </c>
      <c r="N264">
        <v>10287.211443289199</v>
      </c>
      <c r="O264">
        <v>10648.1048462169</v>
      </c>
      <c r="P264">
        <v>10996.8199755773</v>
      </c>
      <c r="Q264">
        <v>11334.077609903599</v>
      </c>
      <c r="R264">
        <v>11664.1311253528</v>
      </c>
      <c r="S264">
        <v>11991.2589448381</v>
      </c>
      <c r="T264">
        <v>12315.749423253401</v>
      </c>
      <c r="U264">
        <v>12633.2385596933</v>
      </c>
      <c r="V264">
        <v>12940.275898444001</v>
      </c>
      <c r="W264">
        <v>5</v>
      </c>
      <c r="AG264" s="130" t="s">
        <v>354</v>
      </c>
      <c r="AI264">
        <v>1</v>
      </c>
      <c r="AJ264">
        <v>1.0067344878547799</v>
      </c>
      <c r="AK264">
        <v>1.1242724474869701</v>
      </c>
      <c r="AL264">
        <v>1.20707155044305</v>
      </c>
      <c r="AM264">
        <v>1.2822531965713899</v>
      </c>
      <c r="AN264">
        <v>1.35527045368385</v>
      </c>
      <c r="AO264">
        <v>1.4293604563034299</v>
      </c>
      <c r="AP264">
        <v>1.50480090415019</v>
      </c>
      <c r="AQ264">
        <v>1.58443591488564</v>
      </c>
      <c r="AR264">
        <v>1.6666657431402201</v>
      </c>
      <c r="AS264">
        <v>1.7517123680722899</v>
      </c>
      <c r="AT264">
        <v>1.8367003456905799</v>
      </c>
      <c r="AU264">
        <v>1.9217254354384301</v>
      </c>
      <c r="AV264">
        <v>2.0078200849648802</v>
      </c>
      <c r="AW264">
        <v>2.0961503819834499</v>
      </c>
      <c r="AX264">
        <v>2.18690726993447</v>
      </c>
      <c r="AY264">
        <v>2.2789505953256799</v>
      </c>
      <c r="AZ264">
        <v>2.3712630194950401</v>
      </c>
      <c r="BA264">
        <v>0</v>
      </c>
      <c r="BB264">
        <v>0</v>
      </c>
      <c r="BC264">
        <v>0</v>
      </c>
      <c r="BD264">
        <v>0</v>
      </c>
      <c r="BE264">
        <v>0</v>
      </c>
      <c r="BF264">
        <v>0</v>
      </c>
      <c r="BG264">
        <v>0</v>
      </c>
      <c r="BH264">
        <v>0</v>
      </c>
      <c r="BJ264" t="s">
        <v>357</v>
      </c>
      <c r="BL264">
        <v>0.80</v>
      </c>
      <c r="BM264">
        <v>0.79756097560975603</v>
      </c>
      <c r="BN264">
        <v>0.78536585365853595</v>
      </c>
      <c r="BO264">
        <v>0.77317073170731698</v>
      </c>
      <c r="BP264">
        <v>0.76097560975609702</v>
      </c>
      <c r="BQ264">
        <v>0.74878048780487805</v>
      </c>
      <c r="BR264">
        <v>0.73658536585365797</v>
      </c>
      <c r="BS264">
        <v>0.724390243902439</v>
      </c>
      <c r="BT264">
        <v>0.71219512195122003</v>
      </c>
      <c r="BU264">
        <v>0.69999999999999896</v>
      </c>
      <c r="BV264">
        <v>0.687499999999999</v>
      </c>
      <c r="BW264">
        <v>0.675</v>
      </c>
      <c r="BX264">
        <v>0.6625</v>
      </c>
      <c r="BY264">
        <v>0.64999999999999902</v>
      </c>
      <c r="BZ264">
        <v>0.63749999999999896</v>
      </c>
      <c r="CA264">
        <v>0.625</v>
      </c>
      <c r="CB264">
        <v>0.6125</v>
      </c>
      <c r="CC264">
        <v>0.60</v>
      </c>
      <c r="CD264" t="e">
        <v>#VALUE!</v>
      </c>
      <c r="CE264" t="e">
        <v>#VALUE!</v>
      </c>
      <c r="CF264" t="e">
        <v>#VALUE!</v>
      </c>
      <c r="CG264" t="e">
        <v>#VALUE!</v>
      </c>
      <c r="CH264" t="e">
        <v>#VALUE!</v>
      </c>
      <c r="CI264" t="e">
        <v>#VALUE!</v>
      </c>
      <c r="CJ264" t="e">
        <v>#VALUE!</v>
      </c>
      <c r="CK264" t="e">
        <v>#VALUE!</v>
      </c>
    </row>
    <row r="265" spans="1:89" ht="12.5">
      <c r="A265" t="s">
        <v>25</v>
      </c>
      <c r="B265" t="s">
        <v>355</v>
      </c>
      <c r="C265" t="s">
        <v>355</v>
      </c>
      <c r="D265">
        <v>958.20</v>
      </c>
      <c r="E265">
        <v>967.16272227300396</v>
      </c>
      <c r="F265"/>
      <c r="G265">
        <v>1076.7775533290601</v>
      </c>
      <c r="H265">
        <v>1162.06093129176</v>
      </c>
      <c r="I265">
        <v>1240.2262723363001</v>
      </c>
      <c r="J265">
        <v>1314.39392605066</v>
      </c>
      <c r="K265">
        <v>1386.33556866191</v>
      </c>
      <c r="L265">
        <v>1456.4525666571601</v>
      </c>
      <c r="M265">
        <v>1525.6690915213301</v>
      </c>
      <c r="N265">
        <v>1594.0241330389499</v>
      </c>
      <c r="O265">
        <v>1661.6390668045699</v>
      </c>
      <c r="P265">
        <v>1726.45328710121</v>
      </c>
      <c r="Q265">
        <v>1787.6788204111199</v>
      </c>
      <c r="R265">
        <v>1844.8493014225301</v>
      </c>
      <c r="S265">
        <v>1898.13671674445</v>
      </c>
      <c r="T265">
        <v>1947.79540159673</v>
      </c>
      <c r="U265">
        <v>1993.9938334195199</v>
      </c>
      <c r="V265">
        <v>2036.4110437541799</v>
      </c>
      <c r="W265">
        <v>5</v>
      </c>
      <c r="AG265" s="130" t="s">
        <v>342</v>
      </c>
      <c r="AI265">
        <v>1</v>
      </c>
      <c r="AJ265">
        <v>1.0117278898059101</v>
      </c>
      <c r="AK265">
        <v>1.1577307880957799</v>
      </c>
      <c r="AL265">
        <v>1.2763269345174699</v>
      </c>
      <c r="AM265">
        <v>1.38914444804718</v>
      </c>
      <c r="AN265">
        <v>1.5000891332334001</v>
      </c>
      <c r="AO265">
        <v>1.611556767737</v>
      </c>
      <c r="AP265">
        <v>1.7240763117870199</v>
      </c>
      <c r="AQ265">
        <v>1.8391221561518101</v>
      </c>
      <c r="AR265">
        <v>1.9568346985545</v>
      </c>
      <c r="AS265">
        <v>2.0775685827850201</v>
      </c>
      <c r="AT265">
        <v>2.1976249513974899</v>
      </c>
      <c r="AU265">
        <v>2.3152623574039999</v>
      </c>
      <c r="AV265">
        <v>2.4291742862128198</v>
      </c>
      <c r="AW265">
        <v>2.5392375141342298</v>
      </c>
      <c r="AX265">
        <v>2.6455271775643898</v>
      </c>
      <c r="AY265">
        <v>2.74797200426466</v>
      </c>
      <c r="AZ265">
        <v>2.8453990077530502</v>
      </c>
      <c r="BA265">
        <v>0</v>
      </c>
      <c r="BB265">
        <v>0</v>
      </c>
      <c r="BC265">
        <v>0</v>
      </c>
      <c r="BD265">
        <v>0</v>
      </c>
      <c r="BE265">
        <v>0</v>
      </c>
      <c r="BF265">
        <v>0</v>
      </c>
      <c r="BG265">
        <v>0</v>
      </c>
      <c r="BH265">
        <v>0</v>
      </c>
      <c r="BJ265" t="s">
        <v>357</v>
      </c>
      <c r="BL265">
        <v>0.80</v>
      </c>
      <c r="BM265">
        <v>0.79756097560975603</v>
      </c>
      <c r="BN265">
        <v>0.78536585365853595</v>
      </c>
      <c r="BO265">
        <v>0.77317073170731698</v>
      </c>
      <c r="BP265">
        <v>0.76097560975609702</v>
      </c>
      <c r="BQ265">
        <v>0.74878048780487805</v>
      </c>
      <c r="BR265">
        <v>0.73658536585365797</v>
      </c>
      <c r="BS265">
        <v>0.724390243902439</v>
      </c>
      <c r="BT265">
        <v>0.71219512195122003</v>
      </c>
      <c r="BU265">
        <v>0.69999999999999896</v>
      </c>
      <c r="BV265">
        <v>0.687499999999999</v>
      </c>
      <c r="BW265">
        <v>0.675</v>
      </c>
      <c r="BX265">
        <v>0.6625</v>
      </c>
      <c r="BY265">
        <v>0.64999999999999902</v>
      </c>
      <c r="BZ265">
        <v>0.63749999999999896</v>
      </c>
      <c r="CA265">
        <v>0.625</v>
      </c>
      <c r="CB265">
        <v>0.6125</v>
      </c>
      <c r="CC265">
        <v>0.60</v>
      </c>
      <c r="CD265" t="e">
        <v>#VALUE!</v>
      </c>
      <c r="CE265" t="e">
        <v>#VALUE!</v>
      </c>
      <c r="CF265" t="e">
        <v>#VALUE!</v>
      </c>
      <c r="CG265" t="e">
        <v>#VALUE!</v>
      </c>
      <c r="CH265" t="e">
        <v>#VALUE!</v>
      </c>
      <c r="CI265" t="e">
        <v>#VALUE!</v>
      </c>
      <c r="CJ265" t="e">
        <v>#VALUE!</v>
      </c>
      <c r="CK265" t="e">
        <v>#VALUE!</v>
      </c>
    </row>
    <row r="266" spans="1:89" ht="12.5">
      <c r="A266" t="s">
        <v>25</v>
      </c>
      <c r="B266" t="s">
        <v>356</v>
      </c>
      <c r="C266" t="s">
        <v>356</v>
      </c>
      <c r="D266">
        <v>1080.32</v>
      </c>
      <c r="E266">
        <v>1090.4249970005999</v>
      </c>
      <c r="F266"/>
      <c r="G266">
        <v>1214.0099419875301</v>
      </c>
      <c r="H266">
        <v>1310.1624559519</v>
      </c>
      <c r="I266">
        <v>1398.28975843284</v>
      </c>
      <c r="J266">
        <v>1481.90987913907</v>
      </c>
      <c r="K266">
        <v>1563.02028964395</v>
      </c>
      <c r="L266">
        <v>1642.0735095085199</v>
      </c>
      <c r="M266">
        <v>1720.11149337542</v>
      </c>
      <c r="N266">
        <v>1797.17820017182</v>
      </c>
      <c r="O266">
        <v>1873.41047448374</v>
      </c>
      <c r="P266">
        <v>1946.48509196533</v>
      </c>
      <c r="Q266">
        <v>2015.5136540039</v>
      </c>
      <c r="R266">
        <v>2079.9703582892798</v>
      </c>
      <c r="S266">
        <v>2140.0491106589002</v>
      </c>
      <c r="T266">
        <v>2196.0366606689499</v>
      </c>
      <c r="U266">
        <v>2248.1229577538902</v>
      </c>
      <c r="V266">
        <v>2295.9461268926302</v>
      </c>
      <c r="W266">
        <v>5</v>
      </c>
      <c r="AG266" s="130" t="s">
        <v>342</v>
      </c>
      <c r="AI266">
        <v>1</v>
      </c>
      <c r="AJ266">
        <v>1.0117278898059101</v>
      </c>
      <c r="AK266">
        <v>1.1577307880957799</v>
      </c>
      <c r="AL266">
        <v>1.2763269345174699</v>
      </c>
      <c r="AM266">
        <v>1.38914444804718</v>
      </c>
      <c r="AN266">
        <v>1.5000891332334001</v>
      </c>
      <c r="AO266">
        <v>1.611556767737</v>
      </c>
      <c r="AP266">
        <v>1.7240763117870199</v>
      </c>
      <c r="AQ266">
        <v>1.8391221561518101</v>
      </c>
      <c r="AR266">
        <v>1.9568346985545</v>
      </c>
      <c r="AS266">
        <v>2.0775685827850201</v>
      </c>
      <c r="AT266">
        <v>2.1976249513974899</v>
      </c>
      <c r="AU266">
        <v>2.3152623574039999</v>
      </c>
      <c r="AV266">
        <v>2.4291742862128198</v>
      </c>
      <c r="AW266">
        <v>2.5392375141342298</v>
      </c>
      <c r="AX266">
        <v>2.6455271775643898</v>
      </c>
      <c r="AY266">
        <v>2.74797200426466</v>
      </c>
      <c r="AZ266">
        <v>2.8453990077530502</v>
      </c>
      <c r="BA266">
        <v>0</v>
      </c>
      <c r="BB266">
        <v>0</v>
      </c>
      <c r="BC266">
        <v>0</v>
      </c>
      <c r="BD266">
        <v>0</v>
      </c>
      <c r="BE266">
        <v>0</v>
      </c>
      <c r="BF266">
        <v>0</v>
      </c>
      <c r="BG266">
        <v>0</v>
      </c>
      <c r="BH266">
        <v>0</v>
      </c>
      <c r="BJ266" t="s">
        <v>357</v>
      </c>
      <c r="BL266">
        <v>0.80</v>
      </c>
      <c r="BM266">
        <v>0.79756097560975603</v>
      </c>
      <c r="BN266">
        <v>0.78536585365853595</v>
      </c>
      <c r="BO266">
        <v>0.77317073170731698</v>
      </c>
      <c r="BP266">
        <v>0.76097560975609702</v>
      </c>
      <c r="BQ266">
        <v>0.74878048780487805</v>
      </c>
      <c r="BR266">
        <v>0.73658536585365797</v>
      </c>
      <c r="BS266">
        <v>0.724390243902439</v>
      </c>
      <c r="BT266">
        <v>0.71219512195122003</v>
      </c>
      <c r="BU266">
        <v>0.69999999999999896</v>
      </c>
      <c r="BV266">
        <v>0.687499999999999</v>
      </c>
      <c r="BW266">
        <v>0.675</v>
      </c>
      <c r="BX266">
        <v>0.6625</v>
      </c>
      <c r="BY266">
        <v>0.64999999999999902</v>
      </c>
      <c r="BZ266">
        <v>0.63749999999999896</v>
      </c>
      <c r="CA266">
        <v>0.625</v>
      </c>
      <c r="CB266">
        <v>0.6125</v>
      </c>
      <c r="CC266">
        <v>0.60</v>
      </c>
      <c r="CD266" t="e">
        <v>#VALUE!</v>
      </c>
      <c r="CE266" t="e">
        <v>#VALUE!</v>
      </c>
      <c r="CF266" t="e">
        <v>#VALUE!</v>
      </c>
      <c r="CG266" t="e">
        <v>#VALUE!</v>
      </c>
      <c r="CH266" t="e">
        <v>#VALUE!</v>
      </c>
      <c r="CI266" t="e">
        <v>#VALUE!</v>
      </c>
      <c r="CJ266" t="e">
        <v>#VALUE!</v>
      </c>
      <c r="CK266" t="e">
        <v>#VALUE!</v>
      </c>
    </row>
    <row r="267" spans="1:89" ht="12.5">
      <c r="A267" t="s">
        <v>26</v>
      </c>
      <c r="B267" t="s">
        <v>341</v>
      </c>
      <c r="C267" t="s">
        <v>341</v>
      </c>
      <c r="E267" s="2">
        <v>14.798468194430701</v>
      </c>
      <c r="F267" s="2">
        <f>E267</f>
        <v>14.798468194430701</v>
      </c>
      <c r="I267" s="2">
        <f>F267</f>
        <v>14.798468194430701</v>
      </c>
      <c r="J267" s="2">
        <f>I267</f>
        <v>14.798468194430701</v>
      </c>
      <c r="L267" s="2">
        <f>J267</f>
        <v>14.798468194430701</v>
      </c>
      <c r="V267" s="2">
        <f>L267</f>
        <v>14.798468194430701</v>
      </c>
      <c r="W267">
        <v>5</v>
      </c>
      <c r="AG267" s="130" t="s">
        <v>342</v>
      </c>
      <c r="AI267">
        <v>1</v>
      </c>
      <c r="AJ267">
        <v>1.0083889303899101</v>
      </c>
      <c r="AK267">
        <v>1.1206410129029301</v>
      </c>
      <c r="AL267">
        <v>1.2232793738293299</v>
      </c>
      <c r="AM267">
        <v>1.3253074857618801</v>
      </c>
      <c r="AN267">
        <v>1.4308989611660801</v>
      </c>
      <c r="AO267">
        <v>1.54065178272437</v>
      </c>
      <c r="AP267">
        <v>1.6538453046399799</v>
      </c>
      <c r="AQ267">
        <v>1.7672964190956999</v>
      </c>
      <c r="AR267">
        <v>1.8827622752045099</v>
      </c>
      <c r="AS267">
        <v>2.00074272515735</v>
      </c>
      <c r="AT267">
        <v>2.1142214388138001</v>
      </c>
      <c r="AU267">
        <v>2.2228396265644101</v>
      </c>
      <c r="AV267">
        <v>2.3253461246429001</v>
      </c>
      <c r="AW267">
        <v>2.4203303072343001</v>
      </c>
      <c r="AX267">
        <v>2.5075161823313601</v>
      </c>
      <c r="AY267">
        <v>2.5869252159790799</v>
      </c>
      <c r="AZ267">
        <v>2.6570517184489</v>
      </c>
      <c r="BA267">
        <v>0</v>
      </c>
      <c r="BB267">
        <v>0</v>
      </c>
      <c r="BC267">
        <v>0</v>
      </c>
      <c r="BD267">
        <v>0</v>
      </c>
      <c r="BE267">
        <v>0</v>
      </c>
      <c r="BF267">
        <v>0</v>
      </c>
      <c r="BG267">
        <v>0</v>
      </c>
      <c r="BH267">
        <v>0</v>
      </c>
      <c r="BJ267" t="s">
        <v>357</v>
      </c>
      <c r="BL267">
        <v>0.80</v>
      </c>
      <c r="BM267">
        <v>0.79756097560975603</v>
      </c>
      <c r="BN267">
        <v>0.78536585365853595</v>
      </c>
      <c r="BO267">
        <v>0.77317073170731698</v>
      </c>
      <c r="BP267">
        <v>0.76097560975609702</v>
      </c>
      <c r="BQ267">
        <v>0.74878048780487805</v>
      </c>
      <c r="BR267">
        <v>0.73658536585365797</v>
      </c>
      <c r="BS267">
        <v>0.724390243902439</v>
      </c>
      <c r="BT267">
        <v>0.71219512195122003</v>
      </c>
      <c r="BU267">
        <v>0.69999999999999896</v>
      </c>
      <c r="BV267">
        <v>0.687499999999999</v>
      </c>
      <c r="BW267">
        <v>0.675</v>
      </c>
      <c r="BX267">
        <v>0.6625</v>
      </c>
      <c r="BY267">
        <v>0.64999999999999902</v>
      </c>
      <c r="BZ267">
        <v>0.63749999999999896</v>
      </c>
      <c r="CA267">
        <v>0.625</v>
      </c>
      <c r="CB267">
        <v>0.6125</v>
      </c>
      <c r="CC267">
        <v>0.60</v>
      </c>
      <c r="CD267" t="e">
        <v>#VALUE!</v>
      </c>
      <c r="CE267" t="e">
        <v>#VALUE!</v>
      </c>
      <c r="CF267" t="e">
        <v>#VALUE!</v>
      </c>
      <c r="CG267" t="e">
        <v>#VALUE!</v>
      </c>
      <c r="CH267" t="e">
        <v>#VALUE!</v>
      </c>
      <c r="CI267" t="e">
        <v>#VALUE!</v>
      </c>
      <c r="CJ267" t="e">
        <v>#VALUE!</v>
      </c>
      <c r="CK267" t="e">
        <v>#VALUE!</v>
      </c>
    </row>
    <row r="268" spans="1:89" ht="12.5">
      <c r="A268" t="s">
        <v>26</v>
      </c>
      <c r="B268" t="s">
        <v>344</v>
      </c>
      <c r="C268" t="s">
        <v>344</v>
      </c>
      <c r="E268" s="2">
        <v>23.096030580092201</v>
      </c>
      <c r="F268" s="2">
        <f>E268</f>
        <v>23.096030580092201</v>
      </c>
      <c r="I268" s="2">
        <f>F268</f>
        <v>23.096030580092201</v>
      </c>
      <c r="J268" s="2">
        <f>I268</f>
        <v>23.096030580092201</v>
      </c>
      <c r="L268" s="2">
        <f>J268</f>
        <v>23.096030580092201</v>
      </c>
      <c r="V268" s="2">
        <f>L268</f>
        <v>23.096030580092201</v>
      </c>
      <c r="W268">
        <v>5</v>
      </c>
      <c r="AG268" s="130" t="s">
        <v>342</v>
      </c>
      <c r="AI268">
        <v>1</v>
      </c>
      <c r="AJ268">
        <v>1.0083889303899101</v>
      </c>
      <c r="AK268">
        <v>1.1206410129029301</v>
      </c>
      <c r="AL268">
        <v>1.2232793738293299</v>
      </c>
      <c r="AM268">
        <v>1.3253074857618801</v>
      </c>
      <c r="AN268">
        <v>1.4308989611660801</v>
      </c>
      <c r="AO268">
        <v>1.54065178272437</v>
      </c>
      <c r="AP268">
        <v>1.6538453046399799</v>
      </c>
      <c r="AQ268">
        <v>1.7672964190956999</v>
      </c>
      <c r="AR268">
        <v>1.8827622752045099</v>
      </c>
      <c r="AS268">
        <v>2.00074272515735</v>
      </c>
      <c r="AT268">
        <v>2.1142214388138001</v>
      </c>
      <c r="AU268">
        <v>2.2228396265644101</v>
      </c>
      <c r="AV268">
        <v>2.3253461246429001</v>
      </c>
      <c r="AW268">
        <v>2.4203303072343001</v>
      </c>
      <c r="AX268">
        <v>2.5075161823313601</v>
      </c>
      <c r="AY268">
        <v>2.5869252159790799</v>
      </c>
      <c r="AZ268">
        <v>2.6570517184489</v>
      </c>
      <c r="BA268">
        <v>0</v>
      </c>
      <c r="BB268">
        <v>0</v>
      </c>
      <c r="BC268">
        <v>0</v>
      </c>
      <c r="BD268">
        <v>0</v>
      </c>
      <c r="BE268">
        <v>0</v>
      </c>
      <c r="BF268">
        <v>0</v>
      </c>
      <c r="BG268">
        <v>0</v>
      </c>
      <c r="BH268">
        <v>0</v>
      </c>
      <c r="BJ268" t="s">
        <v>357</v>
      </c>
      <c r="BL268">
        <v>0.80</v>
      </c>
      <c r="BM268">
        <v>0.79756097560975603</v>
      </c>
      <c r="BN268">
        <v>0.78536585365853595</v>
      </c>
      <c r="BO268">
        <v>0.77317073170731698</v>
      </c>
      <c r="BP268">
        <v>0.76097560975609702</v>
      </c>
      <c r="BQ268">
        <v>0.74878048780487805</v>
      </c>
      <c r="BR268">
        <v>0.73658536585365797</v>
      </c>
      <c r="BS268">
        <v>0.724390243902439</v>
      </c>
      <c r="BT268">
        <v>0.71219512195122003</v>
      </c>
      <c r="BU268">
        <v>0.69999999999999896</v>
      </c>
      <c r="BV268">
        <v>0.687499999999999</v>
      </c>
      <c r="BW268">
        <v>0.675</v>
      </c>
      <c r="BX268">
        <v>0.6625</v>
      </c>
      <c r="BY268">
        <v>0.64999999999999902</v>
      </c>
      <c r="BZ268">
        <v>0.63749999999999896</v>
      </c>
      <c r="CA268">
        <v>0.625</v>
      </c>
      <c r="CB268">
        <v>0.6125</v>
      </c>
      <c r="CC268">
        <v>0.60</v>
      </c>
      <c r="CD268" t="e">
        <v>#VALUE!</v>
      </c>
      <c r="CE268" t="e">
        <v>#VALUE!</v>
      </c>
      <c r="CF268" t="e">
        <v>#VALUE!</v>
      </c>
      <c r="CG268" t="e">
        <v>#VALUE!</v>
      </c>
      <c r="CH268" t="e">
        <v>#VALUE!</v>
      </c>
      <c r="CI268" t="e">
        <v>#VALUE!</v>
      </c>
      <c r="CJ268" t="e">
        <v>#VALUE!</v>
      </c>
      <c r="CK268" t="e">
        <v>#VALUE!</v>
      </c>
    </row>
    <row r="269" spans="1:89" ht="12.5">
      <c r="A269" t="s">
        <v>26</v>
      </c>
      <c r="B269" t="s">
        <v>345</v>
      </c>
      <c r="C269" t="s">
        <v>345</v>
      </c>
      <c r="E269" s="2">
        <v>0.51595754320536003</v>
      </c>
      <c r="I269" s="2">
        <v>0.63892890159272198</v>
      </c>
      <c r="J269" s="2">
        <v>0.67704594964192899</v>
      </c>
      <c r="L269" s="2">
        <v>0.75336682992274095</v>
      </c>
      <c r="V269" s="2">
        <v>1.0359150852843999</v>
      </c>
      <c r="W269">
        <v>5</v>
      </c>
      <c r="AG269" s="130" t="s">
        <v>342</v>
      </c>
      <c r="AI269">
        <v>1</v>
      </c>
      <c r="AJ269">
        <v>1.0083889303899101</v>
      </c>
      <c r="AK269">
        <v>1.1206410129029301</v>
      </c>
      <c r="AL269">
        <v>1.2232793738293299</v>
      </c>
      <c r="AM269">
        <v>1.3253074857618801</v>
      </c>
      <c r="AN269">
        <v>1.4308989611660801</v>
      </c>
      <c r="AO269">
        <v>1.54065178272437</v>
      </c>
      <c r="AP269">
        <v>1.6538453046399799</v>
      </c>
      <c r="AQ269">
        <v>1.7672964190956999</v>
      </c>
      <c r="AR269">
        <v>1.8827622752045099</v>
      </c>
      <c r="AS269">
        <v>2.00074272515735</v>
      </c>
      <c r="AT269">
        <v>2.1142214388138001</v>
      </c>
      <c r="AU269">
        <v>2.2228396265644101</v>
      </c>
      <c r="AV269">
        <v>2.3253461246429001</v>
      </c>
      <c r="AW269">
        <v>2.4203303072343001</v>
      </c>
      <c r="AX269">
        <v>2.5075161823313601</v>
      </c>
      <c r="AY269">
        <v>2.5869252159790799</v>
      </c>
      <c r="AZ269">
        <v>2.6570517184489</v>
      </c>
      <c r="BA269">
        <v>0</v>
      </c>
      <c r="BB269">
        <v>0</v>
      </c>
      <c r="BC269">
        <v>0</v>
      </c>
      <c r="BD269">
        <v>0</v>
      </c>
      <c r="BE269">
        <v>0</v>
      </c>
      <c r="BF269">
        <v>0</v>
      </c>
      <c r="BG269">
        <v>0</v>
      </c>
      <c r="BH269">
        <v>0</v>
      </c>
      <c r="BJ269" t="s">
        <v>357</v>
      </c>
      <c r="BL269">
        <v>0.80</v>
      </c>
      <c r="BM269">
        <v>0.79756097560975603</v>
      </c>
      <c r="BN269">
        <v>0.78536585365853595</v>
      </c>
      <c r="BO269">
        <v>0.77317073170731698</v>
      </c>
      <c r="BP269">
        <v>0.76097560975609702</v>
      </c>
      <c r="BQ269">
        <v>0.74878048780487805</v>
      </c>
      <c r="BR269">
        <v>0.73658536585365797</v>
      </c>
      <c r="BS269">
        <v>0.724390243902439</v>
      </c>
      <c r="BT269">
        <v>0.71219512195122003</v>
      </c>
      <c r="BU269">
        <v>0.69999999999999896</v>
      </c>
      <c r="BV269">
        <v>0.687499999999999</v>
      </c>
      <c r="BW269">
        <v>0.675</v>
      </c>
      <c r="BX269">
        <v>0.6625</v>
      </c>
      <c r="BY269">
        <v>0.64999999999999902</v>
      </c>
      <c r="BZ269">
        <v>0.63749999999999896</v>
      </c>
      <c r="CA269">
        <v>0.625</v>
      </c>
      <c r="CB269">
        <v>0.6125</v>
      </c>
      <c r="CC269">
        <v>0.60</v>
      </c>
      <c r="CD269" t="e">
        <v>#VALUE!</v>
      </c>
      <c r="CE269" t="e">
        <v>#VALUE!</v>
      </c>
      <c r="CF269" t="e">
        <v>#VALUE!</v>
      </c>
      <c r="CG269" t="e">
        <v>#VALUE!</v>
      </c>
      <c r="CH269" t="e">
        <v>#VALUE!</v>
      </c>
      <c r="CI269" t="e">
        <v>#VALUE!</v>
      </c>
      <c r="CJ269" t="e">
        <v>#VALUE!</v>
      </c>
      <c r="CK269" t="e">
        <v>#VALUE!</v>
      </c>
    </row>
    <row r="270" spans="1:89" ht="12.5">
      <c r="A270" t="s">
        <v>26</v>
      </c>
      <c r="B270" t="s">
        <v>346</v>
      </c>
      <c r="C270" t="s">
        <v>346</v>
      </c>
      <c r="E270" s="2">
        <v>2.1791479363865598</v>
      </c>
      <c r="I270" s="2">
        <v>2.2959704228221098</v>
      </c>
      <c r="J270" s="2">
        <v>2.3308285379544502</v>
      </c>
      <c r="L270" s="2">
        <v>2.4010369852516198</v>
      </c>
      <c r="V270" s="2">
        <v>2.5430832949196298</v>
      </c>
      <c r="W270">
        <v>5</v>
      </c>
      <c r="AG270" s="130" t="s">
        <v>347</v>
      </c>
      <c r="AI270">
        <v>1</v>
      </c>
      <c r="AJ270">
        <v>1.0052003894252901</v>
      </c>
      <c r="AK270">
        <v>1.03120233655177</v>
      </c>
      <c r="AL270">
        <v>1.0532613432101601</v>
      </c>
      <c r="AM270">
        <v>1.07517129113885</v>
      </c>
      <c r="AN270">
        <v>1.0969715048770901</v>
      </c>
      <c r="AO270">
        <v>1.118929204032</v>
      </c>
      <c r="AP270">
        <v>1.14233722964613</v>
      </c>
      <c r="AQ270">
        <v>1.16196092376713</v>
      </c>
      <c r="AR270">
        <v>1.1790665365586199</v>
      </c>
      <c r="AS270">
        <v>1.1937829027015401</v>
      </c>
      <c r="AT270">
        <v>1.2076968609842</v>
      </c>
      <c r="AU270">
        <v>1.2211688863496499</v>
      </c>
      <c r="AV270">
        <v>1.2326469703157801</v>
      </c>
      <c r="AW270">
        <v>1.2401029029562101</v>
      </c>
      <c r="AX270">
        <v>1.24332994955036</v>
      </c>
      <c r="AY270">
        <v>1.2438671976603</v>
      </c>
      <c r="AZ270">
        <v>1.24281180193091</v>
      </c>
      <c r="BA270">
        <v>0</v>
      </c>
      <c r="BB270">
        <v>0</v>
      </c>
      <c r="BC270">
        <v>0</v>
      </c>
      <c r="BD270">
        <v>0</v>
      </c>
      <c r="BE270">
        <v>0</v>
      </c>
      <c r="BF270">
        <v>0</v>
      </c>
      <c r="BG270">
        <v>0</v>
      </c>
      <c r="BH270">
        <v>0</v>
      </c>
      <c r="BJ270" t="s">
        <v>357</v>
      </c>
      <c r="BL270">
        <v>0.80</v>
      </c>
      <c r="BM270">
        <v>0.79756097560975603</v>
      </c>
      <c r="BN270">
        <v>0.78536585365853595</v>
      </c>
      <c r="BO270">
        <v>0.77317073170731698</v>
      </c>
      <c r="BP270">
        <v>0.76097560975609702</v>
      </c>
      <c r="BQ270">
        <v>0.74878048780487805</v>
      </c>
      <c r="BR270">
        <v>0.73658536585365797</v>
      </c>
      <c r="BS270">
        <v>0.724390243902439</v>
      </c>
      <c r="BT270">
        <v>0.71219512195122003</v>
      </c>
      <c r="BU270">
        <v>0.69999999999999896</v>
      </c>
      <c r="BV270">
        <v>0.687499999999999</v>
      </c>
      <c r="BW270">
        <v>0.675</v>
      </c>
      <c r="BX270">
        <v>0.6625</v>
      </c>
      <c r="BY270">
        <v>0.64999999999999902</v>
      </c>
      <c r="BZ270">
        <v>0.63749999999999896</v>
      </c>
      <c r="CA270">
        <v>0.625</v>
      </c>
      <c r="CB270">
        <v>0.6125</v>
      </c>
      <c r="CC270">
        <v>0.60</v>
      </c>
      <c r="CD270" t="e">
        <v>#VALUE!</v>
      </c>
      <c r="CE270" t="e">
        <v>#VALUE!</v>
      </c>
      <c r="CF270" t="e">
        <v>#VALUE!</v>
      </c>
      <c r="CG270" t="e">
        <v>#VALUE!</v>
      </c>
      <c r="CH270" t="e">
        <v>#VALUE!</v>
      </c>
      <c r="CI270" t="e">
        <v>#VALUE!</v>
      </c>
      <c r="CJ270" t="e">
        <v>#VALUE!</v>
      </c>
      <c r="CK270" t="e">
        <v>#VALUE!</v>
      </c>
    </row>
    <row r="271" spans="1:89" ht="12.5">
      <c r="A271" t="s">
        <v>26</v>
      </c>
      <c r="B271" t="s">
        <v>348</v>
      </c>
      <c r="C271" t="s">
        <v>348</v>
      </c>
      <c r="E271" s="2">
        <v>42.281794102361502</v>
      </c>
      <c r="F271" s="2">
        <f>E271</f>
        <v>42.281794102361502</v>
      </c>
      <c r="I271" s="2">
        <f>F271</f>
        <v>42.281794102361502</v>
      </c>
      <c r="J271" s="2">
        <f>I271</f>
        <v>42.281794102361502</v>
      </c>
      <c r="L271" s="2">
        <f>J271</f>
        <v>42.281794102361502</v>
      </c>
      <c r="V271" s="2">
        <f>L271</f>
        <v>42.281794102361502</v>
      </c>
      <c r="W271">
        <v>5</v>
      </c>
      <c r="AG271" s="130" t="s">
        <v>342</v>
      </c>
      <c r="AI271">
        <v>1</v>
      </c>
      <c r="AJ271">
        <v>1.0083889303899101</v>
      </c>
      <c r="AK271">
        <v>1.1206410129029301</v>
      </c>
      <c r="AL271">
        <v>1.2232793738293299</v>
      </c>
      <c r="AM271">
        <v>1.3253074857618801</v>
      </c>
      <c r="AN271">
        <v>1.4308989611660801</v>
      </c>
      <c r="AO271">
        <v>1.54065178272437</v>
      </c>
      <c r="AP271">
        <v>1.6538453046399799</v>
      </c>
      <c r="AQ271">
        <v>1.7672964190956999</v>
      </c>
      <c r="AR271">
        <v>1.8827622752045099</v>
      </c>
      <c r="AS271">
        <v>2.00074272515735</v>
      </c>
      <c r="AT271">
        <v>2.1142214388138001</v>
      </c>
      <c r="AU271">
        <v>2.2228396265644101</v>
      </c>
      <c r="AV271">
        <v>2.3253461246429001</v>
      </c>
      <c r="AW271">
        <v>2.4203303072343001</v>
      </c>
      <c r="AX271">
        <v>2.5075161823313601</v>
      </c>
      <c r="AY271">
        <v>2.5869252159790799</v>
      </c>
      <c r="AZ271">
        <v>2.6570517184489</v>
      </c>
      <c r="BA271">
        <v>0</v>
      </c>
      <c r="BB271">
        <v>0</v>
      </c>
      <c r="BC271">
        <v>0</v>
      </c>
      <c r="BD271">
        <v>0</v>
      </c>
      <c r="BE271">
        <v>0</v>
      </c>
      <c r="BF271">
        <v>0</v>
      </c>
      <c r="BG271">
        <v>0</v>
      </c>
      <c r="BH271">
        <v>0</v>
      </c>
      <c r="BJ271" t="s">
        <v>357</v>
      </c>
      <c r="BL271">
        <v>0.80</v>
      </c>
      <c r="BM271">
        <v>0.79756097560975603</v>
      </c>
      <c r="BN271">
        <v>0.78536585365853595</v>
      </c>
      <c r="BO271">
        <v>0.77317073170731698</v>
      </c>
      <c r="BP271">
        <v>0.76097560975609702</v>
      </c>
      <c r="BQ271">
        <v>0.74878048780487805</v>
      </c>
      <c r="BR271">
        <v>0.73658536585365797</v>
      </c>
      <c r="BS271">
        <v>0.724390243902439</v>
      </c>
      <c r="BT271">
        <v>0.71219512195122003</v>
      </c>
      <c r="BU271">
        <v>0.69999999999999896</v>
      </c>
      <c r="BV271">
        <v>0.687499999999999</v>
      </c>
      <c r="BW271">
        <v>0.675</v>
      </c>
      <c r="BX271">
        <v>0.6625</v>
      </c>
      <c r="BY271">
        <v>0.64999999999999902</v>
      </c>
      <c r="BZ271">
        <v>0.63749999999999896</v>
      </c>
      <c r="CA271">
        <v>0.625</v>
      </c>
      <c r="CB271">
        <v>0.6125</v>
      </c>
      <c r="CC271">
        <v>0.60</v>
      </c>
      <c r="CD271" t="e">
        <v>#VALUE!</v>
      </c>
      <c r="CE271" t="e">
        <v>#VALUE!</v>
      </c>
      <c r="CF271" t="e">
        <v>#VALUE!</v>
      </c>
      <c r="CG271" t="e">
        <v>#VALUE!</v>
      </c>
      <c r="CH271" t="e">
        <v>#VALUE!</v>
      </c>
      <c r="CI271" t="e">
        <v>#VALUE!</v>
      </c>
      <c r="CJ271" t="e">
        <v>#VALUE!</v>
      </c>
      <c r="CK271" t="e">
        <v>#VALUE!</v>
      </c>
    </row>
    <row r="272" spans="1:89" ht="12.5">
      <c r="A272" t="s">
        <v>26</v>
      </c>
      <c r="B272" t="s">
        <v>349</v>
      </c>
      <c r="C272" t="s">
        <v>349</v>
      </c>
      <c r="E272" s="2">
        <v>13.8699028407244</v>
      </c>
      <c r="F272" s="2">
        <f>E272</f>
        <v>13.8699028407244</v>
      </c>
      <c r="I272" s="2">
        <f>F272</f>
        <v>13.8699028407244</v>
      </c>
      <c r="J272" s="2">
        <f>I272</f>
        <v>13.8699028407244</v>
      </c>
      <c r="L272" s="2">
        <f>J272</f>
        <v>13.8699028407244</v>
      </c>
      <c r="V272" s="2">
        <f>L272</f>
        <v>13.8699028407244</v>
      </c>
      <c r="W272">
        <v>5</v>
      </c>
      <c r="AG272" s="130" t="s">
        <v>342</v>
      </c>
      <c r="AI272">
        <v>1</v>
      </c>
      <c r="AJ272">
        <v>1.0083889303899101</v>
      </c>
      <c r="AK272">
        <v>1.1206410129029301</v>
      </c>
      <c r="AL272">
        <v>1.2232793738293299</v>
      </c>
      <c r="AM272">
        <v>1.3253074857618801</v>
      </c>
      <c r="AN272">
        <v>1.4308989611660801</v>
      </c>
      <c r="AO272">
        <v>1.54065178272437</v>
      </c>
      <c r="AP272">
        <v>1.6538453046399799</v>
      </c>
      <c r="AQ272">
        <v>1.7672964190956999</v>
      </c>
      <c r="AR272">
        <v>1.8827622752045099</v>
      </c>
      <c r="AS272">
        <v>2.00074272515735</v>
      </c>
      <c r="AT272">
        <v>2.1142214388138001</v>
      </c>
      <c r="AU272">
        <v>2.2228396265644101</v>
      </c>
      <c r="AV272">
        <v>2.3253461246429001</v>
      </c>
      <c r="AW272">
        <v>2.4203303072343001</v>
      </c>
      <c r="AX272">
        <v>2.5075161823313601</v>
      </c>
      <c r="AY272">
        <v>2.5869252159790799</v>
      </c>
      <c r="AZ272">
        <v>2.6570517184489</v>
      </c>
      <c r="BA272">
        <v>0</v>
      </c>
      <c r="BB272">
        <v>0</v>
      </c>
      <c r="BC272">
        <v>0</v>
      </c>
      <c r="BD272">
        <v>0</v>
      </c>
      <c r="BE272">
        <v>0</v>
      </c>
      <c r="BF272">
        <v>0</v>
      </c>
      <c r="BG272">
        <v>0</v>
      </c>
      <c r="BH272">
        <v>0</v>
      </c>
      <c r="BJ272" t="s">
        <v>357</v>
      </c>
      <c r="BL272">
        <v>0.80</v>
      </c>
      <c r="BM272">
        <v>0.79756097560975603</v>
      </c>
      <c r="BN272">
        <v>0.78536585365853595</v>
      </c>
      <c r="BO272">
        <v>0.77317073170731698</v>
      </c>
      <c r="BP272">
        <v>0.76097560975609702</v>
      </c>
      <c r="BQ272">
        <v>0.74878048780487805</v>
      </c>
      <c r="BR272">
        <v>0.73658536585365797</v>
      </c>
      <c r="BS272">
        <v>0.724390243902439</v>
      </c>
      <c r="BT272">
        <v>0.71219512195122003</v>
      </c>
      <c r="BU272">
        <v>0.69999999999999896</v>
      </c>
      <c r="BV272">
        <v>0.687499999999999</v>
      </c>
      <c r="BW272">
        <v>0.675</v>
      </c>
      <c r="BX272">
        <v>0.6625</v>
      </c>
      <c r="BY272">
        <v>0.64999999999999902</v>
      </c>
      <c r="BZ272">
        <v>0.63749999999999896</v>
      </c>
      <c r="CA272">
        <v>0.625</v>
      </c>
      <c r="CB272">
        <v>0.6125</v>
      </c>
      <c r="CC272">
        <v>0.60</v>
      </c>
      <c r="CD272" t="e">
        <v>#VALUE!</v>
      </c>
      <c r="CE272" t="e">
        <v>#VALUE!</v>
      </c>
      <c r="CF272" t="e">
        <v>#VALUE!</v>
      </c>
      <c r="CG272" t="e">
        <v>#VALUE!</v>
      </c>
      <c r="CH272" t="e">
        <v>#VALUE!</v>
      </c>
      <c r="CI272" t="e">
        <v>#VALUE!</v>
      </c>
      <c r="CJ272" t="e">
        <v>#VALUE!</v>
      </c>
      <c r="CK272" t="e">
        <v>#VALUE!</v>
      </c>
    </row>
    <row r="273" spans="1:89" ht="12.5">
      <c r="A273" t="s">
        <v>26</v>
      </c>
      <c r="B273" t="s">
        <v>350</v>
      </c>
      <c r="C273" t="s">
        <v>350</v>
      </c>
      <c r="D273">
        <v>0.13200000000000001</v>
      </c>
      <c r="E273">
        <v>0.13254748685159301</v>
      </c>
      <c r="F273"/>
      <c r="G273">
        <v>0.13524024119706701</v>
      </c>
      <c r="H273">
        <v>0.137477021890617</v>
      </c>
      <c r="I273">
        <v>0.13965325820664001</v>
      </c>
      <c r="J273">
        <v>0.14177351607441799</v>
      </c>
      <c r="K273">
        <v>0.143863821176342</v>
      </c>
      <c r="L273">
        <v>0.14604397109475201</v>
      </c>
      <c r="M273">
        <v>0.14783074278515501</v>
      </c>
      <c r="N273">
        <v>0.14935412861950301</v>
      </c>
      <c r="O273">
        <v>0.15063572775477599</v>
      </c>
      <c r="P273">
        <v>0.15182083350415701</v>
      </c>
      <c r="Q273">
        <v>0.15294283182861901</v>
      </c>
      <c r="R273">
        <v>0.15387723897368299</v>
      </c>
      <c r="S273">
        <v>0.15447059838813701</v>
      </c>
      <c r="T273">
        <v>0.15472182946401999</v>
      </c>
      <c r="U273">
        <v>0.154762778736107</v>
      </c>
      <c r="V273">
        <v>0.154683990915645</v>
      </c>
      <c r="W273">
        <v>5</v>
      </c>
      <c r="AG273" s="130" t="s">
        <v>347</v>
      </c>
      <c r="AI273">
        <v>1</v>
      </c>
      <c r="AJ273">
        <v>1.0052003894252901</v>
      </c>
      <c r="AK273">
        <v>1.03120233655177</v>
      </c>
      <c r="AL273">
        <v>1.0532613432101601</v>
      </c>
      <c r="AM273">
        <v>1.07517129113885</v>
      </c>
      <c r="AN273">
        <v>1.0969715048770901</v>
      </c>
      <c r="AO273">
        <v>1.118929204032</v>
      </c>
      <c r="AP273">
        <v>1.14233722964613</v>
      </c>
      <c r="AQ273">
        <v>1.16196092376713</v>
      </c>
      <c r="AR273">
        <v>1.1790665365586199</v>
      </c>
      <c r="AS273">
        <v>1.1937829027015401</v>
      </c>
      <c r="AT273">
        <v>1.2076968609842</v>
      </c>
      <c r="AU273">
        <v>1.2211688863496499</v>
      </c>
      <c r="AV273">
        <v>1.2326469703157801</v>
      </c>
      <c r="AW273">
        <v>1.2401029029562101</v>
      </c>
      <c r="AX273">
        <v>1.24332994955036</v>
      </c>
      <c r="AY273">
        <v>1.2438671976603</v>
      </c>
      <c r="AZ273">
        <v>1.24281180193091</v>
      </c>
      <c r="BA273">
        <v>0</v>
      </c>
      <c r="BB273">
        <v>0</v>
      </c>
      <c r="BC273">
        <v>0</v>
      </c>
      <c r="BD273">
        <v>0</v>
      </c>
      <c r="BE273">
        <v>0</v>
      </c>
      <c r="BF273">
        <v>0</v>
      </c>
      <c r="BG273">
        <v>0</v>
      </c>
      <c r="BH273">
        <v>0</v>
      </c>
      <c r="BJ273" t="s">
        <v>357</v>
      </c>
      <c r="BL273">
        <v>0.80</v>
      </c>
      <c r="BM273">
        <v>0.79756097560975603</v>
      </c>
      <c r="BN273">
        <v>0.78536585365853595</v>
      </c>
      <c r="BO273">
        <v>0.77317073170731698</v>
      </c>
      <c r="BP273">
        <v>0.76097560975609702</v>
      </c>
      <c r="BQ273">
        <v>0.74878048780487805</v>
      </c>
      <c r="BR273">
        <v>0.73658536585365797</v>
      </c>
      <c r="BS273">
        <v>0.724390243902439</v>
      </c>
      <c r="BT273">
        <v>0.71219512195122003</v>
      </c>
      <c r="BU273">
        <v>0.69999999999999896</v>
      </c>
      <c r="BV273">
        <v>0.687499999999999</v>
      </c>
      <c r="BW273">
        <v>0.675</v>
      </c>
      <c r="BX273">
        <v>0.6625</v>
      </c>
      <c r="BY273">
        <v>0.64999999999999902</v>
      </c>
      <c r="BZ273">
        <v>0.63749999999999896</v>
      </c>
      <c r="CA273">
        <v>0.625</v>
      </c>
      <c r="CB273">
        <v>0.6125</v>
      </c>
      <c r="CC273">
        <v>0.60</v>
      </c>
      <c r="CD273" t="e">
        <v>#VALUE!</v>
      </c>
      <c r="CE273" t="e">
        <v>#VALUE!</v>
      </c>
      <c r="CF273" t="e">
        <v>#VALUE!</v>
      </c>
      <c r="CG273" t="e">
        <v>#VALUE!</v>
      </c>
      <c r="CH273" t="e">
        <v>#VALUE!</v>
      </c>
      <c r="CI273" t="e">
        <v>#VALUE!</v>
      </c>
      <c r="CJ273" t="e">
        <v>#VALUE!</v>
      </c>
      <c r="CK273" t="e">
        <v>#VALUE!</v>
      </c>
    </row>
    <row r="274" spans="1:89" ht="12.5">
      <c r="A274" t="s">
        <v>26</v>
      </c>
      <c r="B274" t="s">
        <v>351</v>
      </c>
      <c r="C274" t="s">
        <v>351</v>
      </c>
      <c r="D274">
        <v>0.075</v>
      </c>
      <c r="E274">
        <v>0.075311072074768906</v>
      </c>
      <c r="F274"/>
      <c r="G274">
        <v>0.076841046134697305</v>
      </c>
      <c r="H274">
        <v>0.078111944256032406</v>
      </c>
      <c r="I274">
        <v>0.079348442162863894</v>
      </c>
      <c r="J274">
        <v>0.080553134133192303</v>
      </c>
      <c r="K274">
        <v>0.081740807486558098</v>
      </c>
      <c r="L274">
        <v>0.082979529031109306</v>
      </c>
      <c r="M274">
        <v>0.083994740218838002</v>
      </c>
      <c r="N274">
        <v>0.084860300351990298</v>
      </c>
      <c r="O274">
        <v>0.085588481678850303</v>
      </c>
      <c r="P274">
        <v>0.086261837218271201</v>
      </c>
      <c r="Q274">
        <v>0.086899336266260493</v>
      </c>
      <c r="R274">
        <v>0.087430249416865197</v>
      </c>
      <c r="S274">
        <v>0.087767385447805199</v>
      </c>
      <c r="T274">
        <v>0.087910130377284207</v>
      </c>
      <c r="U274">
        <v>0.087933397009151898</v>
      </c>
      <c r="V274">
        <v>0.087888631202071202</v>
      </c>
      <c r="W274">
        <v>5</v>
      </c>
      <c r="AG274" s="130" t="s">
        <v>347</v>
      </c>
      <c r="AI274">
        <v>1</v>
      </c>
      <c r="AJ274">
        <v>1.0052003894252901</v>
      </c>
      <c r="AK274">
        <v>1.03120233655177</v>
      </c>
      <c r="AL274">
        <v>1.0532613432101601</v>
      </c>
      <c r="AM274">
        <v>1.07517129113885</v>
      </c>
      <c r="AN274">
        <v>1.0969715048770901</v>
      </c>
      <c r="AO274">
        <v>1.118929204032</v>
      </c>
      <c r="AP274">
        <v>1.14233722964613</v>
      </c>
      <c r="AQ274">
        <v>1.16196092376713</v>
      </c>
      <c r="AR274">
        <v>1.1790665365586199</v>
      </c>
      <c r="AS274">
        <v>1.1937829027015401</v>
      </c>
      <c r="AT274">
        <v>1.2076968609842</v>
      </c>
      <c r="AU274">
        <v>1.2211688863496499</v>
      </c>
      <c r="AV274">
        <v>1.2326469703157801</v>
      </c>
      <c r="AW274">
        <v>1.2401029029562101</v>
      </c>
      <c r="AX274">
        <v>1.24332994955036</v>
      </c>
      <c r="AY274">
        <v>1.2438671976603</v>
      </c>
      <c r="AZ274">
        <v>1.24281180193091</v>
      </c>
      <c r="BA274">
        <v>0</v>
      </c>
      <c r="BB274">
        <v>0</v>
      </c>
      <c r="BC274">
        <v>0</v>
      </c>
      <c r="BD274">
        <v>0</v>
      </c>
      <c r="BE274">
        <v>0</v>
      </c>
      <c r="BF274">
        <v>0</v>
      </c>
      <c r="BG274">
        <v>0</v>
      </c>
      <c r="BH274">
        <v>0</v>
      </c>
      <c r="BJ274" t="s">
        <v>357</v>
      </c>
      <c r="BL274">
        <v>0.80</v>
      </c>
      <c r="BM274">
        <v>0.79756097560975603</v>
      </c>
      <c r="BN274">
        <v>0.78536585365853595</v>
      </c>
      <c r="BO274">
        <v>0.77317073170731698</v>
      </c>
      <c r="BP274">
        <v>0.76097560975609702</v>
      </c>
      <c r="BQ274">
        <v>0.74878048780487805</v>
      </c>
      <c r="BR274">
        <v>0.73658536585365797</v>
      </c>
      <c r="BS274">
        <v>0.724390243902439</v>
      </c>
      <c r="BT274">
        <v>0.71219512195122003</v>
      </c>
      <c r="BU274">
        <v>0.69999999999999896</v>
      </c>
      <c r="BV274">
        <v>0.687499999999999</v>
      </c>
      <c r="BW274">
        <v>0.675</v>
      </c>
      <c r="BX274">
        <v>0.6625</v>
      </c>
      <c r="BY274">
        <v>0.64999999999999902</v>
      </c>
      <c r="BZ274">
        <v>0.63749999999999896</v>
      </c>
      <c r="CA274">
        <v>0.625</v>
      </c>
      <c r="CB274">
        <v>0.6125</v>
      </c>
      <c r="CC274">
        <v>0.60</v>
      </c>
      <c r="CD274" t="e">
        <v>#VALUE!</v>
      </c>
      <c r="CE274" t="e">
        <v>#VALUE!</v>
      </c>
      <c r="CF274" t="e">
        <v>#VALUE!</v>
      </c>
      <c r="CG274" t="e">
        <v>#VALUE!</v>
      </c>
      <c r="CH274" t="e">
        <v>#VALUE!</v>
      </c>
      <c r="CI274" t="e">
        <v>#VALUE!</v>
      </c>
      <c r="CJ274" t="e">
        <v>#VALUE!</v>
      </c>
      <c r="CK274" t="e">
        <v>#VALUE!</v>
      </c>
    </row>
    <row r="275" spans="1:89" ht="12.5">
      <c r="A275" t="s">
        <v>26</v>
      </c>
      <c r="B275" t="s">
        <v>352</v>
      </c>
      <c r="C275" t="s">
        <v>352</v>
      </c>
      <c r="D275">
        <v>0.315</v>
      </c>
      <c r="E275">
        <v>0.31630650271402899</v>
      </c>
      <c r="F275"/>
      <c r="G275">
        <v>0.32273239376572899</v>
      </c>
      <c r="H275">
        <v>0.328070165875336</v>
      </c>
      <c r="I275">
        <v>0.33326345708402799</v>
      </c>
      <c r="J275">
        <v>0.33832316335940799</v>
      </c>
      <c r="K275">
        <v>0.343311391443544</v>
      </c>
      <c r="L275">
        <v>0.348514021930659</v>
      </c>
      <c r="M275">
        <v>0.35277790891911998</v>
      </c>
      <c r="N275">
        <v>0.356413261478359</v>
      </c>
      <c r="O275">
        <v>0.35947162305117097</v>
      </c>
      <c r="P275">
        <v>0.36229971631673902</v>
      </c>
      <c r="Q275">
        <v>0.364977212318294</v>
      </c>
      <c r="R275">
        <v>0.367207047550834</v>
      </c>
      <c r="S275">
        <v>0.36862301888078203</v>
      </c>
      <c r="T275">
        <v>0.369222547584594</v>
      </c>
      <c r="U275">
        <v>0.36932026743843799</v>
      </c>
      <c r="V275">
        <v>0.36913225104869901</v>
      </c>
      <c r="W275">
        <v>5</v>
      </c>
      <c r="AG275" s="130" t="s">
        <v>347</v>
      </c>
      <c r="AI275">
        <v>1</v>
      </c>
      <c r="AJ275">
        <v>1.0052003894252901</v>
      </c>
      <c r="AK275">
        <v>1.03120233655177</v>
      </c>
      <c r="AL275">
        <v>1.0532613432101601</v>
      </c>
      <c r="AM275">
        <v>1.07517129113885</v>
      </c>
      <c r="AN275">
        <v>1.0969715048770901</v>
      </c>
      <c r="AO275">
        <v>1.118929204032</v>
      </c>
      <c r="AP275">
        <v>1.14233722964613</v>
      </c>
      <c r="AQ275">
        <v>1.16196092376713</v>
      </c>
      <c r="AR275">
        <v>1.1790665365586199</v>
      </c>
      <c r="AS275">
        <v>1.1937829027015401</v>
      </c>
      <c r="AT275">
        <v>1.2076968609842</v>
      </c>
      <c r="AU275">
        <v>1.2211688863496499</v>
      </c>
      <c r="AV275">
        <v>1.2326469703157801</v>
      </c>
      <c r="AW275">
        <v>1.2401029029562101</v>
      </c>
      <c r="AX275">
        <v>1.24332994955036</v>
      </c>
      <c r="AY275">
        <v>1.2438671976603</v>
      </c>
      <c r="AZ275">
        <v>1.24281180193091</v>
      </c>
      <c r="BA275">
        <v>0</v>
      </c>
      <c r="BB275">
        <v>0</v>
      </c>
      <c r="BC275">
        <v>0</v>
      </c>
      <c r="BD275">
        <v>0</v>
      </c>
      <c r="BE275">
        <v>0</v>
      </c>
      <c r="BF275">
        <v>0</v>
      </c>
      <c r="BG275">
        <v>0</v>
      </c>
      <c r="BH275">
        <v>0</v>
      </c>
      <c r="BJ275" t="s">
        <v>357</v>
      </c>
      <c r="BL275">
        <v>0.80</v>
      </c>
      <c r="BM275">
        <v>0.79756097560975603</v>
      </c>
      <c r="BN275">
        <v>0.78536585365853595</v>
      </c>
      <c r="BO275">
        <v>0.77317073170731698</v>
      </c>
      <c r="BP275">
        <v>0.76097560975609702</v>
      </c>
      <c r="BQ275">
        <v>0.74878048780487805</v>
      </c>
      <c r="BR275">
        <v>0.73658536585365797</v>
      </c>
      <c r="BS275">
        <v>0.724390243902439</v>
      </c>
      <c r="BT275">
        <v>0.71219512195122003</v>
      </c>
      <c r="BU275">
        <v>0.69999999999999896</v>
      </c>
      <c r="BV275">
        <v>0.687499999999999</v>
      </c>
      <c r="BW275">
        <v>0.675</v>
      </c>
      <c r="BX275">
        <v>0.6625</v>
      </c>
      <c r="BY275">
        <v>0.64999999999999902</v>
      </c>
      <c r="BZ275">
        <v>0.63749999999999896</v>
      </c>
      <c r="CA275">
        <v>0.625</v>
      </c>
      <c r="CB275">
        <v>0.6125</v>
      </c>
      <c r="CC275">
        <v>0.60</v>
      </c>
      <c r="CD275" t="e">
        <v>#VALUE!</v>
      </c>
      <c r="CE275" t="e">
        <v>#VALUE!</v>
      </c>
      <c r="CF275" t="e">
        <v>#VALUE!</v>
      </c>
      <c r="CG275" t="e">
        <v>#VALUE!</v>
      </c>
      <c r="CH275" t="e">
        <v>#VALUE!</v>
      </c>
      <c r="CI275" t="e">
        <v>#VALUE!</v>
      </c>
      <c r="CJ275" t="e">
        <v>#VALUE!</v>
      </c>
      <c r="CK275" t="e">
        <v>#VALUE!</v>
      </c>
    </row>
    <row r="276" spans="1:89" ht="12.5">
      <c r="A276" t="s">
        <v>26</v>
      </c>
      <c r="B276" t="s">
        <v>353</v>
      </c>
      <c r="C276" t="s">
        <v>353</v>
      </c>
      <c r="D276">
        <v>28.044</v>
      </c>
      <c r="E276">
        <v>28.114948498227498</v>
      </c>
      <c r="F276"/>
      <c r="G276">
        <v>29.954171021797499</v>
      </c>
      <c r="H276">
        <v>31.545872755065201</v>
      </c>
      <c r="I276">
        <v>33.0180825098467</v>
      </c>
      <c r="J276">
        <v>34.457392384873103</v>
      </c>
      <c r="K276">
        <v>35.867879371956597</v>
      </c>
      <c r="L276">
        <v>37.205302841814003</v>
      </c>
      <c r="M276">
        <v>38.544786240562999</v>
      </c>
      <c r="N276">
        <v>39.890592332531497</v>
      </c>
      <c r="O276">
        <v>41.249860432751397</v>
      </c>
      <c r="P276">
        <v>42.490121829838102</v>
      </c>
      <c r="Q276">
        <v>43.609809648085303</v>
      </c>
      <c r="R276">
        <v>44.640879702785298</v>
      </c>
      <c r="S276">
        <v>45.625244032144799</v>
      </c>
      <c r="T276">
        <v>46.575769628911999</v>
      </c>
      <c r="U276">
        <v>47.466483232290201</v>
      </c>
      <c r="V276">
        <v>48.263358293703298</v>
      </c>
      <c r="W276">
        <v>5</v>
      </c>
      <c r="AG276" s="130" t="s">
        <v>354</v>
      </c>
      <c r="AI276">
        <v>1</v>
      </c>
      <c r="AJ276">
        <v>1.00317204509485</v>
      </c>
      <c r="AK276">
        <v>1.0867324221260399</v>
      </c>
      <c r="AL276">
        <v>1.16142055503622</v>
      </c>
      <c r="AM276">
        <v>1.23264776197482</v>
      </c>
      <c r="AN276">
        <v>1.30440850542095</v>
      </c>
      <c r="AO276">
        <v>1.3768983570834701</v>
      </c>
      <c r="AP276">
        <v>1.4477732684526901</v>
      </c>
      <c r="AQ276">
        <v>1.52096028613944</v>
      </c>
      <c r="AR276">
        <v>1.5968244512305401</v>
      </c>
      <c r="AS276">
        <v>1.6759686544593999</v>
      </c>
      <c r="AT276">
        <v>1.75062261658181</v>
      </c>
      <c r="AU276">
        <v>1.8202557004289499</v>
      </c>
      <c r="AV276">
        <v>1.8864656147633101</v>
      </c>
      <c r="AW276">
        <v>1.95171731431691</v>
      </c>
      <c r="AX276">
        <v>2.0167745361866198</v>
      </c>
      <c r="AY276">
        <v>2.07974389938496</v>
      </c>
      <c r="AZ276">
        <v>2.1379356989696499</v>
      </c>
      <c r="BA276">
        <v>0</v>
      </c>
      <c r="BB276">
        <v>0</v>
      </c>
      <c r="BC276">
        <v>0</v>
      </c>
      <c r="BD276">
        <v>0</v>
      </c>
      <c r="BE276">
        <v>0</v>
      </c>
      <c r="BF276">
        <v>0</v>
      </c>
      <c r="BG276">
        <v>0</v>
      </c>
      <c r="BH276">
        <v>0</v>
      </c>
      <c r="BJ276" t="s">
        <v>357</v>
      </c>
      <c r="BL276">
        <v>0.80</v>
      </c>
      <c r="BM276">
        <v>0.79756097560975603</v>
      </c>
      <c r="BN276">
        <v>0.78536585365853595</v>
      </c>
      <c r="BO276">
        <v>0.77317073170731698</v>
      </c>
      <c r="BP276">
        <v>0.76097560975609702</v>
      </c>
      <c r="BQ276">
        <v>0.74878048780487805</v>
      </c>
      <c r="BR276">
        <v>0.73658536585365797</v>
      </c>
      <c r="BS276">
        <v>0.724390243902439</v>
      </c>
      <c r="BT276">
        <v>0.71219512195122003</v>
      </c>
      <c r="BU276">
        <v>0.69999999999999896</v>
      </c>
      <c r="BV276">
        <v>0.687499999999999</v>
      </c>
      <c r="BW276">
        <v>0.675</v>
      </c>
      <c r="BX276">
        <v>0.6625</v>
      </c>
      <c r="BY276">
        <v>0.64999999999999902</v>
      </c>
      <c r="BZ276">
        <v>0.63749999999999896</v>
      </c>
      <c r="CA276">
        <v>0.625</v>
      </c>
      <c r="CB276">
        <v>0.6125</v>
      </c>
      <c r="CC276">
        <v>0.60</v>
      </c>
      <c r="CD276" t="e">
        <v>#VALUE!</v>
      </c>
      <c r="CE276" t="e">
        <v>#VALUE!</v>
      </c>
      <c r="CF276" t="e">
        <v>#VALUE!</v>
      </c>
      <c r="CG276" t="e">
        <v>#VALUE!</v>
      </c>
      <c r="CH276" t="e">
        <v>#VALUE!</v>
      </c>
      <c r="CI276" t="e">
        <v>#VALUE!</v>
      </c>
      <c r="CJ276" t="e">
        <v>#VALUE!</v>
      </c>
      <c r="CK276" t="e">
        <v>#VALUE!</v>
      </c>
    </row>
    <row r="277" spans="1:89" ht="12.5">
      <c r="A277" t="s">
        <v>26</v>
      </c>
      <c r="B277" t="s">
        <v>355</v>
      </c>
      <c r="C277" t="s">
        <v>355</v>
      </c>
      <c r="D277">
        <v>9.50</v>
      </c>
      <c r="E277">
        <v>9.5635614933079403</v>
      </c>
      <c r="F277"/>
      <c r="G277">
        <v>10.3996610765552</v>
      </c>
      <c r="H277">
        <v>11.136101784500401</v>
      </c>
      <c r="I277">
        <v>11.842904364325999</v>
      </c>
      <c r="J277">
        <v>12.5494251580668</v>
      </c>
      <c r="K277">
        <v>13.258437254553099</v>
      </c>
      <c r="L277">
        <v>13.964075338882999</v>
      </c>
      <c r="M277">
        <v>14.646296301393299</v>
      </c>
      <c r="N277">
        <v>15.316134697541001</v>
      </c>
      <c r="O277">
        <v>15.9759713560398</v>
      </c>
      <c r="P277">
        <v>16.5876089958359</v>
      </c>
      <c r="Q277">
        <v>17.152184137681498</v>
      </c>
      <c r="R277">
        <v>17.666317816544598</v>
      </c>
      <c r="S277">
        <v>18.126351796596602</v>
      </c>
      <c r="T277">
        <v>18.5344473979954</v>
      </c>
      <c r="U277">
        <v>18.893958165087199</v>
      </c>
      <c r="V277">
        <v>19.201265201814302</v>
      </c>
      <c r="W277">
        <v>5</v>
      </c>
      <c r="AG277" s="130" t="s">
        <v>342</v>
      </c>
      <c r="AI277">
        <v>1</v>
      </c>
      <c r="AJ277">
        <v>1.0083889303899101</v>
      </c>
      <c r="AK277">
        <v>1.1206410129029301</v>
      </c>
      <c r="AL277">
        <v>1.2232793738293299</v>
      </c>
      <c r="AM277">
        <v>1.3253074857618801</v>
      </c>
      <c r="AN277">
        <v>1.4308989611660801</v>
      </c>
      <c r="AO277">
        <v>1.54065178272437</v>
      </c>
      <c r="AP277">
        <v>1.6538453046399799</v>
      </c>
      <c r="AQ277">
        <v>1.7672964190956999</v>
      </c>
      <c r="AR277">
        <v>1.8827622752045099</v>
      </c>
      <c r="AS277">
        <v>2.00074272515735</v>
      </c>
      <c r="AT277">
        <v>2.1142214388138001</v>
      </c>
      <c r="AU277">
        <v>2.2228396265644101</v>
      </c>
      <c r="AV277">
        <v>2.3253461246429001</v>
      </c>
      <c r="AW277">
        <v>2.4203303072343001</v>
      </c>
      <c r="AX277">
        <v>2.5075161823313601</v>
      </c>
      <c r="AY277">
        <v>2.5869252159790799</v>
      </c>
      <c r="AZ277">
        <v>2.6570517184489</v>
      </c>
      <c r="BA277">
        <v>0</v>
      </c>
      <c r="BB277">
        <v>0</v>
      </c>
      <c r="BC277">
        <v>0</v>
      </c>
      <c r="BD277">
        <v>0</v>
      </c>
      <c r="BE277">
        <v>0</v>
      </c>
      <c r="BF277">
        <v>0</v>
      </c>
      <c r="BG277">
        <v>0</v>
      </c>
      <c r="BH277">
        <v>0</v>
      </c>
      <c r="BJ277" t="s">
        <v>357</v>
      </c>
      <c r="BL277">
        <v>0.80</v>
      </c>
      <c r="BM277">
        <v>0.79756097560975603</v>
      </c>
      <c r="BN277">
        <v>0.78536585365853595</v>
      </c>
      <c r="BO277">
        <v>0.77317073170731698</v>
      </c>
      <c r="BP277">
        <v>0.76097560975609702</v>
      </c>
      <c r="BQ277">
        <v>0.74878048780487805</v>
      </c>
      <c r="BR277">
        <v>0.73658536585365797</v>
      </c>
      <c r="BS277">
        <v>0.724390243902439</v>
      </c>
      <c r="BT277">
        <v>0.71219512195122003</v>
      </c>
      <c r="BU277">
        <v>0.69999999999999896</v>
      </c>
      <c r="BV277">
        <v>0.687499999999999</v>
      </c>
      <c r="BW277">
        <v>0.675</v>
      </c>
      <c r="BX277">
        <v>0.6625</v>
      </c>
      <c r="BY277">
        <v>0.64999999999999902</v>
      </c>
      <c r="BZ277">
        <v>0.63749999999999896</v>
      </c>
      <c r="CA277">
        <v>0.625</v>
      </c>
      <c r="CB277">
        <v>0.6125</v>
      </c>
      <c r="CC277">
        <v>0.60</v>
      </c>
      <c r="CD277" t="e">
        <v>#VALUE!</v>
      </c>
      <c r="CE277" t="e">
        <v>#VALUE!</v>
      </c>
      <c r="CF277" t="e">
        <v>#VALUE!</v>
      </c>
      <c r="CG277" t="e">
        <v>#VALUE!</v>
      </c>
      <c r="CH277" t="e">
        <v>#VALUE!</v>
      </c>
      <c r="CI277" t="e">
        <v>#VALUE!</v>
      </c>
      <c r="CJ277" t="e">
        <v>#VALUE!</v>
      </c>
      <c r="CK277" t="e">
        <v>#VALUE!</v>
      </c>
    </row>
    <row r="278" spans="1:89" ht="12.5">
      <c r="A278" t="s">
        <v>26</v>
      </c>
      <c r="B278" t="s">
        <v>356</v>
      </c>
      <c r="C278" t="s">
        <v>356</v>
      </c>
      <c r="D278">
        <v>5.16</v>
      </c>
      <c r="E278">
        <v>5.1945239268914696</v>
      </c>
      <c r="F278"/>
      <c r="G278">
        <v>5.6486580163184197</v>
      </c>
      <c r="H278">
        <v>6.04866160084444</v>
      </c>
      <c r="I278">
        <v>6.4325670020970902</v>
      </c>
      <c r="J278">
        <v>6.8163193490131002</v>
      </c>
      <c r="K278">
        <v>7.2014248666835998</v>
      </c>
      <c r="L278">
        <v>7.5846977630143204</v>
      </c>
      <c r="M278">
        <v>7.9552514647567998</v>
      </c>
      <c r="N278">
        <v>8.3190794778222692</v>
      </c>
      <c r="O278">
        <v>8.6774749681226595</v>
      </c>
      <c r="P278">
        <v>9.0096907808961593</v>
      </c>
      <c r="Q278">
        <v>9.3163442263617497</v>
      </c>
      <c r="R278">
        <v>9.5955999929863403</v>
      </c>
      <c r="S278">
        <v>9.8454710810987596</v>
      </c>
      <c r="T278">
        <v>10.067131428805901</v>
      </c>
      <c r="U278">
        <v>10.262402540194699</v>
      </c>
      <c r="V278">
        <v>10.4293187833012</v>
      </c>
      <c r="W278">
        <v>5</v>
      </c>
      <c r="AG278" s="130" t="s">
        <v>342</v>
      </c>
      <c r="AI278">
        <v>1</v>
      </c>
      <c r="AJ278">
        <v>1.0083889303899101</v>
      </c>
      <c r="AK278">
        <v>1.1206410129029301</v>
      </c>
      <c r="AL278">
        <v>1.2232793738293299</v>
      </c>
      <c r="AM278">
        <v>1.3253074857618801</v>
      </c>
      <c r="AN278">
        <v>1.4308989611660801</v>
      </c>
      <c r="AO278">
        <v>1.54065178272437</v>
      </c>
      <c r="AP278">
        <v>1.6538453046399799</v>
      </c>
      <c r="AQ278">
        <v>1.7672964190956999</v>
      </c>
      <c r="AR278">
        <v>1.8827622752045099</v>
      </c>
      <c r="AS278">
        <v>2.00074272515735</v>
      </c>
      <c r="AT278">
        <v>2.1142214388138001</v>
      </c>
      <c r="AU278">
        <v>2.2228396265644101</v>
      </c>
      <c r="AV278">
        <v>2.3253461246429001</v>
      </c>
      <c r="AW278">
        <v>2.4203303072343001</v>
      </c>
      <c r="AX278">
        <v>2.5075161823313601</v>
      </c>
      <c r="AY278">
        <v>2.5869252159790799</v>
      </c>
      <c r="AZ278">
        <v>2.6570517184489</v>
      </c>
      <c r="BA278">
        <v>0</v>
      </c>
      <c r="BB278">
        <v>0</v>
      </c>
      <c r="BC278">
        <v>0</v>
      </c>
      <c r="BD278">
        <v>0</v>
      </c>
      <c r="BE278">
        <v>0</v>
      </c>
      <c r="BF278">
        <v>0</v>
      </c>
      <c r="BG278">
        <v>0</v>
      </c>
      <c r="BH278">
        <v>0</v>
      </c>
      <c r="BJ278" t="s">
        <v>357</v>
      </c>
      <c r="BL278">
        <v>0.80</v>
      </c>
      <c r="BM278">
        <v>0.79756097560975603</v>
      </c>
      <c r="BN278">
        <v>0.78536585365853595</v>
      </c>
      <c r="BO278">
        <v>0.77317073170731698</v>
      </c>
      <c r="BP278">
        <v>0.76097560975609702</v>
      </c>
      <c r="BQ278">
        <v>0.74878048780487805</v>
      </c>
      <c r="BR278">
        <v>0.73658536585365797</v>
      </c>
      <c r="BS278">
        <v>0.724390243902439</v>
      </c>
      <c r="BT278">
        <v>0.71219512195122003</v>
      </c>
      <c r="BU278">
        <v>0.69999999999999896</v>
      </c>
      <c r="BV278">
        <v>0.687499999999999</v>
      </c>
      <c r="BW278">
        <v>0.675</v>
      </c>
      <c r="BX278">
        <v>0.6625</v>
      </c>
      <c r="BY278">
        <v>0.64999999999999902</v>
      </c>
      <c r="BZ278">
        <v>0.63749999999999896</v>
      </c>
      <c r="CA278">
        <v>0.625</v>
      </c>
      <c r="CB278">
        <v>0.6125</v>
      </c>
      <c r="CC278">
        <v>0.60</v>
      </c>
      <c r="CD278" t="e">
        <v>#VALUE!</v>
      </c>
      <c r="CE278" t="e">
        <v>#VALUE!</v>
      </c>
      <c r="CF278" t="e">
        <v>#VALUE!</v>
      </c>
      <c r="CG278" t="e">
        <v>#VALUE!</v>
      </c>
      <c r="CH278" t="e">
        <v>#VALUE!</v>
      </c>
      <c r="CI278" t="e">
        <v>#VALUE!</v>
      </c>
      <c r="CJ278" t="e">
        <v>#VALUE!</v>
      </c>
      <c r="CK278" t="e">
        <v>#VALUE!</v>
      </c>
    </row>
    <row r="279" spans="1:89" ht="12.5">
      <c r="A279" t="s">
        <v>27</v>
      </c>
      <c r="B279" t="s">
        <v>341</v>
      </c>
      <c r="C279" t="s">
        <v>341</v>
      </c>
      <c r="E279" s="2">
        <v>1.45078903816604</v>
      </c>
      <c r="F279" s="2">
        <f>E279</f>
        <v>1.45078903816604</v>
      </c>
      <c r="I279" s="2">
        <f>F279</f>
        <v>1.45078903816604</v>
      </c>
      <c r="J279" s="2">
        <f>I279</f>
        <v>1.45078903816604</v>
      </c>
      <c r="L279" s="2">
        <f>J279</f>
        <v>1.45078903816604</v>
      </c>
      <c r="V279" s="2">
        <f>L279</f>
        <v>1.45078903816604</v>
      </c>
      <c r="W279">
        <v>5</v>
      </c>
      <c r="AG279" s="130" t="s">
        <v>342</v>
      </c>
      <c r="AI279">
        <v>1</v>
      </c>
      <c r="AJ279">
        <v>1.0306176871124</v>
      </c>
      <c r="AK279">
        <v>1.2321465865568</v>
      </c>
      <c r="AL279">
        <v>1.44752671431604</v>
      </c>
      <c r="AM279">
        <v>1.61456130872964</v>
      </c>
      <c r="AN279">
        <v>1.75255578895043</v>
      </c>
      <c r="AO279">
        <v>1.84476786031748</v>
      </c>
      <c r="AP279">
        <v>1.91652671604205</v>
      </c>
      <c r="AQ279">
        <v>1.97324339671817</v>
      </c>
      <c r="AR279">
        <v>2.0232113792371398</v>
      </c>
      <c r="AS279">
        <v>2.0672505182344301</v>
      </c>
      <c r="AT279">
        <v>2.0990608780901998</v>
      </c>
      <c r="AU279">
        <v>2.1167783682648902</v>
      </c>
      <c r="AV279">
        <v>2.1236996673979198</v>
      </c>
      <c r="AW279">
        <v>2.1270308662325199</v>
      </c>
      <c r="AX279">
        <v>2.1333135417547702</v>
      </c>
      <c r="AY279">
        <v>2.1447656165048001</v>
      </c>
      <c r="AZ279">
        <v>2.1583838335021901</v>
      </c>
      <c r="BA279">
        <v>0</v>
      </c>
      <c r="BB279">
        <v>0</v>
      </c>
      <c r="BC279">
        <v>0</v>
      </c>
      <c r="BD279">
        <v>0</v>
      </c>
      <c r="BE279">
        <v>0</v>
      </c>
      <c r="BF279">
        <v>0</v>
      </c>
      <c r="BG279">
        <v>0</v>
      </c>
      <c r="BH279">
        <v>0</v>
      </c>
      <c r="BJ279" t="s">
        <v>357</v>
      </c>
      <c r="BL279">
        <v>0.80</v>
      </c>
      <c r="BM279">
        <v>0.79756097560975603</v>
      </c>
      <c r="BN279">
        <v>0.78536585365853595</v>
      </c>
      <c r="BO279">
        <v>0.77317073170731698</v>
      </c>
      <c r="BP279">
        <v>0.76097560975609702</v>
      </c>
      <c r="BQ279">
        <v>0.74878048780487805</v>
      </c>
      <c r="BR279">
        <v>0.73658536585365797</v>
      </c>
      <c r="BS279">
        <v>0.724390243902439</v>
      </c>
      <c r="BT279">
        <v>0.71219512195122003</v>
      </c>
      <c r="BU279">
        <v>0.69999999999999896</v>
      </c>
      <c r="BV279">
        <v>0.687499999999999</v>
      </c>
      <c r="BW279">
        <v>0.675</v>
      </c>
      <c r="BX279">
        <v>0.6625</v>
      </c>
      <c r="BY279">
        <v>0.64999999999999902</v>
      </c>
      <c r="BZ279">
        <v>0.63749999999999896</v>
      </c>
      <c r="CA279">
        <v>0.625</v>
      </c>
      <c r="CB279">
        <v>0.6125</v>
      </c>
      <c r="CC279">
        <v>0.60</v>
      </c>
      <c r="CD279" t="e">
        <v>#VALUE!</v>
      </c>
      <c r="CE279" t="e">
        <v>#VALUE!</v>
      </c>
      <c r="CF279" t="e">
        <v>#VALUE!</v>
      </c>
      <c r="CG279" t="e">
        <v>#VALUE!</v>
      </c>
      <c r="CH279" t="e">
        <v>#VALUE!</v>
      </c>
      <c r="CI279" t="e">
        <v>#VALUE!</v>
      </c>
      <c r="CJ279" t="e">
        <v>#VALUE!</v>
      </c>
      <c r="CK279" t="e">
        <v>#VALUE!</v>
      </c>
    </row>
    <row r="280" spans="1:89" ht="12.5">
      <c r="A280" t="s">
        <v>27</v>
      </c>
      <c r="B280" t="s">
        <v>344</v>
      </c>
      <c r="C280" t="s">
        <v>344</v>
      </c>
      <c r="E280" s="2">
        <v>46.154872463609799</v>
      </c>
      <c r="F280" s="2">
        <f>E280</f>
        <v>46.154872463609799</v>
      </c>
      <c r="I280" s="2">
        <f>F280</f>
        <v>46.154872463609799</v>
      </c>
      <c r="J280" s="2">
        <f>I280</f>
        <v>46.154872463609799</v>
      </c>
      <c r="L280" s="2">
        <f>J280</f>
        <v>46.154872463609799</v>
      </c>
      <c r="V280" s="2">
        <f>L280</f>
        <v>46.154872463609799</v>
      </c>
      <c r="W280">
        <v>5</v>
      </c>
      <c r="AG280" s="130" t="s">
        <v>342</v>
      </c>
      <c r="AI280">
        <v>1</v>
      </c>
      <c r="AJ280">
        <v>1.0306176871124</v>
      </c>
      <c r="AK280">
        <v>1.2321465865568</v>
      </c>
      <c r="AL280">
        <v>1.44752671431604</v>
      </c>
      <c r="AM280">
        <v>1.61456130872964</v>
      </c>
      <c r="AN280">
        <v>1.75255578895043</v>
      </c>
      <c r="AO280">
        <v>1.84476786031748</v>
      </c>
      <c r="AP280">
        <v>1.91652671604205</v>
      </c>
      <c r="AQ280">
        <v>1.97324339671817</v>
      </c>
      <c r="AR280">
        <v>2.0232113792371398</v>
      </c>
      <c r="AS280">
        <v>2.0672505182344301</v>
      </c>
      <c r="AT280">
        <v>2.0990608780901998</v>
      </c>
      <c r="AU280">
        <v>2.1167783682648902</v>
      </c>
      <c r="AV280">
        <v>2.1236996673979198</v>
      </c>
      <c r="AW280">
        <v>2.1270308662325199</v>
      </c>
      <c r="AX280">
        <v>2.1333135417547702</v>
      </c>
      <c r="AY280">
        <v>2.1447656165048001</v>
      </c>
      <c r="AZ280">
        <v>2.1583838335021901</v>
      </c>
      <c r="BA280">
        <v>0</v>
      </c>
      <c r="BB280">
        <v>0</v>
      </c>
      <c r="BC280">
        <v>0</v>
      </c>
      <c r="BD280">
        <v>0</v>
      </c>
      <c r="BE280">
        <v>0</v>
      </c>
      <c r="BF280">
        <v>0</v>
      </c>
      <c r="BG280">
        <v>0</v>
      </c>
      <c r="BH280">
        <v>0</v>
      </c>
      <c r="BJ280" t="s">
        <v>357</v>
      </c>
      <c r="BL280">
        <v>0.80</v>
      </c>
      <c r="BM280">
        <v>0.79756097560975603</v>
      </c>
      <c r="BN280">
        <v>0.78536585365853595</v>
      </c>
      <c r="BO280">
        <v>0.77317073170731698</v>
      </c>
      <c r="BP280">
        <v>0.76097560975609702</v>
      </c>
      <c r="BQ280">
        <v>0.74878048780487805</v>
      </c>
      <c r="BR280">
        <v>0.73658536585365797</v>
      </c>
      <c r="BS280">
        <v>0.724390243902439</v>
      </c>
      <c r="BT280">
        <v>0.71219512195122003</v>
      </c>
      <c r="BU280">
        <v>0.69999999999999896</v>
      </c>
      <c r="BV280">
        <v>0.687499999999999</v>
      </c>
      <c r="BW280">
        <v>0.675</v>
      </c>
      <c r="BX280">
        <v>0.6625</v>
      </c>
      <c r="BY280">
        <v>0.64999999999999902</v>
      </c>
      <c r="BZ280">
        <v>0.63749999999999896</v>
      </c>
      <c r="CA280">
        <v>0.625</v>
      </c>
      <c r="CB280">
        <v>0.6125</v>
      </c>
      <c r="CC280">
        <v>0.60</v>
      </c>
      <c r="CD280" t="e">
        <v>#VALUE!</v>
      </c>
      <c r="CE280" t="e">
        <v>#VALUE!</v>
      </c>
      <c r="CF280" t="e">
        <v>#VALUE!</v>
      </c>
      <c r="CG280" t="e">
        <v>#VALUE!</v>
      </c>
      <c r="CH280" t="e">
        <v>#VALUE!</v>
      </c>
      <c r="CI280" t="e">
        <v>#VALUE!</v>
      </c>
      <c r="CJ280" t="e">
        <v>#VALUE!</v>
      </c>
      <c r="CK280" t="e">
        <v>#VALUE!</v>
      </c>
    </row>
    <row r="281" spans="1:89" ht="12.5">
      <c r="A281" t="s">
        <v>27</v>
      </c>
      <c r="B281" t="s">
        <v>345</v>
      </c>
      <c r="C281" t="s">
        <v>345</v>
      </c>
      <c r="E281" s="2">
        <v>4.4631401362973904</v>
      </c>
      <c r="I281" s="2">
        <v>6.3575873402432297</v>
      </c>
      <c r="J281" s="2">
        <v>6.7644558030075803</v>
      </c>
      <c r="L281" s="2">
        <v>7.2246134357335396</v>
      </c>
      <c r="V281" s="2">
        <v>7.8360678680899101</v>
      </c>
      <c r="W281">
        <v>5</v>
      </c>
      <c r="AG281" s="130" t="s">
        <v>342</v>
      </c>
      <c r="AI281">
        <v>1</v>
      </c>
      <c r="AJ281">
        <v>1.0306176871124</v>
      </c>
      <c r="AK281">
        <v>1.2321465865568</v>
      </c>
      <c r="AL281">
        <v>1.44752671431604</v>
      </c>
      <c r="AM281">
        <v>1.61456130872964</v>
      </c>
      <c r="AN281">
        <v>1.75255578895043</v>
      </c>
      <c r="AO281">
        <v>1.84476786031748</v>
      </c>
      <c r="AP281">
        <v>1.91652671604205</v>
      </c>
      <c r="AQ281">
        <v>1.97324339671817</v>
      </c>
      <c r="AR281">
        <v>2.0232113792371398</v>
      </c>
      <c r="AS281">
        <v>2.0672505182344301</v>
      </c>
      <c r="AT281">
        <v>2.0990608780901998</v>
      </c>
      <c r="AU281">
        <v>2.1167783682648902</v>
      </c>
      <c r="AV281">
        <v>2.1236996673979198</v>
      </c>
      <c r="AW281">
        <v>2.1270308662325199</v>
      </c>
      <c r="AX281">
        <v>2.1333135417547702</v>
      </c>
      <c r="AY281">
        <v>2.1447656165048001</v>
      </c>
      <c r="AZ281">
        <v>2.1583838335021901</v>
      </c>
      <c r="BA281">
        <v>0</v>
      </c>
      <c r="BB281">
        <v>0</v>
      </c>
      <c r="BC281">
        <v>0</v>
      </c>
      <c r="BD281">
        <v>0</v>
      </c>
      <c r="BE281">
        <v>0</v>
      </c>
      <c r="BF281">
        <v>0</v>
      </c>
      <c r="BG281">
        <v>0</v>
      </c>
      <c r="BH281">
        <v>0</v>
      </c>
      <c r="BJ281" t="s">
        <v>357</v>
      </c>
      <c r="BL281">
        <v>0.80</v>
      </c>
      <c r="BM281">
        <v>0.79756097560975603</v>
      </c>
      <c r="BN281">
        <v>0.78536585365853595</v>
      </c>
      <c r="BO281">
        <v>0.77317073170731698</v>
      </c>
      <c r="BP281">
        <v>0.76097560975609702</v>
      </c>
      <c r="BQ281">
        <v>0.74878048780487805</v>
      </c>
      <c r="BR281">
        <v>0.73658536585365797</v>
      </c>
      <c r="BS281">
        <v>0.724390243902439</v>
      </c>
      <c r="BT281">
        <v>0.71219512195122003</v>
      </c>
      <c r="BU281">
        <v>0.69999999999999896</v>
      </c>
      <c r="BV281">
        <v>0.687499999999999</v>
      </c>
      <c r="BW281">
        <v>0.675</v>
      </c>
      <c r="BX281">
        <v>0.6625</v>
      </c>
      <c r="BY281">
        <v>0.64999999999999902</v>
      </c>
      <c r="BZ281">
        <v>0.63749999999999896</v>
      </c>
      <c r="CA281">
        <v>0.625</v>
      </c>
      <c r="CB281">
        <v>0.6125</v>
      </c>
      <c r="CC281">
        <v>0.60</v>
      </c>
      <c r="CD281" t="e">
        <v>#VALUE!</v>
      </c>
      <c r="CE281" t="e">
        <v>#VALUE!</v>
      </c>
      <c r="CF281" t="e">
        <v>#VALUE!</v>
      </c>
      <c r="CG281" t="e">
        <v>#VALUE!</v>
      </c>
      <c r="CH281" t="e">
        <v>#VALUE!</v>
      </c>
      <c r="CI281" t="e">
        <v>#VALUE!</v>
      </c>
      <c r="CJ281" t="e">
        <v>#VALUE!</v>
      </c>
      <c r="CK281" t="e">
        <v>#VALUE!</v>
      </c>
    </row>
    <row r="282" spans="1:89" ht="12.5">
      <c r="A282" t="s">
        <v>27</v>
      </c>
      <c r="B282" t="s">
        <v>346</v>
      </c>
      <c r="C282" t="s">
        <v>346</v>
      </c>
      <c r="E282" s="2">
        <v>10.5765290940029</v>
      </c>
      <c r="I282" s="2">
        <v>10.347440240101999</v>
      </c>
      <c r="J282" s="2">
        <v>10.1800295633949</v>
      </c>
      <c r="L282" s="2">
        <v>9.8799167149431195</v>
      </c>
      <c r="V282" s="2">
        <v>8.4582264030971004</v>
      </c>
      <c r="W282">
        <v>5</v>
      </c>
      <c r="AG282" s="130" t="s">
        <v>347</v>
      </c>
      <c r="AI282">
        <v>1</v>
      </c>
      <c r="AJ282">
        <v>1.0027699861502</v>
      </c>
      <c r="AK282">
        <v>1.0166199169012</v>
      </c>
      <c r="AL282">
        <v>0.99571965485371605</v>
      </c>
      <c r="AM282">
        <v>0.97409589032242305</v>
      </c>
      <c r="AN282">
        <v>0.95304854060047195</v>
      </c>
      <c r="AO282">
        <v>0.93292210461926195</v>
      </c>
      <c r="AP282">
        <v>0.91470462897733495</v>
      </c>
      <c r="AQ282">
        <v>0.89597383194560798</v>
      </c>
      <c r="AR282">
        <v>0.87644736982011096</v>
      </c>
      <c r="AS282">
        <v>0.85569067722667902</v>
      </c>
      <c r="AT282">
        <v>0.83340032719971102</v>
      </c>
      <c r="AU282">
        <v>0.81028066746739602</v>
      </c>
      <c r="AV282">
        <v>0.78778821522293896</v>
      </c>
      <c r="AW282">
        <v>0.76725270141994295</v>
      </c>
      <c r="AX282">
        <v>0.74952511842590597</v>
      </c>
      <c r="AY282">
        <v>0.73454143462917099</v>
      </c>
      <c r="AZ282">
        <v>0.72143543810131605</v>
      </c>
      <c r="BA282">
        <v>0</v>
      </c>
      <c r="BB282">
        <v>0</v>
      </c>
      <c r="BC282">
        <v>0</v>
      </c>
      <c r="BD282">
        <v>0</v>
      </c>
      <c r="BE282">
        <v>0</v>
      </c>
      <c r="BF282">
        <v>0</v>
      </c>
      <c r="BG282">
        <v>0</v>
      </c>
      <c r="BH282">
        <v>0</v>
      </c>
      <c r="BJ282" t="s">
        <v>357</v>
      </c>
      <c r="BL282">
        <v>0.80</v>
      </c>
      <c r="BM282">
        <v>0.79756097560975603</v>
      </c>
      <c r="BN282">
        <v>0.78536585365853595</v>
      </c>
      <c r="BO282">
        <v>0.77317073170731698</v>
      </c>
      <c r="BP282">
        <v>0.76097560975609702</v>
      </c>
      <c r="BQ282">
        <v>0.74878048780487805</v>
      </c>
      <c r="BR282">
        <v>0.73658536585365797</v>
      </c>
      <c r="BS282">
        <v>0.724390243902439</v>
      </c>
      <c r="BT282">
        <v>0.71219512195122003</v>
      </c>
      <c r="BU282">
        <v>0.69999999999999896</v>
      </c>
      <c r="BV282">
        <v>0.687499999999999</v>
      </c>
      <c r="BW282">
        <v>0.675</v>
      </c>
      <c r="BX282">
        <v>0.6625</v>
      </c>
      <c r="BY282">
        <v>0.64999999999999902</v>
      </c>
      <c r="BZ282">
        <v>0.63749999999999896</v>
      </c>
      <c r="CA282">
        <v>0.625</v>
      </c>
      <c r="CB282">
        <v>0.6125</v>
      </c>
      <c r="CC282">
        <v>0.60</v>
      </c>
      <c r="CD282" t="e">
        <v>#VALUE!</v>
      </c>
      <c r="CE282" t="e">
        <v>#VALUE!</v>
      </c>
      <c r="CF282" t="e">
        <v>#VALUE!</v>
      </c>
      <c r="CG282" t="e">
        <v>#VALUE!</v>
      </c>
      <c r="CH282" t="e">
        <v>#VALUE!</v>
      </c>
      <c r="CI282" t="e">
        <v>#VALUE!</v>
      </c>
      <c r="CJ282" t="e">
        <v>#VALUE!</v>
      </c>
      <c r="CK282" t="e">
        <v>#VALUE!</v>
      </c>
    </row>
    <row r="283" spans="1:89" ht="12.5">
      <c r="A283" t="s">
        <v>27</v>
      </c>
      <c r="B283" t="s">
        <v>348</v>
      </c>
      <c r="C283" t="s">
        <v>348</v>
      </c>
      <c r="E283" s="2">
        <v>0.0798619145042989</v>
      </c>
      <c r="F283" s="2">
        <f>E283</f>
        <v>0.0798619145042989</v>
      </c>
      <c r="I283" s="2">
        <f>F283</f>
        <v>0.0798619145042989</v>
      </c>
      <c r="J283" s="2">
        <f>I283</f>
        <v>0.0798619145042989</v>
      </c>
      <c r="L283" s="2">
        <f>J283</f>
        <v>0.0798619145042989</v>
      </c>
      <c r="V283" s="2">
        <f>L283</f>
        <v>0.0798619145042989</v>
      </c>
      <c r="W283">
        <v>5</v>
      </c>
      <c r="AG283" s="130" t="s">
        <v>342</v>
      </c>
      <c r="AI283">
        <v>1</v>
      </c>
      <c r="AJ283">
        <v>1.0306176871124</v>
      </c>
      <c r="AK283">
        <v>1.2321465865568</v>
      </c>
      <c r="AL283">
        <v>1.44752671431604</v>
      </c>
      <c r="AM283">
        <v>1.61456130872964</v>
      </c>
      <c r="AN283">
        <v>1.75255578895043</v>
      </c>
      <c r="AO283">
        <v>1.84476786031748</v>
      </c>
      <c r="AP283">
        <v>1.91652671604205</v>
      </c>
      <c r="AQ283">
        <v>1.97324339671817</v>
      </c>
      <c r="AR283">
        <v>2.0232113792371398</v>
      </c>
      <c r="AS283">
        <v>2.0672505182344301</v>
      </c>
      <c r="AT283">
        <v>2.0990608780901998</v>
      </c>
      <c r="AU283">
        <v>2.1167783682648902</v>
      </c>
      <c r="AV283">
        <v>2.1236996673979198</v>
      </c>
      <c r="AW283">
        <v>2.1270308662325199</v>
      </c>
      <c r="AX283">
        <v>2.1333135417547702</v>
      </c>
      <c r="AY283">
        <v>2.1447656165048001</v>
      </c>
      <c r="AZ283">
        <v>2.1583838335021901</v>
      </c>
      <c r="BA283">
        <v>0</v>
      </c>
      <c r="BB283">
        <v>0</v>
      </c>
      <c r="BC283">
        <v>0</v>
      </c>
      <c r="BD283">
        <v>0</v>
      </c>
      <c r="BE283">
        <v>0</v>
      </c>
      <c r="BF283">
        <v>0</v>
      </c>
      <c r="BG283">
        <v>0</v>
      </c>
      <c r="BH283">
        <v>0</v>
      </c>
      <c r="BJ283" t="s">
        <v>357</v>
      </c>
      <c r="BL283">
        <v>0.80</v>
      </c>
      <c r="BM283">
        <v>0.79756097560975603</v>
      </c>
      <c r="BN283">
        <v>0.78536585365853595</v>
      </c>
      <c r="BO283">
        <v>0.77317073170731698</v>
      </c>
      <c r="BP283">
        <v>0.76097560975609702</v>
      </c>
      <c r="BQ283">
        <v>0.74878048780487805</v>
      </c>
      <c r="BR283">
        <v>0.73658536585365797</v>
      </c>
      <c r="BS283">
        <v>0.724390243902439</v>
      </c>
      <c r="BT283">
        <v>0.71219512195122003</v>
      </c>
      <c r="BU283">
        <v>0.69999999999999896</v>
      </c>
      <c r="BV283">
        <v>0.687499999999999</v>
      </c>
      <c r="BW283">
        <v>0.675</v>
      </c>
      <c r="BX283">
        <v>0.6625</v>
      </c>
      <c r="BY283">
        <v>0.64999999999999902</v>
      </c>
      <c r="BZ283">
        <v>0.63749999999999896</v>
      </c>
      <c r="CA283">
        <v>0.625</v>
      </c>
      <c r="CB283">
        <v>0.6125</v>
      </c>
      <c r="CC283">
        <v>0.60</v>
      </c>
      <c r="CD283" t="e">
        <v>#VALUE!</v>
      </c>
      <c r="CE283" t="e">
        <v>#VALUE!</v>
      </c>
      <c r="CF283" t="e">
        <v>#VALUE!</v>
      </c>
      <c r="CG283" t="e">
        <v>#VALUE!</v>
      </c>
      <c r="CH283" t="e">
        <v>#VALUE!</v>
      </c>
      <c r="CI283" t="e">
        <v>#VALUE!</v>
      </c>
      <c r="CJ283" t="e">
        <v>#VALUE!</v>
      </c>
      <c r="CK283" t="e">
        <v>#VALUE!</v>
      </c>
    </row>
    <row r="284" spans="1:89" ht="12.5">
      <c r="A284" t="s">
        <v>27</v>
      </c>
      <c r="B284" t="s">
        <v>349</v>
      </c>
      <c r="C284" t="s">
        <v>349</v>
      </c>
      <c r="E284" s="2">
        <v>11.6805555781569</v>
      </c>
      <c r="F284" s="2">
        <f>E284</f>
        <v>11.6805555781569</v>
      </c>
      <c r="I284" s="2">
        <f>F284</f>
        <v>11.6805555781569</v>
      </c>
      <c r="J284" s="2">
        <f>I284</f>
        <v>11.6805555781569</v>
      </c>
      <c r="L284" s="2">
        <f>J284</f>
        <v>11.6805555781569</v>
      </c>
      <c r="V284" s="2">
        <f>L284</f>
        <v>11.6805555781569</v>
      </c>
      <c r="W284">
        <v>5</v>
      </c>
      <c r="AG284" s="130" t="s">
        <v>342</v>
      </c>
      <c r="AI284">
        <v>1</v>
      </c>
      <c r="AJ284">
        <v>1.0306176871124</v>
      </c>
      <c r="AK284">
        <v>1.2321465865568</v>
      </c>
      <c r="AL284">
        <v>1.44752671431604</v>
      </c>
      <c r="AM284">
        <v>1.61456130872964</v>
      </c>
      <c r="AN284">
        <v>1.75255578895043</v>
      </c>
      <c r="AO284">
        <v>1.84476786031748</v>
      </c>
      <c r="AP284">
        <v>1.91652671604205</v>
      </c>
      <c r="AQ284">
        <v>1.97324339671817</v>
      </c>
      <c r="AR284">
        <v>2.0232113792371398</v>
      </c>
      <c r="AS284">
        <v>2.0672505182344301</v>
      </c>
      <c r="AT284">
        <v>2.0990608780901998</v>
      </c>
      <c r="AU284">
        <v>2.1167783682648902</v>
      </c>
      <c r="AV284">
        <v>2.1236996673979198</v>
      </c>
      <c r="AW284">
        <v>2.1270308662325199</v>
      </c>
      <c r="AX284">
        <v>2.1333135417547702</v>
      </c>
      <c r="AY284">
        <v>2.1447656165048001</v>
      </c>
      <c r="AZ284">
        <v>2.1583838335021901</v>
      </c>
      <c r="BA284">
        <v>0</v>
      </c>
      <c r="BB284">
        <v>0</v>
      </c>
      <c r="BC284">
        <v>0</v>
      </c>
      <c r="BD284">
        <v>0</v>
      </c>
      <c r="BE284">
        <v>0</v>
      </c>
      <c r="BF284">
        <v>0</v>
      </c>
      <c r="BG284">
        <v>0</v>
      </c>
      <c r="BH284">
        <v>0</v>
      </c>
      <c r="BJ284" t="s">
        <v>357</v>
      </c>
      <c r="BL284">
        <v>0.80</v>
      </c>
      <c r="BM284">
        <v>0.79756097560975603</v>
      </c>
      <c r="BN284">
        <v>0.78536585365853595</v>
      </c>
      <c r="BO284">
        <v>0.77317073170731698</v>
      </c>
      <c r="BP284">
        <v>0.76097560975609702</v>
      </c>
      <c r="BQ284">
        <v>0.74878048780487805</v>
      </c>
      <c r="BR284">
        <v>0.73658536585365797</v>
      </c>
      <c r="BS284">
        <v>0.724390243902439</v>
      </c>
      <c r="BT284">
        <v>0.71219512195122003</v>
      </c>
      <c r="BU284">
        <v>0.69999999999999896</v>
      </c>
      <c r="BV284">
        <v>0.687499999999999</v>
      </c>
      <c r="BW284">
        <v>0.675</v>
      </c>
      <c r="BX284">
        <v>0.6625</v>
      </c>
      <c r="BY284">
        <v>0.64999999999999902</v>
      </c>
      <c r="BZ284">
        <v>0.63749999999999896</v>
      </c>
      <c r="CA284">
        <v>0.625</v>
      </c>
      <c r="CB284">
        <v>0.6125</v>
      </c>
      <c r="CC284">
        <v>0.60</v>
      </c>
      <c r="CD284" t="e">
        <v>#VALUE!</v>
      </c>
      <c r="CE284" t="e">
        <v>#VALUE!</v>
      </c>
      <c r="CF284" t="e">
        <v>#VALUE!</v>
      </c>
      <c r="CG284" t="e">
        <v>#VALUE!</v>
      </c>
      <c r="CH284" t="e">
        <v>#VALUE!</v>
      </c>
      <c r="CI284" t="e">
        <v>#VALUE!</v>
      </c>
      <c r="CJ284" t="e">
        <v>#VALUE!</v>
      </c>
      <c r="CK284" t="e">
        <v>#VALUE!</v>
      </c>
    </row>
    <row r="285" spans="1:89" ht="12.5">
      <c r="A285" t="s">
        <v>27</v>
      </c>
      <c r="B285" t="s">
        <v>350</v>
      </c>
      <c r="C285" t="s">
        <v>350</v>
      </c>
      <c r="D285">
        <v>2.597</v>
      </c>
      <c r="E285">
        <v>2.6027373777280198</v>
      </c>
      <c r="F285"/>
      <c r="G285">
        <v>2.6309698323834199</v>
      </c>
      <c r="H285">
        <v>2.5891497974434099</v>
      </c>
      <c r="I285">
        <v>2.5463617825238201</v>
      </c>
      <c r="J285">
        <v>2.5051643327911601</v>
      </c>
      <c r="K285">
        <v>2.4661960595686101</v>
      </c>
      <c r="L285">
        <v>2.4313107158569598</v>
      </c>
      <c r="M285">
        <v>2.3958526665259301</v>
      </c>
      <c r="N285">
        <v>2.35930275035849</v>
      </c>
      <c r="O285">
        <v>2.3208888250252699</v>
      </c>
      <c r="P285">
        <v>2.2800796140326498</v>
      </c>
      <c r="Q285">
        <v>2.2381748243222899</v>
      </c>
      <c r="R285">
        <v>2.19779088386582</v>
      </c>
      <c r="S285">
        <v>2.1612682028308199</v>
      </c>
      <c r="T285">
        <v>2.1300577706557702</v>
      </c>
      <c r="U285">
        <v>2.10397643170755</v>
      </c>
      <c r="V285">
        <v>2.0814524134490799</v>
      </c>
      <c r="W285">
        <v>5</v>
      </c>
      <c r="AG285" s="130" t="s">
        <v>347</v>
      </c>
      <c r="AI285">
        <v>1</v>
      </c>
      <c r="AJ285">
        <v>1.0027699861502</v>
      </c>
      <c r="AK285">
        <v>1.0166199169012</v>
      </c>
      <c r="AL285">
        <v>0.99571965485371605</v>
      </c>
      <c r="AM285">
        <v>0.97409589032242305</v>
      </c>
      <c r="AN285">
        <v>0.95304854060047195</v>
      </c>
      <c r="AO285">
        <v>0.93292210461926195</v>
      </c>
      <c r="AP285">
        <v>0.91470462897733495</v>
      </c>
      <c r="AQ285">
        <v>0.89597383194560798</v>
      </c>
      <c r="AR285">
        <v>0.87644736982011096</v>
      </c>
      <c r="AS285">
        <v>0.85569067722667902</v>
      </c>
      <c r="AT285">
        <v>0.83340032719971102</v>
      </c>
      <c r="AU285">
        <v>0.81028066746739602</v>
      </c>
      <c r="AV285">
        <v>0.78778821522293896</v>
      </c>
      <c r="AW285">
        <v>0.76725270141994295</v>
      </c>
      <c r="AX285">
        <v>0.74952511842590597</v>
      </c>
      <c r="AY285">
        <v>0.73454143462917099</v>
      </c>
      <c r="AZ285">
        <v>0.72143543810131605</v>
      </c>
      <c r="BA285">
        <v>0</v>
      </c>
      <c r="BB285">
        <v>0</v>
      </c>
      <c r="BC285">
        <v>0</v>
      </c>
      <c r="BD285">
        <v>0</v>
      </c>
      <c r="BE285">
        <v>0</v>
      </c>
      <c r="BF285">
        <v>0</v>
      </c>
      <c r="BG285">
        <v>0</v>
      </c>
      <c r="BH285">
        <v>0</v>
      </c>
      <c r="BJ285" t="s">
        <v>357</v>
      </c>
      <c r="BL285">
        <v>0.80</v>
      </c>
      <c r="BM285">
        <v>0.79756097560975603</v>
      </c>
      <c r="BN285">
        <v>0.78536585365853595</v>
      </c>
      <c r="BO285">
        <v>0.77317073170731698</v>
      </c>
      <c r="BP285">
        <v>0.76097560975609702</v>
      </c>
      <c r="BQ285">
        <v>0.74878048780487805</v>
      </c>
      <c r="BR285">
        <v>0.73658536585365797</v>
      </c>
      <c r="BS285">
        <v>0.724390243902439</v>
      </c>
      <c r="BT285">
        <v>0.71219512195122003</v>
      </c>
      <c r="BU285">
        <v>0.69999999999999896</v>
      </c>
      <c r="BV285">
        <v>0.687499999999999</v>
      </c>
      <c r="BW285">
        <v>0.675</v>
      </c>
      <c r="BX285">
        <v>0.6625</v>
      </c>
      <c r="BY285">
        <v>0.64999999999999902</v>
      </c>
      <c r="BZ285">
        <v>0.63749999999999896</v>
      </c>
      <c r="CA285">
        <v>0.625</v>
      </c>
      <c r="CB285">
        <v>0.6125</v>
      </c>
      <c r="CC285">
        <v>0.60</v>
      </c>
      <c r="CD285" t="e">
        <v>#VALUE!</v>
      </c>
      <c r="CE285" t="e">
        <v>#VALUE!</v>
      </c>
      <c r="CF285" t="e">
        <v>#VALUE!</v>
      </c>
      <c r="CG285" t="e">
        <v>#VALUE!</v>
      </c>
      <c r="CH285" t="e">
        <v>#VALUE!</v>
      </c>
      <c r="CI285" t="e">
        <v>#VALUE!</v>
      </c>
      <c r="CJ285" t="e">
        <v>#VALUE!</v>
      </c>
      <c r="CK285" t="e">
        <v>#VALUE!</v>
      </c>
    </row>
    <row r="286" spans="1:89" ht="12.5">
      <c r="A286" t="s">
        <v>27</v>
      </c>
      <c r="B286" t="s">
        <v>351</v>
      </c>
      <c r="C286" t="s">
        <v>351</v>
      </c>
      <c r="D286">
        <v>0.51</v>
      </c>
      <c r="E286">
        <v>0.51112670875675303</v>
      </c>
      <c r="F286"/>
      <c r="G286">
        <v>0.51667101059512699</v>
      </c>
      <c r="H286">
        <v>0.50845837377595005</v>
      </c>
      <c r="I286">
        <v>0.50005564462346896</v>
      </c>
      <c r="J286">
        <v>0.49196527136060397</v>
      </c>
      <c r="K286">
        <v>0.48431266475933399</v>
      </c>
      <c r="L286">
        <v>0.47746186564769</v>
      </c>
      <c r="M286">
        <v>0.47049859835511199</v>
      </c>
      <c r="N286">
        <v>0.463320909773905</v>
      </c>
      <c r="O286">
        <v>0.455777166254481</v>
      </c>
      <c r="P286">
        <v>0.44776303548581198</v>
      </c>
      <c r="Q286">
        <v>0.43953375448762699</v>
      </c>
      <c r="R286">
        <v>0.431603138533527</v>
      </c>
      <c r="S286">
        <v>0.42443079839958298</v>
      </c>
      <c r="T286">
        <v>0.41830168002866502</v>
      </c>
      <c r="U286">
        <v>0.41317981523713898</v>
      </c>
      <c r="V286">
        <v>0.40875653864421702</v>
      </c>
      <c r="W286">
        <v>5</v>
      </c>
      <c r="AG286" s="130" t="s">
        <v>347</v>
      </c>
      <c r="AI286">
        <v>1</v>
      </c>
      <c r="AJ286">
        <v>1.0027699861502</v>
      </c>
      <c r="AK286">
        <v>1.0166199169012</v>
      </c>
      <c r="AL286">
        <v>0.99571965485371605</v>
      </c>
      <c r="AM286">
        <v>0.97409589032242305</v>
      </c>
      <c r="AN286">
        <v>0.95304854060047195</v>
      </c>
      <c r="AO286">
        <v>0.93292210461926195</v>
      </c>
      <c r="AP286">
        <v>0.91470462897733495</v>
      </c>
      <c r="AQ286">
        <v>0.89597383194560798</v>
      </c>
      <c r="AR286">
        <v>0.87644736982011096</v>
      </c>
      <c r="AS286">
        <v>0.85569067722667902</v>
      </c>
      <c r="AT286">
        <v>0.83340032719971102</v>
      </c>
      <c r="AU286">
        <v>0.81028066746739602</v>
      </c>
      <c r="AV286">
        <v>0.78778821522293896</v>
      </c>
      <c r="AW286">
        <v>0.76725270141994295</v>
      </c>
      <c r="AX286">
        <v>0.74952511842590597</v>
      </c>
      <c r="AY286">
        <v>0.73454143462917099</v>
      </c>
      <c r="AZ286">
        <v>0.72143543810131605</v>
      </c>
      <c r="BA286">
        <v>0</v>
      </c>
      <c r="BB286">
        <v>0</v>
      </c>
      <c r="BC286">
        <v>0</v>
      </c>
      <c r="BD286">
        <v>0</v>
      </c>
      <c r="BE286">
        <v>0</v>
      </c>
      <c r="BF286">
        <v>0</v>
      </c>
      <c r="BG286">
        <v>0</v>
      </c>
      <c r="BH286">
        <v>0</v>
      </c>
      <c r="BJ286" t="s">
        <v>357</v>
      </c>
      <c r="BL286">
        <v>0.80</v>
      </c>
      <c r="BM286">
        <v>0.79756097560975603</v>
      </c>
      <c r="BN286">
        <v>0.78536585365853595</v>
      </c>
      <c r="BO286">
        <v>0.77317073170731698</v>
      </c>
      <c r="BP286">
        <v>0.76097560975609702</v>
      </c>
      <c r="BQ286">
        <v>0.74878048780487805</v>
      </c>
      <c r="BR286">
        <v>0.73658536585365797</v>
      </c>
      <c r="BS286">
        <v>0.724390243902439</v>
      </c>
      <c r="BT286">
        <v>0.71219512195122003</v>
      </c>
      <c r="BU286">
        <v>0.69999999999999896</v>
      </c>
      <c r="BV286">
        <v>0.687499999999999</v>
      </c>
      <c r="BW286">
        <v>0.675</v>
      </c>
      <c r="BX286">
        <v>0.6625</v>
      </c>
      <c r="BY286">
        <v>0.64999999999999902</v>
      </c>
      <c r="BZ286">
        <v>0.63749999999999896</v>
      </c>
      <c r="CA286">
        <v>0.625</v>
      </c>
      <c r="CB286">
        <v>0.6125</v>
      </c>
      <c r="CC286">
        <v>0.60</v>
      </c>
      <c r="CD286" t="e">
        <v>#VALUE!</v>
      </c>
      <c r="CE286" t="e">
        <v>#VALUE!</v>
      </c>
      <c r="CF286" t="e">
        <v>#VALUE!</v>
      </c>
      <c r="CG286" t="e">
        <v>#VALUE!</v>
      </c>
      <c r="CH286" t="e">
        <v>#VALUE!</v>
      </c>
      <c r="CI286" t="e">
        <v>#VALUE!</v>
      </c>
      <c r="CJ286" t="e">
        <v>#VALUE!</v>
      </c>
      <c r="CK286" t="e">
        <v>#VALUE!</v>
      </c>
    </row>
    <row r="287" spans="1:89" ht="12.5">
      <c r="A287" t="s">
        <v>27</v>
      </c>
      <c r="B287" t="s">
        <v>352</v>
      </c>
      <c r="C287" t="s">
        <v>352</v>
      </c>
      <c r="D287">
        <v>3.85</v>
      </c>
      <c r="E287">
        <v>3.8585055464970601</v>
      </c>
      <c r="F287"/>
      <c r="G287">
        <v>3.9003595897867398</v>
      </c>
      <c r="H287">
        <v>3.8383622334066798</v>
      </c>
      <c r="I287">
        <v>3.7749298662752002</v>
      </c>
      <c r="J287">
        <v>3.7138554798790699</v>
      </c>
      <c r="K287">
        <v>3.6560858025949701</v>
      </c>
      <c r="L287">
        <v>3.6043689857717802</v>
      </c>
      <c r="M287">
        <v>3.5518031444454499</v>
      </c>
      <c r="N287">
        <v>3.4976186326069301</v>
      </c>
      <c r="O287">
        <v>3.4406707648622601</v>
      </c>
      <c r="P287">
        <v>3.3801719345497601</v>
      </c>
      <c r="Q287">
        <v>3.3180489309360102</v>
      </c>
      <c r="R287">
        <v>3.2581805555962302</v>
      </c>
      <c r="S287">
        <v>3.2040364192909698</v>
      </c>
      <c r="T287">
        <v>3.1577675845301201</v>
      </c>
      <c r="U287">
        <v>3.11910252679017</v>
      </c>
      <c r="V287">
        <v>3.0857111250592801</v>
      </c>
      <c r="W287">
        <v>5</v>
      </c>
      <c r="AG287" s="130" t="s">
        <v>347</v>
      </c>
      <c r="AI287">
        <v>1</v>
      </c>
      <c r="AJ287">
        <v>1.0027699861502</v>
      </c>
      <c r="AK287">
        <v>1.0166199169012</v>
      </c>
      <c r="AL287">
        <v>0.99571965485371605</v>
      </c>
      <c r="AM287">
        <v>0.97409589032242305</v>
      </c>
      <c r="AN287">
        <v>0.95304854060047195</v>
      </c>
      <c r="AO287">
        <v>0.93292210461926195</v>
      </c>
      <c r="AP287">
        <v>0.91470462897733495</v>
      </c>
      <c r="AQ287">
        <v>0.89597383194560798</v>
      </c>
      <c r="AR287">
        <v>0.87644736982011096</v>
      </c>
      <c r="AS287">
        <v>0.85569067722667902</v>
      </c>
      <c r="AT287">
        <v>0.83340032719971102</v>
      </c>
      <c r="AU287">
        <v>0.81028066746739602</v>
      </c>
      <c r="AV287">
        <v>0.78778821522293896</v>
      </c>
      <c r="AW287">
        <v>0.76725270141994295</v>
      </c>
      <c r="AX287">
        <v>0.74952511842590597</v>
      </c>
      <c r="AY287">
        <v>0.73454143462917099</v>
      </c>
      <c r="AZ287">
        <v>0.72143543810131605</v>
      </c>
      <c r="BA287">
        <v>0</v>
      </c>
      <c r="BB287">
        <v>0</v>
      </c>
      <c r="BC287">
        <v>0</v>
      </c>
      <c r="BD287">
        <v>0</v>
      </c>
      <c r="BE287">
        <v>0</v>
      </c>
      <c r="BF287">
        <v>0</v>
      </c>
      <c r="BG287">
        <v>0</v>
      </c>
      <c r="BH287">
        <v>0</v>
      </c>
      <c r="BJ287" t="s">
        <v>357</v>
      </c>
      <c r="BL287">
        <v>0.80</v>
      </c>
      <c r="BM287">
        <v>0.79756097560975603</v>
      </c>
      <c r="BN287">
        <v>0.78536585365853595</v>
      </c>
      <c r="BO287">
        <v>0.77317073170731698</v>
      </c>
      <c r="BP287">
        <v>0.76097560975609702</v>
      </c>
      <c r="BQ287">
        <v>0.74878048780487805</v>
      </c>
      <c r="BR287">
        <v>0.73658536585365797</v>
      </c>
      <c r="BS287">
        <v>0.724390243902439</v>
      </c>
      <c r="BT287">
        <v>0.71219512195122003</v>
      </c>
      <c r="BU287">
        <v>0.69999999999999896</v>
      </c>
      <c r="BV287">
        <v>0.687499999999999</v>
      </c>
      <c r="BW287">
        <v>0.675</v>
      </c>
      <c r="BX287">
        <v>0.6625</v>
      </c>
      <c r="BY287">
        <v>0.64999999999999902</v>
      </c>
      <c r="BZ287">
        <v>0.63749999999999896</v>
      </c>
      <c r="CA287">
        <v>0.625</v>
      </c>
      <c r="CB287">
        <v>0.6125</v>
      </c>
      <c r="CC287">
        <v>0.60</v>
      </c>
      <c r="CD287" t="e">
        <v>#VALUE!</v>
      </c>
      <c r="CE287" t="e">
        <v>#VALUE!</v>
      </c>
      <c r="CF287" t="e">
        <v>#VALUE!</v>
      </c>
      <c r="CG287" t="e">
        <v>#VALUE!</v>
      </c>
      <c r="CH287" t="e">
        <v>#VALUE!</v>
      </c>
      <c r="CI287" t="e">
        <v>#VALUE!</v>
      </c>
      <c r="CJ287" t="e">
        <v>#VALUE!</v>
      </c>
      <c r="CK287" t="e">
        <v>#VALUE!</v>
      </c>
    </row>
    <row r="288" spans="1:89" ht="12.5">
      <c r="A288" t="s">
        <v>27</v>
      </c>
      <c r="B288" t="s">
        <v>353</v>
      </c>
      <c r="C288" t="s">
        <v>353</v>
      </c>
      <c r="D288">
        <v>170.28</v>
      </c>
      <c r="E288">
        <v>174.051512552681</v>
      </c>
      <c r="F288"/>
      <c r="G288">
        <v>198.55453195146501</v>
      </c>
      <c r="H288">
        <v>229.17493236897801</v>
      </c>
      <c r="I288">
        <v>253.61721582613501</v>
      </c>
      <c r="J288">
        <v>274.40035623365901</v>
      </c>
      <c r="K288">
        <v>289.62487468192001</v>
      </c>
      <c r="L288">
        <v>302.12684456574902</v>
      </c>
      <c r="M288">
        <v>313.125997788353</v>
      </c>
      <c r="N288">
        <v>323.683425203372</v>
      </c>
      <c r="O288">
        <v>334.04279440622599</v>
      </c>
      <c r="P288">
        <v>343.63592834519397</v>
      </c>
      <c r="Q288">
        <v>352.10811744863702</v>
      </c>
      <c r="R288">
        <v>359.41239390953098</v>
      </c>
      <c r="S288">
        <v>365.91395541878097</v>
      </c>
      <c r="T288">
        <v>372.01450586967297</v>
      </c>
      <c r="U288">
        <v>377.91067473812302</v>
      </c>
      <c r="V288">
        <v>383.49575990877997</v>
      </c>
      <c r="W288">
        <v>5</v>
      </c>
      <c r="AG288" s="130" t="s">
        <v>354</v>
      </c>
      <c r="AI288">
        <v>1</v>
      </c>
      <c r="AJ288">
        <v>1.0277707762964801</v>
      </c>
      <c r="AK288">
        <v>1.2120031941854501</v>
      </c>
      <c r="AL288">
        <v>1.45374926291748</v>
      </c>
      <c r="AM288">
        <v>1.6574973005945199</v>
      </c>
      <c r="AN288">
        <v>1.8388945728265</v>
      </c>
      <c r="AO288">
        <v>1.97740824360717</v>
      </c>
      <c r="AP288">
        <v>2.09524108146777</v>
      </c>
      <c r="AQ288">
        <v>2.20234489709734</v>
      </c>
      <c r="AR288">
        <v>2.3084231283076302</v>
      </c>
      <c r="AS288">
        <v>2.4158852880511099</v>
      </c>
      <c r="AT288">
        <v>2.5186705711326098</v>
      </c>
      <c r="AU288">
        <v>2.6124014224368302</v>
      </c>
      <c r="AV288">
        <v>2.69577486227936</v>
      </c>
      <c r="AW288">
        <v>2.7722689829518399</v>
      </c>
      <c r="AX288">
        <v>2.8462202123859202</v>
      </c>
      <c r="AY288">
        <v>2.9198701603369299</v>
      </c>
      <c r="AZ288">
        <v>2.9917906988082801</v>
      </c>
      <c r="BA288">
        <v>0</v>
      </c>
      <c r="BB288">
        <v>0</v>
      </c>
      <c r="BC288">
        <v>0</v>
      </c>
      <c r="BD288">
        <v>0</v>
      </c>
      <c r="BE288">
        <v>0</v>
      </c>
      <c r="BF288">
        <v>0</v>
      </c>
      <c r="BG288">
        <v>0</v>
      </c>
      <c r="BH288">
        <v>0</v>
      </c>
      <c r="BJ288" t="s">
        <v>357</v>
      </c>
      <c r="BL288">
        <v>0.80</v>
      </c>
      <c r="BM288">
        <v>0.79756097560975603</v>
      </c>
      <c r="BN288">
        <v>0.78536585365853595</v>
      </c>
      <c r="BO288">
        <v>0.77317073170731698</v>
      </c>
      <c r="BP288">
        <v>0.76097560975609702</v>
      </c>
      <c r="BQ288">
        <v>0.74878048780487805</v>
      </c>
      <c r="BR288">
        <v>0.73658536585365797</v>
      </c>
      <c r="BS288">
        <v>0.724390243902439</v>
      </c>
      <c r="BT288">
        <v>0.71219512195122003</v>
      </c>
      <c r="BU288">
        <v>0.69999999999999896</v>
      </c>
      <c r="BV288">
        <v>0.687499999999999</v>
      </c>
      <c r="BW288">
        <v>0.675</v>
      </c>
      <c r="BX288">
        <v>0.6625</v>
      </c>
      <c r="BY288">
        <v>0.64999999999999902</v>
      </c>
      <c r="BZ288">
        <v>0.63749999999999896</v>
      </c>
      <c r="CA288">
        <v>0.625</v>
      </c>
      <c r="CB288">
        <v>0.6125</v>
      </c>
      <c r="CC288">
        <v>0.60</v>
      </c>
      <c r="CD288" t="e">
        <v>#VALUE!</v>
      </c>
      <c r="CE288" t="e">
        <v>#VALUE!</v>
      </c>
      <c r="CF288" t="e">
        <v>#VALUE!</v>
      </c>
      <c r="CG288" t="e">
        <v>#VALUE!</v>
      </c>
      <c r="CH288" t="e">
        <v>#VALUE!</v>
      </c>
      <c r="CI288" t="e">
        <v>#VALUE!</v>
      </c>
      <c r="CJ288" t="e">
        <v>#VALUE!</v>
      </c>
      <c r="CK288" t="e">
        <v>#VALUE!</v>
      </c>
    </row>
    <row r="289" spans="1:89" ht="12.5">
      <c r="A289" t="s">
        <v>27</v>
      </c>
      <c r="B289" t="s">
        <v>355</v>
      </c>
      <c r="C289" t="s">
        <v>355</v>
      </c>
      <c r="D289">
        <v>53.60</v>
      </c>
      <c r="E289">
        <v>54.908883720869397</v>
      </c>
      <c r="F289"/>
      <c r="G289">
        <v>63.341345308271997</v>
      </c>
      <c r="H289">
        <v>71.901979523802595</v>
      </c>
      <c r="I289">
        <v>78.215788290324497</v>
      </c>
      <c r="J289">
        <v>83.221388031620194</v>
      </c>
      <c r="K289">
        <v>86.446716628982898</v>
      </c>
      <c r="L289">
        <v>88.882590946387197</v>
      </c>
      <c r="M289">
        <v>90.755909476412697</v>
      </c>
      <c r="N289">
        <v>92.364642993031595</v>
      </c>
      <c r="O289">
        <v>93.746859321316606</v>
      </c>
      <c r="P289">
        <v>94.720583541113498</v>
      </c>
      <c r="Q289">
        <v>95.250256026822598</v>
      </c>
      <c r="R289">
        <v>95.452693887499507</v>
      </c>
      <c r="S289">
        <v>95.548143866158497</v>
      </c>
      <c r="T289">
        <v>95.724533521039206</v>
      </c>
      <c r="U289">
        <v>96.039278518082895</v>
      </c>
      <c r="V289">
        <v>96.405160102084693</v>
      </c>
      <c r="W289">
        <v>5</v>
      </c>
      <c r="AG289" s="130" t="s">
        <v>342</v>
      </c>
      <c r="AI289">
        <v>1</v>
      </c>
      <c r="AJ289">
        <v>1.0306176871124</v>
      </c>
      <c r="AK289">
        <v>1.2321465865568</v>
      </c>
      <c r="AL289">
        <v>1.44752671431604</v>
      </c>
      <c r="AM289">
        <v>1.61456130872964</v>
      </c>
      <c r="AN289">
        <v>1.75255578895043</v>
      </c>
      <c r="AO289">
        <v>1.84476786031748</v>
      </c>
      <c r="AP289">
        <v>1.91652671604205</v>
      </c>
      <c r="AQ289">
        <v>1.97324339671817</v>
      </c>
      <c r="AR289">
        <v>2.0232113792371398</v>
      </c>
      <c r="AS289">
        <v>2.0672505182344301</v>
      </c>
      <c r="AT289">
        <v>2.0990608780901998</v>
      </c>
      <c r="AU289">
        <v>2.1167783682648902</v>
      </c>
      <c r="AV289">
        <v>2.1236996673979198</v>
      </c>
      <c r="AW289">
        <v>2.1270308662325199</v>
      </c>
      <c r="AX289">
        <v>2.1333135417547702</v>
      </c>
      <c r="AY289">
        <v>2.1447656165048001</v>
      </c>
      <c r="AZ289">
        <v>2.1583838335021901</v>
      </c>
      <c r="BA289">
        <v>0</v>
      </c>
      <c r="BB289">
        <v>0</v>
      </c>
      <c r="BC289">
        <v>0</v>
      </c>
      <c r="BD289">
        <v>0</v>
      </c>
      <c r="BE289">
        <v>0</v>
      </c>
      <c r="BF289">
        <v>0</v>
      </c>
      <c r="BG289">
        <v>0</v>
      </c>
      <c r="BH289">
        <v>0</v>
      </c>
      <c r="BJ289" t="s">
        <v>357</v>
      </c>
      <c r="BL289">
        <v>0.80</v>
      </c>
      <c r="BM289">
        <v>0.79756097560975603</v>
      </c>
      <c r="BN289">
        <v>0.78536585365853595</v>
      </c>
      <c r="BO289">
        <v>0.77317073170731698</v>
      </c>
      <c r="BP289">
        <v>0.76097560975609702</v>
      </c>
      <c r="BQ289">
        <v>0.74878048780487805</v>
      </c>
      <c r="BR289">
        <v>0.73658536585365797</v>
      </c>
      <c r="BS289">
        <v>0.724390243902439</v>
      </c>
      <c r="BT289">
        <v>0.71219512195122003</v>
      </c>
      <c r="BU289">
        <v>0.69999999999999896</v>
      </c>
      <c r="BV289">
        <v>0.687499999999999</v>
      </c>
      <c r="BW289">
        <v>0.675</v>
      </c>
      <c r="BX289">
        <v>0.6625</v>
      </c>
      <c r="BY289">
        <v>0.64999999999999902</v>
      </c>
      <c r="BZ289">
        <v>0.63749999999999896</v>
      </c>
      <c r="CA289">
        <v>0.625</v>
      </c>
      <c r="CB289">
        <v>0.6125</v>
      </c>
      <c r="CC289">
        <v>0.60</v>
      </c>
      <c r="CD289" t="e">
        <v>#VALUE!</v>
      </c>
      <c r="CE289" t="e">
        <v>#VALUE!</v>
      </c>
      <c r="CF289" t="e">
        <v>#VALUE!</v>
      </c>
      <c r="CG289" t="e">
        <v>#VALUE!</v>
      </c>
      <c r="CH289" t="e">
        <v>#VALUE!</v>
      </c>
      <c r="CI289" t="e">
        <v>#VALUE!</v>
      </c>
      <c r="CJ289" t="e">
        <v>#VALUE!</v>
      </c>
      <c r="CK289" t="e">
        <v>#VALUE!</v>
      </c>
    </row>
    <row r="290" spans="1:89" ht="12.5">
      <c r="A290" t="s">
        <v>27</v>
      </c>
      <c r="B290" t="s">
        <v>356</v>
      </c>
      <c r="C290" t="s">
        <v>356</v>
      </c>
      <c r="D290">
        <v>49.12</v>
      </c>
      <c r="E290">
        <v>50.319484484498197</v>
      </c>
      <c r="F290"/>
      <c r="G290">
        <v>58.047143312356702</v>
      </c>
      <c r="H290">
        <v>65.8922618322609</v>
      </c>
      <c r="I290">
        <v>71.678349269043693</v>
      </c>
      <c r="J290">
        <v>76.265570524499694</v>
      </c>
      <c r="K290">
        <v>79.221319418202199</v>
      </c>
      <c r="L290">
        <v>81.4535982702712</v>
      </c>
      <c r="M290">
        <v>83.170340923160296</v>
      </c>
      <c r="N290">
        <v>84.644613130927496</v>
      </c>
      <c r="O290">
        <v>85.9113009302812</v>
      </c>
      <c r="P290">
        <v>86.803639245139806</v>
      </c>
      <c r="Q290">
        <v>87.289040597715001</v>
      </c>
      <c r="R290">
        <v>87.474558278992006</v>
      </c>
      <c r="S290">
        <v>87.562030348986994</v>
      </c>
      <c r="T290">
        <v>87.723676987937395</v>
      </c>
      <c r="U290">
        <v>88.012114940452093</v>
      </c>
      <c r="V290">
        <v>88.347415377134297</v>
      </c>
      <c r="W290">
        <v>5</v>
      </c>
      <c r="AG290" s="130" t="s">
        <v>342</v>
      </c>
      <c r="AI290">
        <v>1</v>
      </c>
      <c r="AJ290">
        <v>1.0306176871124</v>
      </c>
      <c r="AK290">
        <v>1.2321465865568</v>
      </c>
      <c r="AL290">
        <v>1.44752671431604</v>
      </c>
      <c r="AM290">
        <v>1.61456130872964</v>
      </c>
      <c r="AN290">
        <v>1.75255578895043</v>
      </c>
      <c r="AO290">
        <v>1.84476786031748</v>
      </c>
      <c r="AP290">
        <v>1.91652671604205</v>
      </c>
      <c r="AQ290">
        <v>1.97324339671817</v>
      </c>
      <c r="AR290">
        <v>2.0232113792371398</v>
      </c>
      <c r="AS290">
        <v>2.0672505182344301</v>
      </c>
      <c r="AT290">
        <v>2.0990608780901998</v>
      </c>
      <c r="AU290">
        <v>2.1167783682648902</v>
      </c>
      <c r="AV290">
        <v>2.1236996673979198</v>
      </c>
      <c r="AW290">
        <v>2.1270308662325199</v>
      </c>
      <c r="AX290">
        <v>2.1333135417547702</v>
      </c>
      <c r="AY290">
        <v>2.1447656165048001</v>
      </c>
      <c r="AZ290">
        <v>2.1583838335021901</v>
      </c>
      <c r="BA290">
        <v>0</v>
      </c>
      <c r="BB290">
        <v>0</v>
      </c>
      <c r="BC290">
        <v>0</v>
      </c>
      <c r="BD290">
        <v>0</v>
      </c>
      <c r="BE290">
        <v>0</v>
      </c>
      <c r="BF290">
        <v>0</v>
      </c>
      <c r="BG290">
        <v>0</v>
      </c>
      <c r="BH290">
        <v>0</v>
      </c>
      <c r="BJ290" t="s">
        <v>357</v>
      </c>
      <c r="BL290">
        <v>0.80</v>
      </c>
      <c r="BM290">
        <v>0.79756097560975603</v>
      </c>
      <c r="BN290">
        <v>0.78536585365853595</v>
      </c>
      <c r="BO290">
        <v>0.77317073170731698</v>
      </c>
      <c r="BP290">
        <v>0.76097560975609702</v>
      </c>
      <c r="BQ290">
        <v>0.74878048780487805</v>
      </c>
      <c r="BR290">
        <v>0.73658536585365797</v>
      </c>
      <c r="BS290">
        <v>0.724390243902439</v>
      </c>
      <c r="BT290">
        <v>0.71219512195122003</v>
      </c>
      <c r="BU290">
        <v>0.69999999999999896</v>
      </c>
      <c r="BV290">
        <v>0.687499999999999</v>
      </c>
      <c r="BW290">
        <v>0.675</v>
      </c>
      <c r="BX290">
        <v>0.6625</v>
      </c>
      <c r="BY290">
        <v>0.64999999999999902</v>
      </c>
      <c r="BZ290">
        <v>0.63749999999999896</v>
      </c>
      <c r="CA290">
        <v>0.625</v>
      </c>
      <c r="CB290">
        <v>0.6125</v>
      </c>
      <c r="CC290">
        <v>0.60</v>
      </c>
      <c r="CD290" t="e">
        <v>#VALUE!</v>
      </c>
      <c r="CE290" t="e">
        <v>#VALUE!</v>
      </c>
      <c r="CF290" t="e">
        <v>#VALUE!</v>
      </c>
      <c r="CG290" t="e">
        <v>#VALUE!</v>
      </c>
      <c r="CH290" t="e">
        <v>#VALUE!</v>
      </c>
      <c r="CI290" t="e">
        <v>#VALUE!</v>
      </c>
      <c r="CJ290" t="e">
        <v>#VALUE!</v>
      </c>
      <c r="CK290" t="e">
        <v>#VALUE!</v>
      </c>
    </row>
    <row r="291" spans="1:89" ht="12.5">
      <c r="A291" t="s">
        <v>28</v>
      </c>
      <c r="B291" t="s">
        <v>341</v>
      </c>
      <c r="C291" t="s">
        <v>341</v>
      </c>
      <c r="E291" s="2">
        <v>375.856107261349</v>
      </c>
      <c r="F291" s="2">
        <f>E291</f>
        <v>375.856107261349</v>
      </c>
      <c r="I291" s="2">
        <f>F291</f>
        <v>375.856107261349</v>
      </c>
      <c r="J291" s="2">
        <f>I291</f>
        <v>375.856107261349</v>
      </c>
      <c r="L291" s="2">
        <f>J291</f>
        <v>375.856107261349</v>
      </c>
      <c r="V291" s="2">
        <f>L291</f>
        <v>375.856107261349</v>
      </c>
      <c r="W291">
        <v>5</v>
      </c>
      <c r="AG291" s="130" t="s">
        <v>342</v>
      </c>
      <c r="AI291">
        <v>1</v>
      </c>
      <c r="AJ291">
        <v>1.0322099761469099</v>
      </c>
      <c r="AK291">
        <v>1.2602680722998201</v>
      </c>
      <c r="AL291">
        <v>1.54611479417579</v>
      </c>
      <c r="AM291">
        <v>1.8464245251015301</v>
      </c>
      <c r="AN291">
        <v>2.1460513675226802</v>
      </c>
      <c r="AO291">
        <v>2.45218229566993</v>
      </c>
      <c r="AP291">
        <v>2.7701038270968699</v>
      </c>
      <c r="AQ291">
        <v>3.1085694565669399</v>
      </c>
      <c r="AR291">
        <v>3.4720992600416198</v>
      </c>
      <c r="AS291">
        <v>3.8645576675928699</v>
      </c>
      <c r="AT291">
        <v>4.27757178038053</v>
      </c>
      <c r="AU291">
        <v>4.7089011694864897</v>
      </c>
      <c r="AV291">
        <v>5.1527838200068503</v>
      </c>
      <c r="AW291">
        <v>5.6086966926219999</v>
      </c>
      <c r="AX291">
        <v>6.0784253017178997</v>
      </c>
      <c r="AY291">
        <v>6.5628340221605903</v>
      </c>
      <c r="AZ291">
        <v>7.0626999847022596</v>
      </c>
      <c r="BA291">
        <v>0</v>
      </c>
      <c r="BB291">
        <v>0</v>
      </c>
      <c r="BC291">
        <v>0</v>
      </c>
      <c r="BD291">
        <v>0</v>
      </c>
      <c r="BE291">
        <v>0</v>
      </c>
      <c r="BF291">
        <v>0</v>
      </c>
      <c r="BG291">
        <v>0</v>
      </c>
      <c r="BH291">
        <v>0</v>
      </c>
      <c r="BJ291" t="s">
        <v>343</v>
      </c>
      <c r="BL291">
        <v>1</v>
      </c>
      <c r="BM291">
        <v>0.99756097560975698</v>
      </c>
      <c r="BN291">
        <v>0.98536585365853702</v>
      </c>
      <c r="BO291">
        <v>0.97317073170731705</v>
      </c>
      <c r="BP291">
        <v>0.96097560975609797</v>
      </c>
      <c r="BQ291">
        <v>0.948780487804878</v>
      </c>
      <c r="BR291">
        <v>0.93658536585365804</v>
      </c>
      <c r="BS291">
        <v>0.92439024390243896</v>
      </c>
      <c r="BT291">
        <v>0.91219512195121999</v>
      </c>
      <c r="BU291">
        <v>0.90</v>
      </c>
      <c r="BV291">
        <v>0.8875</v>
      </c>
      <c r="BW291">
        <v>0.875000000000001</v>
      </c>
      <c r="BX291">
        <v>0.86250000000000104</v>
      </c>
      <c r="BY291">
        <v>0.85000000000000098</v>
      </c>
      <c r="BZ291">
        <v>0.8375</v>
      </c>
      <c r="CA291">
        <v>0.82500000000000095</v>
      </c>
      <c r="CB291">
        <v>0.812500000000001</v>
      </c>
      <c r="CC291">
        <v>0.80000000000000104</v>
      </c>
      <c r="CD291" t="e">
        <v>#VALUE!</v>
      </c>
      <c r="CE291" t="e">
        <v>#VALUE!</v>
      </c>
      <c r="CF291" t="e">
        <v>#VALUE!</v>
      </c>
      <c r="CG291" t="e">
        <v>#VALUE!</v>
      </c>
      <c r="CH291" t="e">
        <v>#VALUE!</v>
      </c>
      <c r="CI291" t="e">
        <v>#VALUE!</v>
      </c>
      <c r="CJ291" t="e">
        <v>#VALUE!</v>
      </c>
      <c r="CK291" t="e">
        <v>#VALUE!</v>
      </c>
    </row>
    <row r="292" spans="1:89" ht="12.5">
      <c r="A292" t="s">
        <v>28</v>
      </c>
      <c r="B292" t="s">
        <v>344</v>
      </c>
      <c r="C292" t="s">
        <v>344</v>
      </c>
      <c r="E292" s="2">
        <v>1793.42387251125</v>
      </c>
      <c r="F292" s="2">
        <f>E292</f>
        <v>1793.42387251125</v>
      </c>
      <c r="I292" s="2">
        <f>F292</f>
        <v>1793.42387251125</v>
      </c>
      <c r="J292" s="2">
        <f>I292</f>
        <v>1793.42387251125</v>
      </c>
      <c r="L292" s="2">
        <f>J292</f>
        <v>1793.42387251125</v>
      </c>
      <c r="V292" s="2">
        <f>L292</f>
        <v>1793.42387251125</v>
      </c>
      <c r="W292">
        <v>5</v>
      </c>
      <c r="AG292" s="130" t="s">
        <v>342</v>
      </c>
      <c r="AI292">
        <v>1</v>
      </c>
      <c r="AJ292">
        <v>1.0322099761469099</v>
      </c>
      <c r="AK292">
        <v>1.2602680722998201</v>
      </c>
      <c r="AL292">
        <v>1.54611479417579</v>
      </c>
      <c r="AM292">
        <v>1.8464245251015301</v>
      </c>
      <c r="AN292">
        <v>2.1460513675226802</v>
      </c>
      <c r="AO292">
        <v>2.45218229566993</v>
      </c>
      <c r="AP292">
        <v>2.7701038270968699</v>
      </c>
      <c r="AQ292">
        <v>3.1085694565669399</v>
      </c>
      <c r="AR292">
        <v>3.4720992600416198</v>
      </c>
      <c r="AS292">
        <v>3.8645576675928699</v>
      </c>
      <c r="AT292">
        <v>4.27757178038053</v>
      </c>
      <c r="AU292">
        <v>4.7089011694864897</v>
      </c>
      <c r="AV292">
        <v>5.1527838200068503</v>
      </c>
      <c r="AW292">
        <v>5.6086966926219999</v>
      </c>
      <c r="AX292">
        <v>6.0784253017178997</v>
      </c>
      <c r="AY292">
        <v>6.5628340221605903</v>
      </c>
      <c r="AZ292">
        <v>7.0626999847022596</v>
      </c>
      <c r="BA292">
        <v>0</v>
      </c>
      <c r="BB292">
        <v>0</v>
      </c>
      <c r="BC292">
        <v>0</v>
      </c>
      <c r="BD292">
        <v>0</v>
      </c>
      <c r="BE292">
        <v>0</v>
      </c>
      <c r="BF292">
        <v>0</v>
      </c>
      <c r="BG292">
        <v>0</v>
      </c>
      <c r="BH292">
        <v>0</v>
      </c>
      <c r="BJ292" t="s">
        <v>343</v>
      </c>
      <c r="BL292">
        <v>1</v>
      </c>
      <c r="BM292">
        <v>0.99756097560975698</v>
      </c>
      <c r="BN292">
        <v>0.98536585365853702</v>
      </c>
      <c r="BO292">
        <v>0.97317073170731705</v>
      </c>
      <c r="BP292">
        <v>0.96097560975609797</v>
      </c>
      <c r="BQ292">
        <v>0.948780487804878</v>
      </c>
      <c r="BR292">
        <v>0.93658536585365804</v>
      </c>
      <c r="BS292">
        <v>0.92439024390243896</v>
      </c>
      <c r="BT292">
        <v>0.91219512195121999</v>
      </c>
      <c r="BU292">
        <v>0.90</v>
      </c>
      <c r="BV292">
        <v>0.8875</v>
      </c>
      <c r="BW292">
        <v>0.875000000000001</v>
      </c>
      <c r="BX292">
        <v>0.86250000000000104</v>
      </c>
      <c r="BY292">
        <v>0.85000000000000098</v>
      </c>
      <c r="BZ292">
        <v>0.8375</v>
      </c>
      <c r="CA292">
        <v>0.82500000000000095</v>
      </c>
      <c r="CB292">
        <v>0.812500000000001</v>
      </c>
      <c r="CC292">
        <v>0.80000000000000104</v>
      </c>
      <c r="CD292" t="e">
        <v>#VALUE!</v>
      </c>
      <c r="CE292" t="e">
        <v>#VALUE!</v>
      </c>
      <c r="CF292" t="e">
        <v>#VALUE!</v>
      </c>
      <c r="CG292" t="e">
        <v>#VALUE!</v>
      </c>
      <c r="CH292" t="e">
        <v>#VALUE!</v>
      </c>
      <c r="CI292" t="e">
        <v>#VALUE!</v>
      </c>
      <c r="CJ292" t="e">
        <v>#VALUE!</v>
      </c>
      <c r="CK292" t="e">
        <v>#VALUE!</v>
      </c>
    </row>
    <row r="293" spans="1:89" ht="12.5">
      <c r="A293" t="s">
        <v>28</v>
      </c>
      <c r="B293" t="s">
        <v>345</v>
      </c>
      <c r="C293" t="s">
        <v>345</v>
      </c>
      <c r="E293" s="2">
        <v>68.148098809685493</v>
      </c>
      <c r="I293" s="2">
        <v>120.21005338891599</v>
      </c>
      <c r="J293" s="2">
        <v>138.71789150501701</v>
      </c>
      <c r="L293" s="2">
        <v>176.09679652343601</v>
      </c>
      <c r="V293" s="2">
        <v>396.40072923910799</v>
      </c>
      <c r="W293">
        <v>5</v>
      </c>
      <c r="AG293" s="130" t="s">
        <v>342</v>
      </c>
      <c r="AI293">
        <v>1</v>
      </c>
      <c r="AJ293">
        <v>1.0322099761469099</v>
      </c>
      <c r="AK293">
        <v>1.2602680722998201</v>
      </c>
      <c r="AL293">
        <v>1.54611479417579</v>
      </c>
      <c r="AM293">
        <v>1.8464245251015301</v>
      </c>
      <c r="AN293">
        <v>2.1460513675226802</v>
      </c>
      <c r="AO293">
        <v>2.45218229566993</v>
      </c>
      <c r="AP293">
        <v>2.7701038270968699</v>
      </c>
      <c r="AQ293">
        <v>3.1085694565669399</v>
      </c>
      <c r="AR293">
        <v>3.4720992600416198</v>
      </c>
      <c r="AS293">
        <v>3.8645576675928699</v>
      </c>
      <c r="AT293">
        <v>4.27757178038053</v>
      </c>
      <c r="AU293">
        <v>4.7089011694864897</v>
      </c>
      <c r="AV293">
        <v>5.1527838200068503</v>
      </c>
      <c r="AW293">
        <v>5.6086966926219999</v>
      </c>
      <c r="AX293">
        <v>6.0784253017178997</v>
      </c>
      <c r="AY293">
        <v>6.5628340221605903</v>
      </c>
      <c r="AZ293">
        <v>7.0626999847022596</v>
      </c>
      <c r="BA293">
        <v>0</v>
      </c>
      <c r="BB293">
        <v>0</v>
      </c>
      <c r="BC293">
        <v>0</v>
      </c>
      <c r="BD293">
        <v>0</v>
      </c>
      <c r="BE293">
        <v>0</v>
      </c>
      <c r="BF293">
        <v>0</v>
      </c>
      <c r="BG293">
        <v>0</v>
      </c>
      <c r="BH293">
        <v>0</v>
      </c>
      <c r="BJ293" t="s">
        <v>343</v>
      </c>
      <c r="BL293">
        <v>1</v>
      </c>
      <c r="BM293">
        <v>0.99756097560975698</v>
      </c>
      <c r="BN293">
        <v>0.98536585365853702</v>
      </c>
      <c r="BO293">
        <v>0.97317073170731705</v>
      </c>
      <c r="BP293">
        <v>0.96097560975609797</v>
      </c>
      <c r="BQ293">
        <v>0.948780487804878</v>
      </c>
      <c r="BR293">
        <v>0.93658536585365804</v>
      </c>
      <c r="BS293">
        <v>0.92439024390243896</v>
      </c>
      <c r="BT293">
        <v>0.91219512195121999</v>
      </c>
      <c r="BU293">
        <v>0.90</v>
      </c>
      <c r="BV293">
        <v>0.8875</v>
      </c>
      <c r="BW293">
        <v>0.875000000000001</v>
      </c>
      <c r="BX293">
        <v>0.86250000000000104</v>
      </c>
      <c r="BY293">
        <v>0.85000000000000098</v>
      </c>
      <c r="BZ293">
        <v>0.8375</v>
      </c>
      <c r="CA293">
        <v>0.82500000000000095</v>
      </c>
      <c r="CB293">
        <v>0.812500000000001</v>
      </c>
      <c r="CC293">
        <v>0.80000000000000104</v>
      </c>
      <c r="CD293" t="e">
        <v>#VALUE!</v>
      </c>
      <c r="CE293" t="e">
        <v>#VALUE!</v>
      </c>
      <c r="CF293" t="e">
        <v>#VALUE!</v>
      </c>
      <c r="CG293" t="e">
        <v>#VALUE!</v>
      </c>
      <c r="CH293" t="e">
        <v>#VALUE!</v>
      </c>
      <c r="CI293" t="e">
        <v>#VALUE!</v>
      </c>
      <c r="CJ293" t="e">
        <v>#VALUE!</v>
      </c>
      <c r="CK293" t="e">
        <v>#VALUE!</v>
      </c>
    </row>
    <row r="294" spans="1:89" ht="12.5">
      <c r="A294" t="s">
        <v>28</v>
      </c>
      <c r="B294" t="s">
        <v>346</v>
      </c>
      <c r="C294" t="s">
        <v>346</v>
      </c>
      <c r="E294" s="2">
        <v>65.019708163914402</v>
      </c>
      <c r="I294" s="2">
        <v>74.878987903811193</v>
      </c>
      <c r="J294" s="2">
        <v>77.431100607127803</v>
      </c>
      <c r="L294" s="2">
        <v>81.350640419364197</v>
      </c>
      <c r="V294" s="2">
        <v>82.103251456904005</v>
      </c>
      <c r="W294">
        <v>5</v>
      </c>
      <c r="AG294" s="130" t="s">
        <v>347</v>
      </c>
      <c r="AI294">
        <v>1</v>
      </c>
      <c r="AJ294">
        <v>1.0112058094657701</v>
      </c>
      <c r="AK294">
        <v>1.0672346959343599</v>
      </c>
      <c r="AL294">
        <v>1.1207740088543401</v>
      </c>
      <c r="AM294">
        <v>1.16880561792711</v>
      </c>
      <c r="AN294">
        <v>1.2107927710931601</v>
      </c>
      <c r="AO294">
        <v>1.2466593431380399</v>
      </c>
      <c r="AP294">
        <v>1.2766775065854501</v>
      </c>
      <c r="AQ294">
        <v>1.3004136886422499</v>
      </c>
      <c r="AR294">
        <v>1.3178782865357399</v>
      </c>
      <c r="AS294">
        <v>1.3294689720622199</v>
      </c>
      <c r="AT294">
        <v>1.3357487322672601</v>
      </c>
      <c r="AU294">
        <v>1.3369447913035</v>
      </c>
      <c r="AV294">
        <v>1.3332911290113401</v>
      </c>
      <c r="AW294">
        <v>1.3254574476754</v>
      </c>
      <c r="AX294">
        <v>1.3143846362720399</v>
      </c>
      <c r="AY294">
        <v>1.30070505011852</v>
      </c>
      <c r="AZ294">
        <v>1.2851254815628601</v>
      </c>
      <c r="BA294">
        <v>0</v>
      </c>
      <c r="BB294">
        <v>0</v>
      </c>
      <c r="BC294">
        <v>0</v>
      </c>
      <c r="BD294">
        <v>0</v>
      </c>
      <c r="BE294">
        <v>0</v>
      </c>
      <c r="BF294">
        <v>0</v>
      </c>
      <c r="BG294">
        <v>0</v>
      </c>
      <c r="BH294">
        <v>0</v>
      </c>
      <c r="BJ294" t="s">
        <v>343</v>
      </c>
      <c r="BL294">
        <v>1</v>
      </c>
      <c r="BM294">
        <v>0.99756097560975698</v>
      </c>
      <c r="BN294">
        <v>0.98536585365853702</v>
      </c>
      <c r="BO294">
        <v>0.97317073170731705</v>
      </c>
      <c r="BP294">
        <v>0.96097560975609797</v>
      </c>
      <c r="BQ294">
        <v>0.948780487804878</v>
      </c>
      <c r="BR294">
        <v>0.93658536585365804</v>
      </c>
      <c r="BS294">
        <v>0.92439024390243896</v>
      </c>
      <c r="BT294">
        <v>0.91219512195121999</v>
      </c>
      <c r="BU294">
        <v>0.90</v>
      </c>
      <c r="BV294">
        <v>0.8875</v>
      </c>
      <c r="BW294">
        <v>0.875000000000001</v>
      </c>
      <c r="BX294">
        <v>0.86250000000000104</v>
      </c>
      <c r="BY294">
        <v>0.85000000000000098</v>
      </c>
      <c r="BZ294">
        <v>0.8375</v>
      </c>
      <c r="CA294">
        <v>0.82500000000000095</v>
      </c>
      <c r="CB294">
        <v>0.812500000000001</v>
      </c>
      <c r="CC294">
        <v>0.80000000000000104</v>
      </c>
      <c r="CD294" t="e">
        <v>#VALUE!</v>
      </c>
      <c r="CE294" t="e">
        <v>#VALUE!</v>
      </c>
      <c r="CF294" t="e">
        <v>#VALUE!</v>
      </c>
      <c r="CG294" t="e">
        <v>#VALUE!</v>
      </c>
      <c r="CH294" t="e">
        <v>#VALUE!</v>
      </c>
      <c r="CI294" t="e">
        <v>#VALUE!</v>
      </c>
      <c r="CJ294" t="e">
        <v>#VALUE!</v>
      </c>
      <c r="CK294" t="e">
        <v>#VALUE!</v>
      </c>
    </row>
    <row r="295" spans="1:89" ht="12.5">
      <c r="A295" t="s">
        <v>28</v>
      </c>
      <c r="B295" t="s">
        <v>348</v>
      </c>
      <c r="C295" t="s">
        <v>348</v>
      </c>
      <c r="E295" s="2">
        <v>289.95526653166002</v>
      </c>
      <c r="F295" s="2">
        <f>E295</f>
        <v>289.95526653166002</v>
      </c>
      <c r="I295" s="2">
        <f>F295</f>
        <v>289.95526653166002</v>
      </c>
      <c r="J295" s="2">
        <f>I295</f>
        <v>289.95526653166002</v>
      </c>
      <c r="L295" s="2">
        <f>J295</f>
        <v>289.95526653166002</v>
      </c>
      <c r="V295" s="2">
        <f>L295</f>
        <v>289.95526653166002</v>
      </c>
      <c r="W295">
        <v>5</v>
      </c>
      <c r="AG295" s="130" t="s">
        <v>342</v>
      </c>
      <c r="AI295">
        <v>1</v>
      </c>
      <c r="AJ295">
        <v>1.0322099761469099</v>
      </c>
      <c r="AK295">
        <v>1.2602680722998201</v>
      </c>
      <c r="AL295">
        <v>1.54611479417579</v>
      </c>
      <c r="AM295">
        <v>1.8464245251015301</v>
      </c>
      <c r="AN295">
        <v>2.1460513675226802</v>
      </c>
      <c r="AO295">
        <v>2.45218229566993</v>
      </c>
      <c r="AP295">
        <v>2.7701038270968699</v>
      </c>
      <c r="AQ295">
        <v>3.1085694565669399</v>
      </c>
      <c r="AR295">
        <v>3.4720992600416198</v>
      </c>
      <c r="AS295">
        <v>3.8645576675928699</v>
      </c>
      <c r="AT295">
        <v>4.27757178038053</v>
      </c>
      <c r="AU295">
        <v>4.7089011694864897</v>
      </c>
      <c r="AV295">
        <v>5.1527838200068503</v>
      </c>
      <c r="AW295">
        <v>5.6086966926219999</v>
      </c>
      <c r="AX295">
        <v>6.0784253017178997</v>
      </c>
      <c r="AY295">
        <v>6.5628340221605903</v>
      </c>
      <c r="AZ295">
        <v>7.0626999847022596</v>
      </c>
      <c r="BA295">
        <v>0</v>
      </c>
      <c r="BB295">
        <v>0</v>
      </c>
      <c r="BC295">
        <v>0</v>
      </c>
      <c r="BD295">
        <v>0</v>
      </c>
      <c r="BE295">
        <v>0</v>
      </c>
      <c r="BF295">
        <v>0</v>
      </c>
      <c r="BG295">
        <v>0</v>
      </c>
      <c r="BH295">
        <v>0</v>
      </c>
      <c r="BJ295" t="s">
        <v>343</v>
      </c>
      <c r="BL295">
        <v>1</v>
      </c>
      <c r="BM295">
        <v>0.99756097560975698</v>
      </c>
      <c r="BN295">
        <v>0.98536585365853702</v>
      </c>
      <c r="BO295">
        <v>0.97317073170731705</v>
      </c>
      <c r="BP295">
        <v>0.96097560975609797</v>
      </c>
      <c r="BQ295">
        <v>0.948780487804878</v>
      </c>
      <c r="BR295">
        <v>0.93658536585365804</v>
      </c>
      <c r="BS295">
        <v>0.92439024390243896</v>
      </c>
      <c r="BT295">
        <v>0.91219512195121999</v>
      </c>
      <c r="BU295">
        <v>0.90</v>
      </c>
      <c r="BV295">
        <v>0.8875</v>
      </c>
      <c r="BW295">
        <v>0.875000000000001</v>
      </c>
      <c r="BX295">
        <v>0.86250000000000104</v>
      </c>
      <c r="BY295">
        <v>0.85000000000000098</v>
      </c>
      <c r="BZ295">
        <v>0.8375</v>
      </c>
      <c r="CA295">
        <v>0.82500000000000095</v>
      </c>
      <c r="CB295">
        <v>0.812500000000001</v>
      </c>
      <c r="CC295">
        <v>0.80000000000000104</v>
      </c>
      <c r="CD295" t="e">
        <v>#VALUE!</v>
      </c>
      <c r="CE295" t="e">
        <v>#VALUE!</v>
      </c>
      <c r="CF295" t="e">
        <v>#VALUE!</v>
      </c>
      <c r="CG295" t="e">
        <v>#VALUE!</v>
      </c>
      <c r="CH295" t="e">
        <v>#VALUE!</v>
      </c>
      <c r="CI295" t="e">
        <v>#VALUE!</v>
      </c>
      <c r="CJ295" t="e">
        <v>#VALUE!</v>
      </c>
      <c r="CK295" t="e">
        <v>#VALUE!</v>
      </c>
    </row>
    <row r="296" spans="1:89" ht="12.5">
      <c r="A296" t="s">
        <v>28</v>
      </c>
      <c r="B296" t="s">
        <v>349</v>
      </c>
      <c r="C296" t="s">
        <v>349</v>
      </c>
      <c r="E296" s="2">
        <v>2967.5473798920898</v>
      </c>
      <c r="F296" s="2">
        <f>E296</f>
        <v>2967.5473798920898</v>
      </c>
      <c r="I296" s="2">
        <f>F296</f>
        <v>2967.5473798920898</v>
      </c>
      <c r="J296" s="2">
        <f>I296</f>
        <v>2967.5473798920898</v>
      </c>
      <c r="L296" s="2">
        <f>J296</f>
        <v>2967.5473798920898</v>
      </c>
      <c r="V296" s="2">
        <f>L296</f>
        <v>2967.5473798920898</v>
      </c>
      <c r="W296">
        <v>5</v>
      </c>
      <c r="AG296" s="130" t="s">
        <v>342</v>
      </c>
      <c r="AI296">
        <v>1</v>
      </c>
      <c r="AJ296">
        <v>1.0322099761469099</v>
      </c>
      <c r="AK296">
        <v>1.2602680722998201</v>
      </c>
      <c r="AL296">
        <v>1.54611479417579</v>
      </c>
      <c r="AM296">
        <v>1.8464245251015301</v>
      </c>
      <c r="AN296">
        <v>2.1460513675226802</v>
      </c>
      <c r="AO296">
        <v>2.45218229566993</v>
      </c>
      <c r="AP296">
        <v>2.7701038270968699</v>
      </c>
      <c r="AQ296">
        <v>3.1085694565669399</v>
      </c>
      <c r="AR296">
        <v>3.4720992600416198</v>
      </c>
      <c r="AS296">
        <v>3.8645576675928699</v>
      </c>
      <c r="AT296">
        <v>4.27757178038053</v>
      </c>
      <c r="AU296">
        <v>4.7089011694864897</v>
      </c>
      <c r="AV296">
        <v>5.1527838200068503</v>
      </c>
      <c r="AW296">
        <v>5.6086966926219999</v>
      </c>
      <c r="AX296">
        <v>6.0784253017178997</v>
      </c>
      <c r="AY296">
        <v>6.5628340221605903</v>
      </c>
      <c r="AZ296">
        <v>7.0626999847022596</v>
      </c>
      <c r="BA296">
        <v>0</v>
      </c>
      <c r="BB296">
        <v>0</v>
      </c>
      <c r="BC296">
        <v>0</v>
      </c>
      <c r="BD296">
        <v>0</v>
      </c>
      <c r="BE296">
        <v>0</v>
      </c>
      <c r="BF296">
        <v>0</v>
      </c>
      <c r="BG296">
        <v>0</v>
      </c>
      <c r="BH296">
        <v>0</v>
      </c>
      <c r="BJ296" t="s">
        <v>343</v>
      </c>
      <c r="BL296">
        <v>1</v>
      </c>
      <c r="BM296">
        <v>0.99756097560975698</v>
      </c>
      <c r="BN296">
        <v>0.98536585365853702</v>
      </c>
      <c r="BO296">
        <v>0.97317073170731705</v>
      </c>
      <c r="BP296">
        <v>0.96097560975609797</v>
      </c>
      <c r="BQ296">
        <v>0.948780487804878</v>
      </c>
      <c r="BR296">
        <v>0.93658536585365804</v>
      </c>
      <c r="BS296">
        <v>0.92439024390243896</v>
      </c>
      <c r="BT296">
        <v>0.91219512195121999</v>
      </c>
      <c r="BU296">
        <v>0.90</v>
      </c>
      <c r="BV296">
        <v>0.8875</v>
      </c>
      <c r="BW296">
        <v>0.875000000000001</v>
      </c>
      <c r="BX296">
        <v>0.86250000000000104</v>
      </c>
      <c r="BY296">
        <v>0.85000000000000098</v>
      </c>
      <c r="BZ296">
        <v>0.8375</v>
      </c>
      <c r="CA296">
        <v>0.82500000000000095</v>
      </c>
      <c r="CB296">
        <v>0.812500000000001</v>
      </c>
      <c r="CC296">
        <v>0.80000000000000104</v>
      </c>
      <c r="CD296" t="e">
        <v>#VALUE!</v>
      </c>
      <c r="CE296" t="e">
        <v>#VALUE!</v>
      </c>
      <c r="CF296" t="e">
        <v>#VALUE!</v>
      </c>
      <c r="CG296" t="e">
        <v>#VALUE!</v>
      </c>
      <c r="CH296" t="e">
        <v>#VALUE!</v>
      </c>
      <c r="CI296" t="e">
        <v>#VALUE!</v>
      </c>
      <c r="CJ296" t="e">
        <v>#VALUE!</v>
      </c>
      <c r="CK296" t="e">
        <v>#VALUE!</v>
      </c>
    </row>
    <row r="297" spans="1:89" ht="12.5">
      <c r="A297" t="s">
        <v>28</v>
      </c>
      <c r="B297" t="s">
        <v>350</v>
      </c>
      <c r="C297" t="s">
        <v>350</v>
      </c>
      <c r="D297">
        <v>1567.223</v>
      </c>
      <c r="E297">
        <v>1584.7421681763501</v>
      </c>
      <c r="F297"/>
      <c r="G297">
        <v>1671.26456822056</v>
      </c>
      <c r="H297">
        <v>1752.8564787757</v>
      </c>
      <c r="I297">
        <v>1825.0449439481499</v>
      </c>
      <c r="J297">
        <v>1887.24824711722</v>
      </c>
      <c r="K297">
        <v>1939.60786275396</v>
      </c>
      <c r="L297">
        <v>1982.78020497588</v>
      </c>
      <c r="M297">
        <v>2016.40750336632</v>
      </c>
      <c r="N297">
        <v>2040.7798795485701</v>
      </c>
      <c r="O297">
        <v>2056.7092402286698</v>
      </c>
      <c r="P297">
        <v>2065.2097663579698</v>
      </c>
      <c r="Q297">
        <v>2066.8047312199501</v>
      </c>
      <c r="R297">
        <v>2062.0037135738098</v>
      </c>
      <c r="S297">
        <v>2051.8572390264499</v>
      </c>
      <c r="T297">
        <v>2037.7158131163001</v>
      </c>
      <c r="U297">
        <v>2020.48453586664</v>
      </c>
      <c r="V297">
        <v>2001.1237885000801</v>
      </c>
      <c r="W297">
        <v>5</v>
      </c>
      <c r="AG297" s="130" t="s">
        <v>347</v>
      </c>
      <c r="AI297">
        <v>1</v>
      </c>
      <c r="AJ297">
        <v>1.0112058094657701</v>
      </c>
      <c r="AK297">
        <v>1.0672346959343599</v>
      </c>
      <c r="AL297">
        <v>1.1207740088543401</v>
      </c>
      <c r="AM297">
        <v>1.16880561792711</v>
      </c>
      <c r="AN297">
        <v>1.2107927710931601</v>
      </c>
      <c r="AO297">
        <v>1.2466593431380399</v>
      </c>
      <c r="AP297">
        <v>1.2766775065854501</v>
      </c>
      <c r="AQ297">
        <v>1.3004136886422499</v>
      </c>
      <c r="AR297">
        <v>1.3178782865357399</v>
      </c>
      <c r="AS297">
        <v>1.3294689720622199</v>
      </c>
      <c r="AT297">
        <v>1.3357487322672601</v>
      </c>
      <c r="AU297">
        <v>1.3369447913035</v>
      </c>
      <c r="AV297">
        <v>1.3332911290113401</v>
      </c>
      <c r="AW297">
        <v>1.3254574476754</v>
      </c>
      <c r="AX297">
        <v>1.3143846362720399</v>
      </c>
      <c r="AY297">
        <v>1.30070505011852</v>
      </c>
      <c r="AZ297">
        <v>1.2851254815628601</v>
      </c>
      <c r="BA297">
        <v>0</v>
      </c>
      <c r="BB297">
        <v>0</v>
      </c>
      <c r="BC297">
        <v>0</v>
      </c>
      <c r="BD297">
        <v>0</v>
      </c>
      <c r="BE297">
        <v>0</v>
      </c>
      <c r="BF297">
        <v>0</v>
      </c>
      <c r="BG297">
        <v>0</v>
      </c>
      <c r="BH297">
        <v>0</v>
      </c>
      <c r="BJ297" t="s">
        <v>343</v>
      </c>
      <c r="BL297">
        <v>1</v>
      </c>
      <c r="BM297">
        <v>0.99756097560975698</v>
      </c>
      <c r="BN297">
        <v>0.98536585365853702</v>
      </c>
      <c r="BO297">
        <v>0.97317073170731705</v>
      </c>
      <c r="BP297">
        <v>0.96097560975609797</v>
      </c>
      <c r="BQ297">
        <v>0.948780487804878</v>
      </c>
      <c r="BR297">
        <v>0.93658536585365804</v>
      </c>
      <c r="BS297">
        <v>0.92439024390243896</v>
      </c>
      <c r="BT297">
        <v>0.91219512195121999</v>
      </c>
      <c r="BU297">
        <v>0.90</v>
      </c>
      <c r="BV297">
        <v>0.8875</v>
      </c>
      <c r="BW297">
        <v>0.875000000000001</v>
      </c>
      <c r="BX297">
        <v>0.86250000000000104</v>
      </c>
      <c r="BY297">
        <v>0.85000000000000098</v>
      </c>
      <c r="BZ297">
        <v>0.8375</v>
      </c>
      <c r="CA297">
        <v>0.82500000000000095</v>
      </c>
      <c r="CB297">
        <v>0.812500000000001</v>
      </c>
      <c r="CC297">
        <v>0.80000000000000104</v>
      </c>
      <c r="CD297" t="e">
        <v>#VALUE!</v>
      </c>
      <c r="CE297" t="e">
        <v>#VALUE!</v>
      </c>
      <c r="CF297" t="e">
        <v>#VALUE!</v>
      </c>
      <c r="CG297" t="e">
        <v>#VALUE!</v>
      </c>
      <c r="CH297" t="e">
        <v>#VALUE!</v>
      </c>
      <c r="CI297" t="e">
        <v>#VALUE!</v>
      </c>
      <c r="CJ297" t="e">
        <v>#VALUE!</v>
      </c>
      <c r="CK297" t="e">
        <v>#VALUE!</v>
      </c>
    </row>
    <row r="298" spans="1:89" ht="12.5">
      <c r="A298" t="s">
        <v>28</v>
      </c>
      <c r="B298" t="s">
        <v>351</v>
      </c>
      <c r="C298" t="s">
        <v>351</v>
      </c>
      <c r="D298">
        <v>265.485</v>
      </c>
      <c r="E298">
        <v>268.45271829107799</v>
      </c>
      <c r="F298"/>
      <c r="G298">
        <v>283.10947063311102</v>
      </c>
      <c r="H298">
        <v>296.93100616042898</v>
      </c>
      <c r="I298">
        <v>309.15961349729798</v>
      </c>
      <c r="J298">
        <v>319.69675080439498</v>
      </c>
      <c r="K298">
        <v>328.56638362456101</v>
      </c>
      <c r="L298">
        <v>335.87970743029001</v>
      </c>
      <c r="M298">
        <v>341.57611650110198</v>
      </c>
      <c r="N298">
        <v>345.70475696308199</v>
      </c>
      <c r="O298">
        <v>348.40316447761899</v>
      </c>
      <c r="P298">
        <v>349.84313963076403</v>
      </c>
      <c r="Q298">
        <v>350.11332405658197</v>
      </c>
      <c r="R298">
        <v>349.30003955923502</v>
      </c>
      <c r="S298">
        <v>347.58124344967899</v>
      </c>
      <c r="T298">
        <v>345.185709146166</v>
      </c>
      <c r="U298">
        <v>342.26675910483402</v>
      </c>
      <c r="V298">
        <v>338.98708032612097</v>
      </c>
      <c r="W298">
        <v>5</v>
      </c>
      <c r="AG298" s="130" t="s">
        <v>347</v>
      </c>
      <c r="AI298">
        <v>1</v>
      </c>
      <c r="AJ298">
        <v>1.0112058094657701</v>
      </c>
      <c r="AK298">
        <v>1.0672346959343599</v>
      </c>
      <c r="AL298">
        <v>1.1207740088543401</v>
      </c>
      <c r="AM298">
        <v>1.16880561792711</v>
      </c>
      <c r="AN298">
        <v>1.2107927710931601</v>
      </c>
      <c r="AO298">
        <v>1.2466593431380399</v>
      </c>
      <c r="AP298">
        <v>1.2766775065854501</v>
      </c>
      <c r="AQ298">
        <v>1.3004136886422499</v>
      </c>
      <c r="AR298">
        <v>1.3178782865357399</v>
      </c>
      <c r="AS298">
        <v>1.3294689720622199</v>
      </c>
      <c r="AT298">
        <v>1.3357487322672601</v>
      </c>
      <c r="AU298">
        <v>1.3369447913035</v>
      </c>
      <c r="AV298">
        <v>1.3332911290113401</v>
      </c>
      <c r="AW298">
        <v>1.3254574476754</v>
      </c>
      <c r="AX298">
        <v>1.3143846362720399</v>
      </c>
      <c r="AY298">
        <v>1.30070505011852</v>
      </c>
      <c r="AZ298">
        <v>1.2851254815628601</v>
      </c>
      <c r="BA298">
        <v>0</v>
      </c>
      <c r="BB298">
        <v>0</v>
      </c>
      <c r="BC298">
        <v>0</v>
      </c>
      <c r="BD298">
        <v>0</v>
      </c>
      <c r="BE298">
        <v>0</v>
      </c>
      <c r="BF298">
        <v>0</v>
      </c>
      <c r="BG298">
        <v>0</v>
      </c>
      <c r="BH298">
        <v>0</v>
      </c>
      <c r="BJ298" t="s">
        <v>343</v>
      </c>
      <c r="BL298">
        <v>1</v>
      </c>
      <c r="BM298">
        <v>0.99756097560975698</v>
      </c>
      <c r="BN298">
        <v>0.98536585365853702</v>
      </c>
      <c r="BO298">
        <v>0.97317073170731705</v>
      </c>
      <c r="BP298">
        <v>0.96097560975609797</v>
      </c>
      <c r="BQ298">
        <v>0.948780487804878</v>
      </c>
      <c r="BR298">
        <v>0.93658536585365804</v>
      </c>
      <c r="BS298">
        <v>0.92439024390243896</v>
      </c>
      <c r="BT298">
        <v>0.91219512195121999</v>
      </c>
      <c r="BU298">
        <v>0.90</v>
      </c>
      <c r="BV298">
        <v>0.8875</v>
      </c>
      <c r="BW298">
        <v>0.875000000000001</v>
      </c>
      <c r="BX298">
        <v>0.86250000000000104</v>
      </c>
      <c r="BY298">
        <v>0.85000000000000098</v>
      </c>
      <c r="BZ298">
        <v>0.8375</v>
      </c>
      <c r="CA298">
        <v>0.82500000000000095</v>
      </c>
      <c r="CB298">
        <v>0.812500000000001</v>
      </c>
      <c r="CC298">
        <v>0.80000000000000104</v>
      </c>
      <c r="CD298" t="e">
        <v>#VALUE!</v>
      </c>
      <c r="CE298" t="e">
        <v>#VALUE!</v>
      </c>
      <c r="CF298" t="e">
        <v>#VALUE!</v>
      </c>
      <c r="CG298" t="e">
        <v>#VALUE!</v>
      </c>
      <c r="CH298" t="e">
        <v>#VALUE!</v>
      </c>
      <c r="CI298" t="e">
        <v>#VALUE!</v>
      </c>
      <c r="CJ298" t="e">
        <v>#VALUE!</v>
      </c>
      <c r="CK298" t="e">
        <v>#VALUE!</v>
      </c>
    </row>
    <row r="299" spans="1:89" ht="12.5">
      <c r="A299" t="s">
        <v>28</v>
      </c>
      <c r="B299" t="s">
        <v>352</v>
      </c>
      <c r="C299" t="s">
        <v>352</v>
      </c>
      <c r="D299">
        <v>48.055</v>
      </c>
      <c r="E299">
        <v>48.592181771014502</v>
      </c>
      <c r="F299"/>
      <c r="G299">
        <v>51.245176229444802</v>
      </c>
      <c r="H299">
        <v>53.746989476013297</v>
      </c>
      <c r="I299">
        <v>55.960469429958899</v>
      </c>
      <c r="J299">
        <v>57.867779196207699</v>
      </c>
      <c r="K299">
        <v>59.473256737963602</v>
      </c>
      <c r="L299">
        <v>60.797029363476497</v>
      </c>
      <c r="M299">
        <v>61.8281269316928</v>
      </c>
      <c r="N299">
        <v>62.575445301470502</v>
      </c>
      <c r="O299">
        <v>63.063879575011697</v>
      </c>
      <c r="P299">
        <v>63.324527091761802</v>
      </c>
      <c r="Q299">
        <v>63.373432727043102</v>
      </c>
      <c r="R299">
        <v>63.226221447611202</v>
      </c>
      <c r="S299">
        <v>62.915105011485799</v>
      </c>
      <c r="T299">
        <v>62.4814933160782</v>
      </c>
      <c r="U299">
        <v>61.953139005152003</v>
      </c>
      <c r="V299">
        <v>61.359489783120502</v>
      </c>
      <c r="W299">
        <v>5</v>
      </c>
      <c r="AG299" s="130" t="s">
        <v>347</v>
      </c>
      <c r="AI299">
        <v>1</v>
      </c>
      <c r="AJ299">
        <v>1.0112058094657701</v>
      </c>
      <c r="AK299">
        <v>1.0672346959343599</v>
      </c>
      <c r="AL299">
        <v>1.1207740088543401</v>
      </c>
      <c r="AM299">
        <v>1.16880561792711</v>
      </c>
      <c r="AN299">
        <v>1.2107927710931601</v>
      </c>
      <c r="AO299">
        <v>1.2466593431380399</v>
      </c>
      <c r="AP299">
        <v>1.2766775065854501</v>
      </c>
      <c r="AQ299">
        <v>1.3004136886422499</v>
      </c>
      <c r="AR299">
        <v>1.3178782865357399</v>
      </c>
      <c r="AS299">
        <v>1.3294689720622199</v>
      </c>
      <c r="AT299">
        <v>1.3357487322672601</v>
      </c>
      <c r="AU299">
        <v>1.3369447913035</v>
      </c>
      <c r="AV299">
        <v>1.3332911290113401</v>
      </c>
      <c r="AW299">
        <v>1.3254574476754</v>
      </c>
      <c r="AX299">
        <v>1.3143846362720399</v>
      </c>
      <c r="AY299">
        <v>1.30070505011852</v>
      </c>
      <c r="AZ299">
        <v>1.2851254815628601</v>
      </c>
      <c r="BA299">
        <v>0</v>
      </c>
      <c r="BB299">
        <v>0</v>
      </c>
      <c r="BC299">
        <v>0</v>
      </c>
      <c r="BD299">
        <v>0</v>
      </c>
      <c r="BE299">
        <v>0</v>
      </c>
      <c r="BF299">
        <v>0</v>
      </c>
      <c r="BG299">
        <v>0</v>
      </c>
      <c r="BH299">
        <v>0</v>
      </c>
      <c r="BJ299" t="s">
        <v>343</v>
      </c>
      <c r="BL299">
        <v>1</v>
      </c>
      <c r="BM299">
        <v>0.99756097560975698</v>
      </c>
      <c r="BN299">
        <v>0.98536585365853702</v>
      </c>
      <c r="BO299">
        <v>0.97317073170731705</v>
      </c>
      <c r="BP299">
        <v>0.96097560975609797</v>
      </c>
      <c r="BQ299">
        <v>0.948780487804878</v>
      </c>
      <c r="BR299">
        <v>0.93658536585365804</v>
      </c>
      <c r="BS299">
        <v>0.92439024390243896</v>
      </c>
      <c r="BT299">
        <v>0.91219512195121999</v>
      </c>
      <c r="BU299">
        <v>0.90</v>
      </c>
      <c r="BV299">
        <v>0.8875</v>
      </c>
      <c r="BW299">
        <v>0.875000000000001</v>
      </c>
      <c r="BX299">
        <v>0.86250000000000104</v>
      </c>
      <c r="BY299">
        <v>0.85000000000000098</v>
      </c>
      <c r="BZ299">
        <v>0.8375</v>
      </c>
      <c r="CA299">
        <v>0.82500000000000095</v>
      </c>
      <c r="CB299">
        <v>0.812500000000001</v>
      </c>
      <c r="CC299">
        <v>0.80000000000000104</v>
      </c>
      <c r="CD299" t="e">
        <v>#VALUE!</v>
      </c>
      <c r="CE299" t="e">
        <v>#VALUE!</v>
      </c>
      <c r="CF299" t="e">
        <v>#VALUE!</v>
      </c>
      <c r="CG299" t="e">
        <v>#VALUE!</v>
      </c>
      <c r="CH299" t="e">
        <v>#VALUE!</v>
      </c>
      <c r="CI299" t="e">
        <v>#VALUE!</v>
      </c>
      <c r="CJ299" t="e">
        <v>#VALUE!</v>
      </c>
      <c r="CK299" t="e">
        <v>#VALUE!</v>
      </c>
    </row>
    <row r="300" spans="1:89" ht="12.5">
      <c r="A300" t="s">
        <v>28</v>
      </c>
      <c r="B300" t="s">
        <v>353</v>
      </c>
      <c r="C300" t="s">
        <v>353</v>
      </c>
      <c r="D300">
        <v>1561.308</v>
      </c>
      <c r="E300">
        <v>1593.6594638317999</v>
      </c>
      <c r="F300"/>
      <c r="G300">
        <v>1839.95625738685</v>
      </c>
      <c r="H300">
        <v>2141.1505449295901</v>
      </c>
      <c r="I300">
        <v>2439.82763587405</v>
      </c>
      <c r="J300">
        <v>2722.16989459966</v>
      </c>
      <c r="K300">
        <v>3002.0443528651699</v>
      </c>
      <c r="L300">
        <v>3288.11784599765</v>
      </c>
      <c r="M300">
        <v>3593.1638317980401</v>
      </c>
      <c r="N300">
        <v>3923.4773977415898</v>
      </c>
      <c r="O300">
        <v>4283.2754339154699</v>
      </c>
      <c r="P300">
        <v>4664.3155120587599</v>
      </c>
      <c r="Q300">
        <v>5066.0103742809197</v>
      </c>
      <c r="R300">
        <v>5484.8364805603196</v>
      </c>
      <c r="S300">
        <v>5920.8197433045598</v>
      </c>
      <c r="T300">
        <v>6374.5080656704804</v>
      </c>
      <c r="U300">
        <v>6846.0735128599399</v>
      </c>
      <c r="V300">
        <v>7334.6779481902904</v>
      </c>
      <c r="W300">
        <v>5</v>
      </c>
      <c r="AG300" s="130" t="s">
        <v>354</v>
      </c>
      <c r="AI300">
        <v>1</v>
      </c>
      <c r="AJ300">
        <v>1.02077140626025</v>
      </c>
      <c r="AK300">
        <v>1.1808724707890601</v>
      </c>
      <c r="AL300">
        <v>1.3795062893689201</v>
      </c>
      <c r="AM300">
        <v>1.5797532941159</v>
      </c>
      <c r="AN300">
        <v>1.7724349027828501</v>
      </c>
      <c r="AO300">
        <v>1.9670027013934701</v>
      </c>
      <c r="AP300">
        <v>2.1697756973142601</v>
      </c>
      <c r="AQ300">
        <v>2.39044658151251</v>
      </c>
      <c r="AR300">
        <v>2.6346129953841202</v>
      </c>
      <c r="AS300">
        <v>2.90684306952897</v>
      </c>
      <c r="AT300">
        <v>3.2023775707575801</v>
      </c>
      <c r="AU300">
        <v>3.5221358429433698</v>
      </c>
      <c r="AV300">
        <v>3.8647101956102601</v>
      </c>
      <c r="AW300">
        <v>4.2315177318280401</v>
      </c>
      <c r="AX300">
        <v>4.6245407424709501</v>
      </c>
      <c r="AY300">
        <v>5.04559740239542</v>
      </c>
      <c r="AZ300">
        <v>5.4957279160889296</v>
      </c>
      <c r="BA300">
        <v>0</v>
      </c>
      <c r="BB300">
        <v>0</v>
      </c>
      <c r="BC300">
        <v>0</v>
      </c>
      <c r="BD300">
        <v>0</v>
      </c>
      <c r="BE300">
        <v>0</v>
      </c>
      <c r="BF300">
        <v>0</v>
      </c>
      <c r="BG300">
        <v>0</v>
      </c>
      <c r="BH300">
        <v>0</v>
      </c>
      <c r="BJ300" t="s">
        <v>343</v>
      </c>
      <c r="BL300">
        <v>1</v>
      </c>
      <c r="BM300">
        <v>0.99756097560975698</v>
      </c>
      <c r="BN300">
        <v>0.98536585365853702</v>
      </c>
      <c r="BO300">
        <v>0.97317073170731705</v>
      </c>
      <c r="BP300">
        <v>0.96097560975609797</v>
      </c>
      <c r="BQ300">
        <v>0.948780487804878</v>
      </c>
      <c r="BR300">
        <v>0.93658536585365804</v>
      </c>
      <c r="BS300">
        <v>0.92439024390243896</v>
      </c>
      <c r="BT300">
        <v>0.91219512195121999</v>
      </c>
      <c r="BU300">
        <v>0.90</v>
      </c>
      <c r="BV300">
        <v>0.8875</v>
      </c>
      <c r="BW300">
        <v>0.875000000000001</v>
      </c>
      <c r="BX300">
        <v>0.86250000000000104</v>
      </c>
      <c r="BY300">
        <v>0.85000000000000098</v>
      </c>
      <c r="BZ300">
        <v>0.8375</v>
      </c>
      <c r="CA300">
        <v>0.82500000000000095</v>
      </c>
      <c r="CB300">
        <v>0.812500000000001</v>
      </c>
      <c r="CC300">
        <v>0.80000000000000104</v>
      </c>
      <c r="CD300" t="e">
        <v>#VALUE!</v>
      </c>
      <c r="CE300" t="e">
        <v>#VALUE!</v>
      </c>
      <c r="CF300" t="e">
        <v>#VALUE!</v>
      </c>
      <c r="CG300" t="e">
        <v>#VALUE!</v>
      </c>
      <c r="CH300" t="e">
        <v>#VALUE!</v>
      </c>
      <c r="CI300" t="e">
        <v>#VALUE!</v>
      </c>
      <c r="CJ300" t="e">
        <v>#VALUE!</v>
      </c>
      <c r="CK300" t="e">
        <v>#VALUE!</v>
      </c>
    </row>
    <row r="301" spans="1:89" ht="12.5">
      <c r="A301" t="s">
        <v>28</v>
      </c>
      <c r="B301" t="s">
        <v>355</v>
      </c>
      <c r="C301" t="s">
        <v>355</v>
      </c>
      <c r="D301">
        <v>413.50</v>
      </c>
      <c r="E301">
        <v>426.78634019738899</v>
      </c>
      <c r="F301"/>
      <c r="G301">
        <v>519.70126111492402</v>
      </c>
      <c r="H301">
        <v>634.41438104893098</v>
      </c>
      <c r="I301">
        <v>752.831108085094</v>
      </c>
      <c r="J301">
        <v>868.73885360556199</v>
      </c>
      <c r="K301">
        <v>984.804503710777</v>
      </c>
      <c r="L301">
        <v>1102.8291122046701</v>
      </c>
      <c r="M301">
        <v>1225.74683156283</v>
      </c>
      <c r="N301">
        <v>1354.75664135227</v>
      </c>
      <c r="O301">
        <v>1490.6603021953099</v>
      </c>
      <c r="P301">
        <v>1630.0567922319401</v>
      </c>
      <c r="Q301">
        <v>1771.82328125444</v>
      </c>
      <c r="R301">
        <v>1913.7904511152699</v>
      </c>
      <c r="S301">
        <v>2055.60445905299</v>
      </c>
      <c r="T301">
        <v>2197.6339585897999</v>
      </c>
      <c r="U301">
        <v>2339.9322206141101</v>
      </c>
      <c r="V301">
        <v>2482.51116962181</v>
      </c>
      <c r="W301">
        <v>5</v>
      </c>
      <c r="AG301" s="130" t="s">
        <v>342</v>
      </c>
      <c r="AI301">
        <v>1</v>
      </c>
      <c r="AJ301">
        <v>1.0322099761469099</v>
      </c>
      <c r="AK301">
        <v>1.2602680722998201</v>
      </c>
      <c r="AL301">
        <v>1.54611479417579</v>
      </c>
      <c r="AM301">
        <v>1.8464245251015301</v>
      </c>
      <c r="AN301">
        <v>2.1460513675226802</v>
      </c>
      <c r="AO301">
        <v>2.45218229566993</v>
      </c>
      <c r="AP301">
        <v>2.7701038270968699</v>
      </c>
      <c r="AQ301">
        <v>3.1085694565669399</v>
      </c>
      <c r="AR301">
        <v>3.4720992600416198</v>
      </c>
      <c r="AS301">
        <v>3.8645576675928699</v>
      </c>
      <c r="AT301">
        <v>4.27757178038053</v>
      </c>
      <c r="AU301">
        <v>4.7089011694864897</v>
      </c>
      <c r="AV301">
        <v>5.1527838200068503</v>
      </c>
      <c r="AW301">
        <v>5.6086966926219999</v>
      </c>
      <c r="AX301">
        <v>6.0784253017178997</v>
      </c>
      <c r="AY301">
        <v>6.5628340221605903</v>
      </c>
      <c r="AZ301">
        <v>7.0626999847022596</v>
      </c>
      <c r="BA301">
        <v>0</v>
      </c>
      <c r="BB301">
        <v>0</v>
      </c>
      <c r="BC301">
        <v>0</v>
      </c>
      <c r="BD301">
        <v>0</v>
      </c>
      <c r="BE301">
        <v>0</v>
      </c>
      <c r="BF301">
        <v>0</v>
      </c>
      <c r="BG301">
        <v>0</v>
      </c>
      <c r="BH301">
        <v>0</v>
      </c>
      <c r="BJ301" t="s">
        <v>343</v>
      </c>
      <c r="BL301">
        <v>1</v>
      </c>
      <c r="BM301">
        <v>0.99756097560975698</v>
      </c>
      <c r="BN301">
        <v>0.98536585365853702</v>
      </c>
      <c r="BO301">
        <v>0.97317073170731705</v>
      </c>
      <c r="BP301">
        <v>0.96097560975609797</v>
      </c>
      <c r="BQ301">
        <v>0.948780487804878</v>
      </c>
      <c r="BR301">
        <v>0.93658536585365804</v>
      </c>
      <c r="BS301">
        <v>0.92439024390243896</v>
      </c>
      <c r="BT301">
        <v>0.91219512195121999</v>
      </c>
      <c r="BU301">
        <v>0.90</v>
      </c>
      <c r="BV301">
        <v>0.8875</v>
      </c>
      <c r="BW301">
        <v>0.875000000000001</v>
      </c>
      <c r="BX301">
        <v>0.86250000000000104</v>
      </c>
      <c r="BY301">
        <v>0.85000000000000098</v>
      </c>
      <c r="BZ301">
        <v>0.8375</v>
      </c>
      <c r="CA301">
        <v>0.82500000000000095</v>
      </c>
      <c r="CB301">
        <v>0.812500000000001</v>
      </c>
      <c r="CC301">
        <v>0.80000000000000104</v>
      </c>
      <c r="CD301" t="e">
        <v>#VALUE!</v>
      </c>
      <c r="CE301" t="e">
        <v>#VALUE!</v>
      </c>
      <c r="CF301" t="e">
        <v>#VALUE!</v>
      </c>
      <c r="CG301" t="e">
        <v>#VALUE!</v>
      </c>
      <c r="CH301" t="e">
        <v>#VALUE!</v>
      </c>
      <c r="CI301" t="e">
        <v>#VALUE!</v>
      </c>
      <c r="CJ301" t="e">
        <v>#VALUE!</v>
      </c>
      <c r="CK301" t="e">
        <v>#VALUE!</v>
      </c>
    </row>
    <row r="302" spans="1:89" ht="12.5">
      <c r="A302" t="s">
        <v>28</v>
      </c>
      <c r="B302" t="s">
        <v>356</v>
      </c>
      <c r="C302" t="s">
        <v>356</v>
      </c>
      <c r="D302">
        <v>163</v>
      </c>
      <c r="E302">
        <v>168.237420682405</v>
      </c>
      <c r="F302"/>
      <c r="G302">
        <v>204.86410051204999</v>
      </c>
      <c r="H302">
        <v>250.08354077624099</v>
      </c>
      <c r="I302">
        <v>296.76292773366498</v>
      </c>
      <c r="J302">
        <v>342.45328449264002</v>
      </c>
      <c r="K302">
        <v>388.20588658973799</v>
      </c>
      <c r="L302">
        <v>434.730702029893</v>
      </c>
      <c r="M302">
        <v>483.18436165596302</v>
      </c>
      <c r="N302">
        <v>534.03949828396503</v>
      </c>
      <c r="O302">
        <v>587.61216265498297</v>
      </c>
      <c r="P302">
        <v>642.56168593423695</v>
      </c>
      <c r="Q302">
        <v>698.44545307006797</v>
      </c>
      <c r="R302">
        <v>754.40832776732498</v>
      </c>
      <c r="S302">
        <v>810.31082666417706</v>
      </c>
      <c r="T302">
        <v>866.29827146345303</v>
      </c>
      <c r="U302">
        <v>922.39166133035098</v>
      </c>
      <c r="V302">
        <v>978.59569685212898</v>
      </c>
      <c r="W302">
        <v>5</v>
      </c>
      <c r="AG302" s="130" t="s">
        <v>342</v>
      </c>
      <c r="AI302">
        <v>1</v>
      </c>
      <c r="AJ302">
        <v>1.0322099761469099</v>
      </c>
      <c r="AK302">
        <v>1.2602680722998201</v>
      </c>
      <c r="AL302">
        <v>1.54611479417579</v>
      </c>
      <c r="AM302">
        <v>1.8464245251015301</v>
      </c>
      <c r="AN302">
        <v>2.1460513675226802</v>
      </c>
      <c r="AO302">
        <v>2.45218229566993</v>
      </c>
      <c r="AP302">
        <v>2.7701038270968699</v>
      </c>
      <c r="AQ302">
        <v>3.1085694565669399</v>
      </c>
      <c r="AR302">
        <v>3.4720992600416198</v>
      </c>
      <c r="AS302">
        <v>3.8645576675928699</v>
      </c>
      <c r="AT302">
        <v>4.27757178038053</v>
      </c>
      <c r="AU302">
        <v>4.7089011694864897</v>
      </c>
      <c r="AV302">
        <v>5.1527838200068503</v>
      </c>
      <c r="AW302">
        <v>5.6086966926219999</v>
      </c>
      <c r="AX302">
        <v>6.0784253017178997</v>
      </c>
      <c r="AY302">
        <v>6.5628340221605903</v>
      </c>
      <c r="AZ302">
        <v>7.0626999847022596</v>
      </c>
      <c r="BA302">
        <v>0</v>
      </c>
      <c r="BB302">
        <v>0</v>
      </c>
      <c r="BC302">
        <v>0</v>
      </c>
      <c r="BD302">
        <v>0</v>
      </c>
      <c r="BE302">
        <v>0</v>
      </c>
      <c r="BF302">
        <v>0</v>
      </c>
      <c r="BG302">
        <v>0</v>
      </c>
      <c r="BH302">
        <v>0</v>
      </c>
      <c r="BJ302" t="s">
        <v>343</v>
      </c>
      <c r="BL302">
        <v>1</v>
      </c>
      <c r="BM302">
        <v>0.99756097560975698</v>
      </c>
      <c r="BN302">
        <v>0.98536585365853702</v>
      </c>
      <c r="BO302">
        <v>0.97317073170731705</v>
      </c>
      <c r="BP302">
        <v>0.96097560975609797</v>
      </c>
      <c r="BQ302">
        <v>0.948780487804878</v>
      </c>
      <c r="BR302">
        <v>0.93658536585365804</v>
      </c>
      <c r="BS302">
        <v>0.92439024390243896</v>
      </c>
      <c r="BT302">
        <v>0.91219512195121999</v>
      </c>
      <c r="BU302">
        <v>0.90</v>
      </c>
      <c r="BV302">
        <v>0.8875</v>
      </c>
      <c r="BW302">
        <v>0.875000000000001</v>
      </c>
      <c r="BX302">
        <v>0.86250000000000104</v>
      </c>
      <c r="BY302">
        <v>0.85000000000000098</v>
      </c>
      <c r="BZ302">
        <v>0.8375</v>
      </c>
      <c r="CA302">
        <v>0.82500000000000095</v>
      </c>
      <c r="CB302">
        <v>0.812500000000001</v>
      </c>
      <c r="CC302">
        <v>0.80000000000000104</v>
      </c>
      <c r="CD302" t="e">
        <v>#VALUE!</v>
      </c>
      <c r="CE302" t="e">
        <v>#VALUE!</v>
      </c>
      <c r="CF302" t="e">
        <v>#VALUE!</v>
      </c>
      <c r="CG302" t="e">
        <v>#VALUE!</v>
      </c>
      <c r="CH302" t="e">
        <v>#VALUE!</v>
      </c>
      <c r="CI302" t="e">
        <v>#VALUE!</v>
      </c>
      <c r="CJ302" t="e">
        <v>#VALUE!</v>
      </c>
      <c r="CK302" t="e">
        <v>#VALUE!</v>
      </c>
    </row>
    <row r="303" spans="1:89" ht="12.5">
      <c r="A303" t="s">
        <v>29</v>
      </c>
      <c r="B303" t="s">
        <v>341</v>
      </c>
      <c r="C303" t="s">
        <v>341</v>
      </c>
      <c r="E303" s="2">
        <v>247.42473299169501</v>
      </c>
      <c r="F303" s="2">
        <f>E303</f>
        <v>247.42473299169501</v>
      </c>
      <c r="I303" s="2">
        <f>F303</f>
        <v>247.42473299169501</v>
      </c>
      <c r="J303" s="2">
        <f>I303</f>
        <v>247.42473299169501</v>
      </c>
      <c r="L303" s="2">
        <f>J303</f>
        <v>247.42473299169501</v>
      </c>
      <c r="V303" s="2">
        <f>L303</f>
        <v>247.42473299169501</v>
      </c>
      <c r="W303">
        <v>5</v>
      </c>
      <c r="AG303" s="130" t="s">
        <v>342</v>
      </c>
      <c r="AI303">
        <v>1</v>
      </c>
      <c r="AJ303">
        <v>1.0083380792241601</v>
      </c>
      <c r="AK303">
        <v>1.0766352075423999</v>
      </c>
      <c r="AL303">
        <v>1.1556434302758101</v>
      </c>
      <c r="AM303">
        <v>1.2657319608088</v>
      </c>
      <c r="AN303">
        <v>1.3800049173744</v>
      </c>
      <c r="AO303">
        <v>1.4961590470216299</v>
      </c>
      <c r="AP303">
        <v>1.6133543767929199</v>
      </c>
      <c r="AQ303">
        <v>1.74229545925796</v>
      </c>
      <c r="AR303">
        <v>1.8914377605159101</v>
      </c>
      <c r="AS303">
        <v>2.0500984469240202</v>
      </c>
      <c r="AT303">
        <v>2.2156429864770102</v>
      </c>
      <c r="AU303">
        <v>2.3834476028009099</v>
      </c>
      <c r="AV303">
        <v>2.5541960495836298</v>
      </c>
      <c r="AW303">
        <v>2.7332372013503599</v>
      </c>
      <c r="AX303">
        <v>2.9253657074786101</v>
      </c>
      <c r="AY303">
        <v>3.12923604119332</v>
      </c>
      <c r="AZ303">
        <v>3.3367747801704399</v>
      </c>
      <c r="BA303">
        <v>0</v>
      </c>
      <c r="BB303">
        <v>0</v>
      </c>
      <c r="BC303">
        <v>0</v>
      </c>
      <c r="BD303">
        <v>0</v>
      </c>
      <c r="BE303">
        <v>0</v>
      </c>
      <c r="BF303">
        <v>0</v>
      </c>
      <c r="BG303">
        <v>0</v>
      </c>
      <c r="BH303">
        <v>0</v>
      </c>
      <c r="BJ303" t="s">
        <v>357</v>
      </c>
      <c r="BL303">
        <v>0.80</v>
      </c>
      <c r="BM303">
        <v>0.79756097560975603</v>
      </c>
      <c r="BN303">
        <v>0.78536585365853595</v>
      </c>
      <c r="BO303">
        <v>0.77317073170731698</v>
      </c>
      <c r="BP303">
        <v>0.76097560975609702</v>
      </c>
      <c r="BQ303">
        <v>0.74878048780487805</v>
      </c>
      <c r="BR303">
        <v>0.73658536585365797</v>
      </c>
      <c r="BS303">
        <v>0.724390243902439</v>
      </c>
      <c r="BT303">
        <v>0.71219512195122003</v>
      </c>
      <c r="BU303">
        <v>0.69999999999999896</v>
      </c>
      <c r="BV303">
        <v>0.687499999999999</v>
      </c>
      <c r="BW303">
        <v>0.675</v>
      </c>
      <c r="BX303">
        <v>0.6625</v>
      </c>
      <c r="BY303">
        <v>0.64999999999999902</v>
      </c>
      <c r="BZ303">
        <v>0.63749999999999896</v>
      </c>
      <c r="CA303">
        <v>0.625</v>
      </c>
      <c r="CB303">
        <v>0.6125</v>
      </c>
      <c r="CC303">
        <v>0.60</v>
      </c>
      <c r="CD303" t="e">
        <v>#VALUE!</v>
      </c>
      <c r="CE303" t="e">
        <v>#VALUE!</v>
      </c>
      <c r="CF303" t="e">
        <v>#VALUE!</v>
      </c>
      <c r="CG303" t="e">
        <v>#VALUE!</v>
      </c>
      <c r="CH303" t="e">
        <v>#VALUE!</v>
      </c>
      <c r="CI303" t="e">
        <v>#VALUE!</v>
      </c>
      <c r="CJ303" t="e">
        <v>#VALUE!</v>
      </c>
      <c r="CK303" t="e">
        <v>#VALUE!</v>
      </c>
    </row>
    <row r="304" spans="1:89" ht="12.5">
      <c r="A304" t="s">
        <v>29</v>
      </c>
      <c r="B304" t="s">
        <v>344</v>
      </c>
      <c r="C304" t="s">
        <v>344</v>
      </c>
      <c r="E304" s="2">
        <v>254.796113659036</v>
      </c>
      <c r="F304" s="2">
        <f>E304</f>
        <v>254.796113659036</v>
      </c>
      <c r="I304" s="2">
        <f>F304</f>
        <v>254.796113659036</v>
      </c>
      <c r="J304" s="2">
        <f>I304</f>
        <v>254.796113659036</v>
      </c>
      <c r="L304" s="2">
        <f>J304</f>
        <v>254.796113659036</v>
      </c>
      <c r="V304" s="2">
        <f>L304</f>
        <v>254.796113659036</v>
      </c>
      <c r="W304">
        <v>5</v>
      </c>
      <c r="AG304" s="130" t="s">
        <v>342</v>
      </c>
      <c r="AI304">
        <v>1</v>
      </c>
      <c r="AJ304">
        <v>1.0083380792241601</v>
      </c>
      <c r="AK304">
        <v>1.0766352075423999</v>
      </c>
      <c r="AL304">
        <v>1.1556434302758101</v>
      </c>
      <c r="AM304">
        <v>1.2657319608088</v>
      </c>
      <c r="AN304">
        <v>1.3800049173744</v>
      </c>
      <c r="AO304">
        <v>1.4961590470216299</v>
      </c>
      <c r="AP304">
        <v>1.6133543767929199</v>
      </c>
      <c r="AQ304">
        <v>1.74229545925796</v>
      </c>
      <c r="AR304">
        <v>1.8914377605159101</v>
      </c>
      <c r="AS304">
        <v>2.0500984469240202</v>
      </c>
      <c r="AT304">
        <v>2.2156429864770102</v>
      </c>
      <c r="AU304">
        <v>2.3834476028009099</v>
      </c>
      <c r="AV304">
        <v>2.5541960495836298</v>
      </c>
      <c r="AW304">
        <v>2.7332372013503599</v>
      </c>
      <c r="AX304">
        <v>2.9253657074786101</v>
      </c>
      <c r="AY304">
        <v>3.12923604119332</v>
      </c>
      <c r="AZ304">
        <v>3.3367747801704399</v>
      </c>
      <c r="BA304">
        <v>0</v>
      </c>
      <c r="BB304">
        <v>0</v>
      </c>
      <c r="BC304">
        <v>0</v>
      </c>
      <c r="BD304">
        <v>0</v>
      </c>
      <c r="BE304">
        <v>0</v>
      </c>
      <c r="BF304">
        <v>0</v>
      </c>
      <c r="BG304">
        <v>0</v>
      </c>
      <c r="BH304">
        <v>0</v>
      </c>
      <c r="BJ304" t="s">
        <v>357</v>
      </c>
      <c r="BL304">
        <v>0.80</v>
      </c>
      <c r="BM304">
        <v>0.79756097560975603</v>
      </c>
      <c r="BN304">
        <v>0.78536585365853595</v>
      </c>
      <c r="BO304">
        <v>0.77317073170731698</v>
      </c>
      <c r="BP304">
        <v>0.76097560975609702</v>
      </c>
      <c r="BQ304">
        <v>0.74878048780487805</v>
      </c>
      <c r="BR304">
        <v>0.73658536585365797</v>
      </c>
      <c r="BS304">
        <v>0.724390243902439</v>
      </c>
      <c r="BT304">
        <v>0.71219512195122003</v>
      </c>
      <c r="BU304">
        <v>0.69999999999999896</v>
      </c>
      <c r="BV304">
        <v>0.687499999999999</v>
      </c>
      <c r="BW304">
        <v>0.675</v>
      </c>
      <c r="BX304">
        <v>0.6625</v>
      </c>
      <c r="BY304">
        <v>0.64999999999999902</v>
      </c>
      <c r="BZ304">
        <v>0.63749999999999896</v>
      </c>
      <c r="CA304">
        <v>0.625</v>
      </c>
      <c r="CB304">
        <v>0.6125</v>
      </c>
      <c r="CC304">
        <v>0.60</v>
      </c>
      <c r="CD304" t="e">
        <v>#VALUE!</v>
      </c>
      <c r="CE304" t="e">
        <v>#VALUE!</v>
      </c>
      <c r="CF304" t="e">
        <v>#VALUE!</v>
      </c>
      <c r="CG304" t="e">
        <v>#VALUE!</v>
      </c>
      <c r="CH304" t="e">
        <v>#VALUE!</v>
      </c>
      <c r="CI304" t="e">
        <v>#VALUE!</v>
      </c>
      <c r="CJ304" t="e">
        <v>#VALUE!</v>
      </c>
      <c r="CK304" t="e">
        <v>#VALUE!</v>
      </c>
    </row>
    <row r="305" spans="1:89" ht="12.5">
      <c r="A305" t="s">
        <v>29</v>
      </c>
      <c r="B305" t="s">
        <v>345</v>
      </c>
      <c r="C305" t="s">
        <v>345</v>
      </c>
      <c r="E305" s="2">
        <v>195.540546638997</v>
      </c>
      <c r="I305" s="2">
        <v>233.40334186743399</v>
      </c>
      <c r="J305" s="2">
        <v>249.181754381167</v>
      </c>
      <c r="L305" s="2">
        <v>279.646185639978</v>
      </c>
      <c r="V305" s="2">
        <v>454.057544816134</v>
      </c>
      <c r="W305">
        <v>5</v>
      </c>
      <c r="AG305" s="130" t="s">
        <v>342</v>
      </c>
      <c r="AI305">
        <v>1</v>
      </c>
      <c r="AJ305">
        <v>1.0083380792241601</v>
      </c>
      <c r="AK305">
        <v>1.0766352075423999</v>
      </c>
      <c r="AL305">
        <v>1.1556434302758101</v>
      </c>
      <c r="AM305">
        <v>1.2657319608088</v>
      </c>
      <c r="AN305">
        <v>1.3800049173744</v>
      </c>
      <c r="AO305">
        <v>1.4961590470216299</v>
      </c>
      <c r="AP305">
        <v>1.6133543767929199</v>
      </c>
      <c r="AQ305">
        <v>1.74229545925796</v>
      </c>
      <c r="AR305">
        <v>1.8914377605159101</v>
      </c>
      <c r="AS305">
        <v>2.0500984469240202</v>
      </c>
      <c r="AT305">
        <v>2.2156429864770102</v>
      </c>
      <c r="AU305">
        <v>2.3834476028009099</v>
      </c>
      <c r="AV305">
        <v>2.5541960495836298</v>
      </c>
      <c r="AW305">
        <v>2.7332372013503599</v>
      </c>
      <c r="AX305">
        <v>2.9253657074786101</v>
      </c>
      <c r="AY305">
        <v>3.12923604119332</v>
      </c>
      <c r="AZ305">
        <v>3.3367747801704399</v>
      </c>
      <c r="BA305">
        <v>0</v>
      </c>
      <c r="BB305">
        <v>0</v>
      </c>
      <c r="BC305">
        <v>0</v>
      </c>
      <c r="BD305">
        <v>0</v>
      </c>
      <c r="BE305">
        <v>0</v>
      </c>
      <c r="BF305">
        <v>0</v>
      </c>
      <c r="BG305">
        <v>0</v>
      </c>
      <c r="BH305">
        <v>0</v>
      </c>
      <c r="BJ305" t="s">
        <v>357</v>
      </c>
      <c r="BL305">
        <v>0.80</v>
      </c>
      <c r="BM305">
        <v>0.79756097560975603</v>
      </c>
      <c r="BN305">
        <v>0.78536585365853595</v>
      </c>
      <c r="BO305">
        <v>0.77317073170731698</v>
      </c>
      <c r="BP305">
        <v>0.76097560975609702</v>
      </c>
      <c r="BQ305">
        <v>0.74878048780487805</v>
      </c>
      <c r="BR305">
        <v>0.73658536585365797</v>
      </c>
      <c r="BS305">
        <v>0.724390243902439</v>
      </c>
      <c r="BT305">
        <v>0.71219512195122003</v>
      </c>
      <c r="BU305">
        <v>0.69999999999999896</v>
      </c>
      <c r="BV305">
        <v>0.687499999999999</v>
      </c>
      <c r="BW305">
        <v>0.675</v>
      </c>
      <c r="BX305">
        <v>0.6625</v>
      </c>
      <c r="BY305">
        <v>0.64999999999999902</v>
      </c>
      <c r="BZ305">
        <v>0.63749999999999896</v>
      </c>
      <c r="CA305">
        <v>0.625</v>
      </c>
      <c r="CB305">
        <v>0.6125</v>
      </c>
      <c r="CC305">
        <v>0.60</v>
      </c>
      <c r="CD305" t="e">
        <v>#VALUE!</v>
      </c>
      <c r="CE305" t="e">
        <v>#VALUE!</v>
      </c>
      <c r="CF305" t="e">
        <v>#VALUE!</v>
      </c>
      <c r="CG305" t="e">
        <v>#VALUE!</v>
      </c>
      <c r="CH305" t="e">
        <v>#VALUE!</v>
      </c>
      <c r="CI305" t="e">
        <v>#VALUE!</v>
      </c>
      <c r="CJ305" t="e">
        <v>#VALUE!</v>
      </c>
      <c r="CK305" t="e">
        <v>#VALUE!</v>
      </c>
    </row>
    <row r="306" spans="1:89" ht="12.5">
      <c r="A306" t="s">
        <v>29</v>
      </c>
      <c r="B306" t="s">
        <v>346</v>
      </c>
      <c r="C306" t="s">
        <v>346</v>
      </c>
      <c r="E306" s="2">
        <v>172.00194168419799</v>
      </c>
      <c r="I306" s="2">
        <v>167.898987057315</v>
      </c>
      <c r="J306" s="2">
        <v>166.62488399282199</v>
      </c>
      <c r="L306" s="2">
        <v>165.248837367325</v>
      </c>
      <c r="V306" s="2">
        <v>154.25511252622999</v>
      </c>
      <c r="W306">
        <v>5</v>
      </c>
      <c r="AG306" s="130" t="s">
        <v>347</v>
      </c>
      <c r="AI306">
        <v>1</v>
      </c>
      <c r="AJ306">
        <v>0.99915327762925799</v>
      </c>
      <c r="AK306">
        <v>0.99491966577554702</v>
      </c>
      <c r="AL306">
        <v>0.98111362208529496</v>
      </c>
      <c r="AM306">
        <v>0.96825563893972599</v>
      </c>
      <c r="AN306">
        <v>0.95844286033536397</v>
      </c>
      <c r="AO306">
        <v>0.95210561158023199</v>
      </c>
      <c r="AP306">
        <v>0.94763074652346402</v>
      </c>
      <c r="AQ306">
        <v>0.941735143873907</v>
      </c>
      <c r="AR306">
        <v>0.93426556464730404</v>
      </c>
      <c r="AS306">
        <v>0.92488251991804304</v>
      </c>
      <c r="AT306">
        <v>0.91470440934084596</v>
      </c>
      <c r="AU306">
        <v>0.90453826885169297</v>
      </c>
      <c r="AV306">
        <v>0.89456247976262804</v>
      </c>
      <c r="AW306">
        <v>0.88481569092935397</v>
      </c>
      <c r="AX306">
        <v>0.87502788750869198</v>
      </c>
      <c r="AY306">
        <v>0.86453714677486804</v>
      </c>
      <c r="AZ306">
        <v>0.85221487328388301</v>
      </c>
      <c r="BA306">
        <v>0</v>
      </c>
      <c r="BB306">
        <v>0</v>
      </c>
      <c r="BC306">
        <v>0</v>
      </c>
      <c r="BD306">
        <v>0</v>
      </c>
      <c r="BE306">
        <v>0</v>
      </c>
      <c r="BF306">
        <v>0</v>
      </c>
      <c r="BG306">
        <v>0</v>
      </c>
      <c r="BH306">
        <v>0</v>
      </c>
      <c r="BJ306" t="s">
        <v>357</v>
      </c>
      <c r="BL306">
        <v>0.80</v>
      </c>
      <c r="BM306">
        <v>0.79756097560975603</v>
      </c>
      <c r="BN306">
        <v>0.78536585365853595</v>
      </c>
      <c r="BO306">
        <v>0.77317073170731698</v>
      </c>
      <c r="BP306">
        <v>0.76097560975609702</v>
      </c>
      <c r="BQ306">
        <v>0.74878048780487805</v>
      </c>
      <c r="BR306">
        <v>0.73658536585365797</v>
      </c>
      <c r="BS306">
        <v>0.724390243902439</v>
      </c>
      <c r="BT306">
        <v>0.71219512195122003</v>
      </c>
      <c r="BU306">
        <v>0.69999999999999896</v>
      </c>
      <c r="BV306">
        <v>0.687499999999999</v>
      </c>
      <c r="BW306">
        <v>0.675</v>
      </c>
      <c r="BX306">
        <v>0.6625</v>
      </c>
      <c r="BY306">
        <v>0.64999999999999902</v>
      </c>
      <c r="BZ306">
        <v>0.63749999999999896</v>
      </c>
      <c r="CA306">
        <v>0.625</v>
      </c>
      <c r="CB306">
        <v>0.6125</v>
      </c>
      <c r="CC306">
        <v>0.60</v>
      </c>
      <c r="CD306" t="e">
        <v>#VALUE!</v>
      </c>
      <c r="CE306" t="e">
        <v>#VALUE!</v>
      </c>
      <c r="CF306" t="e">
        <v>#VALUE!</v>
      </c>
      <c r="CG306" t="e">
        <v>#VALUE!</v>
      </c>
      <c r="CH306" t="e">
        <v>#VALUE!</v>
      </c>
      <c r="CI306" t="e">
        <v>#VALUE!</v>
      </c>
      <c r="CJ306" t="e">
        <v>#VALUE!</v>
      </c>
      <c r="CK306" t="e">
        <v>#VALUE!</v>
      </c>
    </row>
    <row r="307" spans="1:89" ht="12.5">
      <c r="A307" t="s">
        <v>29</v>
      </c>
      <c r="B307" t="s">
        <v>348</v>
      </c>
      <c r="C307" t="s">
        <v>348</v>
      </c>
      <c r="E307" s="2">
        <v>25.764364009632601</v>
      </c>
      <c r="F307" s="2">
        <f>E307</f>
        <v>25.764364009632601</v>
      </c>
      <c r="I307" s="2">
        <f>F307</f>
        <v>25.764364009632601</v>
      </c>
      <c r="J307" s="2">
        <f>I307</f>
        <v>25.764364009632601</v>
      </c>
      <c r="L307" s="2">
        <f>J307</f>
        <v>25.764364009632601</v>
      </c>
      <c r="V307" s="2">
        <f>L307</f>
        <v>25.764364009632601</v>
      </c>
      <c r="W307">
        <v>5</v>
      </c>
      <c r="AG307" s="130" t="s">
        <v>342</v>
      </c>
      <c r="AI307">
        <v>1</v>
      </c>
      <c r="AJ307">
        <v>1.0083380792241601</v>
      </c>
      <c r="AK307">
        <v>1.0766352075423999</v>
      </c>
      <c r="AL307">
        <v>1.1556434302758101</v>
      </c>
      <c r="AM307">
        <v>1.2657319608088</v>
      </c>
      <c r="AN307">
        <v>1.3800049173744</v>
      </c>
      <c r="AO307">
        <v>1.4961590470216299</v>
      </c>
      <c r="AP307">
        <v>1.6133543767929199</v>
      </c>
      <c r="AQ307">
        <v>1.74229545925796</v>
      </c>
      <c r="AR307">
        <v>1.8914377605159101</v>
      </c>
      <c r="AS307">
        <v>2.0500984469240202</v>
      </c>
      <c r="AT307">
        <v>2.2156429864770102</v>
      </c>
      <c r="AU307">
        <v>2.3834476028009099</v>
      </c>
      <c r="AV307">
        <v>2.5541960495836298</v>
      </c>
      <c r="AW307">
        <v>2.7332372013503599</v>
      </c>
      <c r="AX307">
        <v>2.9253657074786101</v>
      </c>
      <c r="AY307">
        <v>3.12923604119332</v>
      </c>
      <c r="AZ307">
        <v>3.3367747801704399</v>
      </c>
      <c r="BA307">
        <v>0</v>
      </c>
      <c r="BB307">
        <v>0</v>
      </c>
      <c r="BC307">
        <v>0</v>
      </c>
      <c r="BD307">
        <v>0</v>
      </c>
      <c r="BE307">
        <v>0</v>
      </c>
      <c r="BF307">
        <v>0</v>
      </c>
      <c r="BG307">
        <v>0</v>
      </c>
      <c r="BH307">
        <v>0</v>
      </c>
      <c r="BJ307" t="s">
        <v>357</v>
      </c>
      <c r="BL307">
        <v>0.80</v>
      </c>
      <c r="BM307">
        <v>0.79756097560975603</v>
      </c>
      <c r="BN307">
        <v>0.78536585365853595</v>
      </c>
      <c r="BO307">
        <v>0.77317073170731698</v>
      </c>
      <c r="BP307">
        <v>0.76097560975609702</v>
      </c>
      <c r="BQ307">
        <v>0.74878048780487805</v>
      </c>
      <c r="BR307">
        <v>0.73658536585365797</v>
      </c>
      <c r="BS307">
        <v>0.724390243902439</v>
      </c>
      <c r="BT307">
        <v>0.71219512195122003</v>
      </c>
      <c r="BU307">
        <v>0.69999999999999896</v>
      </c>
      <c r="BV307">
        <v>0.687499999999999</v>
      </c>
      <c r="BW307">
        <v>0.675</v>
      </c>
      <c r="BX307">
        <v>0.6625</v>
      </c>
      <c r="BY307">
        <v>0.64999999999999902</v>
      </c>
      <c r="BZ307">
        <v>0.63749999999999896</v>
      </c>
      <c r="CA307">
        <v>0.625</v>
      </c>
      <c r="CB307">
        <v>0.6125</v>
      </c>
      <c r="CC307">
        <v>0.60</v>
      </c>
      <c r="CD307" t="e">
        <v>#VALUE!</v>
      </c>
      <c r="CE307" t="e">
        <v>#VALUE!</v>
      </c>
      <c r="CF307" t="e">
        <v>#VALUE!</v>
      </c>
      <c r="CG307" t="e">
        <v>#VALUE!</v>
      </c>
      <c r="CH307" t="e">
        <v>#VALUE!</v>
      </c>
      <c r="CI307" t="e">
        <v>#VALUE!</v>
      </c>
      <c r="CJ307" t="e">
        <v>#VALUE!</v>
      </c>
      <c r="CK307" t="e">
        <v>#VALUE!</v>
      </c>
    </row>
    <row r="308" spans="1:89" ht="12.5">
      <c r="A308" t="s">
        <v>29</v>
      </c>
      <c r="B308" t="s">
        <v>349</v>
      </c>
      <c r="C308" t="s">
        <v>349</v>
      </c>
      <c r="E308" s="2">
        <v>455.50358851206698</v>
      </c>
      <c r="F308" s="2">
        <f>E308</f>
        <v>455.50358851206698</v>
      </c>
      <c r="I308" s="2">
        <f>F308</f>
        <v>455.50358851206698</v>
      </c>
      <c r="J308" s="2">
        <f>I308</f>
        <v>455.50358851206698</v>
      </c>
      <c r="L308" s="2">
        <f>J308</f>
        <v>455.50358851206698</v>
      </c>
      <c r="V308" s="2">
        <f>L308</f>
        <v>455.50358851206698</v>
      </c>
      <c r="W308">
        <v>5</v>
      </c>
      <c r="AG308" s="130" t="s">
        <v>342</v>
      </c>
      <c r="AI308">
        <v>1</v>
      </c>
      <c r="AJ308">
        <v>1.0083380792241601</v>
      </c>
      <c r="AK308">
        <v>1.0766352075423999</v>
      </c>
      <c r="AL308">
        <v>1.1556434302758101</v>
      </c>
      <c r="AM308">
        <v>1.2657319608088</v>
      </c>
      <c r="AN308">
        <v>1.3800049173744</v>
      </c>
      <c r="AO308">
        <v>1.4961590470216299</v>
      </c>
      <c r="AP308">
        <v>1.6133543767929199</v>
      </c>
      <c r="AQ308">
        <v>1.74229545925796</v>
      </c>
      <c r="AR308">
        <v>1.8914377605159101</v>
      </c>
      <c r="AS308">
        <v>2.0500984469240202</v>
      </c>
      <c r="AT308">
        <v>2.2156429864770102</v>
      </c>
      <c r="AU308">
        <v>2.3834476028009099</v>
      </c>
      <c r="AV308">
        <v>2.5541960495836298</v>
      </c>
      <c r="AW308">
        <v>2.7332372013503599</v>
      </c>
      <c r="AX308">
        <v>2.9253657074786101</v>
      </c>
      <c r="AY308">
        <v>3.12923604119332</v>
      </c>
      <c r="AZ308">
        <v>3.3367747801704399</v>
      </c>
      <c r="BA308">
        <v>0</v>
      </c>
      <c r="BB308">
        <v>0</v>
      </c>
      <c r="BC308">
        <v>0</v>
      </c>
      <c r="BD308">
        <v>0</v>
      </c>
      <c r="BE308">
        <v>0</v>
      </c>
      <c r="BF308">
        <v>0</v>
      </c>
      <c r="BG308">
        <v>0</v>
      </c>
      <c r="BH308">
        <v>0</v>
      </c>
      <c r="BJ308" t="s">
        <v>357</v>
      </c>
      <c r="BL308">
        <v>0.80</v>
      </c>
      <c r="BM308">
        <v>0.79756097560975603</v>
      </c>
      <c r="BN308">
        <v>0.78536585365853595</v>
      </c>
      <c r="BO308">
        <v>0.77317073170731698</v>
      </c>
      <c r="BP308">
        <v>0.76097560975609702</v>
      </c>
      <c r="BQ308">
        <v>0.74878048780487805</v>
      </c>
      <c r="BR308">
        <v>0.73658536585365797</v>
      </c>
      <c r="BS308">
        <v>0.724390243902439</v>
      </c>
      <c r="BT308">
        <v>0.71219512195122003</v>
      </c>
      <c r="BU308">
        <v>0.69999999999999896</v>
      </c>
      <c r="BV308">
        <v>0.687499999999999</v>
      </c>
      <c r="BW308">
        <v>0.675</v>
      </c>
      <c r="BX308">
        <v>0.6625</v>
      </c>
      <c r="BY308">
        <v>0.64999999999999902</v>
      </c>
      <c r="BZ308">
        <v>0.63749999999999896</v>
      </c>
      <c r="CA308">
        <v>0.625</v>
      </c>
      <c r="CB308">
        <v>0.6125</v>
      </c>
      <c r="CC308">
        <v>0.60</v>
      </c>
      <c r="CD308" t="e">
        <v>#VALUE!</v>
      </c>
      <c r="CE308" t="e">
        <v>#VALUE!</v>
      </c>
      <c r="CF308" t="e">
        <v>#VALUE!</v>
      </c>
      <c r="CG308" t="e">
        <v>#VALUE!</v>
      </c>
      <c r="CH308" t="e">
        <v>#VALUE!</v>
      </c>
      <c r="CI308" t="e">
        <v>#VALUE!</v>
      </c>
      <c r="CJ308" t="e">
        <v>#VALUE!</v>
      </c>
      <c r="CK308" t="e">
        <v>#VALUE!</v>
      </c>
    </row>
    <row r="309" spans="1:89" ht="12.5">
      <c r="A309" t="s">
        <v>29</v>
      </c>
      <c r="B309" t="s">
        <v>350</v>
      </c>
      <c r="C309" t="s">
        <v>350</v>
      </c>
      <c r="D309">
        <v>16.08</v>
      </c>
      <c r="E309">
        <v>16.069140971461099</v>
      </c>
      <c r="F309"/>
      <c r="G309">
        <v>16.015666857552102</v>
      </c>
      <c r="H309">
        <v>15.843835801166801</v>
      </c>
      <c r="I309">
        <v>15.6858257852875</v>
      </c>
      <c r="J309">
        <v>15.566793746724301</v>
      </c>
      <c r="K309">
        <v>15.490978459318701</v>
      </c>
      <c r="L309">
        <v>15.4382377142057</v>
      </c>
      <c r="M309">
        <v>15.3698330397112</v>
      </c>
      <c r="N309">
        <v>15.2844965940708</v>
      </c>
      <c r="O309">
        <v>15.1789614063947</v>
      </c>
      <c r="P309">
        <v>15.066208843326301</v>
      </c>
      <c r="Q309">
        <v>14.955274708603</v>
      </c>
      <c r="R309">
        <v>14.8480664937494</v>
      </c>
      <c r="S309">
        <v>14.744932705298099</v>
      </c>
      <c r="T309">
        <v>14.6429902158552</v>
      </c>
      <c r="U309">
        <v>14.535462573170101</v>
      </c>
      <c r="V309">
        <v>14.411157946714599</v>
      </c>
      <c r="W309">
        <v>5</v>
      </c>
      <c r="AG309" s="130" t="s">
        <v>347</v>
      </c>
      <c r="AI309">
        <v>1</v>
      </c>
      <c r="AJ309">
        <v>0.99915327762925799</v>
      </c>
      <c r="AK309">
        <v>0.99491966577554702</v>
      </c>
      <c r="AL309">
        <v>0.98111362208529496</v>
      </c>
      <c r="AM309">
        <v>0.96825563893972599</v>
      </c>
      <c r="AN309">
        <v>0.95844286033536397</v>
      </c>
      <c r="AO309">
        <v>0.95210561158023199</v>
      </c>
      <c r="AP309">
        <v>0.94763074652346402</v>
      </c>
      <c r="AQ309">
        <v>0.941735143873907</v>
      </c>
      <c r="AR309">
        <v>0.93426556464730404</v>
      </c>
      <c r="AS309">
        <v>0.92488251991804304</v>
      </c>
      <c r="AT309">
        <v>0.91470440934084596</v>
      </c>
      <c r="AU309">
        <v>0.90453826885169297</v>
      </c>
      <c r="AV309">
        <v>0.89456247976262804</v>
      </c>
      <c r="AW309">
        <v>0.88481569092935397</v>
      </c>
      <c r="AX309">
        <v>0.87502788750869198</v>
      </c>
      <c r="AY309">
        <v>0.86453714677486804</v>
      </c>
      <c r="AZ309">
        <v>0.85221487328388301</v>
      </c>
      <c r="BA309">
        <v>0</v>
      </c>
      <c r="BB309">
        <v>0</v>
      </c>
      <c r="BC309">
        <v>0</v>
      </c>
      <c r="BD309">
        <v>0</v>
      </c>
      <c r="BE309">
        <v>0</v>
      </c>
      <c r="BF309">
        <v>0</v>
      </c>
      <c r="BG309">
        <v>0</v>
      </c>
      <c r="BH309">
        <v>0</v>
      </c>
      <c r="BJ309" t="s">
        <v>357</v>
      </c>
      <c r="BL309">
        <v>0.80</v>
      </c>
      <c r="BM309">
        <v>0.79756097560975603</v>
      </c>
      <c r="BN309">
        <v>0.78536585365853595</v>
      </c>
      <c r="BO309">
        <v>0.77317073170731698</v>
      </c>
      <c r="BP309">
        <v>0.76097560975609702</v>
      </c>
      <c r="BQ309">
        <v>0.74878048780487805</v>
      </c>
      <c r="BR309">
        <v>0.73658536585365797</v>
      </c>
      <c r="BS309">
        <v>0.724390243902439</v>
      </c>
      <c r="BT309">
        <v>0.71219512195122003</v>
      </c>
      <c r="BU309">
        <v>0.69999999999999896</v>
      </c>
      <c r="BV309">
        <v>0.687499999999999</v>
      </c>
      <c r="BW309">
        <v>0.675</v>
      </c>
      <c r="BX309">
        <v>0.6625</v>
      </c>
      <c r="BY309">
        <v>0.64999999999999902</v>
      </c>
      <c r="BZ309">
        <v>0.63749999999999896</v>
      </c>
      <c r="CA309">
        <v>0.625</v>
      </c>
      <c r="CB309">
        <v>0.6125</v>
      </c>
      <c r="CC309">
        <v>0.60</v>
      </c>
      <c r="CD309" t="e">
        <v>#VALUE!</v>
      </c>
      <c r="CE309" t="e">
        <v>#VALUE!</v>
      </c>
      <c r="CF309" t="e">
        <v>#VALUE!</v>
      </c>
      <c r="CG309" t="e">
        <v>#VALUE!</v>
      </c>
      <c r="CH309" t="e">
        <v>#VALUE!</v>
      </c>
      <c r="CI309" t="e">
        <v>#VALUE!</v>
      </c>
      <c r="CJ309" t="e">
        <v>#VALUE!</v>
      </c>
      <c r="CK309" t="e">
        <v>#VALUE!</v>
      </c>
    </row>
    <row r="310" spans="1:89" ht="12.5">
      <c r="A310" t="s">
        <v>29</v>
      </c>
      <c r="B310" t="s">
        <v>351</v>
      </c>
      <c r="C310" t="s">
        <v>351</v>
      </c>
      <c r="D310">
        <v>3.18</v>
      </c>
      <c r="E310">
        <v>3.1778525055501499</v>
      </c>
      <c r="F310"/>
      <c r="G310">
        <v>3.1672774009337998</v>
      </c>
      <c r="H310">
        <v>3.1332958860516502</v>
      </c>
      <c r="I310">
        <v>3.1020476366426899</v>
      </c>
      <c r="J310">
        <v>3.0785077185685998</v>
      </c>
      <c r="K310">
        <v>3.0635143968055698</v>
      </c>
      <c r="L310">
        <v>3.0530843240779899</v>
      </c>
      <c r="M310">
        <v>3.0395565339727399</v>
      </c>
      <c r="N310">
        <v>3.0226802965886299</v>
      </c>
      <c r="O310">
        <v>3.0018095318616398</v>
      </c>
      <c r="P310">
        <v>2.9795114503593099</v>
      </c>
      <c r="Q310">
        <v>2.9575729834177502</v>
      </c>
      <c r="R310">
        <v>2.9363713588385001</v>
      </c>
      <c r="S310">
        <v>2.91597549768955</v>
      </c>
      <c r="T310">
        <v>2.8958152292549499</v>
      </c>
      <c r="U310">
        <v>2.8745504342463302</v>
      </c>
      <c r="V310">
        <v>2.8499678028950601</v>
      </c>
      <c r="W310">
        <v>5</v>
      </c>
      <c r="AG310" s="130" t="s">
        <v>347</v>
      </c>
      <c r="AI310">
        <v>1</v>
      </c>
      <c r="AJ310">
        <v>0.99915327762925799</v>
      </c>
      <c r="AK310">
        <v>0.99491966577554702</v>
      </c>
      <c r="AL310">
        <v>0.98111362208529496</v>
      </c>
      <c r="AM310">
        <v>0.96825563893972599</v>
      </c>
      <c r="AN310">
        <v>0.95844286033536397</v>
      </c>
      <c r="AO310">
        <v>0.95210561158023199</v>
      </c>
      <c r="AP310">
        <v>0.94763074652346402</v>
      </c>
      <c r="AQ310">
        <v>0.941735143873907</v>
      </c>
      <c r="AR310">
        <v>0.93426556464730404</v>
      </c>
      <c r="AS310">
        <v>0.92488251991804304</v>
      </c>
      <c r="AT310">
        <v>0.91470440934084596</v>
      </c>
      <c r="AU310">
        <v>0.90453826885169297</v>
      </c>
      <c r="AV310">
        <v>0.89456247976262804</v>
      </c>
      <c r="AW310">
        <v>0.88481569092935397</v>
      </c>
      <c r="AX310">
        <v>0.87502788750869198</v>
      </c>
      <c r="AY310">
        <v>0.86453714677486804</v>
      </c>
      <c r="AZ310">
        <v>0.85221487328388301</v>
      </c>
      <c r="BA310">
        <v>0</v>
      </c>
      <c r="BB310">
        <v>0</v>
      </c>
      <c r="BC310">
        <v>0</v>
      </c>
      <c r="BD310">
        <v>0</v>
      </c>
      <c r="BE310">
        <v>0</v>
      </c>
      <c r="BF310">
        <v>0</v>
      </c>
      <c r="BG310">
        <v>0</v>
      </c>
      <c r="BH310">
        <v>0</v>
      </c>
      <c r="BJ310" t="s">
        <v>357</v>
      </c>
      <c r="BL310">
        <v>0.80</v>
      </c>
      <c r="BM310">
        <v>0.79756097560975603</v>
      </c>
      <c r="BN310">
        <v>0.78536585365853595</v>
      </c>
      <c r="BO310">
        <v>0.77317073170731698</v>
      </c>
      <c r="BP310">
        <v>0.76097560975609702</v>
      </c>
      <c r="BQ310">
        <v>0.74878048780487805</v>
      </c>
      <c r="BR310">
        <v>0.73658536585365797</v>
      </c>
      <c r="BS310">
        <v>0.724390243902439</v>
      </c>
      <c r="BT310">
        <v>0.71219512195122003</v>
      </c>
      <c r="BU310">
        <v>0.69999999999999896</v>
      </c>
      <c r="BV310">
        <v>0.687499999999999</v>
      </c>
      <c r="BW310">
        <v>0.675</v>
      </c>
      <c r="BX310">
        <v>0.6625</v>
      </c>
      <c r="BY310">
        <v>0.64999999999999902</v>
      </c>
      <c r="BZ310">
        <v>0.63749999999999896</v>
      </c>
      <c r="CA310">
        <v>0.625</v>
      </c>
      <c r="CB310">
        <v>0.6125</v>
      </c>
      <c r="CC310">
        <v>0.60</v>
      </c>
      <c r="CD310" t="e">
        <v>#VALUE!</v>
      </c>
      <c r="CE310" t="e">
        <v>#VALUE!</v>
      </c>
      <c r="CF310" t="e">
        <v>#VALUE!</v>
      </c>
      <c r="CG310" t="e">
        <v>#VALUE!</v>
      </c>
      <c r="CH310" t="e">
        <v>#VALUE!</v>
      </c>
      <c r="CI310" t="e">
        <v>#VALUE!</v>
      </c>
      <c r="CJ310" t="e">
        <v>#VALUE!</v>
      </c>
      <c r="CK310" t="e">
        <v>#VALUE!</v>
      </c>
    </row>
    <row r="311" spans="1:89" ht="12.5">
      <c r="A311" t="s">
        <v>29</v>
      </c>
      <c r="B311" t="s">
        <v>352</v>
      </c>
      <c r="C311" t="s">
        <v>352</v>
      </c>
      <c r="D311">
        <v>6.825</v>
      </c>
      <c r="E311">
        <v>6.8203909906854596</v>
      </c>
      <c r="F311"/>
      <c r="G311">
        <v>6.7976944218154802</v>
      </c>
      <c r="H311">
        <v>6.72476239695047</v>
      </c>
      <c r="I311">
        <v>6.6576965786434998</v>
      </c>
      <c r="J311">
        <v>6.60717458466375</v>
      </c>
      <c r="K311">
        <v>6.5749955214459099</v>
      </c>
      <c r="L311">
        <v>6.5526102238466404</v>
      </c>
      <c r="M311">
        <v>6.5235765233848904</v>
      </c>
      <c r="N311">
        <v>6.4873562969237204</v>
      </c>
      <c r="O311">
        <v>6.4425629103634199</v>
      </c>
      <c r="P311">
        <v>6.3947061788372102</v>
      </c>
      <c r="Q311">
        <v>6.3476212615805601</v>
      </c>
      <c r="R311">
        <v>6.3021177748656498</v>
      </c>
      <c r="S311">
        <v>6.25834363890917</v>
      </c>
      <c r="T311">
        <v>6.21507513825944</v>
      </c>
      <c r="U311">
        <v>6.1694360735003801</v>
      </c>
      <c r="V311">
        <v>6.1166761807417496</v>
      </c>
      <c r="W311">
        <v>5</v>
      </c>
      <c r="AG311" s="130" t="s">
        <v>347</v>
      </c>
      <c r="AI311">
        <v>1</v>
      </c>
      <c r="AJ311">
        <v>0.99915327762925799</v>
      </c>
      <c r="AK311">
        <v>0.99491966577554702</v>
      </c>
      <c r="AL311">
        <v>0.98111362208529496</v>
      </c>
      <c r="AM311">
        <v>0.96825563893972599</v>
      </c>
      <c r="AN311">
        <v>0.95844286033536397</v>
      </c>
      <c r="AO311">
        <v>0.95210561158023199</v>
      </c>
      <c r="AP311">
        <v>0.94763074652346402</v>
      </c>
      <c r="AQ311">
        <v>0.941735143873907</v>
      </c>
      <c r="AR311">
        <v>0.93426556464730404</v>
      </c>
      <c r="AS311">
        <v>0.92488251991804304</v>
      </c>
      <c r="AT311">
        <v>0.91470440934084596</v>
      </c>
      <c r="AU311">
        <v>0.90453826885169297</v>
      </c>
      <c r="AV311">
        <v>0.89456247976262804</v>
      </c>
      <c r="AW311">
        <v>0.88481569092935397</v>
      </c>
      <c r="AX311">
        <v>0.87502788750869198</v>
      </c>
      <c r="AY311">
        <v>0.86453714677486804</v>
      </c>
      <c r="AZ311">
        <v>0.85221487328388301</v>
      </c>
      <c r="BA311">
        <v>0</v>
      </c>
      <c r="BB311">
        <v>0</v>
      </c>
      <c r="BC311">
        <v>0</v>
      </c>
      <c r="BD311">
        <v>0</v>
      </c>
      <c r="BE311">
        <v>0</v>
      </c>
      <c r="BF311">
        <v>0</v>
      </c>
      <c r="BG311">
        <v>0</v>
      </c>
      <c r="BH311">
        <v>0</v>
      </c>
      <c r="BJ311" t="s">
        <v>357</v>
      </c>
      <c r="BL311">
        <v>0.80</v>
      </c>
      <c r="BM311">
        <v>0.79756097560975603</v>
      </c>
      <c r="BN311">
        <v>0.78536585365853595</v>
      </c>
      <c r="BO311">
        <v>0.77317073170731698</v>
      </c>
      <c r="BP311">
        <v>0.76097560975609702</v>
      </c>
      <c r="BQ311">
        <v>0.74878048780487805</v>
      </c>
      <c r="BR311">
        <v>0.73658536585365797</v>
      </c>
      <c r="BS311">
        <v>0.724390243902439</v>
      </c>
      <c r="BT311">
        <v>0.71219512195122003</v>
      </c>
      <c r="BU311">
        <v>0.69999999999999896</v>
      </c>
      <c r="BV311">
        <v>0.687499999999999</v>
      </c>
      <c r="BW311">
        <v>0.675</v>
      </c>
      <c r="BX311">
        <v>0.6625</v>
      </c>
      <c r="BY311">
        <v>0.64999999999999902</v>
      </c>
      <c r="BZ311">
        <v>0.63749999999999896</v>
      </c>
      <c r="CA311">
        <v>0.625</v>
      </c>
      <c r="CB311">
        <v>0.6125</v>
      </c>
      <c r="CC311">
        <v>0.60</v>
      </c>
      <c r="CD311" t="e">
        <v>#VALUE!</v>
      </c>
      <c r="CE311" t="e">
        <v>#VALUE!</v>
      </c>
      <c r="CF311" t="e">
        <v>#VALUE!</v>
      </c>
      <c r="CG311" t="e">
        <v>#VALUE!</v>
      </c>
      <c r="CH311" t="e">
        <v>#VALUE!</v>
      </c>
      <c r="CI311" t="e">
        <v>#VALUE!</v>
      </c>
      <c r="CJ311" t="e">
        <v>#VALUE!</v>
      </c>
      <c r="CK311" t="e">
        <v>#VALUE!</v>
      </c>
    </row>
    <row r="312" spans="1:89" ht="12.5">
      <c r="A312" t="s">
        <v>29</v>
      </c>
      <c r="B312" t="s">
        <v>353</v>
      </c>
      <c r="C312" t="s">
        <v>353</v>
      </c>
      <c r="D312">
        <v>531.88800000000003</v>
      </c>
      <c r="E312">
        <v>535.78761516086001</v>
      </c>
      <c r="F312"/>
      <c r="G312">
        <v>566.20050548134395</v>
      </c>
      <c r="H312">
        <v>604.93824129526104</v>
      </c>
      <c r="I312">
        <v>655.48680259499201</v>
      </c>
      <c r="J312">
        <v>705.27745464282702</v>
      </c>
      <c r="K312">
        <v>752.75201949495704</v>
      </c>
      <c r="L312">
        <v>798.24134896865905</v>
      </c>
      <c r="M312">
        <v>847.52027122699405</v>
      </c>
      <c r="N312">
        <v>903.45355458923098</v>
      </c>
      <c r="O312">
        <v>962.38568800279404</v>
      </c>
      <c r="P312">
        <v>1022.6534732597</v>
      </c>
      <c r="Q312">
        <v>1082.15665587592</v>
      </c>
      <c r="R312">
        <v>1140.95383591885</v>
      </c>
      <c r="S312">
        <v>1200.5132942107</v>
      </c>
      <c r="T312">
        <v>1262.2387167295699</v>
      </c>
      <c r="U312">
        <v>1326.1532074305301</v>
      </c>
      <c r="V312">
        <v>1391.19352245561</v>
      </c>
      <c r="W312">
        <v>5</v>
      </c>
      <c r="AG312" s="130" t="s">
        <v>354</v>
      </c>
      <c r="AI312">
        <v>1</v>
      </c>
      <c r="AJ312">
        <v>1.0091925851624</v>
      </c>
      <c r="AK312">
        <v>1.0821328038612601</v>
      </c>
      <c r="AL312">
        <v>1.17788949644748</v>
      </c>
      <c r="AM312">
        <v>1.3072291137853</v>
      </c>
      <c r="AN312">
        <v>1.4398405731683599</v>
      </c>
      <c r="AO312">
        <v>1.57142130959445</v>
      </c>
      <c r="AP312">
        <v>1.7025137509644701</v>
      </c>
      <c r="AQ312">
        <v>1.85009072942832</v>
      </c>
      <c r="AR312">
        <v>2.02451832978555</v>
      </c>
      <c r="AS312">
        <v>2.2166041662304199</v>
      </c>
      <c r="AT312">
        <v>2.4222502524871898</v>
      </c>
      <c r="AU312">
        <v>2.6349881313774501</v>
      </c>
      <c r="AV312">
        <v>2.8552461201607602</v>
      </c>
      <c r="AW312">
        <v>3.0890469386675798</v>
      </c>
      <c r="AX312">
        <v>3.3431685426706399</v>
      </c>
      <c r="AY312">
        <v>3.61955070741246</v>
      </c>
      <c r="AZ312">
        <v>3.9154148616447801</v>
      </c>
      <c r="BA312">
        <v>0</v>
      </c>
      <c r="BB312">
        <v>0</v>
      </c>
      <c r="BC312">
        <v>0</v>
      </c>
      <c r="BD312">
        <v>0</v>
      </c>
      <c r="BE312">
        <v>0</v>
      </c>
      <c r="BF312">
        <v>0</v>
      </c>
      <c r="BG312">
        <v>0</v>
      </c>
      <c r="BH312">
        <v>0</v>
      </c>
      <c r="BJ312" t="s">
        <v>357</v>
      </c>
      <c r="BL312">
        <v>0.80</v>
      </c>
      <c r="BM312">
        <v>0.79756097560975603</v>
      </c>
      <c r="BN312">
        <v>0.78536585365853595</v>
      </c>
      <c r="BO312">
        <v>0.77317073170731698</v>
      </c>
      <c r="BP312">
        <v>0.76097560975609702</v>
      </c>
      <c r="BQ312">
        <v>0.74878048780487805</v>
      </c>
      <c r="BR312">
        <v>0.73658536585365797</v>
      </c>
      <c r="BS312">
        <v>0.724390243902439</v>
      </c>
      <c r="BT312">
        <v>0.71219512195122003</v>
      </c>
      <c r="BU312">
        <v>0.69999999999999896</v>
      </c>
      <c r="BV312">
        <v>0.687499999999999</v>
      </c>
      <c r="BW312">
        <v>0.675</v>
      </c>
      <c r="BX312">
        <v>0.6625</v>
      </c>
      <c r="BY312">
        <v>0.64999999999999902</v>
      </c>
      <c r="BZ312">
        <v>0.63749999999999896</v>
      </c>
      <c r="CA312">
        <v>0.625</v>
      </c>
      <c r="CB312">
        <v>0.6125</v>
      </c>
      <c r="CC312">
        <v>0.60</v>
      </c>
      <c r="CD312" t="e">
        <v>#VALUE!</v>
      </c>
      <c r="CE312" t="e">
        <v>#VALUE!</v>
      </c>
      <c r="CF312" t="e">
        <v>#VALUE!</v>
      </c>
      <c r="CG312" t="e">
        <v>#VALUE!</v>
      </c>
      <c r="CH312" t="e">
        <v>#VALUE!</v>
      </c>
      <c r="CI312" t="e">
        <v>#VALUE!</v>
      </c>
      <c r="CJ312" t="e">
        <v>#VALUE!</v>
      </c>
      <c r="CK312" t="e">
        <v>#VALUE!</v>
      </c>
    </row>
    <row r="313" spans="1:89" ht="12.5">
      <c r="A313" t="s">
        <v>29</v>
      </c>
      <c r="B313" t="s">
        <v>355</v>
      </c>
      <c r="C313" t="s">
        <v>355</v>
      </c>
      <c r="D313">
        <v>100.20</v>
      </c>
      <c r="E313">
        <v>100.86634268539299</v>
      </c>
      <c r="F313"/>
      <c r="G313">
        <v>106.231896610463</v>
      </c>
      <c r="H313">
        <v>112.259352704584</v>
      </c>
      <c r="I313">
        <v>120.397236631339</v>
      </c>
      <c r="J313">
        <v>128.53626861727199</v>
      </c>
      <c r="K313">
        <v>136.505249693927</v>
      </c>
      <c r="L313">
        <v>144.25083941030499</v>
      </c>
      <c r="M313">
        <v>152.461514826692</v>
      </c>
      <c r="N313">
        <v>161.59711966201999</v>
      </c>
      <c r="O313">
        <v>170.91642608747</v>
      </c>
      <c r="P313">
        <v>180.23238832493001</v>
      </c>
      <c r="Q313">
        <v>189.275603029981</v>
      </c>
      <c r="R313">
        <v>198.08932097184601</v>
      </c>
      <c r="S313">
        <v>206.941290016317</v>
      </c>
      <c r="T313">
        <v>216.032917905273</v>
      </c>
      <c r="U313">
        <v>225.254382271043</v>
      </c>
      <c r="V313">
        <v>234.21804173876001</v>
      </c>
      <c r="W313">
        <v>5</v>
      </c>
      <c r="AG313" s="130" t="s">
        <v>342</v>
      </c>
      <c r="AI313">
        <v>1</v>
      </c>
      <c r="AJ313">
        <v>1.0083380792241601</v>
      </c>
      <c r="AK313">
        <v>1.0766352075423999</v>
      </c>
      <c r="AL313">
        <v>1.1556434302758101</v>
      </c>
      <c r="AM313">
        <v>1.2657319608088</v>
      </c>
      <c r="AN313">
        <v>1.3800049173744</v>
      </c>
      <c r="AO313">
        <v>1.4961590470216299</v>
      </c>
      <c r="AP313">
        <v>1.6133543767929199</v>
      </c>
      <c r="AQ313">
        <v>1.74229545925796</v>
      </c>
      <c r="AR313">
        <v>1.8914377605159101</v>
      </c>
      <c r="AS313">
        <v>2.0500984469240202</v>
      </c>
      <c r="AT313">
        <v>2.2156429864770102</v>
      </c>
      <c r="AU313">
        <v>2.3834476028009099</v>
      </c>
      <c r="AV313">
        <v>2.5541960495836298</v>
      </c>
      <c r="AW313">
        <v>2.7332372013503599</v>
      </c>
      <c r="AX313">
        <v>2.9253657074786101</v>
      </c>
      <c r="AY313">
        <v>3.12923604119332</v>
      </c>
      <c r="AZ313">
        <v>3.3367747801704399</v>
      </c>
      <c r="BA313">
        <v>0</v>
      </c>
      <c r="BB313">
        <v>0</v>
      </c>
      <c r="BC313">
        <v>0</v>
      </c>
      <c r="BD313">
        <v>0</v>
      </c>
      <c r="BE313">
        <v>0</v>
      </c>
      <c r="BF313">
        <v>0</v>
      </c>
      <c r="BG313">
        <v>0</v>
      </c>
      <c r="BH313">
        <v>0</v>
      </c>
      <c r="BJ313" t="s">
        <v>357</v>
      </c>
      <c r="BL313">
        <v>0.80</v>
      </c>
      <c r="BM313">
        <v>0.79756097560975603</v>
      </c>
      <c r="BN313">
        <v>0.78536585365853595</v>
      </c>
      <c r="BO313">
        <v>0.77317073170731698</v>
      </c>
      <c r="BP313">
        <v>0.76097560975609702</v>
      </c>
      <c r="BQ313">
        <v>0.74878048780487805</v>
      </c>
      <c r="BR313">
        <v>0.73658536585365797</v>
      </c>
      <c r="BS313">
        <v>0.724390243902439</v>
      </c>
      <c r="BT313">
        <v>0.71219512195122003</v>
      </c>
      <c r="BU313">
        <v>0.69999999999999896</v>
      </c>
      <c r="BV313">
        <v>0.687499999999999</v>
      </c>
      <c r="BW313">
        <v>0.675</v>
      </c>
      <c r="BX313">
        <v>0.6625</v>
      </c>
      <c r="BY313">
        <v>0.64999999999999902</v>
      </c>
      <c r="BZ313">
        <v>0.63749999999999896</v>
      </c>
      <c r="CA313">
        <v>0.625</v>
      </c>
      <c r="CB313">
        <v>0.6125</v>
      </c>
      <c r="CC313">
        <v>0.60</v>
      </c>
      <c r="CD313" t="e">
        <v>#VALUE!</v>
      </c>
      <c r="CE313" t="e">
        <v>#VALUE!</v>
      </c>
      <c r="CF313" t="e">
        <v>#VALUE!</v>
      </c>
      <c r="CG313" t="e">
        <v>#VALUE!</v>
      </c>
      <c r="CH313" t="e">
        <v>#VALUE!</v>
      </c>
      <c r="CI313" t="e">
        <v>#VALUE!</v>
      </c>
      <c r="CJ313" t="e">
        <v>#VALUE!</v>
      </c>
      <c r="CK313" t="e">
        <v>#VALUE!</v>
      </c>
    </row>
    <row r="314" spans="1:89" ht="12.5">
      <c r="A314" t="s">
        <v>29</v>
      </c>
      <c r="B314" t="s">
        <v>356</v>
      </c>
      <c r="C314" t="s">
        <v>356</v>
      </c>
      <c r="D314">
        <v>132.56</v>
      </c>
      <c r="E314">
        <v>133.44154078219299</v>
      </c>
      <c r="F314"/>
      <c r="G314">
        <v>140.53992230222499</v>
      </c>
      <c r="H314">
        <v>148.513970005186</v>
      </c>
      <c r="I314">
        <v>159.28001684481299</v>
      </c>
      <c r="J314">
        <v>170.04758251402799</v>
      </c>
      <c r="K314">
        <v>180.59017863699501</v>
      </c>
      <c r="L314">
        <v>190.83723824580801</v>
      </c>
      <c r="M314">
        <v>201.69958488449299</v>
      </c>
      <c r="N314">
        <v>213.78557068260901</v>
      </c>
      <c r="O314">
        <v>226.11458525104899</v>
      </c>
      <c r="P314">
        <v>238.43917561230199</v>
      </c>
      <c r="Q314">
        <v>250.40293350952399</v>
      </c>
      <c r="R314">
        <v>262.06307772482899</v>
      </c>
      <c r="S314">
        <v>273.773826392844</v>
      </c>
      <c r="T314">
        <v>285.80163270981001</v>
      </c>
      <c r="U314">
        <v>298.00120672504499</v>
      </c>
      <c r="V314">
        <v>309.85971669550901</v>
      </c>
      <c r="W314">
        <v>5</v>
      </c>
      <c r="AG314" s="130" t="s">
        <v>342</v>
      </c>
      <c r="AI314">
        <v>1</v>
      </c>
      <c r="AJ314">
        <v>1.0083380792241601</v>
      </c>
      <c r="AK314">
        <v>1.0766352075423999</v>
      </c>
      <c r="AL314">
        <v>1.1556434302758101</v>
      </c>
      <c r="AM314">
        <v>1.2657319608088</v>
      </c>
      <c r="AN314">
        <v>1.3800049173744</v>
      </c>
      <c r="AO314">
        <v>1.4961590470216299</v>
      </c>
      <c r="AP314">
        <v>1.6133543767929199</v>
      </c>
      <c r="AQ314">
        <v>1.74229545925796</v>
      </c>
      <c r="AR314">
        <v>1.8914377605159101</v>
      </c>
      <c r="AS314">
        <v>2.0500984469240202</v>
      </c>
      <c r="AT314">
        <v>2.2156429864770102</v>
      </c>
      <c r="AU314">
        <v>2.3834476028009099</v>
      </c>
      <c r="AV314">
        <v>2.5541960495836298</v>
      </c>
      <c r="AW314">
        <v>2.7332372013503599</v>
      </c>
      <c r="AX314">
        <v>2.9253657074786101</v>
      </c>
      <c r="AY314">
        <v>3.12923604119332</v>
      </c>
      <c r="AZ314">
        <v>3.3367747801704399</v>
      </c>
      <c r="BA314">
        <v>0</v>
      </c>
      <c r="BB314">
        <v>0</v>
      </c>
      <c r="BC314">
        <v>0</v>
      </c>
      <c r="BD314">
        <v>0</v>
      </c>
      <c r="BE314">
        <v>0</v>
      </c>
      <c r="BF314">
        <v>0</v>
      </c>
      <c r="BG314">
        <v>0</v>
      </c>
      <c r="BH314">
        <v>0</v>
      </c>
      <c r="BJ314" t="s">
        <v>357</v>
      </c>
      <c r="BL314">
        <v>0.80</v>
      </c>
      <c r="BM314">
        <v>0.79756097560975603</v>
      </c>
      <c r="BN314">
        <v>0.78536585365853595</v>
      </c>
      <c r="BO314">
        <v>0.77317073170731698</v>
      </c>
      <c r="BP314">
        <v>0.76097560975609702</v>
      </c>
      <c r="BQ314">
        <v>0.74878048780487805</v>
      </c>
      <c r="BR314">
        <v>0.73658536585365797</v>
      </c>
      <c r="BS314">
        <v>0.724390243902439</v>
      </c>
      <c r="BT314">
        <v>0.71219512195122003</v>
      </c>
      <c r="BU314">
        <v>0.69999999999999896</v>
      </c>
      <c r="BV314">
        <v>0.687499999999999</v>
      </c>
      <c r="BW314">
        <v>0.675</v>
      </c>
      <c r="BX314">
        <v>0.6625</v>
      </c>
      <c r="BY314">
        <v>0.64999999999999902</v>
      </c>
      <c r="BZ314">
        <v>0.63749999999999896</v>
      </c>
      <c r="CA314">
        <v>0.625</v>
      </c>
      <c r="CB314">
        <v>0.6125</v>
      </c>
      <c r="CC314">
        <v>0.60</v>
      </c>
      <c r="CD314" t="e">
        <v>#VALUE!</v>
      </c>
      <c r="CE314" t="e">
        <v>#VALUE!</v>
      </c>
      <c r="CF314" t="e">
        <v>#VALUE!</v>
      </c>
      <c r="CG314" t="e">
        <v>#VALUE!</v>
      </c>
      <c r="CH314" t="e">
        <v>#VALUE!</v>
      </c>
      <c r="CI314" t="e">
        <v>#VALUE!</v>
      </c>
      <c r="CJ314" t="e">
        <v>#VALUE!</v>
      </c>
      <c r="CK314" t="e">
        <v>#VALUE!</v>
      </c>
    </row>
    <row r="315" spans="1:89" ht="12.5">
      <c r="A315" t="s">
        <v>30</v>
      </c>
      <c r="B315" t="s">
        <v>341</v>
      </c>
      <c r="C315" t="s">
        <v>341</v>
      </c>
      <c r="E315" s="2">
        <v>40.936308642767898</v>
      </c>
      <c r="F315" s="2">
        <f>E315</f>
        <v>40.936308642767898</v>
      </c>
      <c r="I315" s="2">
        <f>F315</f>
        <v>40.936308642767898</v>
      </c>
      <c r="J315" s="2">
        <f>I315</f>
        <v>40.936308642767898</v>
      </c>
      <c r="L315" s="2">
        <f>J315</f>
        <v>40.936308642767898</v>
      </c>
      <c r="V315" s="2">
        <f>L315</f>
        <v>40.936308642767898</v>
      </c>
      <c r="W315">
        <v>5</v>
      </c>
      <c r="AG315" s="130" t="s">
        <v>342</v>
      </c>
      <c r="AI315">
        <v>1</v>
      </c>
      <c r="AJ315">
        <v>1.0027249390837001</v>
      </c>
      <c r="AK315">
        <v>1.2169911358007399</v>
      </c>
      <c r="AL315">
        <v>1.5070266828441601</v>
      </c>
      <c r="AM315">
        <v>1.767807364104</v>
      </c>
      <c r="AN315">
        <v>2.0015141335846902</v>
      </c>
      <c r="AO315">
        <v>2.20393549389834</v>
      </c>
      <c r="AP315">
        <v>2.37738400834278</v>
      </c>
      <c r="AQ315">
        <v>2.5284276073681098</v>
      </c>
      <c r="AR315">
        <v>2.6538136612953398</v>
      </c>
      <c r="AS315">
        <v>2.75888801427898</v>
      </c>
      <c r="AT315">
        <v>2.8455245319722802</v>
      </c>
      <c r="AU315">
        <v>2.9148638282511299</v>
      </c>
      <c r="AV315">
        <v>2.97411307870486</v>
      </c>
      <c r="AW315">
        <v>3.0257164559246701</v>
      </c>
      <c r="AX315">
        <v>3.0704072116879102</v>
      </c>
      <c r="AY315">
        <v>3.1068191161871899</v>
      </c>
      <c r="AZ315">
        <v>3.13344179610336</v>
      </c>
      <c r="BA315">
        <v>0</v>
      </c>
      <c r="BB315">
        <v>0</v>
      </c>
      <c r="BC315">
        <v>0</v>
      </c>
      <c r="BD315">
        <v>0</v>
      </c>
      <c r="BE315">
        <v>0</v>
      </c>
      <c r="BF315">
        <v>0</v>
      </c>
      <c r="BG315">
        <v>0</v>
      </c>
      <c r="BH315">
        <v>0</v>
      </c>
      <c r="BJ315" t="s">
        <v>357</v>
      </c>
      <c r="BL315">
        <v>0.80</v>
      </c>
      <c r="BM315">
        <v>0.79756097560975603</v>
      </c>
      <c r="BN315">
        <v>0.78536585365853595</v>
      </c>
      <c r="BO315">
        <v>0.77317073170731698</v>
      </c>
      <c r="BP315">
        <v>0.76097560975609702</v>
      </c>
      <c r="BQ315">
        <v>0.74878048780487805</v>
      </c>
      <c r="BR315">
        <v>0.73658536585365797</v>
      </c>
      <c r="BS315">
        <v>0.724390243902439</v>
      </c>
      <c r="BT315">
        <v>0.71219512195122003</v>
      </c>
      <c r="BU315">
        <v>0.69999999999999896</v>
      </c>
      <c r="BV315">
        <v>0.687499999999999</v>
      </c>
      <c r="BW315">
        <v>0.675</v>
      </c>
      <c r="BX315">
        <v>0.6625</v>
      </c>
      <c r="BY315">
        <v>0.64999999999999902</v>
      </c>
      <c r="BZ315">
        <v>0.63749999999999896</v>
      </c>
      <c r="CA315">
        <v>0.625</v>
      </c>
      <c r="CB315">
        <v>0.6125</v>
      </c>
      <c r="CC315">
        <v>0.60</v>
      </c>
      <c r="CD315" t="e">
        <v>#VALUE!</v>
      </c>
      <c r="CE315" t="e">
        <v>#VALUE!</v>
      </c>
      <c r="CF315" t="e">
        <v>#VALUE!</v>
      </c>
      <c r="CG315" t="e">
        <v>#VALUE!</v>
      </c>
      <c r="CH315" t="e">
        <v>#VALUE!</v>
      </c>
      <c r="CI315" t="e">
        <v>#VALUE!</v>
      </c>
      <c r="CJ315" t="e">
        <v>#VALUE!</v>
      </c>
      <c r="CK315" t="e">
        <v>#VALUE!</v>
      </c>
    </row>
    <row r="316" spans="1:89" ht="12.5">
      <c r="A316" t="s">
        <v>30</v>
      </c>
      <c r="B316" t="s">
        <v>344</v>
      </c>
      <c r="C316" t="s">
        <v>344</v>
      </c>
      <c r="E316" s="2">
        <v>153.42891568823401</v>
      </c>
      <c r="F316" s="2">
        <f>E316</f>
        <v>153.42891568823401</v>
      </c>
      <c r="I316" s="2">
        <f>F316</f>
        <v>153.42891568823401</v>
      </c>
      <c r="J316" s="2">
        <f>I316</f>
        <v>153.42891568823401</v>
      </c>
      <c r="L316" s="2">
        <f>J316</f>
        <v>153.42891568823401</v>
      </c>
      <c r="V316" s="2">
        <f>L316</f>
        <v>153.42891568823401</v>
      </c>
      <c r="W316">
        <v>5</v>
      </c>
      <c r="AG316" s="130" t="s">
        <v>342</v>
      </c>
      <c r="AI316">
        <v>1</v>
      </c>
      <c r="AJ316">
        <v>1.0027249390837001</v>
      </c>
      <c r="AK316">
        <v>1.2169911358007399</v>
      </c>
      <c r="AL316">
        <v>1.5070266828441601</v>
      </c>
      <c r="AM316">
        <v>1.767807364104</v>
      </c>
      <c r="AN316">
        <v>2.0015141335846902</v>
      </c>
      <c r="AO316">
        <v>2.20393549389834</v>
      </c>
      <c r="AP316">
        <v>2.37738400834278</v>
      </c>
      <c r="AQ316">
        <v>2.5284276073681098</v>
      </c>
      <c r="AR316">
        <v>2.6538136612953398</v>
      </c>
      <c r="AS316">
        <v>2.75888801427898</v>
      </c>
      <c r="AT316">
        <v>2.8455245319722802</v>
      </c>
      <c r="AU316">
        <v>2.9148638282511299</v>
      </c>
      <c r="AV316">
        <v>2.97411307870486</v>
      </c>
      <c r="AW316">
        <v>3.0257164559246701</v>
      </c>
      <c r="AX316">
        <v>3.0704072116879102</v>
      </c>
      <c r="AY316">
        <v>3.1068191161871899</v>
      </c>
      <c r="AZ316">
        <v>3.13344179610336</v>
      </c>
      <c r="BA316">
        <v>0</v>
      </c>
      <c r="BB316">
        <v>0</v>
      </c>
      <c r="BC316">
        <v>0</v>
      </c>
      <c r="BD316">
        <v>0</v>
      </c>
      <c r="BE316">
        <v>0</v>
      </c>
      <c r="BF316">
        <v>0</v>
      </c>
      <c r="BG316">
        <v>0</v>
      </c>
      <c r="BH316">
        <v>0</v>
      </c>
      <c r="BJ316" t="s">
        <v>357</v>
      </c>
      <c r="BL316">
        <v>0.80</v>
      </c>
      <c r="BM316">
        <v>0.79756097560975603</v>
      </c>
      <c r="BN316">
        <v>0.78536585365853595</v>
      </c>
      <c r="BO316">
        <v>0.77317073170731698</v>
      </c>
      <c r="BP316">
        <v>0.76097560975609702</v>
      </c>
      <c r="BQ316">
        <v>0.74878048780487805</v>
      </c>
      <c r="BR316">
        <v>0.73658536585365797</v>
      </c>
      <c r="BS316">
        <v>0.724390243902439</v>
      </c>
      <c r="BT316">
        <v>0.71219512195122003</v>
      </c>
      <c r="BU316">
        <v>0.69999999999999896</v>
      </c>
      <c r="BV316">
        <v>0.687499999999999</v>
      </c>
      <c r="BW316">
        <v>0.675</v>
      </c>
      <c r="BX316">
        <v>0.6625</v>
      </c>
      <c r="BY316">
        <v>0.64999999999999902</v>
      </c>
      <c r="BZ316">
        <v>0.63749999999999896</v>
      </c>
      <c r="CA316">
        <v>0.625</v>
      </c>
      <c r="CB316">
        <v>0.6125</v>
      </c>
      <c r="CC316">
        <v>0.60</v>
      </c>
      <c r="CD316" t="e">
        <v>#VALUE!</v>
      </c>
      <c r="CE316" t="e">
        <v>#VALUE!</v>
      </c>
      <c r="CF316" t="e">
        <v>#VALUE!</v>
      </c>
      <c r="CG316" t="e">
        <v>#VALUE!</v>
      </c>
      <c r="CH316" t="e">
        <v>#VALUE!</v>
      </c>
      <c r="CI316" t="e">
        <v>#VALUE!</v>
      </c>
      <c r="CJ316" t="e">
        <v>#VALUE!</v>
      </c>
      <c r="CK316" t="e">
        <v>#VALUE!</v>
      </c>
    </row>
    <row r="317" spans="1:89" ht="12.5">
      <c r="A317" t="s">
        <v>30</v>
      </c>
      <c r="B317" t="s">
        <v>345</v>
      </c>
      <c r="C317" t="s">
        <v>345</v>
      </c>
      <c r="E317" s="2">
        <v>0</v>
      </c>
      <c r="I317" s="2">
        <v>0</v>
      </c>
      <c r="J317" s="2">
        <v>0</v>
      </c>
      <c r="L317" s="2">
        <v>0</v>
      </c>
      <c r="V317" s="2">
        <v>0</v>
      </c>
      <c r="W317">
        <v>5</v>
      </c>
      <c r="AG317" s="130" t="s">
        <v>342</v>
      </c>
      <c r="AI317">
        <v>1</v>
      </c>
      <c r="AJ317">
        <v>1.0027249390837001</v>
      </c>
      <c r="AK317">
        <v>1.2169911358007399</v>
      </c>
      <c r="AL317">
        <v>1.5070266828441601</v>
      </c>
      <c r="AM317">
        <v>1.767807364104</v>
      </c>
      <c r="AN317">
        <v>2.0015141335846902</v>
      </c>
      <c r="AO317">
        <v>2.20393549389834</v>
      </c>
      <c r="AP317">
        <v>2.37738400834278</v>
      </c>
      <c r="AQ317">
        <v>2.5284276073681098</v>
      </c>
      <c r="AR317">
        <v>2.6538136612953398</v>
      </c>
      <c r="AS317">
        <v>2.75888801427898</v>
      </c>
      <c r="AT317">
        <v>2.8455245319722802</v>
      </c>
      <c r="AU317">
        <v>2.9148638282511299</v>
      </c>
      <c r="AV317">
        <v>2.97411307870486</v>
      </c>
      <c r="AW317">
        <v>3.0257164559246701</v>
      </c>
      <c r="AX317">
        <v>3.0704072116879102</v>
      </c>
      <c r="AY317">
        <v>3.1068191161871899</v>
      </c>
      <c r="AZ317">
        <v>3.13344179610336</v>
      </c>
      <c r="BA317">
        <v>0</v>
      </c>
      <c r="BB317">
        <v>0</v>
      </c>
      <c r="BC317">
        <v>0</v>
      </c>
      <c r="BD317">
        <v>0</v>
      </c>
      <c r="BE317">
        <v>0</v>
      </c>
      <c r="BF317">
        <v>0</v>
      </c>
      <c r="BG317">
        <v>0</v>
      </c>
      <c r="BH317">
        <v>0</v>
      </c>
      <c r="BJ317" t="s">
        <v>357</v>
      </c>
      <c r="BL317">
        <v>0.80</v>
      </c>
      <c r="BM317">
        <v>0.79756097560975603</v>
      </c>
      <c r="BN317">
        <v>0.78536585365853595</v>
      </c>
      <c r="BO317">
        <v>0.77317073170731698</v>
      </c>
      <c r="BP317">
        <v>0.76097560975609702</v>
      </c>
      <c r="BQ317">
        <v>0.74878048780487805</v>
      </c>
      <c r="BR317">
        <v>0.73658536585365797</v>
      </c>
      <c r="BS317">
        <v>0.724390243902439</v>
      </c>
      <c r="BT317">
        <v>0.71219512195122003</v>
      </c>
      <c r="BU317">
        <v>0.69999999999999896</v>
      </c>
      <c r="BV317">
        <v>0.687499999999999</v>
      </c>
      <c r="BW317">
        <v>0.675</v>
      </c>
      <c r="BX317">
        <v>0.6625</v>
      </c>
      <c r="BY317">
        <v>0.64999999999999902</v>
      </c>
      <c r="BZ317">
        <v>0.63749999999999896</v>
      </c>
      <c r="CA317">
        <v>0.625</v>
      </c>
      <c r="CB317">
        <v>0.6125</v>
      </c>
      <c r="CC317">
        <v>0.60</v>
      </c>
      <c r="CD317" t="e">
        <v>#VALUE!</v>
      </c>
      <c r="CE317" t="e">
        <v>#VALUE!</v>
      </c>
      <c r="CF317" t="e">
        <v>#VALUE!</v>
      </c>
      <c r="CG317" t="e">
        <v>#VALUE!</v>
      </c>
      <c r="CH317" t="e">
        <v>#VALUE!</v>
      </c>
      <c r="CI317" t="e">
        <v>#VALUE!</v>
      </c>
      <c r="CJ317" t="e">
        <v>#VALUE!</v>
      </c>
      <c r="CK317" t="e">
        <v>#VALUE!</v>
      </c>
    </row>
    <row r="318" spans="1:89" ht="12.5">
      <c r="A318" t="s">
        <v>30</v>
      </c>
      <c r="B318" t="s">
        <v>346</v>
      </c>
      <c r="C318" t="s">
        <v>346</v>
      </c>
      <c r="E318" s="2">
        <v>0</v>
      </c>
      <c r="I318" s="2">
        <v>0</v>
      </c>
      <c r="J318" s="2">
        <v>0</v>
      </c>
      <c r="L318" s="2">
        <v>0</v>
      </c>
      <c r="V318" s="2">
        <v>0</v>
      </c>
      <c r="W318">
        <v>5</v>
      </c>
      <c r="AG318" s="130" t="s">
        <v>347</v>
      </c>
      <c r="AI318">
        <v>1</v>
      </c>
      <c r="AJ318">
        <v>1.01679914151656</v>
      </c>
      <c r="AK318">
        <v>1.10079484909938</v>
      </c>
      <c r="AL318">
        <v>1.1763412376572799</v>
      </c>
      <c r="AM318">
        <v>1.2440006483945401</v>
      </c>
      <c r="AN318">
        <v>1.30333026953687</v>
      </c>
      <c r="AO318">
        <v>1.3527468342929401</v>
      </c>
      <c r="AP318">
        <v>1.39103197881782</v>
      </c>
      <c r="AQ318">
        <v>1.41830062985863</v>
      </c>
      <c r="AR318">
        <v>1.4347551370726399</v>
      </c>
      <c r="AS318">
        <v>1.4399761511423601</v>
      </c>
      <c r="AT318">
        <v>1.43694581768264</v>
      </c>
      <c r="AU318">
        <v>1.4284000949028299</v>
      </c>
      <c r="AV318">
        <v>1.4169967515330499</v>
      </c>
      <c r="AW318">
        <v>1.4038656900978499</v>
      </c>
      <c r="AX318">
        <v>1.3885442006388999</v>
      </c>
      <c r="AY318">
        <v>1.3695273181046199</v>
      </c>
      <c r="AZ318">
        <v>1.3466976460156399</v>
      </c>
      <c r="BA318">
        <v>0</v>
      </c>
      <c r="BB318">
        <v>0</v>
      </c>
      <c r="BC318">
        <v>0</v>
      </c>
      <c r="BD318">
        <v>0</v>
      </c>
      <c r="BE318">
        <v>0</v>
      </c>
      <c r="BF318">
        <v>0</v>
      </c>
      <c r="BG318">
        <v>0</v>
      </c>
      <c r="BH318">
        <v>0</v>
      </c>
      <c r="BJ318" t="s">
        <v>357</v>
      </c>
      <c r="BL318">
        <v>0.80</v>
      </c>
      <c r="BM318">
        <v>0.79756097560975603</v>
      </c>
      <c r="BN318">
        <v>0.78536585365853595</v>
      </c>
      <c r="BO318">
        <v>0.77317073170731698</v>
      </c>
      <c r="BP318">
        <v>0.76097560975609702</v>
      </c>
      <c r="BQ318">
        <v>0.74878048780487805</v>
      </c>
      <c r="BR318">
        <v>0.73658536585365797</v>
      </c>
      <c r="BS318">
        <v>0.724390243902439</v>
      </c>
      <c r="BT318">
        <v>0.71219512195122003</v>
      </c>
      <c r="BU318">
        <v>0.69999999999999896</v>
      </c>
      <c r="BV318">
        <v>0.687499999999999</v>
      </c>
      <c r="BW318">
        <v>0.675</v>
      </c>
      <c r="BX318">
        <v>0.6625</v>
      </c>
      <c r="BY318">
        <v>0.64999999999999902</v>
      </c>
      <c r="BZ318">
        <v>0.63749999999999896</v>
      </c>
      <c r="CA318">
        <v>0.625</v>
      </c>
      <c r="CB318">
        <v>0.6125</v>
      </c>
      <c r="CC318">
        <v>0.60</v>
      </c>
      <c r="CD318" t="e">
        <v>#VALUE!</v>
      </c>
      <c r="CE318" t="e">
        <v>#VALUE!</v>
      </c>
      <c r="CF318" t="e">
        <v>#VALUE!</v>
      </c>
      <c r="CG318" t="e">
        <v>#VALUE!</v>
      </c>
      <c r="CH318" t="e">
        <v>#VALUE!</v>
      </c>
      <c r="CI318" t="e">
        <v>#VALUE!</v>
      </c>
      <c r="CJ318" t="e">
        <v>#VALUE!</v>
      </c>
      <c r="CK318" t="e">
        <v>#VALUE!</v>
      </c>
    </row>
    <row r="319" spans="1:89" ht="12.5">
      <c r="A319" t="s">
        <v>30</v>
      </c>
      <c r="B319" t="s">
        <v>348</v>
      </c>
      <c r="C319" t="s">
        <v>348</v>
      </c>
      <c r="E319" s="2">
        <v>0</v>
      </c>
      <c r="F319" s="2">
        <f>E319</f>
        <v>0</v>
      </c>
      <c r="I319" s="2">
        <f>F319</f>
        <v>0</v>
      </c>
      <c r="J319" s="2">
        <f>I319</f>
        <v>0</v>
      </c>
      <c r="L319" s="2">
        <f>J319</f>
        <v>0</v>
      </c>
      <c r="V319" s="2">
        <f>L319</f>
        <v>0</v>
      </c>
      <c r="W319">
        <v>5</v>
      </c>
      <c r="AG319" s="130" t="s">
        <v>342</v>
      </c>
      <c r="AI319">
        <v>1</v>
      </c>
      <c r="AJ319">
        <v>1.0027249390837001</v>
      </c>
      <c r="AK319">
        <v>1.2169911358007399</v>
      </c>
      <c r="AL319">
        <v>1.5070266828441601</v>
      </c>
      <c r="AM319">
        <v>1.767807364104</v>
      </c>
      <c r="AN319">
        <v>2.0015141335846902</v>
      </c>
      <c r="AO319">
        <v>2.20393549389834</v>
      </c>
      <c r="AP319">
        <v>2.37738400834278</v>
      </c>
      <c r="AQ319">
        <v>2.5284276073681098</v>
      </c>
      <c r="AR319">
        <v>2.6538136612953398</v>
      </c>
      <c r="AS319">
        <v>2.75888801427898</v>
      </c>
      <c r="AT319">
        <v>2.8455245319722802</v>
      </c>
      <c r="AU319">
        <v>2.9148638282511299</v>
      </c>
      <c r="AV319">
        <v>2.97411307870486</v>
      </c>
      <c r="AW319">
        <v>3.0257164559246701</v>
      </c>
      <c r="AX319">
        <v>3.0704072116879102</v>
      </c>
      <c r="AY319">
        <v>3.1068191161871899</v>
      </c>
      <c r="AZ319">
        <v>3.13344179610336</v>
      </c>
      <c r="BA319">
        <v>0</v>
      </c>
      <c r="BB319">
        <v>0</v>
      </c>
      <c r="BC319">
        <v>0</v>
      </c>
      <c r="BD319">
        <v>0</v>
      </c>
      <c r="BE319">
        <v>0</v>
      </c>
      <c r="BF319">
        <v>0</v>
      </c>
      <c r="BG319">
        <v>0</v>
      </c>
      <c r="BH319">
        <v>0</v>
      </c>
      <c r="BJ319" t="s">
        <v>357</v>
      </c>
      <c r="BL319">
        <v>0.80</v>
      </c>
      <c r="BM319">
        <v>0.79756097560975603</v>
      </c>
      <c r="BN319">
        <v>0.78536585365853595</v>
      </c>
      <c r="BO319">
        <v>0.77317073170731698</v>
      </c>
      <c r="BP319">
        <v>0.76097560975609702</v>
      </c>
      <c r="BQ319">
        <v>0.74878048780487805</v>
      </c>
      <c r="BR319">
        <v>0.73658536585365797</v>
      </c>
      <c r="BS319">
        <v>0.724390243902439</v>
      </c>
      <c r="BT319">
        <v>0.71219512195122003</v>
      </c>
      <c r="BU319">
        <v>0.69999999999999896</v>
      </c>
      <c r="BV319">
        <v>0.687499999999999</v>
      </c>
      <c r="BW319">
        <v>0.675</v>
      </c>
      <c r="BX319">
        <v>0.6625</v>
      </c>
      <c r="BY319">
        <v>0.64999999999999902</v>
      </c>
      <c r="BZ319">
        <v>0.63749999999999896</v>
      </c>
      <c r="CA319">
        <v>0.625</v>
      </c>
      <c r="CB319">
        <v>0.6125</v>
      </c>
      <c r="CC319">
        <v>0.60</v>
      </c>
      <c r="CD319" t="e">
        <v>#VALUE!</v>
      </c>
      <c r="CE319" t="e">
        <v>#VALUE!</v>
      </c>
      <c r="CF319" t="e">
        <v>#VALUE!</v>
      </c>
      <c r="CG319" t="e">
        <v>#VALUE!</v>
      </c>
      <c r="CH319" t="e">
        <v>#VALUE!</v>
      </c>
      <c r="CI319" t="e">
        <v>#VALUE!</v>
      </c>
      <c r="CJ319" t="e">
        <v>#VALUE!</v>
      </c>
      <c r="CK319" t="e">
        <v>#VALUE!</v>
      </c>
    </row>
    <row r="320" spans="1:89" ht="12.5">
      <c r="A320" t="s">
        <v>30</v>
      </c>
      <c r="B320" t="s">
        <v>349</v>
      </c>
      <c r="C320" t="s">
        <v>349</v>
      </c>
      <c r="E320" s="2">
        <v>135.303709517611</v>
      </c>
      <c r="F320" s="2">
        <f>E320</f>
        <v>135.303709517611</v>
      </c>
      <c r="I320" s="2">
        <f>F320</f>
        <v>135.303709517611</v>
      </c>
      <c r="J320" s="2">
        <f>I320</f>
        <v>135.303709517611</v>
      </c>
      <c r="L320" s="2">
        <f>J320</f>
        <v>135.303709517611</v>
      </c>
      <c r="V320" s="2">
        <f>L320</f>
        <v>135.303709517611</v>
      </c>
      <c r="W320">
        <v>5</v>
      </c>
      <c r="AG320" s="130" t="s">
        <v>342</v>
      </c>
      <c r="AI320">
        <v>1</v>
      </c>
      <c r="AJ320">
        <v>1.0027249390837001</v>
      </c>
      <c r="AK320">
        <v>1.2169911358007399</v>
      </c>
      <c r="AL320">
        <v>1.5070266828441601</v>
      </c>
      <c r="AM320">
        <v>1.767807364104</v>
      </c>
      <c r="AN320">
        <v>2.0015141335846902</v>
      </c>
      <c r="AO320">
        <v>2.20393549389834</v>
      </c>
      <c r="AP320">
        <v>2.37738400834278</v>
      </c>
      <c r="AQ320">
        <v>2.5284276073681098</v>
      </c>
      <c r="AR320">
        <v>2.6538136612953398</v>
      </c>
      <c r="AS320">
        <v>2.75888801427898</v>
      </c>
      <c r="AT320">
        <v>2.8455245319722802</v>
      </c>
      <c r="AU320">
        <v>2.9148638282511299</v>
      </c>
      <c r="AV320">
        <v>2.97411307870486</v>
      </c>
      <c r="AW320">
        <v>3.0257164559246701</v>
      </c>
      <c r="AX320">
        <v>3.0704072116879102</v>
      </c>
      <c r="AY320">
        <v>3.1068191161871899</v>
      </c>
      <c r="AZ320">
        <v>3.13344179610336</v>
      </c>
      <c r="BA320">
        <v>0</v>
      </c>
      <c r="BB320">
        <v>0</v>
      </c>
      <c r="BC320">
        <v>0</v>
      </c>
      <c r="BD320">
        <v>0</v>
      </c>
      <c r="BE320">
        <v>0</v>
      </c>
      <c r="BF320">
        <v>0</v>
      </c>
      <c r="BG320">
        <v>0</v>
      </c>
      <c r="BH320">
        <v>0</v>
      </c>
      <c r="BJ320" t="s">
        <v>357</v>
      </c>
      <c r="BL320">
        <v>0.80</v>
      </c>
      <c r="BM320">
        <v>0.79756097560975603</v>
      </c>
      <c r="BN320">
        <v>0.78536585365853595</v>
      </c>
      <c r="BO320">
        <v>0.77317073170731698</v>
      </c>
      <c r="BP320">
        <v>0.76097560975609702</v>
      </c>
      <c r="BQ320">
        <v>0.74878048780487805</v>
      </c>
      <c r="BR320">
        <v>0.73658536585365797</v>
      </c>
      <c r="BS320">
        <v>0.724390243902439</v>
      </c>
      <c r="BT320">
        <v>0.71219512195122003</v>
      </c>
      <c r="BU320">
        <v>0.69999999999999896</v>
      </c>
      <c r="BV320">
        <v>0.687499999999999</v>
      </c>
      <c r="BW320">
        <v>0.675</v>
      </c>
      <c r="BX320">
        <v>0.6625</v>
      </c>
      <c r="BY320">
        <v>0.64999999999999902</v>
      </c>
      <c r="BZ320">
        <v>0.63749999999999896</v>
      </c>
      <c r="CA320">
        <v>0.625</v>
      </c>
      <c r="CB320">
        <v>0.6125</v>
      </c>
      <c r="CC320">
        <v>0.60</v>
      </c>
      <c r="CD320" t="e">
        <v>#VALUE!</v>
      </c>
      <c r="CE320" t="e">
        <v>#VALUE!</v>
      </c>
      <c r="CF320" t="e">
        <v>#VALUE!</v>
      </c>
      <c r="CG320" t="e">
        <v>#VALUE!</v>
      </c>
      <c r="CH320" t="e">
        <v>#VALUE!</v>
      </c>
      <c r="CI320" t="e">
        <v>#VALUE!</v>
      </c>
      <c r="CJ320" t="e">
        <v>#VALUE!</v>
      </c>
      <c r="CK320" t="e">
        <v>#VALUE!</v>
      </c>
    </row>
    <row r="321" spans="1:89" ht="12.5">
      <c r="A321" t="s">
        <v>30</v>
      </c>
      <c r="B321" t="s">
        <v>350</v>
      </c>
      <c r="C321" t="s">
        <v>350</v>
      </c>
      <c r="D321">
        <v>14.125999999999999</v>
      </c>
      <c r="E321">
        <v>14.315264946564801</v>
      </c>
      <c r="F321"/>
      <c r="G321">
        <v>15.2440031861102</v>
      </c>
      <c r="H321">
        <v>16.0528788246618</v>
      </c>
      <c r="I321">
        <v>16.755495663706998</v>
      </c>
      <c r="J321">
        <v>17.3538559576706</v>
      </c>
      <c r="K321">
        <v>17.838515920328199</v>
      </c>
      <c r="L321">
        <v>18.2042328604979</v>
      </c>
      <c r="M321">
        <v>18.458387426811299</v>
      </c>
      <c r="N321">
        <v>18.608289756314399</v>
      </c>
      <c r="O321">
        <v>18.654843674354499</v>
      </c>
      <c r="P321">
        <v>18.628344611904001</v>
      </c>
      <c r="Q321">
        <v>18.554949260563401</v>
      </c>
      <c r="R321">
        <v>18.4586649646239</v>
      </c>
      <c r="S321">
        <v>18.349618533912199</v>
      </c>
      <c r="T321">
        <v>18.224453654836701</v>
      </c>
      <c r="U321">
        <v>18.0715773328401</v>
      </c>
      <c r="V321">
        <v>17.890828173979799</v>
      </c>
      <c r="W321">
        <v>5</v>
      </c>
      <c r="AG321" s="130" t="s">
        <v>347</v>
      </c>
      <c r="AI321">
        <v>1</v>
      </c>
      <c r="AJ321">
        <v>1.01679914151656</v>
      </c>
      <c r="AK321">
        <v>1.10079484909938</v>
      </c>
      <c r="AL321">
        <v>1.1763412376572799</v>
      </c>
      <c r="AM321">
        <v>1.2440006483945401</v>
      </c>
      <c r="AN321">
        <v>1.30333026953687</v>
      </c>
      <c r="AO321">
        <v>1.3527468342929401</v>
      </c>
      <c r="AP321">
        <v>1.39103197881782</v>
      </c>
      <c r="AQ321">
        <v>1.41830062985863</v>
      </c>
      <c r="AR321">
        <v>1.4347551370726399</v>
      </c>
      <c r="AS321">
        <v>1.4399761511423601</v>
      </c>
      <c r="AT321">
        <v>1.43694581768264</v>
      </c>
      <c r="AU321">
        <v>1.4284000949028299</v>
      </c>
      <c r="AV321">
        <v>1.4169967515330499</v>
      </c>
      <c r="AW321">
        <v>1.4038656900978499</v>
      </c>
      <c r="AX321">
        <v>1.3885442006388999</v>
      </c>
      <c r="AY321">
        <v>1.3695273181046199</v>
      </c>
      <c r="AZ321">
        <v>1.3466976460156399</v>
      </c>
      <c r="BA321">
        <v>0</v>
      </c>
      <c r="BB321">
        <v>0</v>
      </c>
      <c r="BC321">
        <v>0</v>
      </c>
      <c r="BD321">
        <v>0</v>
      </c>
      <c r="BE321">
        <v>0</v>
      </c>
      <c r="BF321">
        <v>0</v>
      </c>
      <c r="BG321">
        <v>0</v>
      </c>
      <c r="BH321">
        <v>0</v>
      </c>
      <c r="BJ321" t="s">
        <v>357</v>
      </c>
      <c r="BL321">
        <v>0.80</v>
      </c>
      <c r="BM321">
        <v>0.79756097560975603</v>
      </c>
      <c r="BN321">
        <v>0.78536585365853595</v>
      </c>
      <c r="BO321">
        <v>0.77317073170731698</v>
      </c>
      <c r="BP321">
        <v>0.76097560975609702</v>
      </c>
      <c r="BQ321">
        <v>0.74878048780487805</v>
      </c>
      <c r="BR321">
        <v>0.73658536585365797</v>
      </c>
      <c r="BS321">
        <v>0.724390243902439</v>
      </c>
      <c r="BT321">
        <v>0.71219512195122003</v>
      </c>
      <c r="BU321">
        <v>0.69999999999999896</v>
      </c>
      <c r="BV321">
        <v>0.687499999999999</v>
      </c>
      <c r="BW321">
        <v>0.675</v>
      </c>
      <c r="BX321">
        <v>0.6625</v>
      </c>
      <c r="BY321">
        <v>0.64999999999999902</v>
      </c>
      <c r="BZ321">
        <v>0.63749999999999896</v>
      </c>
      <c r="CA321">
        <v>0.625</v>
      </c>
      <c r="CB321">
        <v>0.6125</v>
      </c>
      <c r="CC321">
        <v>0.60</v>
      </c>
      <c r="CD321" t="e">
        <v>#VALUE!</v>
      </c>
      <c r="CE321" t="e">
        <v>#VALUE!</v>
      </c>
      <c r="CF321" t="e">
        <v>#VALUE!</v>
      </c>
      <c r="CG321" t="e">
        <v>#VALUE!</v>
      </c>
      <c r="CH321" t="e">
        <v>#VALUE!</v>
      </c>
      <c r="CI321" t="e">
        <v>#VALUE!</v>
      </c>
      <c r="CJ321" t="e">
        <v>#VALUE!</v>
      </c>
      <c r="CK321" t="e">
        <v>#VALUE!</v>
      </c>
    </row>
    <row r="322" spans="1:89" ht="12.5">
      <c r="A322" t="s">
        <v>30</v>
      </c>
      <c r="B322" t="s">
        <v>351</v>
      </c>
      <c r="C322" t="s">
        <v>351</v>
      </c>
      <c r="D322">
        <v>4.185</v>
      </c>
      <c r="E322">
        <v>4.2410720516334299</v>
      </c>
      <c r="F322"/>
      <c r="G322">
        <v>4.5162220964088302</v>
      </c>
      <c r="H322">
        <v>4.7558613819346904</v>
      </c>
      <c r="I322">
        <v>4.9640202005248302</v>
      </c>
      <c r="J322">
        <v>5.1412917445031496</v>
      </c>
      <c r="K322">
        <v>5.2848781768776298</v>
      </c>
      <c r="L322">
        <v>5.3932262863644098</v>
      </c>
      <c r="M322">
        <v>5.4685226802495697</v>
      </c>
      <c r="N322">
        <v>5.5129330759008601</v>
      </c>
      <c r="O322">
        <v>5.5267252426145701</v>
      </c>
      <c r="P322">
        <v>5.5188745717696701</v>
      </c>
      <c r="Q322">
        <v>5.4971303026658402</v>
      </c>
      <c r="R322">
        <v>5.4686049042156997</v>
      </c>
      <c r="S322">
        <v>5.4362985674941804</v>
      </c>
      <c r="T322">
        <v>5.3992169436140101</v>
      </c>
      <c r="U322">
        <v>5.3539254663695202</v>
      </c>
      <c r="V322">
        <v>5.3003763208343102</v>
      </c>
      <c r="W322">
        <v>5</v>
      </c>
      <c r="AG322" s="130" t="s">
        <v>347</v>
      </c>
      <c r="AI322">
        <v>1</v>
      </c>
      <c r="AJ322">
        <v>1.01679914151656</v>
      </c>
      <c r="AK322">
        <v>1.10079484909938</v>
      </c>
      <c r="AL322">
        <v>1.1763412376572799</v>
      </c>
      <c r="AM322">
        <v>1.2440006483945401</v>
      </c>
      <c r="AN322">
        <v>1.30333026953687</v>
      </c>
      <c r="AO322">
        <v>1.3527468342929401</v>
      </c>
      <c r="AP322">
        <v>1.39103197881782</v>
      </c>
      <c r="AQ322">
        <v>1.41830062985863</v>
      </c>
      <c r="AR322">
        <v>1.4347551370726399</v>
      </c>
      <c r="AS322">
        <v>1.4399761511423601</v>
      </c>
      <c r="AT322">
        <v>1.43694581768264</v>
      </c>
      <c r="AU322">
        <v>1.4284000949028299</v>
      </c>
      <c r="AV322">
        <v>1.4169967515330499</v>
      </c>
      <c r="AW322">
        <v>1.4038656900978499</v>
      </c>
      <c r="AX322">
        <v>1.3885442006388999</v>
      </c>
      <c r="AY322">
        <v>1.3695273181046199</v>
      </c>
      <c r="AZ322">
        <v>1.3466976460156399</v>
      </c>
      <c r="BA322">
        <v>0</v>
      </c>
      <c r="BB322">
        <v>0</v>
      </c>
      <c r="BC322">
        <v>0</v>
      </c>
      <c r="BD322">
        <v>0</v>
      </c>
      <c r="BE322">
        <v>0</v>
      </c>
      <c r="BF322">
        <v>0</v>
      </c>
      <c r="BG322">
        <v>0</v>
      </c>
      <c r="BH322">
        <v>0</v>
      </c>
      <c r="BJ322" t="s">
        <v>357</v>
      </c>
      <c r="BL322">
        <v>0.80</v>
      </c>
      <c r="BM322">
        <v>0.79756097560975603</v>
      </c>
      <c r="BN322">
        <v>0.78536585365853595</v>
      </c>
      <c r="BO322">
        <v>0.77317073170731698</v>
      </c>
      <c r="BP322">
        <v>0.76097560975609702</v>
      </c>
      <c r="BQ322">
        <v>0.74878048780487805</v>
      </c>
      <c r="BR322">
        <v>0.73658536585365797</v>
      </c>
      <c r="BS322">
        <v>0.724390243902439</v>
      </c>
      <c r="BT322">
        <v>0.71219512195122003</v>
      </c>
      <c r="BU322">
        <v>0.69999999999999896</v>
      </c>
      <c r="BV322">
        <v>0.687499999999999</v>
      </c>
      <c r="BW322">
        <v>0.675</v>
      </c>
      <c r="BX322">
        <v>0.6625</v>
      </c>
      <c r="BY322">
        <v>0.64999999999999902</v>
      </c>
      <c r="BZ322">
        <v>0.63749999999999896</v>
      </c>
      <c r="CA322">
        <v>0.625</v>
      </c>
      <c r="CB322">
        <v>0.6125</v>
      </c>
      <c r="CC322">
        <v>0.60</v>
      </c>
      <c r="CD322" t="e">
        <v>#VALUE!</v>
      </c>
      <c r="CE322" t="e">
        <v>#VALUE!</v>
      </c>
      <c r="CF322" t="e">
        <v>#VALUE!</v>
      </c>
      <c r="CG322" t="e">
        <v>#VALUE!</v>
      </c>
      <c r="CH322" t="e">
        <v>#VALUE!</v>
      </c>
      <c r="CI322" t="e">
        <v>#VALUE!</v>
      </c>
      <c r="CJ322" t="e">
        <v>#VALUE!</v>
      </c>
      <c r="CK322" t="e">
        <v>#VALUE!</v>
      </c>
    </row>
    <row r="323" spans="1:89" ht="12.5">
      <c r="A323" t="s">
        <v>30</v>
      </c>
      <c r="B323" t="s">
        <v>352</v>
      </c>
      <c r="C323" t="s">
        <v>352</v>
      </c>
      <c r="D323">
        <v>7.98</v>
      </c>
      <c r="E323">
        <v>8.0869187507848892</v>
      </c>
      <c r="F323"/>
      <c r="G323">
        <v>8.6115776175250804</v>
      </c>
      <c r="H323">
        <v>9.0685242121478709</v>
      </c>
      <c r="I323">
        <v>9.4654435364846208</v>
      </c>
      <c r="J323">
        <v>9.8034666956117409</v>
      </c>
      <c r="K323">
        <v>10.0772587458742</v>
      </c>
      <c r="L323">
        <v>10.283858008408099</v>
      </c>
      <c r="M323">
        <v>10.4274339279311</v>
      </c>
      <c r="N323">
        <v>10.512116116054701</v>
      </c>
      <c r="O323">
        <v>10.538415157960401</v>
      </c>
      <c r="P323">
        <v>10.523445420005199</v>
      </c>
      <c r="Q323">
        <v>10.481983229456</v>
      </c>
      <c r="R323">
        <v>10.427590713414901</v>
      </c>
      <c r="S323">
        <v>10.365988666332999</v>
      </c>
      <c r="T323">
        <v>10.2952810537729</v>
      </c>
      <c r="U323">
        <v>10.208918810425001</v>
      </c>
      <c r="V323">
        <v>10.106810762307701</v>
      </c>
      <c r="W323">
        <v>5</v>
      </c>
      <c r="AG323" s="130" t="s">
        <v>347</v>
      </c>
      <c r="AI323">
        <v>1</v>
      </c>
      <c r="AJ323">
        <v>1.01679914151656</v>
      </c>
      <c r="AK323">
        <v>1.10079484909938</v>
      </c>
      <c r="AL323">
        <v>1.1763412376572799</v>
      </c>
      <c r="AM323">
        <v>1.2440006483945401</v>
      </c>
      <c r="AN323">
        <v>1.30333026953687</v>
      </c>
      <c r="AO323">
        <v>1.3527468342929401</v>
      </c>
      <c r="AP323">
        <v>1.39103197881782</v>
      </c>
      <c r="AQ323">
        <v>1.41830062985863</v>
      </c>
      <c r="AR323">
        <v>1.4347551370726399</v>
      </c>
      <c r="AS323">
        <v>1.4399761511423601</v>
      </c>
      <c r="AT323">
        <v>1.43694581768264</v>
      </c>
      <c r="AU323">
        <v>1.4284000949028299</v>
      </c>
      <c r="AV323">
        <v>1.4169967515330499</v>
      </c>
      <c r="AW323">
        <v>1.4038656900978499</v>
      </c>
      <c r="AX323">
        <v>1.3885442006388999</v>
      </c>
      <c r="AY323">
        <v>1.3695273181046199</v>
      </c>
      <c r="AZ323">
        <v>1.3466976460156399</v>
      </c>
      <c r="BA323">
        <v>0</v>
      </c>
      <c r="BB323">
        <v>0</v>
      </c>
      <c r="BC323">
        <v>0</v>
      </c>
      <c r="BD323">
        <v>0</v>
      </c>
      <c r="BE323">
        <v>0</v>
      </c>
      <c r="BF323">
        <v>0</v>
      </c>
      <c r="BG323">
        <v>0</v>
      </c>
      <c r="BH323">
        <v>0</v>
      </c>
      <c r="BJ323" t="s">
        <v>357</v>
      </c>
      <c r="BL323">
        <v>0.80</v>
      </c>
      <c r="BM323">
        <v>0.79756097560975603</v>
      </c>
      <c r="BN323">
        <v>0.78536585365853595</v>
      </c>
      <c r="BO323">
        <v>0.77317073170731698</v>
      </c>
      <c r="BP323">
        <v>0.76097560975609702</v>
      </c>
      <c r="BQ323">
        <v>0.74878048780487805</v>
      </c>
      <c r="BR323">
        <v>0.73658536585365797</v>
      </c>
      <c r="BS323">
        <v>0.724390243902439</v>
      </c>
      <c r="BT323">
        <v>0.71219512195122003</v>
      </c>
      <c r="BU323">
        <v>0.69999999999999896</v>
      </c>
      <c r="BV323">
        <v>0.687499999999999</v>
      </c>
      <c r="BW323">
        <v>0.675</v>
      </c>
      <c r="BX323">
        <v>0.6625</v>
      </c>
      <c r="BY323">
        <v>0.64999999999999902</v>
      </c>
      <c r="BZ323">
        <v>0.63749999999999896</v>
      </c>
      <c r="CA323">
        <v>0.625</v>
      </c>
      <c r="CB323">
        <v>0.6125</v>
      </c>
      <c r="CC323">
        <v>0.60</v>
      </c>
      <c r="CD323" t="e">
        <v>#VALUE!</v>
      </c>
      <c r="CE323" t="e">
        <v>#VALUE!</v>
      </c>
      <c r="CF323" t="e">
        <v>#VALUE!</v>
      </c>
      <c r="CG323" t="e">
        <v>#VALUE!</v>
      </c>
      <c r="CH323" t="e">
        <v>#VALUE!</v>
      </c>
      <c r="CI323" t="e">
        <v>#VALUE!</v>
      </c>
      <c r="CJ323" t="e">
        <v>#VALUE!</v>
      </c>
      <c r="CK323" t="e">
        <v>#VALUE!</v>
      </c>
    </row>
    <row r="324" spans="1:89" ht="12.5">
      <c r="A324" t="s">
        <v>30</v>
      </c>
      <c r="B324" t="s">
        <v>353</v>
      </c>
      <c r="C324" t="s">
        <v>353</v>
      </c>
      <c r="D324">
        <v>367.536</v>
      </c>
      <c r="E324">
        <v>363.47855722998497</v>
      </c>
      <c r="F324"/>
      <c r="G324">
        <v>398.04085660893799</v>
      </c>
      <c r="H324">
        <v>446.91056453152697</v>
      </c>
      <c r="I324">
        <v>484.06281547146602</v>
      </c>
      <c r="J324">
        <v>513.2992754764</v>
      </c>
      <c r="K324">
        <v>536.32831897161202</v>
      </c>
      <c r="L324">
        <v>555.36946996678796</v>
      </c>
      <c r="M324">
        <v>572.41123120017198</v>
      </c>
      <c r="N324">
        <v>587.45837607873398</v>
      </c>
      <c r="O324">
        <v>601.92704895238103</v>
      </c>
      <c r="P324">
        <v>615.56973043450296</v>
      </c>
      <c r="Q324">
        <v>628.00659898953597</v>
      </c>
      <c r="R324">
        <v>639.65581699891004</v>
      </c>
      <c r="S324">
        <v>650.61151094752802</v>
      </c>
      <c r="T324">
        <v>661.17073033163797</v>
      </c>
      <c r="U324">
        <v>671.66317603740197</v>
      </c>
      <c r="V324">
        <v>682.006808405284</v>
      </c>
      <c r="W324">
        <v>5</v>
      </c>
      <c r="AG324" s="130" t="s">
        <v>354</v>
      </c>
      <c r="AI324">
        <v>1</v>
      </c>
      <c r="AJ324">
        <v>0.98615832581066798</v>
      </c>
      <c r="AK324">
        <v>1.1055567136750499</v>
      </c>
      <c r="AL324">
        <v>1.2811135362774999</v>
      </c>
      <c r="AM324">
        <v>1.4210662722607701</v>
      </c>
      <c r="AN324">
        <v>1.53569220355475</v>
      </c>
      <c r="AO324">
        <v>1.62922982928311</v>
      </c>
      <c r="AP324">
        <v>1.70907933429626</v>
      </c>
      <c r="AQ324">
        <v>1.7827162691312699</v>
      </c>
      <c r="AR324">
        <v>1.8496631186210399</v>
      </c>
      <c r="AS324">
        <v>1.9159261853679399</v>
      </c>
      <c r="AT324">
        <v>1.9802587522480499</v>
      </c>
      <c r="AU324">
        <v>2.0406494221420601</v>
      </c>
      <c r="AV324">
        <v>2.0988848954573598</v>
      </c>
      <c r="AW324">
        <v>2.15527487940374</v>
      </c>
      <c r="AX324">
        <v>2.2112419685849098</v>
      </c>
      <c r="AY324">
        <v>2.2685338767005501</v>
      </c>
      <c r="AZ324">
        <v>2.3267596890616198</v>
      </c>
      <c r="BA324">
        <v>0</v>
      </c>
      <c r="BB324">
        <v>0</v>
      </c>
      <c r="BC324">
        <v>0</v>
      </c>
      <c r="BD324">
        <v>0</v>
      </c>
      <c r="BE324">
        <v>0</v>
      </c>
      <c r="BF324">
        <v>0</v>
      </c>
      <c r="BG324">
        <v>0</v>
      </c>
      <c r="BH324">
        <v>0</v>
      </c>
      <c r="BJ324" t="s">
        <v>357</v>
      </c>
      <c r="BL324">
        <v>0.80</v>
      </c>
      <c r="BM324">
        <v>0.79756097560975603</v>
      </c>
      <c r="BN324">
        <v>0.78536585365853595</v>
      </c>
      <c r="BO324">
        <v>0.77317073170731698</v>
      </c>
      <c r="BP324">
        <v>0.76097560975609702</v>
      </c>
      <c r="BQ324">
        <v>0.74878048780487805</v>
      </c>
      <c r="BR324">
        <v>0.73658536585365797</v>
      </c>
      <c r="BS324">
        <v>0.724390243902439</v>
      </c>
      <c r="BT324">
        <v>0.71219512195122003</v>
      </c>
      <c r="BU324">
        <v>0.69999999999999896</v>
      </c>
      <c r="BV324">
        <v>0.687499999999999</v>
      </c>
      <c r="BW324">
        <v>0.675</v>
      </c>
      <c r="BX324">
        <v>0.6625</v>
      </c>
      <c r="BY324">
        <v>0.64999999999999902</v>
      </c>
      <c r="BZ324">
        <v>0.63749999999999896</v>
      </c>
      <c r="CA324">
        <v>0.625</v>
      </c>
      <c r="CB324">
        <v>0.6125</v>
      </c>
      <c r="CC324">
        <v>0.60</v>
      </c>
      <c r="CD324" t="e">
        <v>#VALUE!</v>
      </c>
      <c r="CE324" t="e">
        <v>#VALUE!</v>
      </c>
      <c r="CF324" t="e">
        <v>#VALUE!</v>
      </c>
      <c r="CG324" t="e">
        <v>#VALUE!</v>
      </c>
      <c r="CH324" t="e">
        <v>#VALUE!</v>
      </c>
      <c r="CI324" t="e">
        <v>#VALUE!</v>
      </c>
      <c r="CJ324" t="e">
        <v>#VALUE!</v>
      </c>
      <c r="CK324" t="e">
        <v>#VALUE!</v>
      </c>
    </row>
    <row r="325" spans="1:89" ht="12.5">
      <c r="A325" t="s">
        <v>30</v>
      </c>
      <c r="B325" t="s">
        <v>355</v>
      </c>
      <c r="C325" t="s">
        <v>355</v>
      </c>
      <c r="D325">
        <v>95</v>
      </c>
      <c r="E325">
        <v>95.206463982036993</v>
      </c>
      <c r="F325"/>
      <c r="G325">
        <v>111.184018010309</v>
      </c>
      <c r="H325">
        <v>131.67116974286901</v>
      </c>
      <c r="I325">
        <v>149.00984468744599</v>
      </c>
      <c r="J325">
        <v>163.760313862223</v>
      </c>
      <c r="K325">
        <v>175.959459782012</v>
      </c>
      <c r="L325">
        <v>185.990752832813</v>
      </c>
      <c r="M325">
        <v>194.40651270683199</v>
      </c>
      <c r="N325">
        <v>201.15501750503901</v>
      </c>
      <c r="O325">
        <v>206.630594262796</v>
      </c>
      <c r="P325">
        <v>211.01050553651999</v>
      </c>
      <c r="Q325">
        <v>214.416995048552</v>
      </c>
      <c r="R325">
        <v>217.249933581297</v>
      </c>
      <c r="S325">
        <v>219.65297075919599</v>
      </c>
      <c r="T325">
        <v>221.680684156144</v>
      </c>
      <c r="U325">
        <v>223.29088987102</v>
      </c>
      <c r="V325">
        <v>224.438932611892</v>
      </c>
      <c r="W325">
        <v>5</v>
      </c>
      <c r="AG325" s="130" t="s">
        <v>342</v>
      </c>
      <c r="AI325">
        <v>1</v>
      </c>
      <c r="AJ325">
        <v>1.0027249390837001</v>
      </c>
      <c r="AK325">
        <v>1.2169911358007399</v>
      </c>
      <c r="AL325">
        <v>1.5070266828441601</v>
      </c>
      <c r="AM325">
        <v>1.767807364104</v>
      </c>
      <c r="AN325">
        <v>2.0015141335846902</v>
      </c>
      <c r="AO325">
        <v>2.20393549389834</v>
      </c>
      <c r="AP325">
        <v>2.37738400834278</v>
      </c>
      <c r="AQ325">
        <v>2.5284276073681098</v>
      </c>
      <c r="AR325">
        <v>2.6538136612953398</v>
      </c>
      <c r="AS325">
        <v>2.75888801427898</v>
      </c>
      <c r="AT325">
        <v>2.8455245319722802</v>
      </c>
      <c r="AU325">
        <v>2.9148638282511299</v>
      </c>
      <c r="AV325">
        <v>2.97411307870486</v>
      </c>
      <c r="AW325">
        <v>3.0257164559246701</v>
      </c>
      <c r="AX325">
        <v>3.0704072116879102</v>
      </c>
      <c r="AY325">
        <v>3.1068191161871899</v>
      </c>
      <c r="AZ325">
        <v>3.13344179610336</v>
      </c>
      <c r="BA325">
        <v>0</v>
      </c>
      <c r="BB325">
        <v>0</v>
      </c>
      <c r="BC325">
        <v>0</v>
      </c>
      <c r="BD325">
        <v>0</v>
      </c>
      <c r="BE325">
        <v>0</v>
      </c>
      <c r="BF325">
        <v>0</v>
      </c>
      <c r="BG325">
        <v>0</v>
      </c>
      <c r="BH325">
        <v>0</v>
      </c>
      <c r="BJ325" t="s">
        <v>357</v>
      </c>
      <c r="BL325">
        <v>0.80</v>
      </c>
      <c r="BM325">
        <v>0.79756097560975603</v>
      </c>
      <c r="BN325">
        <v>0.78536585365853595</v>
      </c>
      <c r="BO325">
        <v>0.77317073170731698</v>
      </c>
      <c r="BP325">
        <v>0.76097560975609702</v>
      </c>
      <c r="BQ325">
        <v>0.74878048780487805</v>
      </c>
      <c r="BR325">
        <v>0.73658536585365797</v>
      </c>
      <c r="BS325">
        <v>0.724390243902439</v>
      </c>
      <c r="BT325">
        <v>0.71219512195122003</v>
      </c>
      <c r="BU325">
        <v>0.69999999999999896</v>
      </c>
      <c r="BV325">
        <v>0.687499999999999</v>
      </c>
      <c r="BW325">
        <v>0.675</v>
      </c>
      <c r="BX325">
        <v>0.6625</v>
      </c>
      <c r="BY325">
        <v>0.64999999999999902</v>
      </c>
      <c r="BZ325">
        <v>0.63749999999999896</v>
      </c>
      <c r="CA325">
        <v>0.625</v>
      </c>
      <c r="CB325">
        <v>0.6125</v>
      </c>
      <c r="CC325">
        <v>0.60</v>
      </c>
      <c r="CD325" t="e">
        <v>#VALUE!</v>
      </c>
      <c r="CE325" t="e">
        <v>#VALUE!</v>
      </c>
      <c r="CF325" t="e">
        <v>#VALUE!</v>
      </c>
      <c r="CG325" t="e">
        <v>#VALUE!</v>
      </c>
      <c r="CH325" t="e">
        <v>#VALUE!</v>
      </c>
      <c r="CI325" t="e">
        <v>#VALUE!</v>
      </c>
      <c r="CJ325" t="e">
        <v>#VALUE!</v>
      </c>
      <c r="CK325" t="e">
        <v>#VALUE!</v>
      </c>
    </row>
    <row r="326" spans="1:89" ht="12.5">
      <c r="A326" t="s">
        <v>30</v>
      </c>
      <c r="B326" t="s">
        <v>356</v>
      </c>
      <c r="C326" t="s">
        <v>356</v>
      </c>
      <c r="D326">
        <v>106.32</v>
      </c>
      <c r="E326">
        <v>106.551065795475</v>
      </c>
      <c r="F326"/>
      <c r="G326">
        <v>124.432471524801</v>
      </c>
      <c r="H326">
        <v>147.36082912696699</v>
      </c>
      <c r="I326">
        <v>166.76554407546601</v>
      </c>
      <c r="J326">
        <v>183.27364810348999</v>
      </c>
      <c r="K326">
        <v>196.92641856866899</v>
      </c>
      <c r="L326">
        <v>208.15301938089101</v>
      </c>
      <c r="M326">
        <v>217.571583484109</v>
      </c>
      <c r="N326">
        <v>225.124225906692</v>
      </c>
      <c r="O326">
        <v>231.252260863374</v>
      </c>
      <c r="P326">
        <v>236.154073143609</v>
      </c>
      <c r="Q326">
        <v>239.96647277433701</v>
      </c>
      <c r="R326">
        <v>243.13697829856301</v>
      </c>
      <c r="S326">
        <v>245.826356327555</v>
      </c>
      <c r="T326">
        <v>248.09568778401299</v>
      </c>
      <c r="U326">
        <v>249.89776222196701</v>
      </c>
      <c r="V326">
        <v>251.182603318909</v>
      </c>
      <c r="W326">
        <v>5</v>
      </c>
      <c r="AG326" s="130" t="s">
        <v>342</v>
      </c>
      <c r="AI326">
        <v>1</v>
      </c>
      <c r="AJ326">
        <v>1.0027249390837001</v>
      </c>
      <c r="AK326">
        <v>1.2169911358007399</v>
      </c>
      <c r="AL326">
        <v>1.5070266828441601</v>
      </c>
      <c r="AM326">
        <v>1.767807364104</v>
      </c>
      <c r="AN326">
        <v>2.0015141335846902</v>
      </c>
      <c r="AO326">
        <v>2.20393549389834</v>
      </c>
      <c r="AP326">
        <v>2.37738400834278</v>
      </c>
      <c r="AQ326">
        <v>2.5284276073681098</v>
      </c>
      <c r="AR326">
        <v>2.6538136612953398</v>
      </c>
      <c r="AS326">
        <v>2.75888801427898</v>
      </c>
      <c r="AT326">
        <v>2.8455245319722802</v>
      </c>
      <c r="AU326">
        <v>2.9148638282511299</v>
      </c>
      <c r="AV326">
        <v>2.97411307870486</v>
      </c>
      <c r="AW326">
        <v>3.0257164559246701</v>
      </c>
      <c r="AX326">
        <v>3.0704072116879102</v>
      </c>
      <c r="AY326">
        <v>3.1068191161871899</v>
      </c>
      <c r="AZ326">
        <v>3.13344179610336</v>
      </c>
      <c r="BA326">
        <v>0</v>
      </c>
      <c r="BB326">
        <v>0</v>
      </c>
      <c r="BC326">
        <v>0</v>
      </c>
      <c r="BD326">
        <v>0</v>
      </c>
      <c r="BE326">
        <v>0</v>
      </c>
      <c r="BF326">
        <v>0</v>
      </c>
      <c r="BG326">
        <v>0</v>
      </c>
      <c r="BH326">
        <v>0</v>
      </c>
      <c r="BJ326" t="s">
        <v>357</v>
      </c>
      <c r="BL326">
        <v>0.80</v>
      </c>
      <c r="BM326">
        <v>0.79756097560975603</v>
      </c>
      <c r="BN326">
        <v>0.78536585365853595</v>
      </c>
      <c r="BO326">
        <v>0.77317073170731698</v>
      </c>
      <c r="BP326">
        <v>0.76097560975609702</v>
      </c>
      <c r="BQ326">
        <v>0.74878048780487805</v>
      </c>
      <c r="BR326">
        <v>0.73658536585365797</v>
      </c>
      <c r="BS326">
        <v>0.724390243902439</v>
      </c>
      <c r="BT326">
        <v>0.71219512195122003</v>
      </c>
      <c r="BU326">
        <v>0.69999999999999896</v>
      </c>
      <c r="BV326">
        <v>0.687499999999999</v>
      </c>
      <c r="BW326">
        <v>0.675</v>
      </c>
      <c r="BX326">
        <v>0.6625</v>
      </c>
      <c r="BY326">
        <v>0.64999999999999902</v>
      </c>
      <c r="BZ326">
        <v>0.63749999999999896</v>
      </c>
      <c r="CA326">
        <v>0.625</v>
      </c>
      <c r="CB326">
        <v>0.6125</v>
      </c>
      <c r="CC326">
        <v>0.60</v>
      </c>
      <c r="CD326" t="e">
        <v>#VALUE!</v>
      </c>
      <c r="CE326" t="e">
        <v>#VALUE!</v>
      </c>
      <c r="CF326" t="e">
        <v>#VALUE!</v>
      </c>
      <c r="CG326" t="e">
        <v>#VALUE!</v>
      </c>
      <c r="CH326" t="e">
        <v>#VALUE!</v>
      </c>
      <c r="CI326" t="e">
        <v>#VALUE!</v>
      </c>
      <c r="CJ326" t="e">
        <v>#VALUE!</v>
      </c>
      <c r="CK326" t="e">
        <v>#VALUE!</v>
      </c>
    </row>
    <row r="327" spans="1:89" ht="12.5">
      <c r="A327" t="s">
        <v>31</v>
      </c>
      <c r="B327" t="s">
        <v>341</v>
      </c>
      <c r="C327" t="s">
        <v>341</v>
      </c>
      <c r="E327" s="2">
        <v>52.474991778335401</v>
      </c>
      <c r="F327" s="2">
        <f>E327</f>
        <v>52.474991778335401</v>
      </c>
      <c r="I327" s="2">
        <f>F327</f>
        <v>52.474991778335401</v>
      </c>
      <c r="J327" s="2">
        <f>I327</f>
        <v>52.474991778335401</v>
      </c>
      <c r="L327" s="2">
        <f>J327</f>
        <v>52.474991778335401</v>
      </c>
      <c r="V327" s="2">
        <f>L327</f>
        <v>52.474991778335401</v>
      </c>
      <c r="W327">
        <v>5</v>
      </c>
      <c r="AG327" s="130" t="s">
        <v>342</v>
      </c>
      <c r="AI327">
        <v>1</v>
      </c>
      <c r="AJ327">
        <v>0.99490056601216403</v>
      </c>
      <c r="AK327">
        <v>1.0933812503899301</v>
      </c>
      <c r="AL327">
        <v>1.1855249542306801</v>
      </c>
      <c r="AM327">
        <v>1.3550758232561899</v>
      </c>
      <c r="AN327">
        <v>1.58710907835321</v>
      </c>
      <c r="AO327">
        <v>1.8718093242490299</v>
      </c>
      <c r="AP327">
        <v>2.1975863270737102</v>
      </c>
      <c r="AQ327">
        <v>2.56230221306238</v>
      </c>
      <c r="AR327">
        <v>2.9641821436177902</v>
      </c>
      <c r="AS327">
        <v>3.3980629519115499</v>
      </c>
      <c r="AT327">
        <v>3.8577192571063499</v>
      </c>
      <c r="AU327">
        <v>4.33802822961463</v>
      </c>
      <c r="AV327">
        <v>4.8379007639335603</v>
      </c>
      <c r="AW327">
        <v>5.3582377251087001</v>
      </c>
      <c r="AX327">
        <v>5.89647097547281</v>
      </c>
      <c r="AY327">
        <v>6.4455280521307703</v>
      </c>
      <c r="AZ327">
        <v>7.0005819319279503</v>
      </c>
      <c r="BA327">
        <v>0</v>
      </c>
      <c r="BB327">
        <v>0</v>
      </c>
      <c r="BC327">
        <v>0</v>
      </c>
      <c r="BD327">
        <v>0</v>
      </c>
      <c r="BE327">
        <v>0</v>
      </c>
      <c r="BF327">
        <v>0</v>
      </c>
      <c r="BG327">
        <v>0</v>
      </c>
      <c r="BH327">
        <v>0</v>
      </c>
      <c r="BJ327" t="s">
        <v>343</v>
      </c>
      <c r="BL327">
        <v>1</v>
      </c>
      <c r="BM327">
        <v>0.99756097560975698</v>
      </c>
      <c r="BN327">
        <v>0.98536585365853702</v>
      </c>
      <c r="BO327">
        <v>0.97317073170731705</v>
      </c>
      <c r="BP327">
        <v>0.96097560975609797</v>
      </c>
      <c r="BQ327">
        <v>0.948780487804878</v>
      </c>
      <c r="BR327">
        <v>0.93658536585365804</v>
      </c>
      <c r="BS327">
        <v>0.92439024390243896</v>
      </c>
      <c r="BT327">
        <v>0.91219512195121999</v>
      </c>
      <c r="BU327">
        <v>0.90</v>
      </c>
      <c r="BV327">
        <v>0.8875</v>
      </c>
      <c r="BW327">
        <v>0.875000000000001</v>
      </c>
      <c r="BX327">
        <v>0.86250000000000104</v>
      </c>
      <c r="BY327">
        <v>0.85000000000000098</v>
      </c>
      <c r="BZ327">
        <v>0.8375</v>
      </c>
      <c r="CA327">
        <v>0.82500000000000095</v>
      </c>
      <c r="CB327">
        <v>0.812500000000001</v>
      </c>
      <c r="CC327">
        <v>0.80000000000000104</v>
      </c>
      <c r="CD327" t="e">
        <v>#VALUE!</v>
      </c>
      <c r="CE327" t="e">
        <v>#VALUE!</v>
      </c>
      <c r="CF327" t="e">
        <v>#VALUE!</v>
      </c>
      <c r="CG327" t="e">
        <v>#VALUE!</v>
      </c>
      <c r="CH327" t="e">
        <v>#VALUE!</v>
      </c>
      <c r="CI327" t="e">
        <v>#VALUE!</v>
      </c>
      <c r="CJ327" t="e">
        <v>#VALUE!</v>
      </c>
      <c r="CK327" t="e">
        <v>#VALUE!</v>
      </c>
    </row>
    <row r="328" spans="1:89" ht="12.5">
      <c r="A328" t="s">
        <v>31</v>
      </c>
      <c r="B328" t="s">
        <v>344</v>
      </c>
      <c r="C328" t="s">
        <v>344</v>
      </c>
      <c r="E328" s="2">
        <v>45.838226948775599</v>
      </c>
      <c r="F328" s="2">
        <f>E328</f>
        <v>45.838226948775599</v>
      </c>
      <c r="I328" s="2">
        <f>F328</f>
        <v>45.838226948775599</v>
      </c>
      <c r="J328" s="2">
        <f>I328</f>
        <v>45.838226948775599</v>
      </c>
      <c r="L328" s="2">
        <f>J328</f>
        <v>45.838226948775599</v>
      </c>
      <c r="V328" s="2">
        <f>L328</f>
        <v>45.838226948775599</v>
      </c>
      <c r="W328">
        <v>5</v>
      </c>
      <c r="AG328" s="130" t="s">
        <v>342</v>
      </c>
      <c r="AI328">
        <v>1</v>
      </c>
      <c r="AJ328">
        <v>0.99490056601216403</v>
      </c>
      <c r="AK328">
        <v>1.0933812503899301</v>
      </c>
      <c r="AL328">
        <v>1.1855249542306801</v>
      </c>
      <c r="AM328">
        <v>1.3550758232561899</v>
      </c>
      <c r="AN328">
        <v>1.58710907835321</v>
      </c>
      <c r="AO328">
        <v>1.8718093242490299</v>
      </c>
      <c r="AP328">
        <v>2.1975863270737102</v>
      </c>
      <c r="AQ328">
        <v>2.56230221306238</v>
      </c>
      <c r="AR328">
        <v>2.9641821436177902</v>
      </c>
      <c r="AS328">
        <v>3.3980629519115499</v>
      </c>
      <c r="AT328">
        <v>3.8577192571063499</v>
      </c>
      <c r="AU328">
        <v>4.33802822961463</v>
      </c>
      <c r="AV328">
        <v>4.8379007639335603</v>
      </c>
      <c r="AW328">
        <v>5.3582377251087001</v>
      </c>
      <c r="AX328">
        <v>5.89647097547281</v>
      </c>
      <c r="AY328">
        <v>6.4455280521307703</v>
      </c>
      <c r="AZ328">
        <v>7.0005819319279503</v>
      </c>
      <c r="BA328">
        <v>0</v>
      </c>
      <c r="BB328">
        <v>0</v>
      </c>
      <c r="BC328">
        <v>0</v>
      </c>
      <c r="BD328">
        <v>0</v>
      </c>
      <c r="BE328">
        <v>0</v>
      </c>
      <c r="BF328">
        <v>0</v>
      </c>
      <c r="BG328">
        <v>0</v>
      </c>
      <c r="BH328">
        <v>0</v>
      </c>
      <c r="BJ328" t="s">
        <v>343</v>
      </c>
      <c r="BL328">
        <v>1</v>
      </c>
      <c r="BM328">
        <v>0.99756097560975698</v>
      </c>
      <c r="BN328">
        <v>0.98536585365853702</v>
      </c>
      <c r="BO328">
        <v>0.97317073170731705</v>
      </c>
      <c r="BP328">
        <v>0.96097560975609797</v>
      </c>
      <c r="BQ328">
        <v>0.948780487804878</v>
      </c>
      <c r="BR328">
        <v>0.93658536585365804</v>
      </c>
      <c r="BS328">
        <v>0.92439024390243896</v>
      </c>
      <c r="BT328">
        <v>0.91219512195121999</v>
      </c>
      <c r="BU328">
        <v>0.90</v>
      </c>
      <c r="BV328">
        <v>0.8875</v>
      </c>
      <c r="BW328">
        <v>0.875000000000001</v>
      </c>
      <c r="BX328">
        <v>0.86250000000000104</v>
      </c>
      <c r="BY328">
        <v>0.85000000000000098</v>
      </c>
      <c r="BZ328">
        <v>0.8375</v>
      </c>
      <c r="CA328">
        <v>0.82500000000000095</v>
      </c>
      <c r="CB328">
        <v>0.812500000000001</v>
      </c>
      <c r="CC328">
        <v>0.80000000000000104</v>
      </c>
      <c r="CD328" t="e">
        <v>#VALUE!</v>
      </c>
      <c r="CE328" t="e">
        <v>#VALUE!</v>
      </c>
      <c r="CF328" t="e">
        <v>#VALUE!</v>
      </c>
      <c r="CG328" t="e">
        <v>#VALUE!</v>
      </c>
      <c r="CH328" t="e">
        <v>#VALUE!</v>
      </c>
      <c r="CI328" t="e">
        <v>#VALUE!</v>
      </c>
      <c r="CJ328" t="e">
        <v>#VALUE!</v>
      </c>
      <c r="CK328" t="e">
        <v>#VALUE!</v>
      </c>
    </row>
    <row r="329" spans="1:89" ht="12.5">
      <c r="A329" t="s">
        <v>31</v>
      </c>
      <c r="B329" t="s">
        <v>345</v>
      </c>
      <c r="C329" t="s">
        <v>345</v>
      </c>
      <c r="E329" s="2">
        <v>9.1267639057955599</v>
      </c>
      <c r="I329" s="2">
        <v>12.3280833254511</v>
      </c>
      <c r="J329" s="2">
        <v>14.330931096687101</v>
      </c>
      <c r="L329" s="2">
        <v>19.431620195366602</v>
      </c>
      <c r="V329" s="2">
        <v>53.238258913376498</v>
      </c>
      <c r="W329">
        <v>5</v>
      </c>
      <c r="AG329" s="130" t="s">
        <v>342</v>
      </c>
      <c r="AI329">
        <v>1</v>
      </c>
      <c r="AJ329">
        <v>0.99490056601216403</v>
      </c>
      <c r="AK329">
        <v>1.0933812503899301</v>
      </c>
      <c r="AL329">
        <v>1.1855249542306801</v>
      </c>
      <c r="AM329">
        <v>1.3550758232561899</v>
      </c>
      <c r="AN329">
        <v>1.58710907835321</v>
      </c>
      <c r="AO329">
        <v>1.8718093242490299</v>
      </c>
      <c r="AP329">
        <v>2.1975863270737102</v>
      </c>
      <c r="AQ329">
        <v>2.56230221306238</v>
      </c>
      <c r="AR329">
        <v>2.9641821436177902</v>
      </c>
      <c r="AS329">
        <v>3.3980629519115499</v>
      </c>
      <c r="AT329">
        <v>3.8577192571063499</v>
      </c>
      <c r="AU329">
        <v>4.33802822961463</v>
      </c>
      <c r="AV329">
        <v>4.8379007639335603</v>
      </c>
      <c r="AW329">
        <v>5.3582377251087001</v>
      </c>
      <c r="AX329">
        <v>5.89647097547281</v>
      </c>
      <c r="AY329">
        <v>6.4455280521307703</v>
      </c>
      <c r="AZ329">
        <v>7.0005819319279503</v>
      </c>
      <c r="BA329">
        <v>0</v>
      </c>
      <c r="BB329">
        <v>0</v>
      </c>
      <c r="BC329">
        <v>0</v>
      </c>
      <c r="BD329">
        <v>0</v>
      </c>
      <c r="BE329">
        <v>0</v>
      </c>
      <c r="BF329">
        <v>0</v>
      </c>
      <c r="BG329">
        <v>0</v>
      </c>
      <c r="BH329">
        <v>0</v>
      </c>
      <c r="BJ329" t="s">
        <v>343</v>
      </c>
      <c r="BL329">
        <v>1</v>
      </c>
      <c r="BM329">
        <v>0.99756097560975698</v>
      </c>
      <c r="BN329">
        <v>0.98536585365853702</v>
      </c>
      <c r="BO329">
        <v>0.97317073170731705</v>
      </c>
      <c r="BP329">
        <v>0.96097560975609797</v>
      </c>
      <c r="BQ329">
        <v>0.948780487804878</v>
      </c>
      <c r="BR329">
        <v>0.93658536585365804</v>
      </c>
      <c r="BS329">
        <v>0.92439024390243896</v>
      </c>
      <c r="BT329">
        <v>0.91219512195121999</v>
      </c>
      <c r="BU329">
        <v>0.90</v>
      </c>
      <c r="BV329">
        <v>0.8875</v>
      </c>
      <c r="BW329">
        <v>0.875000000000001</v>
      </c>
      <c r="BX329">
        <v>0.86250000000000104</v>
      </c>
      <c r="BY329">
        <v>0.85000000000000098</v>
      </c>
      <c r="BZ329">
        <v>0.8375</v>
      </c>
      <c r="CA329">
        <v>0.82500000000000095</v>
      </c>
      <c r="CB329">
        <v>0.812500000000001</v>
      </c>
      <c r="CC329">
        <v>0.80000000000000104</v>
      </c>
      <c r="CD329" t="e">
        <v>#VALUE!</v>
      </c>
      <c r="CE329" t="e">
        <v>#VALUE!</v>
      </c>
      <c r="CF329" t="e">
        <v>#VALUE!</v>
      </c>
      <c r="CG329" t="e">
        <v>#VALUE!</v>
      </c>
      <c r="CH329" t="e">
        <v>#VALUE!</v>
      </c>
      <c r="CI329" t="e">
        <v>#VALUE!</v>
      </c>
      <c r="CJ329" t="e">
        <v>#VALUE!</v>
      </c>
      <c r="CK329" t="e">
        <v>#VALUE!</v>
      </c>
    </row>
    <row r="330" spans="1:89" ht="12.5">
      <c r="A330" t="s">
        <v>31</v>
      </c>
      <c r="B330" t="s">
        <v>346</v>
      </c>
      <c r="C330" t="s">
        <v>346</v>
      </c>
      <c r="E330" s="2">
        <v>9.7407002747112195</v>
      </c>
      <c r="I330" s="2">
        <v>10.841410063348199</v>
      </c>
      <c r="J330" s="2">
        <v>11.0821321791008</v>
      </c>
      <c r="L330" s="2">
        <v>11.335909074956</v>
      </c>
      <c r="V330" s="2">
        <v>9.9925994901079491</v>
      </c>
      <c r="W330">
        <v>5</v>
      </c>
      <c r="AG330" s="130" t="s">
        <v>347</v>
      </c>
      <c r="AI330">
        <v>1</v>
      </c>
      <c r="AJ330">
        <v>1.0081547246606799</v>
      </c>
      <c r="AK330">
        <v>1.0489283479640501</v>
      </c>
      <c r="AL330">
        <v>1.0911112392793301</v>
      </c>
      <c r="AM330">
        <v>1.12521247998421</v>
      </c>
      <c r="AN330">
        <v>1.1515453997704099</v>
      </c>
      <c r="AO330">
        <v>1.17016750535311</v>
      </c>
      <c r="AP330">
        <v>1.1798363757897601</v>
      </c>
      <c r="AQ330">
        <v>1.1824192636066999</v>
      </c>
      <c r="AR330">
        <v>1.1787026571957999</v>
      </c>
      <c r="AS330">
        <v>1.1697336271018901</v>
      </c>
      <c r="AT330">
        <v>1.15582715838238</v>
      </c>
      <c r="AU330">
        <v>1.13793012022618</v>
      </c>
      <c r="AV330">
        <v>1.1163359779363999</v>
      </c>
      <c r="AW330">
        <v>1.0929335382804799</v>
      </c>
      <c r="AX330">
        <v>1.06802312943191</v>
      </c>
      <c r="AY330">
        <v>1.04167236273411</v>
      </c>
      <c r="AZ330">
        <v>1.01409441825303</v>
      </c>
      <c r="BA330">
        <v>0</v>
      </c>
      <c r="BB330">
        <v>0</v>
      </c>
      <c r="BC330">
        <v>0</v>
      </c>
      <c r="BD330">
        <v>0</v>
      </c>
      <c r="BE330">
        <v>0</v>
      </c>
      <c r="BF330">
        <v>0</v>
      </c>
      <c r="BG330">
        <v>0</v>
      </c>
      <c r="BH330">
        <v>0</v>
      </c>
      <c r="BJ330" t="s">
        <v>343</v>
      </c>
      <c r="BL330">
        <v>1</v>
      </c>
      <c r="BM330">
        <v>0.99756097560975698</v>
      </c>
      <c r="BN330">
        <v>0.98536585365853702</v>
      </c>
      <c r="BO330">
        <v>0.97317073170731705</v>
      </c>
      <c r="BP330">
        <v>0.96097560975609797</v>
      </c>
      <c r="BQ330">
        <v>0.948780487804878</v>
      </c>
      <c r="BR330">
        <v>0.93658536585365804</v>
      </c>
      <c r="BS330">
        <v>0.92439024390243896</v>
      </c>
      <c r="BT330">
        <v>0.91219512195121999</v>
      </c>
      <c r="BU330">
        <v>0.90</v>
      </c>
      <c r="BV330">
        <v>0.8875</v>
      </c>
      <c r="BW330">
        <v>0.875000000000001</v>
      </c>
      <c r="BX330">
        <v>0.86250000000000104</v>
      </c>
      <c r="BY330">
        <v>0.85000000000000098</v>
      </c>
      <c r="BZ330">
        <v>0.8375</v>
      </c>
      <c r="CA330">
        <v>0.82500000000000095</v>
      </c>
      <c r="CB330">
        <v>0.812500000000001</v>
      </c>
      <c r="CC330">
        <v>0.80000000000000104</v>
      </c>
      <c r="CD330" t="e">
        <v>#VALUE!</v>
      </c>
      <c r="CE330" t="e">
        <v>#VALUE!</v>
      </c>
      <c r="CF330" t="e">
        <v>#VALUE!</v>
      </c>
      <c r="CG330" t="e">
        <v>#VALUE!</v>
      </c>
      <c r="CH330" t="e">
        <v>#VALUE!</v>
      </c>
      <c r="CI330" t="e">
        <v>#VALUE!</v>
      </c>
      <c r="CJ330" t="e">
        <v>#VALUE!</v>
      </c>
      <c r="CK330" t="e">
        <v>#VALUE!</v>
      </c>
    </row>
    <row r="331" spans="1:89" ht="12.5">
      <c r="A331" t="s">
        <v>31</v>
      </c>
      <c r="B331" t="s">
        <v>348</v>
      </c>
      <c r="C331" t="s">
        <v>348</v>
      </c>
      <c r="E331" s="2">
        <v>10.9989574210474</v>
      </c>
      <c r="F331" s="2">
        <f>E331</f>
        <v>10.9989574210474</v>
      </c>
      <c r="I331" s="2">
        <f>F331</f>
        <v>10.9989574210474</v>
      </c>
      <c r="J331" s="2">
        <f>I331</f>
        <v>10.9989574210474</v>
      </c>
      <c r="L331" s="2">
        <f>J331</f>
        <v>10.9989574210474</v>
      </c>
      <c r="V331" s="2">
        <f>L331</f>
        <v>10.9989574210474</v>
      </c>
      <c r="W331">
        <v>5</v>
      </c>
      <c r="AG331" s="130" t="s">
        <v>342</v>
      </c>
      <c r="AI331">
        <v>1</v>
      </c>
      <c r="AJ331">
        <v>0.99490056601216403</v>
      </c>
      <c r="AK331">
        <v>1.0933812503899301</v>
      </c>
      <c r="AL331">
        <v>1.1855249542306801</v>
      </c>
      <c r="AM331">
        <v>1.3550758232561899</v>
      </c>
      <c r="AN331">
        <v>1.58710907835321</v>
      </c>
      <c r="AO331">
        <v>1.8718093242490299</v>
      </c>
      <c r="AP331">
        <v>2.1975863270737102</v>
      </c>
      <c r="AQ331">
        <v>2.56230221306238</v>
      </c>
      <c r="AR331">
        <v>2.9641821436177902</v>
      </c>
      <c r="AS331">
        <v>3.3980629519115499</v>
      </c>
      <c r="AT331">
        <v>3.8577192571063499</v>
      </c>
      <c r="AU331">
        <v>4.33802822961463</v>
      </c>
      <c r="AV331">
        <v>4.8379007639335603</v>
      </c>
      <c r="AW331">
        <v>5.3582377251087001</v>
      </c>
      <c r="AX331">
        <v>5.89647097547281</v>
      </c>
      <c r="AY331">
        <v>6.4455280521307703</v>
      </c>
      <c r="AZ331">
        <v>7.0005819319279503</v>
      </c>
      <c r="BA331">
        <v>0</v>
      </c>
      <c r="BB331">
        <v>0</v>
      </c>
      <c r="BC331">
        <v>0</v>
      </c>
      <c r="BD331">
        <v>0</v>
      </c>
      <c r="BE331">
        <v>0</v>
      </c>
      <c r="BF331">
        <v>0</v>
      </c>
      <c r="BG331">
        <v>0</v>
      </c>
      <c r="BH331">
        <v>0</v>
      </c>
      <c r="BJ331" t="s">
        <v>343</v>
      </c>
      <c r="BL331">
        <v>1</v>
      </c>
      <c r="BM331">
        <v>0.99756097560975698</v>
      </c>
      <c r="BN331">
        <v>0.98536585365853702</v>
      </c>
      <c r="BO331">
        <v>0.97317073170731705</v>
      </c>
      <c r="BP331">
        <v>0.96097560975609797</v>
      </c>
      <c r="BQ331">
        <v>0.948780487804878</v>
      </c>
      <c r="BR331">
        <v>0.93658536585365804</v>
      </c>
      <c r="BS331">
        <v>0.92439024390243896</v>
      </c>
      <c r="BT331">
        <v>0.91219512195121999</v>
      </c>
      <c r="BU331">
        <v>0.90</v>
      </c>
      <c r="BV331">
        <v>0.8875</v>
      </c>
      <c r="BW331">
        <v>0.875000000000001</v>
      </c>
      <c r="BX331">
        <v>0.86250000000000104</v>
      </c>
      <c r="BY331">
        <v>0.85000000000000098</v>
      </c>
      <c r="BZ331">
        <v>0.8375</v>
      </c>
      <c r="CA331">
        <v>0.82500000000000095</v>
      </c>
      <c r="CB331">
        <v>0.812500000000001</v>
      </c>
      <c r="CC331">
        <v>0.80000000000000104</v>
      </c>
      <c r="CD331" t="e">
        <v>#VALUE!</v>
      </c>
      <c r="CE331" t="e">
        <v>#VALUE!</v>
      </c>
      <c r="CF331" t="e">
        <v>#VALUE!</v>
      </c>
      <c r="CG331" t="e">
        <v>#VALUE!</v>
      </c>
      <c r="CH331" t="e">
        <v>#VALUE!</v>
      </c>
      <c r="CI331" t="e">
        <v>#VALUE!</v>
      </c>
      <c r="CJ331" t="e">
        <v>#VALUE!</v>
      </c>
      <c r="CK331" t="e">
        <v>#VALUE!</v>
      </c>
    </row>
    <row r="332" spans="1:89" ht="12.5">
      <c r="A332" t="s">
        <v>31</v>
      </c>
      <c r="B332" t="s">
        <v>349</v>
      </c>
      <c r="C332" t="s">
        <v>349</v>
      </c>
      <c r="E332" s="2">
        <v>125.722145353272</v>
      </c>
      <c r="F332" s="2">
        <f>E332</f>
        <v>125.722145353272</v>
      </c>
      <c r="I332" s="2">
        <f>F332</f>
        <v>125.722145353272</v>
      </c>
      <c r="J332" s="2">
        <f>I332</f>
        <v>125.722145353272</v>
      </c>
      <c r="L332" s="2">
        <f>J332</f>
        <v>125.722145353272</v>
      </c>
      <c r="V332" s="2">
        <f>L332</f>
        <v>125.722145353272</v>
      </c>
      <c r="W332">
        <v>5</v>
      </c>
      <c r="AG332" s="130" t="s">
        <v>342</v>
      </c>
      <c r="AI332">
        <v>1</v>
      </c>
      <c r="AJ332">
        <v>0.99490056601216403</v>
      </c>
      <c r="AK332">
        <v>1.0933812503899301</v>
      </c>
      <c r="AL332">
        <v>1.1855249542306801</v>
      </c>
      <c r="AM332">
        <v>1.3550758232561899</v>
      </c>
      <c r="AN332">
        <v>1.58710907835321</v>
      </c>
      <c r="AO332">
        <v>1.8718093242490299</v>
      </c>
      <c r="AP332">
        <v>2.1975863270737102</v>
      </c>
      <c r="AQ332">
        <v>2.56230221306238</v>
      </c>
      <c r="AR332">
        <v>2.9641821436177902</v>
      </c>
      <c r="AS332">
        <v>3.3980629519115499</v>
      </c>
      <c r="AT332">
        <v>3.8577192571063499</v>
      </c>
      <c r="AU332">
        <v>4.33802822961463</v>
      </c>
      <c r="AV332">
        <v>4.8379007639335603</v>
      </c>
      <c r="AW332">
        <v>5.3582377251087001</v>
      </c>
      <c r="AX332">
        <v>5.89647097547281</v>
      </c>
      <c r="AY332">
        <v>6.4455280521307703</v>
      </c>
      <c r="AZ332">
        <v>7.0005819319279503</v>
      </c>
      <c r="BA332">
        <v>0</v>
      </c>
      <c r="BB332">
        <v>0</v>
      </c>
      <c r="BC332">
        <v>0</v>
      </c>
      <c r="BD332">
        <v>0</v>
      </c>
      <c r="BE332">
        <v>0</v>
      </c>
      <c r="BF332">
        <v>0</v>
      </c>
      <c r="BG332">
        <v>0</v>
      </c>
      <c r="BH332">
        <v>0</v>
      </c>
      <c r="BJ332" t="s">
        <v>343</v>
      </c>
      <c r="BL332">
        <v>1</v>
      </c>
      <c r="BM332">
        <v>0.99756097560975698</v>
      </c>
      <c r="BN332">
        <v>0.98536585365853702</v>
      </c>
      <c r="BO332">
        <v>0.97317073170731705</v>
      </c>
      <c r="BP332">
        <v>0.96097560975609797</v>
      </c>
      <c r="BQ332">
        <v>0.948780487804878</v>
      </c>
      <c r="BR332">
        <v>0.93658536585365804</v>
      </c>
      <c r="BS332">
        <v>0.92439024390243896</v>
      </c>
      <c r="BT332">
        <v>0.91219512195121999</v>
      </c>
      <c r="BU332">
        <v>0.90</v>
      </c>
      <c r="BV332">
        <v>0.8875</v>
      </c>
      <c r="BW332">
        <v>0.875000000000001</v>
      </c>
      <c r="BX332">
        <v>0.86250000000000104</v>
      </c>
      <c r="BY332">
        <v>0.85000000000000098</v>
      </c>
      <c r="BZ332">
        <v>0.8375</v>
      </c>
      <c r="CA332">
        <v>0.82500000000000095</v>
      </c>
      <c r="CB332">
        <v>0.812500000000001</v>
      </c>
      <c r="CC332">
        <v>0.80000000000000104</v>
      </c>
      <c r="CD332" t="e">
        <v>#VALUE!</v>
      </c>
      <c r="CE332" t="e">
        <v>#VALUE!</v>
      </c>
      <c r="CF332" t="e">
        <v>#VALUE!</v>
      </c>
      <c r="CG332" t="e">
        <v>#VALUE!</v>
      </c>
      <c r="CH332" t="e">
        <v>#VALUE!</v>
      </c>
      <c r="CI332" t="e">
        <v>#VALUE!</v>
      </c>
      <c r="CJ332" t="e">
        <v>#VALUE!</v>
      </c>
      <c r="CK332" t="e">
        <v>#VALUE!</v>
      </c>
    </row>
    <row r="333" spans="1:89" ht="12.5">
      <c r="A333" t="s">
        <v>31</v>
      </c>
      <c r="B333" t="s">
        <v>350</v>
      </c>
      <c r="C333" t="s">
        <v>350</v>
      </c>
      <c r="D333">
        <v>109.69</v>
      </c>
      <c r="E333">
        <v>110.58231006084</v>
      </c>
      <c r="F333"/>
      <c r="G333">
        <v>114.989231240778</v>
      </c>
      <c r="H333">
        <v>119.489482175879</v>
      </c>
      <c r="I333">
        <v>123.078232089162</v>
      </c>
      <c r="J333">
        <v>125.81105487314299</v>
      </c>
      <c r="K333">
        <v>127.716576540045</v>
      </c>
      <c r="L333">
        <v>128.69208340212899</v>
      </c>
      <c r="M333">
        <v>128.949077612265</v>
      </c>
      <c r="N333">
        <v>128.58429357587801</v>
      </c>
      <c r="O333">
        <v>127.715938187362</v>
      </c>
      <c r="P333">
        <v>126.38737247722401</v>
      </c>
      <c r="Q333">
        <v>124.699455590404</v>
      </c>
      <c r="R333">
        <v>122.68803056643</v>
      </c>
      <c r="S333">
        <v>120.533993247749</v>
      </c>
      <c r="T333">
        <v>118.267520007521</v>
      </c>
      <c r="U333">
        <v>115.896684311005</v>
      </c>
      <c r="V333">
        <v>113.44202202768901</v>
      </c>
      <c r="W333">
        <v>5</v>
      </c>
      <c r="AG333" s="130" t="s">
        <v>347</v>
      </c>
      <c r="AI333">
        <v>1</v>
      </c>
      <c r="AJ333">
        <v>1.0081547246606799</v>
      </c>
      <c r="AK333">
        <v>1.0489283479640501</v>
      </c>
      <c r="AL333">
        <v>1.0911112392793301</v>
      </c>
      <c r="AM333">
        <v>1.12521247998421</v>
      </c>
      <c r="AN333">
        <v>1.1515453997704099</v>
      </c>
      <c r="AO333">
        <v>1.17016750535311</v>
      </c>
      <c r="AP333">
        <v>1.1798363757897601</v>
      </c>
      <c r="AQ333">
        <v>1.1824192636066999</v>
      </c>
      <c r="AR333">
        <v>1.1787026571957999</v>
      </c>
      <c r="AS333">
        <v>1.1697336271018901</v>
      </c>
      <c r="AT333">
        <v>1.15582715838238</v>
      </c>
      <c r="AU333">
        <v>1.13793012022618</v>
      </c>
      <c r="AV333">
        <v>1.1163359779363999</v>
      </c>
      <c r="AW333">
        <v>1.0929335382804799</v>
      </c>
      <c r="AX333">
        <v>1.06802312943191</v>
      </c>
      <c r="AY333">
        <v>1.04167236273411</v>
      </c>
      <c r="AZ333">
        <v>1.01409441825303</v>
      </c>
      <c r="BA333">
        <v>0</v>
      </c>
      <c r="BB333">
        <v>0</v>
      </c>
      <c r="BC333">
        <v>0</v>
      </c>
      <c r="BD333">
        <v>0</v>
      </c>
      <c r="BE333">
        <v>0</v>
      </c>
      <c r="BF333">
        <v>0</v>
      </c>
      <c r="BG333">
        <v>0</v>
      </c>
      <c r="BH333">
        <v>0</v>
      </c>
      <c r="BJ333" t="s">
        <v>343</v>
      </c>
      <c r="BL333">
        <v>1</v>
      </c>
      <c r="BM333">
        <v>0.99756097560975698</v>
      </c>
      <c r="BN333">
        <v>0.98536585365853702</v>
      </c>
      <c r="BO333">
        <v>0.97317073170731705</v>
      </c>
      <c r="BP333">
        <v>0.96097560975609797</v>
      </c>
      <c r="BQ333">
        <v>0.948780487804878</v>
      </c>
      <c r="BR333">
        <v>0.93658536585365804</v>
      </c>
      <c r="BS333">
        <v>0.92439024390243896</v>
      </c>
      <c r="BT333">
        <v>0.91219512195121999</v>
      </c>
      <c r="BU333">
        <v>0.90</v>
      </c>
      <c r="BV333">
        <v>0.8875</v>
      </c>
      <c r="BW333">
        <v>0.875000000000001</v>
      </c>
      <c r="BX333">
        <v>0.86250000000000104</v>
      </c>
      <c r="BY333">
        <v>0.85000000000000098</v>
      </c>
      <c r="BZ333">
        <v>0.8375</v>
      </c>
      <c r="CA333">
        <v>0.82500000000000095</v>
      </c>
      <c r="CB333">
        <v>0.812500000000001</v>
      </c>
      <c r="CC333">
        <v>0.80000000000000104</v>
      </c>
      <c r="CD333" t="e">
        <v>#VALUE!</v>
      </c>
      <c r="CE333" t="e">
        <v>#VALUE!</v>
      </c>
      <c r="CF333" t="e">
        <v>#VALUE!</v>
      </c>
      <c r="CG333" t="e">
        <v>#VALUE!</v>
      </c>
      <c r="CH333" t="e">
        <v>#VALUE!</v>
      </c>
      <c r="CI333" t="e">
        <v>#VALUE!</v>
      </c>
      <c r="CJ333" t="e">
        <v>#VALUE!</v>
      </c>
      <c r="CK333" t="e">
        <v>#VALUE!</v>
      </c>
    </row>
    <row r="334" spans="1:89" ht="12.5">
      <c r="A334" t="s">
        <v>31</v>
      </c>
      <c r="B334" t="s">
        <v>351</v>
      </c>
      <c r="C334" t="s">
        <v>351</v>
      </c>
      <c r="D334">
        <v>18.585</v>
      </c>
      <c r="E334">
        <v>18.736185910116699</v>
      </c>
      <c r="F334"/>
      <c r="G334">
        <v>19.4828595369666</v>
      </c>
      <c r="H334">
        <v>20.245346214228299</v>
      </c>
      <c r="I334">
        <v>20.853395417787201</v>
      </c>
      <c r="J334">
        <v>21.316423145385698</v>
      </c>
      <c r="K334">
        <v>21.639279560550001</v>
      </c>
      <c r="L334">
        <v>21.804561674068399</v>
      </c>
      <c r="M334">
        <v>21.848104726264399</v>
      </c>
      <c r="N334">
        <v>21.786298624374901</v>
      </c>
      <c r="O334">
        <v>21.639171403155402</v>
      </c>
      <c r="P334">
        <v>21.414069810276398</v>
      </c>
      <c r="Q334">
        <v>21.128082615987299</v>
      </c>
      <c r="R334">
        <v>20.7872827794431</v>
      </c>
      <c r="S334">
        <v>20.422319851485302</v>
      </c>
      <c r="T334">
        <v>20.0383066764498</v>
      </c>
      <c r="U334">
        <v>19.636611157990899</v>
      </c>
      <c r="V334">
        <v>19.220712730281701</v>
      </c>
      <c r="W334">
        <v>5</v>
      </c>
      <c r="AG334" s="130" t="s">
        <v>347</v>
      </c>
      <c r="AI334">
        <v>1</v>
      </c>
      <c r="AJ334">
        <v>1.0081547246606799</v>
      </c>
      <c r="AK334">
        <v>1.0489283479640501</v>
      </c>
      <c r="AL334">
        <v>1.0911112392793301</v>
      </c>
      <c r="AM334">
        <v>1.12521247998421</v>
      </c>
      <c r="AN334">
        <v>1.1515453997704099</v>
      </c>
      <c r="AO334">
        <v>1.17016750535311</v>
      </c>
      <c r="AP334">
        <v>1.1798363757897601</v>
      </c>
      <c r="AQ334">
        <v>1.1824192636066999</v>
      </c>
      <c r="AR334">
        <v>1.1787026571957999</v>
      </c>
      <c r="AS334">
        <v>1.1697336271018901</v>
      </c>
      <c r="AT334">
        <v>1.15582715838238</v>
      </c>
      <c r="AU334">
        <v>1.13793012022618</v>
      </c>
      <c r="AV334">
        <v>1.1163359779363999</v>
      </c>
      <c r="AW334">
        <v>1.0929335382804799</v>
      </c>
      <c r="AX334">
        <v>1.06802312943191</v>
      </c>
      <c r="AY334">
        <v>1.04167236273411</v>
      </c>
      <c r="AZ334">
        <v>1.01409441825303</v>
      </c>
      <c r="BA334">
        <v>0</v>
      </c>
      <c r="BB334">
        <v>0</v>
      </c>
      <c r="BC334">
        <v>0</v>
      </c>
      <c r="BD334">
        <v>0</v>
      </c>
      <c r="BE334">
        <v>0</v>
      </c>
      <c r="BF334">
        <v>0</v>
      </c>
      <c r="BG334">
        <v>0</v>
      </c>
      <c r="BH334">
        <v>0</v>
      </c>
      <c r="BJ334" t="s">
        <v>343</v>
      </c>
      <c r="BL334">
        <v>1</v>
      </c>
      <c r="BM334">
        <v>0.99756097560975698</v>
      </c>
      <c r="BN334">
        <v>0.98536585365853702</v>
      </c>
      <c r="BO334">
        <v>0.97317073170731705</v>
      </c>
      <c r="BP334">
        <v>0.96097560975609797</v>
      </c>
      <c r="BQ334">
        <v>0.948780487804878</v>
      </c>
      <c r="BR334">
        <v>0.93658536585365804</v>
      </c>
      <c r="BS334">
        <v>0.92439024390243896</v>
      </c>
      <c r="BT334">
        <v>0.91219512195121999</v>
      </c>
      <c r="BU334">
        <v>0.90</v>
      </c>
      <c r="BV334">
        <v>0.8875</v>
      </c>
      <c r="BW334">
        <v>0.875000000000001</v>
      </c>
      <c r="BX334">
        <v>0.86250000000000104</v>
      </c>
      <c r="BY334">
        <v>0.85000000000000098</v>
      </c>
      <c r="BZ334">
        <v>0.8375</v>
      </c>
      <c r="CA334">
        <v>0.82500000000000095</v>
      </c>
      <c r="CB334">
        <v>0.812500000000001</v>
      </c>
      <c r="CC334">
        <v>0.80000000000000104</v>
      </c>
      <c r="CD334" t="e">
        <v>#VALUE!</v>
      </c>
      <c r="CE334" t="e">
        <v>#VALUE!</v>
      </c>
      <c r="CF334" t="e">
        <v>#VALUE!</v>
      </c>
      <c r="CG334" t="e">
        <v>#VALUE!</v>
      </c>
      <c r="CH334" t="e">
        <v>#VALUE!</v>
      </c>
      <c r="CI334" t="e">
        <v>#VALUE!</v>
      </c>
      <c r="CJ334" t="e">
        <v>#VALUE!</v>
      </c>
      <c r="CK334" t="e">
        <v>#VALUE!</v>
      </c>
    </row>
    <row r="335" spans="1:89" ht="12.5">
      <c r="A335" t="s">
        <v>31</v>
      </c>
      <c r="B335" t="s">
        <v>352</v>
      </c>
      <c r="C335" t="s">
        <v>352</v>
      </c>
      <c r="D335">
        <v>7.945</v>
      </c>
      <c r="E335">
        <v>8.0096312647768393</v>
      </c>
      <c r="F335"/>
      <c r="G335">
        <v>8.3288307248426001</v>
      </c>
      <c r="H335">
        <v>8.6547901895100292</v>
      </c>
      <c r="I335">
        <v>8.9147283612762802</v>
      </c>
      <c r="J335">
        <v>9.1126705348447299</v>
      </c>
      <c r="K335">
        <v>9.2506901322878505</v>
      </c>
      <c r="L335">
        <v>9.3213474576525908</v>
      </c>
      <c r="M335">
        <v>9.3399619074614098</v>
      </c>
      <c r="N335">
        <v>9.3135400898928697</v>
      </c>
      <c r="O335">
        <v>9.2506438955108905</v>
      </c>
      <c r="P335">
        <v>9.1544140243554395</v>
      </c>
      <c r="Q335">
        <v>9.0321558452525803</v>
      </c>
      <c r="R335">
        <v>8.88646551964891</v>
      </c>
      <c r="S335">
        <v>8.7304455862281607</v>
      </c>
      <c r="T335">
        <v>8.5662817618721405</v>
      </c>
      <c r="U335">
        <v>8.3945588189528095</v>
      </c>
      <c r="V335">
        <v>8.2167641991976303</v>
      </c>
      <c r="W335">
        <v>5</v>
      </c>
      <c r="AG335" s="130" t="s">
        <v>347</v>
      </c>
      <c r="AI335">
        <v>1</v>
      </c>
      <c r="AJ335">
        <v>1.0081547246606799</v>
      </c>
      <c r="AK335">
        <v>1.0489283479640501</v>
      </c>
      <c r="AL335">
        <v>1.0911112392793301</v>
      </c>
      <c r="AM335">
        <v>1.12521247998421</v>
      </c>
      <c r="AN335">
        <v>1.1515453997704099</v>
      </c>
      <c r="AO335">
        <v>1.17016750535311</v>
      </c>
      <c r="AP335">
        <v>1.1798363757897601</v>
      </c>
      <c r="AQ335">
        <v>1.1824192636066999</v>
      </c>
      <c r="AR335">
        <v>1.1787026571957999</v>
      </c>
      <c r="AS335">
        <v>1.1697336271018901</v>
      </c>
      <c r="AT335">
        <v>1.15582715838238</v>
      </c>
      <c r="AU335">
        <v>1.13793012022618</v>
      </c>
      <c r="AV335">
        <v>1.1163359779363999</v>
      </c>
      <c r="AW335">
        <v>1.0929335382804799</v>
      </c>
      <c r="AX335">
        <v>1.06802312943191</v>
      </c>
      <c r="AY335">
        <v>1.04167236273411</v>
      </c>
      <c r="AZ335">
        <v>1.01409441825303</v>
      </c>
      <c r="BA335">
        <v>0</v>
      </c>
      <c r="BB335">
        <v>0</v>
      </c>
      <c r="BC335">
        <v>0</v>
      </c>
      <c r="BD335">
        <v>0</v>
      </c>
      <c r="BE335">
        <v>0</v>
      </c>
      <c r="BF335">
        <v>0</v>
      </c>
      <c r="BG335">
        <v>0</v>
      </c>
      <c r="BH335">
        <v>0</v>
      </c>
      <c r="BJ335" t="s">
        <v>343</v>
      </c>
      <c r="BL335">
        <v>1</v>
      </c>
      <c r="BM335">
        <v>0.99756097560975698</v>
      </c>
      <c r="BN335">
        <v>0.98536585365853702</v>
      </c>
      <c r="BO335">
        <v>0.97317073170731705</v>
      </c>
      <c r="BP335">
        <v>0.96097560975609797</v>
      </c>
      <c r="BQ335">
        <v>0.948780487804878</v>
      </c>
      <c r="BR335">
        <v>0.93658536585365804</v>
      </c>
      <c r="BS335">
        <v>0.92439024390243896</v>
      </c>
      <c r="BT335">
        <v>0.91219512195121999</v>
      </c>
      <c r="BU335">
        <v>0.90</v>
      </c>
      <c r="BV335">
        <v>0.8875</v>
      </c>
      <c r="BW335">
        <v>0.875000000000001</v>
      </c>
      <c r="BX335">
        <v>0.86250000000000104</v>
      </c>
      <c r="BY335">
        <v>0.85000000000000098</v>
      </c>
      <c r="BZ335">
        <v>0.8375</v>
      </c>
      <c r="CA335">
        <v>0.82500000000000095</v>
      </c>
      <c r="CB335">
        <v>0.812500000000001</v>
      </c>
      <c r="CC335">
        <v>0.80000000000000104</v>
      </c>
      <c r="CD335" t="e">
        <v>#VALUE!</v>
      </c>
      <c r="CE335" t="e">
        <v>#VALUE!</v>
      </c>
      <c r="CF335" t="e">
        <v>#VALUE!</v>
      </c>
      <c r="CG335" t="e">
        <v>#VALUE!</v>
      </c>
      <c r="CH335" t="e">
        <v>#VALUE!</v>
      </c>
      <c r="CI335" t="e">
        <v>#VALUE!</v>
      </c>
      <c r="CJ335" t="e">
        <v>#VALUE!</v>
      </c>
      <c r="CK335" t="e">
        <v>#VALUE!</v>
      </c>
    </row>
    <row r="336" spans="1:89" ht="12.5">
      <c r="A336" t="s">
        <v>31</v>
      </c>
      <c r="B336" t="s">
        <v>353</v>
      </c>
      <c r="C336" t="s">
        <v>353</v>
      </c>
      <c r="D336">
        <v>99.66</v>
      </c>
      <c r="E336">
        <v>98.352970743170403</v>
      </c>
      <c r="F336"/>
      <c r="G336">
        <v>103.80591722559301</v>
      </c>
      <c r="H336">
        <v>108.084709235096</v>
      </c>
      <c r="I336">
        <v>119.341446492584</v>
      </c>
      <c r="J336">
        <v>135.69730144944899</v>
      </c>
      <c r="K336">
        <v>156.110092215582</v>
      </c>
      <c r="L336">
        <v>179.837352283857</v>
      </c>
      <c r="M336">
        <v>206.64506770161901</v>
      </c>
      <c r="N336">
        <v>236.49327006129599</v>
      </c>
      <c r="O336">
        <v>269.06039491284201</v>
      </c>
      <c r="P336">
        <v>304.122482923034</v>
      </c>
      <c r="Q336">
        <v>341.420207140228</v>
      </c>
      <c r="R336">
        <v>381.12145157738701</v>
      </c>
      <c r="S336">
        <v>423.02135358173098</v>
      </c>
      <c r="T336">
        <v>467.03504533259002</v>
      </c>
      <c r="U336">
        <v>512.86252083073805</v>
      </c>
      <c r="V336">
        <v>560.31300352051903</v>
      </c>
      <c r="W336">
        <v>5</v>
      </c>
      <c r="AG336" s="130" t="s">
        <v>354</v>
      </c>
      <c r="AI336">
        <v>1</v>
      </c>
      <c r="AJ336">
        <v>0.98685305109989796</v>
      </c>
      <c r="AK336">
        <v>1.0423793508032799</v>
      </c>
      <c r="AL336">
        <v>1.0865298711556699</v>
      </c>
      <c r="AM336">
        <v>1.2042843883807599</v>
      </c>
      <c r="AN336">
        <v>1.3782427324790201</v>
      </c>
      <c r="AO336">
        <v>1.5996080182419701</v>
      </c>
      <c r="AP336">
        <v>1.8626195735003499</v>
      </c>
      <c r="AQ336">
        <v>2.1669997199188602</v>
      </c>
      <c r="AR336">
        <v>2.5147836271700101</v>
      </c>
      <c r="AS336">
        <v>2.9049886856125799</v>
      </c>
      <c r="AT336">
        <v>3.3376264168297798</v>
      </c>
      <c r="AU336">
        <v>3.8122096888976</v>
      </c>
      <c r="AV336">
        <v>4.3337318330245296</v>
      </c>
      <c r="AW336">
        <v>4.9026199100256704</v>
      </c>
      <c r="AX336">
        <v>5.5209206738895</v>
      </c>
      <c r="AY336">
        <v>6.18767309445842</v>
      </c>
      <c r="AZ336">
        <v>6.9032841576899404</v>
      </c>
      <c r="BA336">
        <v>0</v>
      </c>
      <c r="BB336">
        <v>0</v>
      </c>
      <c r="BC336">
        <v>0</v>
      </c>
      <c r="BD336">
        <v>0</v>
      </c>
      <c r="BE336">
        <v>0</v>
      </c>
      <c r="BF336">
        <v>0</v>
      </c>
      <c r="BG336">
        <v>0</v>
      </c>
      <c r="BH336">
        <v>0</v>
      </c>
      <c r="BJ336" t="s">
        <v>343</v>
      </c>
      <c r="BL336">
        <v>1</v>
      </c>
      <c r="BM336">
        <v>0.99756097560975698</v>
      </c>
      <c r="BN336">
        <v>0.98536585365853702</v>
      </c>
      <c r="BO336">
        <v>0.97317073170731705</v>
      </c>
      <c r="BP336">
        <v>0.96097560975609797</v>
      </c>
      <c r="BQ336">
        <v>0.948780487804878</v>
      </c>
      <c r="BR336">
        <v>0.93658536585365804</v>
      </c>
      <c r="BS336">
        <v>0.92439024390243896</v>
      </c>
      <c r="BT336">
        <v>0.91219512195121999</v>
      </c>
      <c r="BU336">
        <v>0.90</v>
      </c>
      <c r="BV336">
        <v>0.8875</v>
      </c>
      <c r="BW336">
        <v>0.875000000000001</v>
      </c>
      <c r="BX336">
        <v>0.86250000000000104</v>
      </c>
      <c r="BY336">
        <v>0.85000000000000098</v>
      </c>
      <c r="BZ336">
        <v>0.8375</v>
      </c>
      <c r="CA336">
        <v>0.82500000000000095</v>
      </c>
      <c r="CB336">
        <v>0.812500000000001</v>
      </c>
      <c r="CC336">
        <v>0.80000000000000104</v>
      </c>
      <c r="CD336" t="e">
        <v>#VALUE!</v>
      </c>
      <c r="CE336" t="e">
        <v>#VALUE!</v>
      </c>
      <c r="CF336" t="e">
        <v>#VALUE!</v>
      </c>
      <c r="CG336" t="e">
        <v>#VALUE!</v>
      </c>
      <c r="CH336" t="e">
        <v>#VALUE!</v>
      </c>
      <c r="CI336" t="e">
        <v>#VALUE!</v>
      </c>
      <c r="CJ336" t="e">
        <v>#VALUE!</v>
      </c>
      <c r="CK336" t="e">
        <v>#VALUE!</v>
      </c>
    </row>
    <row r="337" spans="1:89" ht="12.5">
      <c r="A337" t="s">
        <v>31</v>
      </c>
      <c r="B337" t="s">
        <v>355</v>
      </c>
      <c r="C337" t="s">
        <v>355</v>
      </c>
      <c r="D337">
        <v>19.60</v>
      </c>
      <c r="E337">
        <v>19.500294871658301</v>
      </c>
      <c r="F337"/>
      <c r="G337">
        <v>21.402292920151101</v>
      </c>
      <c r="H337">
        <v>23.157560719718301</v>
      </c>
      <c r="I337">
        <v>26.340251871313701</v>
      </c>
      <c r="J337">
        <v>30.6195476354285</v>
      </c>
      <c r="K337">
        <v>35.7638584966043</v>
      </c>
      <c r="L337">
        <v>41.517708527893497</v>
      </c>
      <c r="M337">
        <v>47.803064183023601</v>
      </c>
      <c r="N337">
        <v>54.550895416453301</v>
      </c>
      <c r="O337">
        <v>61.637460811757201</v>
      </c>
      <c r="P337">
        <v>68.932952952974205</v>
      </c>
      <c r="Q337">
        <v>76.335412924378204</v>
      </c>
      <c r="R337">
        <v>83.812146166419296</v>
      </c>
      <c r="S337">
        <v>91.361668912553895</v>
      </c>
      <c r="T337">
        <v>98.932900294156994</v>
      </c>
      <c r="U337">
        <v>106.417859520275</v>
      </c>
      <c r="V337">
        <v>113.749162132406</v>
      </c>
      <c r="W337">
        <v>5</v>
      </c>
      <c r="AG337" s="130" t="s">
        <v>342</v>
      </c>
      <c r="AI337">
        <v>1</v>
      </c>
      <c r="AJ337">
        <v>0.99490056601216403</v>
      </c>
      <c r="AK337">
        <v>1.0933812503899301</v>
      </c>
      <c r="AL337">
        <v>1.1855249542306801</v>
      </c>
      <c r="AM337">
        <v>1.3550758232561899</v>
      </c>
      <c r="AN337">
        <v>1.58710907835321</v>
      </c>
      <c r="AO337">
        <v>1.8718093242490299</v>
      </c>
      <c r="AP337">
        <v>2.1975863270737102</v>
      </c>
      <c r="AQ337">
        <v>2.56230221306238</v>
      </c>
      <c r="AR337">
        <v>2.9641821436177902</v>
      </c>
      <c r="AS337">
        <v>3.3980629519115499</v>
      </c>
      <c r="AT337">
        <v>3.8577192571063499</v>
      </c>
      <c r="AU337">
        <v>4.33802822961463</v>
      </c>
      <c r="AV337">
        <v>4.8379007639335603</v>
      </c>
      <c r="AW337">
        <v>5.3582377251087001</v>
      </c>
      <c r="AX337">
        <v>5.89647097547281</v>
      </c>
      <c r="AY337">
        <v>6.4455280521307703</v>
      </c>
      <c r="AZ337">
        <v>7.0005819319279503</v>
      </c>
      <c r="BA337">
        <v>0</v>
      </c>
      <c r="BB337">
        <v>0</v>
      </c>
      <c r="BC337">
        <v>0</v>
      </c>
      <c r="BD337">
        <v>0</v>
      </c>
      <c r="BE337">
        <v>0</v>
      </c>
      <c r="BF337">
        <v>0</v>
      </c>
      <c r="BG337">
        <v>0</v>
      </c>
      <c r="BH337">
        <v>0</v>
      </c>
      <c r="BJ337" t="s">
        <v>343</v>
      </c>
      <c r="BL337">
        <v>1</v>
      </c>
      <c r="BM337">
        <v>0.99756097560975698</v>
      </c>
      <c r="BN337">
        <v>0.98536585365853702</v>
      </c>
      <c r="BO337">
        <v>0.97317073170731705</v>
      </c>
      <c r="BP337">
        <v>0.96097560975609797</v>
      </c>
      <c r="BQ337">
        <v>0.948780487804878</v>
      </c>
      <c r="BR337">
        <v>0.93658536585365804</v>
      </c>
      <c r="BS337">
        <v>0.92439024390243896</v>
      </c>
      <c r="BT337">
        <v>0.91219512195121999</v>
      </c>
      <c r="BU337">
        <v>0.90</v>
      </c>
      <c r="BV337">
        <v>0.8875</v>
      </c>
      <c r="BW337">
        <v>0.875000000000001</v>
      </c>
      <c r="BX337">
        <v>0.86250000000000104</v>
      </c>
      <c r="BY337">
        <v>0.85000000000000098</v>
      </c>
      <c r="BZ337">
        <v>0.8375</v>
      </c>
      <c r="CA337">
        <v>0.82500000000000095</v>
      </c>
      <c r="CB337">
        <v>0.812500000000001</v>
      </c>
      <c r="CC337">
        <v>0.80000000000000104</v>
      </c>
      <c r="CD337" t="e">
        <v>#VALUE!</v>
      </c>
      <c r="CE337" t="e">
        <v>#VALUE!</v>
      </c>
      <c r="CF337" t="e">
        <v>#VALUE!</v>
      </c>
      <c r="CG337" t="e">
        <v>#VALUE!</v>
      </c>
      <c r="CH337" t="e">
        <v>#VALUE!</v>
      </c>
      <c r="CI337" t="e">
        <v>#VALUE!</v>
      </c>
      <c r="CJ337" t="e">
        <v>#VALUE!</v>
      </c>
      <c r="CK337" t="e">
        <v>#VALUE!</v>
      </c>
    </row>
    <row r="338" spans="1:89" ht="12.5">
      <c r="A338" t="s">
        <v>31</v>
      </c>
      <c r="B338" t="s">
        <v>356</v>
      </c>
      <c r="C338" t="s">
        <v>356</v>
      </c>
      <c r="D338">
        <v>23.80</v>
      </c>
      <c r="E338">
        <v>23.678929487013701</v>
      </c>
      <c r="F338"/>
      <c r="G338">
        <v>25.988498545897698</v>
      </c>
      <c r="H338">
        <v>28.119895159657901</v>
      </c>
      <c r="I338">
        <v>31.984591558023801</v>
      </c>
      <c r="J338">
        <v>37.180879271591699</v>
      </c>
      <c r="K338">
        <v>43.4275424601624</v>
      </c>
      <c r="L338">
        <v>50.414360355299202</v>
      </c>
      <c r="M338">
        <v>58.0465779365286</v>
      </c>
      <c r="N338">
        <v>66.240373005693201</v>
      </c>
      <c r="O338">
        <v>74.845488128562295</v>
      </c>
      <c r="P338">
        <v>83.704300014325895</v>
      </c>
      <c r="Q338">
        <v>92.6930014081736</v>
      </c>
      <c r="R338">
        <v>101.771891773509</v>
      </c>
      <c r="S338">
        <v>110.939169393816</v>
      </c>
      <c r="T338">
        <v>120.132807500048</v>
      </c>
      <c r="U338">
        <v>129.22168656033401</v>
      </c>
      <c r="V338">
        <v>138.12398258935099</v>
      </c>
      <c r="W338">
        <v>5</v>
      </c>
      <c r="AG338" s="130" t="s">
        <v>342</v>
      </c>
      <c r="AI338">
        <v>1</v>
      </c>
      <c r="AJ338">
        <v>0.99490056601216403</v>
      </c>
      <c r="AK338">
        <v>1.0933812503899301</v>
      </c>
      <c r="AL338">
        <v>1.1855249542306801</v>
      </c>
      <c r="AM338">
        <v>1.3550758232561899</v>
      </c>
      <c r="AN338">
        <v>1.58710907835321</v>
      </c>
      <c r="AO338">
        <v>1.8718093242490299</v>
      </c>
      <c r="AP338">
        <v>2.1975863270737102</v>
      </c>
      <c r="AQ338">
        <v>2.56230221306238</v>
      </c>
      <c r="AR338">
        <v>2.9641821436177902</v>
      </c>
      <c r="AS338">
        <v>3.3980629519115499</v>
      </c>
      <c r="AT338">
        <v>3.8577192571063499</v>
      </c>
      <c r="AU338">
        <v>4.33802822961463</v>
      </c>
      <c r="AV338">
        <v>4.8379007639335603</v>
      </c>
      <c r="AW338">
        <v>5.3582377251087001</v>
      </c>
      <c r="AX338">
        <v>5.89647097547281</v>
      </c>
      <c r="AY338">
        <v>6.4455280521307703</v>
      </c>
      <c r="AZ338">
        <v>7.0005819319279503</v>
      </c>
      <c r="BA338">
        <v>0</v>
      </c>
      <c r="BB338">
        <v>0</v>
      </c>
      <c r="BC338">
        <v>0</v>
      </c>
      <c r="BD338">
        <v>0</v>
      </c>
      <c r="BE338">
        <v>0</v>
      </c>
      <c r="BF338">
        <v>0</v>
      </c>
      <c r="BG338">
        <v>0</v>
      </c>
      <c r="BH338">
        <v>0</v>
      </c>
      <c r="BJ338" t="s">
        <v>343</v>
      </c>
      <c r="BL338">
        <v>1</v>
      </c>
      <c r="BM338">
        <v>0.99756097560975698</v>
      </c>
      <c r="BN338">
        <v>0.98536585365853702</v>
      </c>
      <c r="BO338">
        <v>0.97317073170731705</v>
      </c>
      <c r="BP338">
        <v>0.96097560975609797</v>
      </c>
      <c r="BQ338">
        <v>0.948780487804878</v>
      </c>
      <c r="BR338">
        <v>0.93658536585365804</v>
      </c>
      <c r="BS338">
        <v>0.92439024390243896</v>
      </c>
      <c r="BT338">
        <v>0.91219512195121999</v>
      </c>
      <c r="BU338">
        <v>0.90</v>
      </c>
      <c r="BV338">
        <v>0.8875</v>
      </c>
      <c r="BW338">
        <v>0.875000000000001</v>
      </c>
      <c r="BX338">
        <v>0.86250000000000104</v>
      </c>
      <c r="BY338">
        <v>0.85000000000000098</v>
      </c>
      <c r="BZ338">
        <v>0.8375</v>
      </c>
      <c r="CA338">
        <v>0.82500000000000095</v>
      </c>
      <c r="CB338">
        <v>0.812500000000001</v>
      </c>
      <c r="CC338">
        <v>0.80000000000000104</v>
      </c>
      <c r="CD338" t="e">
        <v>#VALUE!</v>
      </c>
      <c r="CE338" t="e">
        <v>#VALUE!</v>
      </c>
      <c r="CF338" t="e">
        <v>#VALUE!</v>
      </c>
      <c r="CG338" t="e">
        <v>#VALUE!</v>
      </c>
      <c r="CH338" t="e">
        <v>#VALUE!</v>
      </c>
      <c r="CI338" t="e">
        <v>#VALUE!</v>
      </c>
      <c r="CJ338" t="e">
        <v>#VALUE!</v>
      </c>
      <c r="CK338" t="e">
        <v>#VALUE!</v>
      </c>
    </row>
    <row r="339" spans="1:89" ht="12.5">
      <c r="A339" t="s">
        <v>32</v>
      </c>
      <c r="B339" t="s">
        <v>341</v>
      </c>
      <c r="C339" t="s">
        <v>341</v>
      </c>
      <c r="E339" s="2">
        <v>103.891851463989</v>
      </c>
      <c r="F339" s="2">
        <f>E339</f>
        <v>103.891851463989</v>
      </c>
      <c r="I339" s="2">
        <f>F339</f>
        <v>103.891851463989</v>
      </c>
      <c r="J339" s="2">
        <f>I339</f>
        <v>103.891851463989</v>
      </c>
      <c r="L339" s="2">
        <f>J339</f>
        <v>103.891851463989</v>
      </c>
      <c r="V339" s="2">
        <f>L339</f>
        <v>103.891851463989</v>
      </c>
      <c r="W339">
        <v>5</v>
      </c>
      <c r="AG339" s="130" t="s">
        <v>342</v>
      </c>
      <c r="AI339">
        <v>1</v>
      </c>
      <c r="AJ339">
        <v>0.99787959486460498</v>
      </c>
      <c r="AK339">
        <v>1.18950075332934</v>
      </c>
      <c r="AL339">
        <v>1.28031640877814</v>
      </c>
      <c r="AM339">
        <v>1.39550156259639</v>
      </c>
      <c r="AN339">
        <v>1.5264480809183401</v>
      </c>
      <c r="AO339">
        <v>1.6631561833125801</v>
      </c>
      <c r="AP339">
        <v>1.80282166535448</v>
      </c>
      <c r="AQ339">
        <v>1.9456897119573899</v>
      </c>
      <c r="AR339">
        <v>2.08969585569535</v>
      </c>
      <c r="AS339">
        <v>2.2277208467819101</v>
      </c>
      <c r="AT339">
        <v>2.3498407082236801</v>
      </c>
      <c r="AU339">
        <v>2.4575526886172501</v>
      </c>
      <c r="AV339">
        <v>2.55464277760526</v>
      </c>
      <c r="AW339">
        <v>2.6449027154359799</v>
      </c>
      <c r="AX339">
        <v>2.7285614807704999</v>
      </c>
      <c r="AY339">
        <v>2.8022675160834001</v>
      </c>
      <c r="AZ339">
        <v>2.8606006141646798</v>
      </c>
      <c r="BA339">
        <v>0</v>
      </c>
      <c r="BB339">
        <v>0</v>
      </c>
      <c r="BC339">
        <v>0</v>
      </c>
      <c r="BD339">
        <v>0</v>
      </c>
      <c r="BE339">
        <v>0</v>
      </c>
      <c r="BF339">
        <v>0</v>
      </c>
      <c r="BG339">
        <v>0</v>
      </c>
      <c r="BH339">
        <v>0</v>
      </c>
      <c r="BJ339" t="s">
        <v>357</v>
      </c>
      <c r="BL339">
        <v>0.80</v>
      </c>
      <c r="BM339">
        <v>0.79756097560975603</v>
      </c>
      <c r="BN339">
        <v>0.78536585365853595</v>
      </c>
      <c r="BO339">
        <v>0.77317073170731698</v>
      </c>
      <c r="BP339">
        <v>0.76097560975609702</v>
      </c>
      <c r="BQ339">
        <v>0.74878048780487805</v>
      </c>
      <c r="BR339">
        <v>0.73658536585365797</v>
      </c>
      <c r="BS339">
        <v>0.724390243902439</v>
      </c>
      <c r="BT339">
        <v>0.71219512195122003</v>
      </c>
      <c r="BU339">
        <v>0.69999999999999896</v>
      </c>
      <c r="BV339">
        <v>0.687499999999999</v>
      </c>
      <c r="BW339">
        <v>0.675</v>
      </c>
      <c r="BX339">
        <v>0.6625</v>
      </c>
      <c r="BY339">
        <v>0.64999999999999902</v>
      </c>
      <c r="BZ339">
        <v>0.63749999999999896</v>
      </c>
      <c r="CA339">
        <v>0.625</v>
      </c>
      <c r="CB339">
        <v>0.6125</v>
      </c>
      <c r="CC339">
        <v>0.60</v>
      </c>
      <c r="CD339" t="e">
        <v>#VALUE!</v>
      </c>
      <c r="CE339" t="e">
        <v>#VALUE!</v>
      </c>
      <c r="CF339" t="e">
        <v>#VALUE!</v>
      </c>
      <c r="CG339" t="e">
        <v>#VALUE!</v>
      </c>
      <c r="CH339" t="e">
        <v>#VALUE!</v>
      </c>
      <c r="CI339" t="e">
        <v>#VALUE!</v>
      </c>
      <c r="CJ339" t="e">
        <v>#VALUE!</v>
      </c>
      <c r="CK339" t="e">
        <v>#VALUE!</v>
      </c>
    </row>
    <row r="340" spans="1:89" ht="12.5">
      <c r="A340" t="s">
        <v>32</v>
      </c>
      <c r="B340" t="s">
        <v>344</v>
      </c>
      <c r="C340" t="s">
        <v>344</v>
      </c>
      <c r="E340" s="2">
        <v>260.25822524385097</v>
      </c>
      <c r="F340" s="2">
        <f>E340</f>
        <v>260.25822524385097</v>
      </c>
      <c r="I340" s="2">
        <f>F340</f>
        <v>260.25822524385097</v>
      </c>
      <c r="J340" s="2">
        <f>I340</f>
        <v>260.25822524385097</v>
      </c>
      <c r="L340" s="2">
        <f>J340</f>
        <v>260.25822524385097</v>
      </c>
      <c r="V340" s="2">
        <f>L340</f>
        <v>260.25822524385097</v>
      </c>
      <c r="W340">
        <v>5</v>
      </c>
      <c r="AG340" s="130" t="s">
        <v>342</v>
      </c>
      <c r="AI340">
        <v>1</v>
      </c>
      <c r="AJ340">
        <v>0.99787959486460498</v>
      </c>
      <c r="AK340">
        <v>1.18950075332934</v>
      </c>
      <c r="AL340">
        <v>1.28031640877814</v>
      </c>
      <c r="AM340">
        <v>1.39550156259639</v>
      </c>
      <c r="AN340">
        <v>1.5264480809183401</v>
      </c>
      <c r="AO340">
        <v>1.6631561833125801</v>
      </c>
      <c r="AP340">
        <v>1.80282166535448</v>
      </c>
      <c r="AQ340">
        <v>1.9456897119573899</v>
      </c>
      <c r="AR340">
        <v>2.08969585569535</v>
      </c>
      <c r="AS340">
        <v>2.2277208467819101</v>
      </c>
      <c r="AT340">
        <v>2.3498407082236801</v>
      </c>
      <c r="AU340">
        <v>2.4575526886172501</v>
      </c>
      <c r="AV340">
        <v>2.55464277760526</v>
      </c>
      <c r="AW340">
        <v>2.6449027154359799</v>
      </c>
      <c r="AX340">
        <v>2.7285614807704999</v>
      </c>
      <c r="AY340">
        <v>2.8022675160834001</v>
      </c>
      <c r="AZ340">
        <v>2.8606006141646798</v>
      </c>
      <c r="BA340">
        <v>0</v>
      </c>
      <c r="BB340">
        <v>0</v>
      </c>
      <c r="BC340">
        <v>0</v>
      </c>
      <c r="BD340">
        <v>0</v>
      </c>
      <c r="BE340">
        <v>0</v>
      </c>
      <c r="BF340">
        <v>0</v>
      </c>
      <c r="BG340">
        <v>0</v>
      </c>
      <c r="BH340">
        <v>0</v>
      </c>
      <c r="BJ340" t="s">
        <v>357</v>
      </c>
      <c r="BL340">
        <v>0.80</v>
      </c>
      <c r="BM340">
        <v>0.79756097560975603</v>
      </c>
      <c r="BN340">
        <v>0.78536585365853595</v>
      </c>
      <c r="BO340">
        <v>0.77317073170731698</v>
      </c>
      <c r="BP340">
        <v>0.76097560975609702</v>
      </c>
      <c r="BQ340">
        <v>0.74878048780487805</v>
      </c>
      <c r="BR340">
        <v>0.73658536585365797</v>
      </c>
      <c r="BS340">
        <v>0.724390243902439</v>
      </c>
      <c r="BT340">
        <v>0.71219512195122003</v>
      </c>
      <c r="BU340">
        <v>0.69999999999999896</v>
      </c>
      <c r="BV340">
        <v>0.687499999999999</v>
      </c>
      <c r="BW340">
        <v>0.675</v>
      </c>
      <c r="BX340">
        <v>0.6625</v>
      </c>
      <c r="BY340">
        <v>0.64999999999999902</v>
      </c>
      <c r="BZ340">
        <v>0.63749999999999896</v>
      </c>
      <c r="CA340">
        <v>0.625</v>
      </c>
      <c r="CB340">
        <v>0.6125</v>
      </c>
      <c r="CC340">
        <v>0.60</v>
      </c>
      <c r="CD340" t="e">
        <v>#VALUE!</v>
      </c>
      <c r="CE340" t="e">
        <v>#VALUE!</v>
      </c>
      <c r="CF340" t="e">
        <v>#VALUE!</v>
      </c>
      <c r="CG340" t="e">
        <v>#VALUE!</v>
      </c>
      <c r="CH340" t="e">
        <v>#VALUE!</v>
      </c>
      <c r="CI340" t="e">
        <v>#VALUE!</v>
      </c>
      <c r="CJ340" t="e">
        <v>#VALUE!</v>
      </c>
      <c r="CK340" t="e">
        <v>#VALUE!</v>
      </c>
    </row>
    <row r="341" spans="1:89" ht="12.5">
      <c r="A341" t="s">
        <v>32</v>
      </c>
      <c r="B341" t="s">
        <v>345</v>
      </c>
      <c r="C341" t="s">
        <v>345</v>
      </c>
      <c r="E341" s="2">
        <v>3.4734321567999902</v>
      </c>
      <c r="I341" s="2">
        <v>4.5230426202522001</v>
      </c>
      <c r="J341" s="2">
        <v>4.8408389135394003</v>
      </c>
      <c r="L341" s="2">
        <v>5.4740824607536904</v>
      </c>
      <c r="V341" s="2">
        <v>7.4792063275323999</v>
      </c>
      <c r="W341">
        <v>5</v>
      </c>
      <c r="AG341" s="130" t="s">
        <v>342</v>
      </c>
      <c r="AI341">
        <v>1</v>
      </c>
      <c r="AJ341">
        <v>0.99787959486460498</v>
      </c>
      <c r="AK341">
        <v>1.18950075332934</v>
      </c>
      <c r="AL341">
        <v>1.28031640877814</v>
      </c>
      <c r="AM341">
        <v>1.39550156259639</v>
      </c>
      <c r="AN341">
        <v>1.5264480809183401</v>
      </c>
      <c r="AO341">
        <v>1.6631561833125801</v>
      </c>
      <c r="AP341">
        <v>1.80282166535448</v>
      </c>
      <c r="AQ341">
        <v>1.9456897119573899</v>
      </c>
      <c r="AR341">
        <v>2.08969585569535</v>
      </c>
      <c r="AS341">
        <v>2.2277208467819101</v>
      </c>
      <c r="AT341">
        <v>2.3498407082236801</v>
      </c>
      <c r="AU341">
        <v>2.4575526886172501</v>
      </c>
      <c r="AV341">
        <v>2.55464277760526</v>
      </c>
      <c r="AW341">
        <v>2.6449027154359799</v>
      </c>
      <c r="AX341">
        <v>2.7285614807704999</v>
      </c>
      <c r="AY341">
        <v>2.8022675160834001</v>
      </c>
      <c r="AZ341">
        <v>2.8606006141646798</v>
      </c>
      <c r="BA341">
        <v>0</v>
      </c>
      <c r="BB341">
        <v>0</v>
      </c>
      <c r="BC341">
        <v>0</v>
      </c>
      <c r="BD341">
        <v>0</v>
      </c>
      <c r="BE341">
        <v>0</v>
      </c>
      <c r="BF341">
        <v>0</v>
      </c>
      <c r="BG341">
        <v>0</v>
      </c>
      <c r="BH341">
        <v>0</v>
      </c>
      <c r="BJ341" t="s">
        <v>357</v>
      </c>
      <c r="BL341">
        <v>0.80</v>
      </c>
      <c r="BM341">
        <v>0.79756097560975603</v>
      </c>
      <c r="BN341">
        <v>0.78536585365853595</v>
      </c>
      <c r="BO341">
        <v>0.77317073170731698</v>
      </c>
      <c r="BP341">
        <v>0.76097560975609702</v>
      </c>
      <c r="BQ341">
        <v>0.74878048780487805</v>
      </c>
      <c r="BR341">
        <v>0.73658536585365797</v>
      </c>
      <c r="BS341">
        <v>0.724390243902439</v>
      </c>
      <c r="BT341">
        <v>0.71219512195122003</v>
      </c>
      <c r="BU341">
        <v>0.69999999999999896</v>
      </c>
      <c r="BV341">
        <v>0.687499999999999</v>
      </c>
      <c r="BW341">
        <v>0.675</v>
      </c>
      <c r="BX341">
        <v>0.6625</v>
      </c>
      <c r="BY341">
        <v>0.64999999999999902</v>
      </c>
      <c r="BZ341">
        <v>0.63749999999999896</v>
      </c>
      <c r="CA341">
        <v>0.625</v>
      </c>
      <c r="CB341">
        <v>0.6125</v>
      </c>
      <c r="CC341">
        <v>0.60</v>
      </c>
      <c r="CD341" t="e">
        <v>#VALUE!</v>
      </c>
      <c r="CE341" t="e">
        <v>#VALUE!</v>
      </c>
      <c r="CF341" t="e">
        <v>#VALUE!</v>
      </c>
      <c r="CG341" t="e">
        <v>#VALUE!</v>
      </c>
      <c r="CH341" t="e">
        <v>#VALUE!</v>
      </c>
      <c r="CI341" t="e">
        <v>#VALUE!</v>
      </c>
      <c r="CJ341" t="e">
        <v>#VALUE!</v>
      </c>
      <c r="CK341" t="e">
        <v>#VALUE!</v>
      </c>
    </row>
    <row r="342" spans="1:89" ht="12.5">
      <c r="A342" t="s">
        <v>32</v>
      </c>
      <c r="B342" t="s">
        <v>346</v>
      </c>
      <c r="C342" t="s">
        <v>346</v>
      </c>
      <c r="E342" s="2">
        <v>14.626041583712</v>
      </c>
      <c r="I342" s="2">
        <v>14.708618944609899</v>
      </c>
      <c r="J342" s="2">
        <v>14.759252475667299</v>
      </c>
      <c r="L342" s="2">
        <v>14.8957022241977</v>
      </c>
      <c r="V342" s="2">
        <v>14.270342858609199</v>
      </c>
      <c r="W342">
        <v>5</v>
      </c>
      <c r="AG342" s="130" t="s">
        <v>347</v>
      </c>
      <c r="AI342">
        <v>1</v>
      </c>
      <c r="AJ342">
        <v>1.00057539501197</v>
      </c>
      <c r="AK342">
        <v>1.0034523700718501</v>
      </c>
      <c r="AL342">
        <v>1.0049969601641899</v>
      </c>
      <c r="AM342">
        <v>1.0078857591227699</v>
      </c>
      <c r="AN342">
        <v>1.01251940786193</v>
      </c>
      <c r="AO342">
        <v>1.0184300376614599</v>
      </c>
      <c r="AP342">
        <v>1.0253527654102399</v>
      </c>
      <c r="AQ342">
        <v>1.02777984199243</v>
      </c>
      <c r="AR342">
        <v>1.02565513427365</v>
      </c>
      <c r="AS342">
        <v>1.0187628257180299</v>
      </c>
      <c r="AT342">
        <v>1.0094623310380499</v>
      </c>
      <c r="AU342">
        <v>0.99996699378642795</v>
      </c>
      <c r="AV342">
        <v>0.99219874442349498</v>
      </c>
      <c r="AW342">
        <v>0.98630367147160303</v>
      </c>
      <c r="AX342">
        <v>0.98017186010726998</v>
      </c>
      <c r="AY342">
        <v>0.97142042144611496</v>
      </c>
      <c r="AZ342">
        <v>0.95879550134858404</v>
      </c>
      <c r="BA342">
        <v>0</v>
      </c>
      <c r="BB342">
        <v>0</v>
      </c>
      <c r="BC342">
        <v>0</v>
      </c>
      <c r="BD342">
        <v>0</v>
      </c>
      <c r="BE342">
        <v>0</v>
      </c>
      <c r="BF342">
        <v>0</v>
      </c>
      <c r="BG342">
        <v>0</v>
      </c>
      <c r="BH342">
        <v>0</v>
      </c>
      <c r="BJ342" t="s">
        <v>357</v>
      </c>
      <c r="BL342">
        <v>0.80</v>
      </c>
      <c r="BM342">
        <v>0.79756097560975603</v>
      </c>
      <c r="BN342">
        <v>0.78536585365853595</v>
      </c>
      <c r="BO342">
        <v>0.77317073170731698</v>
      </c>
      <c r="BP342">
        <v>0.76097560975609702</v>
      </c>
      <c r="BQ342">
        <v>0.74878048780487805</v>
      </c>
      <c r="BR342">
        <v>0.73658536585365797</v>
      </c>
      <c r="BS342">
        <v>0.724390243902439</v>
      </c>
      <c r="BT342">
        <v>0.71219512195122003</v>
      </c>
      <c r="BU342">
        <v>0.69999999999999896</v>
      </c>
      <c r="BV342">
        <v>0.687499999999999</v>
      </c>
      <c r="BW342">
        <v>0.675</v>
      </c>
      <c r="BX342">
        <v>0.6625</v>
      </c>
      <c r="BY342">
        <v>0.64999999999999902</v>
      </c>
      <c r="BZ342">
        <v>0.63749999999999896</v>
      </c>
      <c r="CA342">
        <v>0.625</v>
      </c>
      <c r="CB342">
        <v>0.6125</v>
      </c>
      <c r="CC342">
        <v>0.60</v>
      </c>
      <c r="CD342" t="e">
        <v>#VALUE!</v>
      </c>
      <c r="CE342" t="e">
        <v>#VALUE!</v>
      </c>
      <c r="CF342" t="e">
        <v>#VALUE!</v>
      </c>
      <c r="CG342" t="e">
        <v>#VALUE!</v>
      </c>
      <c r="CH342" t="e">
        <v>#VALUE!</v>
      </c>
      <c r="CI342" t="e">
        <v>#VALUE!</v>
      </c>
      <c r="CJ342" t="e">
        <v>#VALUE!</v>
      </c>
      <c r="CK342" t="e">
        <v>#VALUE!</v>
      </c>
    </row>
    <row r="343" spans="1:89" ht="12.5">
      <c r="A343" t="s">
        <v>32</v>
      </c>
      <c r="B343" t="s">
        <v>348</v>
      </c>
      <c r="C343" t="s">
        <v>348</v>
      </c>
      <c r="E343" s="2">
        <v>46.621460497041497</v>
      </c>
      <c r="F343" s="2">
        <f>E343</f>
        <v>46.621460497041497</v>
      </c>
      <c r="I343" s="2">
        <f>F343</f>
        <v>46.621460497041497</v>
      </c>
      <c r="J343" s="2">
        <f>I343</f>
        <v>46.621460497041497</v>
      </c>
      <c r="L343" s="2">
        <f>J343</f>
        <v>46.621460497041497</v>
      </c>
      <c r="V343" s="2">
        <f>L343</f>
        <v>46.621460497041497</v>
      </c>
      <c r="W343">
        <v>5</v>
      </c>
      <c r="AG343" s="130" t="s">
        <v>342</v>
      </c>
      <c r="AI343">
        <v>1</v>
      </c>
      <c r="AJ343">
        <v>0.99787959486460498</v>
      </c>
      <c r="AK343">
        <v>1.18950075332934</v>
      </c>
      <c r="AL343">
        <v>1.28031640877814</v>
      </c>
      <c r="AM343">
        <v>1.39550156259639</v>
      </c>
      <c r="AN343">
        <v>1.5264480809183401</v>
      </c>
      <c r="AO343">
        <v>1.6631561833125801</v>
      </c>
      <c r="AP343">
        <v>1.80282166535448</v>
      </c>
      <c r="AQ343">
        <v>1.9456897119573899</v>
      </c>
      <c r="AR343">
        <v>2.08969585569535</v>
      </c>
      <c r="AS343">
        <v>2.2277208467819101</v>
      </c>
      <c r="AT343">
        <v>2.3498407082236801</v>
      </c>
      <c r="AU343">
        <v>2.4575526886172501</v>
      </c>
      <c r="AV343">
        <v>2.55464277760526</v>
      </c>
      <c r="AW343">
        <v>2.6449027154359799</v>
      </c>
      <c r="AX343">
        <v>2.7285614807704999</v>
      </c>
      <c r="AY343">
        <v>2.8022675160834001</v>
      </c>
      <c r="AZ343">
        <v>2.8606006141646798</v>
      </c>
      <c r="BA343">
        <v>0</v>
      </c>
      <c r="BB343">
        <v>0</v>
      </c>
      <c r="BC343">
        <v>0</v>
      </c>
      <c r="BD343">
        <v>0</v>
      </c>
      <c r="BE343">
        <v>0</v>
      </c>
      <c r="BF343">
        <v>0</v>
      </c>
      <c r="BG343">
        <v>0</v>
      </c>
      <c r="BH343">
        <v>0</v>
      </c>
      <c r="BJ343" t="s">
        <v>357</v>
      </c>
      <c r="BL343">
        <v>0.80</v>
      </c>
      <c r="BM343">
        <v>0.79756097560975603</v>
      </c>
      <c r="BN343">
        <v>0.78536585365853595</v>
      </c>
      <c r="BO343">
        <v>0.77317073170731698</v>
      </c>
      <c r="BP343">
        <v>0.76097560975609702</v>
      </c>
      <c r="BQ343">
        <v>0.74878048780487805</v>
      </c>
      <c r="BR343">
        <v>0.73658536585365797</v>
      </c>
      <c r="BS343">
        <v>0.724390243902439</v>
      </c>
      <c r="BT343">
        <v>0.71219512195122003</v>
      </c>
      <c r="BU343">
        <v>0.69999999999999896</v>
      </c>
      <c r="BV343">
        <v>0.687499999999999</v>
      </c>
      <c r="BW343">
        <v>0.675</v>
      </c>
      <c r="BX343">
        <v>0.6625</v>
      </c>
      <c r="BY343">
        <v>0.64999999999999902</v>
      </c>
      <c r="BZ343">
        <v>0.63749999999999896</v>
      </c>
      <c r="CA343">
        <v>0.625</v>
      </c>
      <c r="CB343">
        <v>0.6125</v>
      </c>
      <c r="CC343">
        <v>0.60</v>
      </c>
      <c r="CD343" t="e">
        <v>#VALUE!</v>
      </c>
      <c r="CE343" t="e">
        <v>#VALUE!</v>
      </c>
      <c r="CF343" t="e">
        <v>#VALUE!</v>
      </c>
      <c r="CG343" t="e">
        <v>#VALUE!</v>
      </c>
      <c r="CH343" t="e">
        <v>#VALUE!</v>
      </c>
      <c r="CI343" t="e">
        <v>#VALUE!</v>
      </c>
      <c r="CJ343" t="e">
        <v>#VALUE!</v>
      </c>
      <c r="CK343" t="e">
        <v>#VALUE!</v>
      </c>
    </row>
    <row r="344" spans="1:89" ht="12.5">
      <c r="A344" t="s">
        <v>32</v>
      </c>
      <c r="B344" t="s">
        <v>349</v>
      </c>
      <c r="C344" t="s">
        <v>349</v>
      </c>
      <c r="E344" s="2">
        <v>337.15417974482699</v>
      </c>
      <c r="F344" s="2">
        <f>E344</f>
        <v>337.15417974482699</v>
      </c>
      <c r="I344" s="2">
        <f>F344</f>
        <v>337.15417974482699</v>
      </c>
      <c r="J344" s="2">
        <f>I344</f>
        <v>337.15417974482699</v>
      </c>
      <c r="L344" s="2">
        <f>J344</f>
        <v>337.15417974482699</v>
      </c>
      <c r="V344" s="2">
        <f>L344</f>
        <v>337.15417974482699</v>
      </c>
      <c r="W344">
        <v>5</v>
      </c>
      <c r="AG344" s="130" t="s">
        <v>342</v>
      </c>
      <c r="AI344">
        <v>1</v>
      </c>
      <c r="AJ344">
        <v>0.99787959486460498</v>
      </c>
      <c r="AK344">
        <v>1.18950075332934</v>
      </c>
      <c r="AL344">
        <v>1.28031640877814</v>
      </c>
      <c r="AM344">
        <v>1.39550156259639</v>
      </c>
      <c r="AN344">
        <v>1.5264480809183401</v>
      </c>
      <c r="AO344">
        <v>1.6631561833125801</v>
      </c>
      <c r="AP344">
        <v>1.80282166535448</v>
      </c>
      <c r="AQ344">
        <v>1.9456897119573899</v>
      </c>
      <c r="AR344">
        <v>2.08969585569535</v>
      </c>
      <c r="AS344">
        <v>2.2277208467819101</v>
      </c>
      <c r="AT344">
        <v>2.3498407082236801</v>
      </c>
      <c r="AU344">
        <v>2.4575526886172501</v>
      </c>
      <c r="AV344">
        <v>2.55464277760526</v>
      </c>
      <c r="AW344">
        <v>2.6449027154359799</v>
      </c>
      <c r="AX344">
        <v>2.7285614807704999</v>
      </c>
      <c r="AY344">
        <v>2.8022675160834001</v>
      </c>
      <c r="AZ344">
        <v>2.8606006141646798</v>
      </c>
      <c r="BA344">
        <v>0</v>
      </c>
      <c r="BB344">
        <v>0</v>
      </c>
      <c r="BC344">
        <v>0</v>
      </c>
      <c r="BD344">
        <v>0</v>
      </c>
      <c r="BE344">
        <v>0</v>
      </c>
      <c r="BF344">
        <v>0</v>
      </c>
      <c r="BG344">
        <v>0</v>
      </c>
      <c r="BH344">
        <v>0</v>
      </c>
      <c r="BJ344" t="s">
        <v>357</v>
      </c>
      <c r="BL344">
        <v>0.80</v>
      </c>
      <c r="BM344">
        <v>0.79756097560975603</v>
      </c>
      <c r="BN344">
        <v>0.78536585365853595</v>
      </c>
      <c r="BO344">
        <v>0.77317073170731698</v>
      </c>
      <c r="BP344">
        <v>0.76097560975609702</v>
      </c>
      <c r="BQ344">
        <v>0.74878048780487805</v>
      </c>
      <c r="BR344">
        <v>0.73658536585365797</v>
      </c>
      <c r="BS344">
        <v>0.724390243902439</v>
      </c>
      <c r="BT344">
        <v>0.71219512195122003</v>
      </c>
      <c r="BU344">
        <v>0.69999999999999896</v>
      </c>
      <c r="BV344">
        <v>0.687499999999999</v>
      </c>
      <c r="BW344">
        <v>0.675</v>
      </c>
      <c r="BX344">
        <v>0.6625</v>
      </c>
      <c r="BY344">
        <v>0.64999999999999902</v>
      </c>
      <c r="BZ344">
        <v>0.63749999999999896</v>
      </c>
      <c r="CA344">
        <v>0.625</v>
      </c>
      <c r="CB344">
        <v>0.6125</v>
      </c>
      <c r="CC344">
        <v>0.60</v>
      </c>
      <c r="CD344" t="e">
        <v>#VALUE!</v>
      </c>
      <c r="CE344" t="e">
        <v>#VALUE!</v>
      </c>
      <c r="CF344" t="e">
        <v>#VALUE!</v>
      </c>
      <c r="CG344" t="e">
        <v>#VALUE!</v>
      </c>
      <c r="CH344" t="e">
        <v>#VALUE!</v>
      </c>
      <c r="CI344" t="e">
        <v>#VALUE!</v>
      </c>
      <c r="CJ344" t="e">
        <v>#VALUE!</v>
      </c>
      <c r="CK344" t="e">
        <v>#VALUE!</v>
      </c>
    </row>
    <row r="345" spans="1:89" ht="12.5">
      <c r="A345" t="s">
        <v>32</v>
      </c>
      <c r="B345" t="s">
        <v>350</v>
      </c>
      <c r="C345" t="s">
        <v>350</v>
      </c>
      <c r="D345">
        <v>1.30</v>
      </c>
      <c r="E345">
        <v>1.3005965863892399</v>
      </c>
      <c r="F345"/>
      <c r="G345">
        <v>1.3035335658057501</v>
      </c>
      <c r="H345">
        <v>1.3050849312224999</v>
      </c>
      <c r="I345">
        <v>1.3079396417936799</v>
      </c>
      <c r="J345">
        <v>1.31244214489906</v>
      </c>
      <c r="K345">
        <v>1.31808545163749</v>
      </c>
      <c r="L345">
        <v>1.3245757133794001</v>
      </c>
      <c r="M345">
        <v>1.3268086991492201</v>
      </c>
      <c r="N345">
        <v>1.32488868048523</v>
      </c>
      <c r="O345">
        <v>1.31876777821331</v>
      </c>
      <c r="P345">
        <v>1.3106412497739599</v>
      </c>
      <c r="Q345">
        <v>1.3024737338116099</v>
      </c>
      <c r="R345">
        <v>1.2958968552443499</v>
      </c>
      <c r="S345">
        <v>1.2909884418130799</v>
      </c>
      <c r="T345">
        <v>1.2859721763947201</v>
      </c>
      <c r="U345">
        <v>1.2789395930424301</v>
      </c>
      <c r="V345">
        <v>1.2689666648548401</v>
      </c>
      <c r="W345">
        <v>5</v>
      </c>
      <c r="AG345" s="130" t="s">
        <v>347</v>
      </c>
      <c r="AI345">
        <v>1</v>
      </c>
      <c r="AJ345">
        <v>1.00057539501197</v>
      </c>
      <c r="AK345">
        <v>1.0034523700718501</v>
      </c>
      <c r="AL345">
        <v>1.0049969601641899</v>
      </c>
      <c r="AM345">
        <v>1.0078857591227699</v>
      </c>
      <c r="AN345">
        <v>1.01251940786193</v>
      </c>
      <c r="AO345">
        <v>1.0184300376614599</v>
      </c>
      <c r="AP345">
        <v>1.0253527654102399</v>
      </c>
      <c r="AQ345">
        <v>1.02777984199243</v>
      </c>
      <c r="AR345">
        <v>1.02565513427365</v>
      </c>
      <c r="AS345">
        <v>1.0187628257180299</v>
      </c>
      <c r="AT345">
        <v>1.0094623310380499</v>
      </c>
      <c r="AU345">
        <v>0.99996699378642795</v>
      </c>
      <c r="AV345">
        <v>0.99219874442349498</v>
      </c>
      <c r="AW345">
        <v>0.98630367147160303</v>
      </c>
      <c r="AX345">
        <v>0.98017186010726998</v>
      </c>
      <c r="AY345">
        <v>0.97142042144611496</v>
      </c>
      <c r="AZ345">
        <v>0.95879550134858404</v>
      </c>
      <c r="BA345">
        <v>0</v>
      </c>
      <c r="BB345">
        <v>0</v>
      </c>
      <c r="BC345">
        <v>0</v>
      </c>
      <c r="BD345">
        <v>0</v>
      </c>
      <c r="BE345">
        <v>0</v>
      </c>
      <c r="BF345">
        <v>0</v>
      </c>
      <c r="BG345">
        <v>0</v>
      </c>
      <c r="BH345">
        <v>0</v>
      </c>
      <c r="BJ345" t="s">
        <v>357</v>
      </c>
      <c r="BL345">
        <v>0.80</v>
      </c>
      <c r="BM345">
        <v>0.79756097560975603</v>
      </c>
      <c r="BN345">
        <v>0.78536585365853595</v>
      </c>
      <c r="BO345">
        <v>0.77317073170731698</v>
      </c>
      <c r="BP345">
        <v>0.76097560975609702</v>
      </c>
      <c r="BQ345">
        <v>0.74878048780487805</v>
      </c>
      <c r="BR345">
        <v>0.73658536585365797</v>
      </c>
      <c r="BS345">
        <v>0.724390243902439</v>
      </c>
      <c r="BT345">
        <v>0.71219512195122003</v>
      </c>
      <c r="BU345">
        <v>0.69999999999999896</v>
      </c>
      <c r="BV345">
        <v>0.687499999999999</v>
      </c>
      <c r="BW345">
        <v>0.675</v>
      </c>
      <c r="BX345">
        <v>0.6625</v>
      </c>
      <c r="BY345">
        <v>0.64999999999999902</v>
      </c>
      <c r="BZ345">
        <v>0.63749999999999896</v>
      </c>
      <c r="CA345">
        <v>0.625</v>
      </c>
      <c r="CB345">
        <v>0.6125</v>
      </c>
      <c r="CC345">
        <v>0.60</v>
      </c>
      <c r="CD345" t="e">
        <v>#VALUE!</v>
      </c>
      <c r="CE345" t="e">
        <v>#VALUE!</v>
      </c>
      <c r="CF345" t="e">
        <v>#VALUE!</v>
      </c>
      <c r="CG345" t="e">
        <v>#VALUE!</v>
      </c>
      <c r="CH345" t="e">
        <v>#VALUE!</v>
      </c>
      <c r="CI345" t="e">
        <v>#VALUE!</v>
      </c>
      <c r="CJ345" t="e">
        <v>#VALUE!</v>
      </c>
      <c r="CK345" t="e">
        <v>#VALUE!</v>
      </c>
    </row>
    <row r="346" spans="1:89" ht="12.5">
      <c r="A346" t="s">
        <v>32</v>
      </c>
      <c r="B346" t="s">
        <v>351</v>
      </c>
      <c r="C346" t="s">
        <v>351</v>
      </c>
      <c r="D346">
        <v>0.78</v>
      </c>
      <c r="E346">
        <v>0.78035795183354395</v>
      </c>
      <c r="F346"/>
      <c r="G346">
        <v>0.78212013948345205</v>
      </c>
      <c r="H346">
        <v>0.78305095873350095</v>
      </c>
      <c r="I346">
        <v>0.78476378507620703</v>
      </c>
      <c r="J346">
        <v>0.78746528693943896</v>
      </c>
      <c r="K346">
        <v>0.79085127098249697</v>
      </c>
      <c r="L346">
        <v>0.79474542802764203</v>
      </c>
      <c r="M346">
        <v>0.79608521948953004</v>
      </c>
      <c r="N346">
        <v>0.79493320829113601</v>
      </c>
      <c r="O346">
        <v>0.79126066692798502</v>
      </c>
      <c r="P346">
        <v>0.78638474986437701</v>
      </c>
      <c r="Q346">
        <v>0.78148424028696395</v>
      </c>
      <c r="R346">
        <v>0.77753811314661003</v>
      </c>
      <c r="S346">
        <v>0.77459306508784798</v>
      </c>
      <c r="T346">
        <v>0.77158330583682999</v>
      </c>
      <c r="U346">
        <v>0.76736375582545602</v>
      </c>
      <c r="V346">
        <v>0.76137999891290398</v>
      </c>
      <c r="W346">
        <v>5</v>
      </c>
      <c r="AG346" s="130" t="s">
        <v>347</v>
      </c>
      <c r="AI346">
        <v>1</v>
      </c>
      <c r="AJ346">
        <v>1.00057539501197</v>
      </c>
      <c r="AK346">
        <v>1.0034523700718501</v>
      </c>
      <c r="AL346">
        <v>1.0049969601641899</v>
      </c>
      <c r="AM346">
        <v>1.0078857591227699</v>
      </c>
      <c r="AN346">
        <v>1.01251940786193</v>
      </c>
      <c r="AO346">
        <v>1.0184300376614599</v>
      </c>
      <c r="AP346">
        <v>1.0253527654102399</v>
      </c>
      <c r="AQ346">
        <v>1.02777984199243</v>
      </c>
      <c r="AR346">
        <v>1.02565513427365</v>
      </c>
      <c r="AS346">
        <v>1.0187628257180299</v>
      </c>
      <c r="AT346">
        <v>1.0094623310380499</v>
      </c>
      <c r="AU346">
        <v>0.99996699378642795</v>
      </c>
      <c r="AV346">
        <v>0.99219874442349498</v>
      </c>
      <c r="AW346">
        <v>0.98630367147160303</v>
      </c>
      <c r="AX346">
        <v>0.98017186010726998</v>
      </c>
      <c r="AY346">
        <v>0.97142042144611496</v>
      </c>
      <c r="AZ346">
        <v>0.95879550134858404</v>
      </c>
      <c r="BA346">
        <v>0</v>
      </c>
      <c r="BB346">
        <v>0</v>
      </c>
      <c r="BC346">
        <v>0</v>
      </c>
      <c r="BD346">
        <v>0</v>
      </c>
      <c r="BE346">
        <v>0</v>
      </c>
      <c r="BF346">
        <v>0</v>
      </c>
      <c r="BG346">
        <v>0</v>
      </c>
      <c r="BH346">
        <v>0</v>
      </c>
      <c r="BJ346" t="s">
        <v>357</v>
      </c>
      <c r="BL346">
        <v>0.80</v>
      </c>
      <c r="BM346">
        <v>0.79756097560975603</v>
      </c>
      <c r="BN346">
        <v>0.78536585365853595</v>
      </c>
      <c r="BO346">
        <v>0.77317073170731698</v>
      </c>
      <c r="BP346">
        <v>0.76097560975609702</v>
      </c>
      <c r="BQ346">
        <v>0.74878048780487805</v>
      </c>
      <c r="BR346">
        <v>0.73658536585365797</v>
      </c>
      <c r="BS346">
        <v>0.724390243902439</v>
      </c>
      <c r="BT346">
        <v>0.71219512195122003</v>
      </c>
      <c r="BU346">
        <v>0.69999999999999896</v>
      </c>
      <c r="BV346">
        <v>0.687499999999999</v>
      </c>
      <c r="BW346">
        <v>0.675</v>
      </c>
      <c r="BX346">
        <v>0.6625</v>
      </c>
      <c r="BY346">
        <v>0.64999999999999902</v>
      </c>
      <c r="BZ346">
        <v>0.63749999999999896</v>
      </c>
      <c r="CA346">
        <v>0.625</v>
      </c>
      <c r="CB346">
        <v>0.6125</v>
      </c>
      <c r="CC346">
        <v>0.60</v>
      </c>
      <c r="CD346" t="e">
        <v>#VALUE!</v>
      </c>
      <c r="CE346" t="e">
        <v>#VALUE!</v>
      </c>
      <c r="CF346" t="e">
        <v>#VALUE!</v>
      </c>
      <c r="CG346" t="e">
        <v>#VALUE!</v>
      </c>
      <c r="CH346" t="e">
        <v>#VALUE!</v>
      </c>
      <c r="CI346" t="e">
        <v>#VALUE!</v>
      </c>
      <c r="CJ346" t="e">
        <v>#VALUE!</v>
      </c>
      <c r="CK346" t="e">
        <v>#VALUE!</v>
      </c>
    </row>
    <row r="347" spans="1:89" ht="12.5">
      <c r="A347" t="s">
        <v>32</v>
      </c>
      <c r="B347" t="s">
        <v>352</v>
      </c>
      <c r="C347" t="s">
        <v>352</v>
      </c>
      <c r="D347">
        <v>3.50</v>
      </c>
      <c r="E347">
        <v>3.5016061941248799</v>
      </c>
      <c r="F347"/>
      <c r="G347">
        <v>3.5095134464001099</v>
      </c>
      <c r="H347">
        <v>3.5136901994451999</v>
      </c>
      <c r="I347">
        <v>3.5213759586752902</v>
      </c>
      <c r="J347">
        <v>3.53349808242056</v>
      </c>
      <c r="K347">
        <v>3.54869160056248</v>
      </c>
      <c r="L347">
        <v>3.5661653821753099</v>
      </c>
      <c r="M347">
        <v>3.5721772669402001</v>
      </c>
      <c r="N347">
        <v>3.56700798592176</v>
      </c>
      <c r="O347">
        <v>3.5505286336512101</v>
      </c>
      <c r="P347">
        <v>3.5286495186222</v>
      </c>
      <c r="Q347">
        <v>3.50666005256971</v>
      </c>
      <c r="R347">
        <v>3.4889530718117099</v>
      </c>
      <c r="S347">
        <v>3.4757381125736799</v>
      </c>
      <c r="T347">
        <v>3.4622327826011601</v>
      </c>
      <c r="U347">
        <v>3.4432989043450002</v>
      </c>
      <c r="V347">
        <v>3.4164487130707202</v>
      </c>
      <c r="W347">
        <v>5</v>
      </c>
      <c r="AG347" s="130" t="s">
        <v>347</v>
      </c>
      <c r="AI347">
        <v>1</v>
      </c>
      <c r="AJ347">
        <v>1.00057539501197</v>
      </c>
      <c r="AK347">
        <v>1.0034523700718501</v>
      </c>
      <c r="AL347">
        <v>1.0049969601641899</v>
      </c>
      <c r="AM347">
        <v>1.0078857591227699</v>
      </c>
      <c r="AN347">
        <v>1.01251940786193</v>
      </c>
      <c r="AO347">
        <v>1.0184300376614599</v>
      </c>
      <c r="AP347">
        <v>1.0253527654102399</v>
      </c>
      <c r="AQ347">
        <v>1.02777984199243</v>
      </c>
      <c r="AR347">
        <v>1.02565513427365</v>
      </c>
      <c r="AS347">
        <v>1.0187628257180299</v>
      </c>
      <c r="AT347">
        <v>1.0094623310380499</v>
      </c>
      <c r="AU347">
        <v>0.99996699378642795</v>
      </c>
      <c r="AV347">
        <v>0.99219874442349498</v>
      </c>
      <c r="AW347">
        <v>0.98630367147160303</v>
      </c>
      <c r="AX347">
        <v>0.98017186010726998</v>
      </c>
      <c r="AY347">
        <v>0.97142042144611496</v>
      </c>
      <c r="AZ347">
        <v>0.95879550134858404</v>
      </c>
      <c r="BA347">
        <v>0</v>
      </c>
      <c r="BB347">
        <v>0</v>
      </c>
      <c r="BC347">
        <v>0</v>
      </c>
      <c r="BD347">
        <v>0</v>
      </c>
      <c r="BE347">
        <v>0</v>
      </c>
      <c r="BF347">
        <v>0</v>
      </c>
      <c r="BG347">
        <v>0</v>
      </c>
      <c r="BH347">
        <v>0</v>
      </c>
      <c r="BJ347" t="s">
        <v>357</v>
      </c>
      <c r="BL347">
        <v>0.80</v>
      </c>
      <c r="BM347">
        <v>0.79756097560975603</v>
      </c>
      <c r="BN347">
        <v>0.78536585365853595</v>
      </c>
      <c r="BO347">
        <v>0.77317073170731698</v>
      </c>
      <c r="BP347">
        <v>0.76097560975609702</v>
      </c>
      <c r="BQ347">
        <v>0.74878048780487805</v>
      </c>
      <c r="BR347">
        <v>0.73658536585365797</v>
      </c>
      <c r="BS347">
        <v>0.724390243902439</v>
      </c>
      <c r="BT347">
        <v>0.71219512195122003</v>
      </c>
      <c r="BU347">
        <v>0.69999999999999896</v>
      </c>
      <c r="BV347">
        <v>0.687499999999999</v>
      </c>
      <c r="BW347">
        <v>0.675</v>
      </c>
      <c r="BX347">
        <v>0.6625</v>
      </c>
      <c r="BY347">
        <v>0.64999999999999902</v>
      </c>
      <c r="BZ347">
        <v>0.63749999999999896</v>
      </c>
      <c r="CA347">
        <v>0.625</v>
      </c>
      <c r="CB347">
        <v>0.6125</v>
      </c>
      <c r="CC347">
        <v>0.60</v>
      </c>
      <c r="CD347" t="e">
        <v>#VALUE!</v>
      </c>
      <c r="CE347" t="e">
        <v>#VALUE!</v>
      </c>
      <c r="CF347" t="e">
        <v>#VALUE!</v>
      </c>
      <c r="CG347" t="e">
        <v>#VALUE!</v>
      </c>
      <c r="CH347" t="e">
        <v>#VALUE!</v>
      </c>
      <c r="CI347" t="e">
        <v>#VALUE!</v>
      </c>
      <c r="CJ347" t="e">
        <v>#VALUE!</v>
      </c>
      <c r="CK347" t="e">
        <v>#VALUE!</v>
      </c>
    </row>
    <row r="348" spans="1:89" ht="12.5">
      <c r="A348" t="s">
        <v>32</v>
      </c>
      <c r="B348" t="s">
        <v>353</v>
      </c>
      <c r="C348" t="s">
        <v>353</v>
      </c>
      <c r="D348">
        <v>247.78800000000001</v>
      </c>
      <c r="E348">
        <v>247.25554606621199</v>
      </c>
      <c r="F348"/>
      <c r="G348">
        <v>283.881115241011</v>
      </c>
      <c r="H348">
        <v>300.27547540727801</v>
      </c>
      <c r="I348">
        <v>320.11909720635299</v>
      </c>
      <c r="J348">
        <v>341.41130365596803</v>
      </c>
      <c r="K348">
        <v>362.34341734401301</v>
      </c>
      <c r="L348">
        <v>382.46436427446901</v>
      </c>
      <c r="M348">
        <v>403.35615578529303</v>
      </c>
      <c r="N348">
        <v>424.88184218881997</v>
      </c>
      <c r="O348">
        <v>446.28227846729101</v>
      </c>
      <c r="P348">
        <v>465.723339590649</v>
      </c>
      <c r="Q348">
        <v>482.93037291092901</v>
      </c>
      <c r="R348">
        <v>497.886508345663</v>
      </c>
      <c r="S348">
        <v>511.06501432124702</v>
      </c>
      <c r="T348">
        <v>523.22961162804097</v>
      </c>
      <c r="U348">
        <v>534.85176626412601</v>
      </c>
      <c r="V348">
        <v>545.84552789317001</v>
      </c>
      <c r="W348">
        <v>5</v>
      </c>
      <c r="AG348" s="130" t="s">
        <v>354</v>
      </c>
      <c r="AI348">
        <v>1</v>
      </c>
      <c r="AJ348">
        <v>0.99730575011057898</v>
      </c>
      <c r="AK348">
        <v>1.1854082852424499</v>
      </c>
      <c r="AL348">
        <v>1.27395052873491</v>
      </c>
      <c r="AM348">
        <v>1.38458307398944</v>
      </c>
      <c r="AN348">
        <v>1.50757414531109</v>
      </c>
      <c r="AO348">
        <v>1.6330588472543</v>
      </c>
      <c r="AP348">
        <v>1.7582452851075001</v>
      </c>
      <c r="AQ348">
        <v>1.8930997013772199</v>
      </c>
      <c r="AR348">
        <v>2.03742543264821</v>
      </c>
      <c r="AS348">
        <v>2.1866923198849699</v>
      </c>
      <c r="AT348">
        <v>2.3278141600462701</v>
      </c>
      <c r="AU348">
        <v>2.4576338058035301</v>
      </c>
      <c r="AV348">
        <v>2.5747288957613099</v>
      </c>
      <c r="AW348">
        <v>2.68163121758402</v>
      </c>
      <c r="AX348">
        <v>2.7837582283497602</v>
      </c>
      <c r="AY348">
        <v>2.8847113507370801</v>
      </c>
      <c r="AZ348">
        <v>2.98353570718796</v>
      </c>
      <c r="BA348">
        <v>0</v>
      </c>
      <c r="BB348">
        <v>0</v>
      </c>
      <c r="BC348">
        <v>0</v>
      </c>
      <c r="BD348">
        <v>0</v>
      </c>
      <c r="BE348">
        <v>0</v>
      </c>
      <c r="BF348">
        <v>0</v>
      </c>
      <c r="BG348">
        <v>0</v>
      </c>
      <c r="BH348">
        <v>0</v>
      </c>
      <c r="BJ348" t="s">
        <v>357</v>
      </c>
      <c r="BL348">
        <v>0.80</v>
      </c>
      <c r="BM348">
        <v>0.79756097560975603</v>
      </c>
      <c r="BN348">
        <v>0.78536585365853595</v>
      </c>
      <c r="BO348">
        <v>0.77317073170731698</v>
      </c>
      <c r="BP348">
        <v>0.76097560975609702</v>
      </c>
      <c r="BQ348">
        <v>0.74878048780487805</v>
      </c>
      <c r="BR348">
        <v>0.73658536585365797</v>
      </c>
      <c r="BS348">
        <v>0.724390243902439</v>
      </c>
      <c r="BT348">
        <v>0.71219512195122003</v>
      </c>
      <c r="BU348">
        <v>0.69999999999999896</v>
      </c>
      <c r="BV348">
        <v>0.687499999999999</v>
      </c>
      <c r="BW348">
        <v>0.675</v>
      </c>
      <c r="BX348">
        <v>0.6625</v>
      </c>
      <c r="BY348">
        <v>0.64999999999999902</v>
      </c>
      <c r="BZ348">
        <v>0.63749999999999896</v>
      </c>
      <c r="CA348">
        <v>0.625</v>
      </c>
      <c r="CB348">
        <v>0.6125</v>
      </c>
      <c r="CC348">
        <v>0.60</v>
      </c>
      <c r="CD348" t="e">
        <v>#VALUE!</v>
      </c>
      <c r="CE348" t="e">
        <v>#VALUE!</v>
      </c>
      <c r="CF348" t="e">
        <v>#VALUE!</v>
      </c>
      <c r="CG348" t="e">
        <v>#VALUE!</v>
      </c>
      <c r="CH348" t="e">
        <v>#VALUE!</v>
      </c>
      <c r="CI348" t="e">
        <v>#VALUE!</v>
      </c>
      <c r="CJ348" t="e">
        <v>#VALUE!</v>
      </c>
      <c r="CK348" t="e">
        <v>#VALUE!</v>
      </c>
    </row>
    <row r="349" spans="1:89" ht="12.5">
      <c r="A349" t="s">
        <v>32</v>
      </c>
      <c r="B349" t="s">
        <v>355</v>
      </c>
      <c r="C349" t="s">
        <v>355</v>
      </c>
      <c r="D349">
        <v>102.375</v>
      </c>
      <c r="E349">
        <v>102.20186827422999</v>
      </c>
      <c r="F349"/>
      <c r="G349">
        <v>117.615187358833</v>
      </c>
      <c r="H349">
        <v>124.55798984901899</v>
      </c>
      <c r="I349">
        <v>133.08548582668101</v>
      </c>
      <c r="J349">
        <v>142.436287408049</v>
      </c>
      <c r="K349">
        <v>151.83256739681801</v>
      </c>
      <c r="L349">
        <v>161.06877270683299</v>
      </c>
      <c r="M349">
        <v>170.15937550930201</v>
      </c>
      <c r="N349">
        <v>178.97516804608401</v>
      </c>
      <c r="O349">
        <v>187.10235270840101</v>
      </c>
      <c r="P349">
        <v>194.02557944899601</v>
      </c>
      <c r="Q349">
        <v>199.91768420329399</v>
      </c>
      <c r="R349">
        <v>205.05145683639299</v>
      </c>
      <c r="S349">
        <v>209.67003074880199</v>
      </c>
      <c r="T349">
        <v>213.814969567753</v>
      </c>
      <c r="U349">
        <v>217.35260852427899</v>
      </c>
      <c r="V349">
        <v>220.06730673745801</v>
      </c>
      <c r="W349">
        <v>5</v>
      </c>
      <c r="AG349" s="130" t="s">
        <v>342</v>
      </c>
      <c r="AI349">
        <v>1</v>
      </c>
      <c r="AJ349">
        <v>0.99787959486460498</v>
      </c>
      <c r="AK349">
        <v>1.18950075332934</v>
      </c>
      <c r="AL349">
        <v>1.28031640877814</v>
      </c>
      <c r="AM349">
        <v>1.39550156259639</v>
      </c>
      <c r="AN349">
        <v>1.5264480809183401</v>
      </c>
      <c r="AO349">
        <v>1.6631561833125801</v>
      </c>
      <c r="AP349">
        <v>1.80282166535448</v>
      </c>
      <c r="AQ349">
        <v>1.9456897119573899</v>
      </c>
      <c r="AR349">
        <v>2.08969585569535</v>
      </c>
      <c r="AS349">
        <v>2.2277208467819101</v>
      </c>
      <c r="AT349">
        <v>2.3498407082236801</v>
      </c>
      <c r="AU349">
        <v>2.4575526886172501</v>
      </c>
      <c r="AV349">
        <v>2.55464277760526</v>
      </c>
      <c r="AW349">
        <v>2.6449027154359799</v>
      </c>
      <c r="AX349">
        <v>2.7285614807704999</v>
      </c>
      <c r="AY349">
        <v>2.8022675160834001</v>
      </c>
      <c r="AZ349">
        <v>2.8606006141646798</v>
      </c>
      <c r="BA349">
        <v>0</v>
      </c>
      <c r="BB349">
        <v>0</v>
      </c>
      <c r="BC349">
        <v>0</v>
      </c>
      <c r="BD349">
        <v>0</v>
      </c>
      <c r="BE349">
        <v>0</v>
      </c>
      <c r="BF349">
        <v>0</v>
      </c>
      <c r="BG349">
        <v>0</v>
      </c>
      <c r="BH349">
        <v>0</v>
      </c>
      <c r="BJ349" t="s">
        <v>357</v>
      </c>
      <c r="BL349">
        <v>0.80</v>
      </c>
      <c r="BM349">
        <v>0.79756097560975603</v>
      </c>
      <c r="BN349">
        <v>0.78536585365853595</v>
      </c>
      <c r="BO349">
        <v>0.77317073170731698</v>
      </c>
      <c r="BP349">
        <v>0.76097560975609702</v>
      </c>
      <c r="BQ349">
        <v>0.74878048780487805</v>
      </c>
      <c r="BR349">
        <v>0.73658536585365797</v>
      </c>
      <c r="BS349">
        <v>0.724390243902439</v>
      </c>
      <c r="BT349">
        <v>0.71219512195122003</v>
      </c>
      <c r="BU349">
        <v>0.69999999999999896</v>
      </c>
      <c r="BV349">
        <v>0.687499999999999</v>
      </c>
      <c r="BW349">
        <v>0.675</v>
      </c>
      <c r="BX349">
        <v>0.6625</v>
      </c>
      <c r="BY349">
        <v>0.64999999999999902</v>
      </c>
      <c r="BZ349">
        <v>0.63749999999999896</v>
      </c>
      <c r="CA349">
        <v>0.625</v>
      </c>
      <c r="CB349">
        <v>0.6125</v>
      </c>
      <c r="CC349">
        <v>0.60</v>
      </c>
      <c r="CD349" t="e">
        <v>#VALUE!</v>
      </c>
      <c r="CE349" t="e">
        <v>#VALUE!</v>
      </c>
      <c r="CF349" t="e">
        <v>#VALUE!</v>
      </c>
      <c r="CG349" t="e">
        <v>#VALUE!</v>
      </c>
      <c r="CH349" t="e">
        <v>#VALUE!</v>
      </c>
      <c r="CI349" t="e">
        <v>#VALUE!</v>
      </c>
      <c r="CJ349" t="e">
        <v>#VALUE!</v>
      </c>
      <c r="CK349" t="e">
        <v>#VALUE!</v>
      </c>
    </row>
    <row r="350" spans="1:89" ht="12.5">
      <c r="A350" t="s">
        <v>32</v>
      </c>
      <c r="B350" t="s">
        <v>356</v>
      </c>
      <c r="C350" t="s">
        <v>356</v>
      </c>
      <c r="D350">
        <v>55.775</v>
      </c>
      <c r="E350">
        <v>55.6806759755329</v>
      </c>
      <c r="F350"/>
      <c r="G350">
        <v>64.078017826021295</v>
      </c>
      <c r="H350">
        <v>67.8605312217734</v>
      </c>
      <c r="I350">
        <v>72.506402656733997</v>
      </c>
      <c r="J350">
        <v>77.600819830856295</v>
      </c>
      <c r="K350">
        <v>82.720014129988101</v>
      </c>
      <c r="L350">
        <v>87.751998024162305</v>
      </c>
      <c r="M350">
        <v>92.704656107753806</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342</v>
      </c>
      <c r="AI350">
        <v>1</v>
      </c>
      <c r="AJ350">
        <v>0.99787959486460498</v>
      </c>
      <c r="AK350">
        <v>1.18950075332934</v>
      </c>
      <c r="AL350">
        <v>1.28031640877814</v>
      </c>
      <c r="AM350">
        <v>1.39550156259639</v>
      </c>
      <c r="AN350">
        <v>1.5264480809183401</v>
      </c>
      <c r="AO350">
        <v>1.6631561833125801</v>
      </c>
      <c r="AP350">
        <v>1.80282166535448</v>
      </c>
      <c r="AQ350">
        <v>1.9456897119573899</v>
      </c>
      <c r="AR350">
        <v>2.08969585569535</v>
      </c>
      <c r="AS350">
        <v>2.2277208467819101</v>
      </c>
      <c r="AT350">
        <v>2.3498407082236801</v>
      </c>
      <c r="AU350">
        <v>2.4575526886172501</v>
      </c>
      <c r="AV350">
        <v>2.55464277760526</v>
      </c>
      <c r="AW350">
        <v>2.6449027154359799</v>
      </c>
      <c r="AX350">
        <v>2.7285614807704999</v>
      </c>
      <c r="AY350">
        <v>2.8022675160834001</v>
      </c>
      <c r="AZ350">
        <v>2.8606006141646798</v>
      </c>
      <c r="BA350">
        <v>0</v>
      </c>
      <c r="BB350">
        <v>0</v>
      </c>
      <c r="BC350">
        <v>0</v>
      </c>
      <c r="BD350">
        <v>0</v>
      </c>
      <c r="BE350">
        <v>0</v>
      </c>
      <c r="BF350">
        <v>0</v>
      </c>
      <c r="BG350">
        <v>0</v>
      </c>
      <c r="BH350">
        <v>0</v>
      </c>
      <c r="BJ350" t="s">
        <v>357</v>
      </c>
      <c r="BL350">
        <v>0.80</v>
      </c>
      <c r="BM350">
        <v>0.79756097560975603</v>
      </c>
      <c r="BN350">
        <v>0.78536585365853595</v>
      </c>
      <c r="BO350">
        <v>0.77317073170731698</v>
      </c>
      <c r="BP350">
        <v>0.76097560975609702</v>
      </c>
      <c r="BQ350">
        <v>0.74878048780487805</v>
      </c>
      <c r="BR350">
        <v>0.73658536585365797</v>
      </c>
      <c r="BS350">
        <v>0.724390243902439</v>
      </c>
      <c r="BT350">
        <v>0.71219512195122003</v>
      </c>
      <c r="BU350">
        <v>0.69999999999999896</v>
      </c>
      <c r="BV350">
        <v>0.687499999999999</v>
      </c>
      <c r="BW350">
        <v>0.675</v>
      </c>
      <c r="BX350">
        <v>0.6625</v>
      </c>
      <c r="BY350">
        <v>0.64999999999999902</v>
      </c>
      <c r="BZ350">
        <v>0.63749999999999896</v>
      </c>
      <c r="CA350">
        <v>0.625</v>
      </c>
      <c r="CB350">
        <v>0.6125</v>
      </c>
      <c r="CC350">
        <v>0.60</v>
      </c>
      <c r="CD350" t="e">
        <v>#VALUE!</v>
      </c>
      <c r="CE350" t="e">
        <v>#VALUE!</v>
      </c>
      <c r="CF350" t="e">
        <v>#VALUE!</v>
      </c>
      <c r="CG350" t="e">
        <v>#VALUE!</v>
      </c>
      <c r="CH350" t="e">
        <v>#VALUE!</v>
      </c>
      <c r="CI350" t="e">
        <v>#VALUE!</v>
      </c>
      <c r="CJ350" t="e">
        <v>#VALUE!</v>
      </c>
      <c r="CK350" t="e">
        <v>#VALUE!</v>
      </c>
    </row>
    <row r="351" spans="1:89" ht="12.5">
      <c r="A351" t="s">
        <v>33</v>
      </c>
      <c r="B351" t="s">
        <v>341</v>
      </c>
      <c r="C351" t="s">
        <v>341</v>
      </c>
      <c r="E351" s="2">
        <v>10.8787135219328</v>
      </c>
      <c r="F351" s="2">
        <f>E351</f>
        <v>10.8787135219328</v>
      </c>
      <c r="I351" s="2">
        <f>F351</f>
        <v>10.8787135219328</v>
      </c>
      <c r="J351" s="2">
        <f>I351</f>
        <v>10.8787135219328</v>
      </c>
      <c r="L351" s="2">
        <f>J351</f>
        <v>10.8787135219328</v>
      </c>
      <c r="V351" s="2">
        <f>L351</f>
        <v>10.8787135219328</v>
      </c>
      <c r="W351">
        <v>5</v>
      </c>
      <c r="AG351" s="130" t="s">
        <v>342</v>
      </c>
      <c r="AI351">
        <v>1</v>
      </c>
      <c r="AJ351">
        <v>1.0124924417722201</v>
      </c>
      <c r="AK351">
        <v>1.1313894180791499</v>
      </c>
      <c r="AL351">
        <v>1.24760189562937</v>
      </c>
      <c r="AM351">
        <v>1.34810455246965</v>
      </c>
      <c r="AN351">
        <v>1.44349661274636</v>
      </c>
      <c r="AO351">
        <v>1.53893173984805</v>
      </c>
      <c r="AP351">
        <v>1.6358789910266001</v>
      </c>
      <c r="AQ351">
        <v>1.7360208435776501</v>
      </c>
      <c r="AR351">
        <v>1.84198437382463</v>
      </c>
      <c r="AS351">
        <v>1.9534767273577101</v>
      </c>
      <c r="AT351">
        <v>2.0635277778150001</v>
      </c>
      <c r="AU351">
        <v>2.1690147018656001</v>
      </c>
      <c r="AV351">
        <v>2.2687038742341499</v>
      </c>
      <c r="AW351">
        <v>2.3611185813443298</v>
      </c>
      <c r="AX351">
        <v>2.4461143100723302</v>
      </c>
      <c r="AY351">
        <v>2.5249084160040902</v>
      </c>
      <c r="AZ351">
        <v>2.5973563860158002</v>
      </c>
      <c r="BA351">
        <v>0</v>
      </c>
      <c r="BB351">
        <v>0</v>
      </c>
      <c r="BC351">
        <v>0</v>
      </c>
      <c r="BD351">
        <v>0</v>
      </c>
      <c r="BE351">
        <v>0</v>
      </c>
      <c r="BF351">
        <v>0</v>
      </c>
      <c r="BG351">
        <v>0</v>
      </c>
      <c r="BH351">
        <v>0</v>
      </c>
      <c r="BJ351" t="s">
        <v>357</v>
      </c>
      <c r="BL351">
        <v>0.80</v>
      </c>
      <c r="BM351">
        <v>0.79756097560975603</v>
      </c>
      <c r="BN351">
        <v>0.78536585365853595</v>
      </c>
      <c r="BO351">
        <v>0.77317073170731698</v>
      </c>
      <c r="BP351">
        <v>0.76097560975609702</v>
      </c>
      <c r="BQ351">
        <v>0.74878048780487805</v>
      </c>
      <c r="BR351">
        <v>0.73658536585365797</v>
      </c>
      <c r="BS351">
        <v>0.724390243902439</v>
      </c>
      <c r="BT351">
        <v>0.71219512195122003</v>
      </c>
      <c r="BU351">
        <v>0.69999999999999896</v>
      </c>
      <c r="BV351">
        <v>0.687499999999999</v>
      </c>
      <c r="BW351">
        <v>0.675</v>
      </c>
      <c r="BX351">
        <v>0.6625</v>
      </c>
      <c r="BY351">
        <v>0.64999999999999902</v>
      </c>
      <c r="BZ351">
        <v>0.63749999999999896</v>
      </c>
      <c r="CA351">
        <v>0.625</v>
      </c>
      <c r="CB351">
        <v>0.6125</v>
      </c>
      <c r="CC351">
        <v>0.60</v>
      </c>
      <c r="CD351" t="e">
        <v>#VALUE!</v>
      </c>
      <c r="CE351" t="e">
        <v>#VALUE!</v>
      </c>
      <c r="CF351" t="e">
        <v>#VALUE!</v>
      </c>
      <c r="CG351" t="e">
        <v>#VALUE!</v>
      </c>
      <c r="CH351" t="e">
        <v>#VALUE!</v>
      </c>
      <c r="CI351" t="e">
        <v>#VALUE!</v>
      </c>
      <c r="CJ351" t="e">
        <v>#VALUE!</v>
      </c>
      <c r="CK351" t="e">
        <v>#VALUE!</v>
      </c>
    </row>
    <row r="352" spans="1:89" ht="12.5">
      <c r="A352" t="s">
        <v>33</v>
      </c>
      <c r="B352" t="s">
        <v>344</v>
      </c>
      <c r="C352" t="s">
        <v>344</v>
      </c>
      <c r="E352" s="2">
        <v>116.616235183285</v>
      </c>
      <c r="F352" s="2">
        <f>E352</f>
        <v>116.616235183285</v>
      </c>
      <c r="I352" s="2">
        <f>F352</f>
        <v>116.616235183285</v>
      </c>
      <c r="J352" s="2">
        <f>I352</f>
        <v>116.616235183285</v>
      </c>
      <c r="L352" s="2">
        <f>J352</f>
        <v>116.616235183285</v>
      </c>
      <c r="V352" s="2">
        <f>L352</f>
        <v>116.616235183285</v>
      </c>
      <c r="W352">
        <v>5</v>
      </c>
      <c r="AG352" s="130" t="s">
        <v>342</v>
      </c>
      <c r="AI352">
        <v>1</v>
      </c>
      <c r="AJ352">
        <v>1.0124924417722201</v>
      </c>
      <c r="AK352">
        <v>1.1313894180791499</v>
      </c>
      <c r="AL352">
        <v>1.24760189562937</v>
      </c>
      <c r="AM352">
        <v>1.34810455246965</v>
      </c>
      <c r="AN352">
        <v>1.44349661274636</v>
      </c>
      <c r="AO352">
        <v>1.53893173984805</v>
      </c>
      <c r="AP352">
        <v>1.6358789910266001</v>
      </c>
      <c r="AQ352">
        <v>1.7360208435776501</v>
      </c>
      <c r="AR352">
        <v>1.84198437382463</v>
      </c>
      <c r="AS352">
        <v>1.9534767273577101</v>
      </c>
      <c r="AT352">
        <v>2.0635277778150001</v>
      </c>
      <c r="AU352">
        <v>2.1690147018656001</v>
      </c>
      <c r="AV352">
        <v>2.2687038742341499</v>
      </c>
      <c r="AW352">
        <v>2.3611185813443298</v>
      </c>
      <c r="AX352">
        <v>2.4461143100723302</v>
      </c>
      <c r="AY352">
        <v>2.5249084160040902</v>
      </c>
      <c r="AZ352">
        <v>2.5973563860158002</v>
      </c>
      <c r="BA352">
        <v>0</v>
      </c>
      <c r="BB352">
        <v>0</v>
      </c>
      <c r="BC352">
        <v>0</v>
      </c>
      <c r="BD352">
        <v>0</v>
      </c>
      <c r="BE352">
        <v>0</v>
      </c>
      <c r="BF352">
        <v>0</v>
      </c>
      <c r="BG352">
        <v>0</v>
      </c>
      <c r="BH352">
        <v>0</v>
      </c>
      <c r="BJ352" t="s">
        <v>357</v>
      </c>
      <c r="BL352">
        <v>0.80</v>
      </c>
      <c r="BM352">
        <v>0.79756097560975603</v>
      </c>
      <c r="BN352">
        <v>0.78536585365853595</v>
      </c>
      <c r="BO352">
        <v>0.77317073170731698</v>
      </c>
      <c r="BP352">
        <v>0.76097560975609702</v>
      </c>
      <c r="BQ352">
        <v>0.74878048780487805</v>
      </c>
      <c r="BR352">
        <v>0.73658536585365797</v>
      </c>
      <c r="BS352">
        <v>0.724390243902439</v>
      </c>
      <c r="BT352">
        <v>0.71219512195122003</v>
      </c>
      <c r="BU352">
        <v>0.69999999999999896</v>
      </c>
      <c r="BV352">
        <v>0.687499999999999</v>
      </c>
      <c r="BW352">
        <v>0.675</v>
      </c>
      <c r="BX352">
        <v>0.6625</v>
      </c>
      <c r="BY352">
        <v>0.64999999999999902</v>
      </c>
      <c r="BZ352">
        <v>0.63749999999999896</v>
      </c>
      <c r="CA352">
        <v>0.625</v>
      </c>
      <c r="CB352">
        <v>0.6125</v>
      </c>
      <c r="CC352">
        <v>0.60</v>
      </c>
      <c r="CD352" t="e">
        <v>#VALUE!</v>
      </c>
      <c r="CE352" t="e">
        <v>#VALUE!</v>
      </c>
      <c r="CF352" t="e">
        <v>#VALUE!</v>
      </c>
      <c r="CG352" t="e">
        <v>#VALUE!</v>
      </c>
      <c r="CH352" t="e">
        <v>#VALUE!</v>
      </c>
      <c r="CI352" t="e">
        <v>#VALUE!</v>
      </c>
      <c r="CJ352" t="e">
        <v>#VALUE!</v>
      </c>
      <c r="CK352" t="e">
        <v>#VALUE!</v>
      </c>
    </row>
    <row r="353" spans="1:89" ht="12.5">
      <c r="A353" t="s">
        <v>33</v>
      </c>
      <c r="B353" t="s">
        <v>345</v>
      </c>
      <c r="C353" t="s">
        <v>345</v>
      </c>
      <c r="E353" s="2">
        <v>4.1388507205512299</v>
      </c>
      <c r="I353" s="2">
        <v>5.17869535206599</v>
      </c>
      <c r="J353" s="2">
        <v>5.4530823548054697</v>
      </c>
      <c r="L353" s="2">
        <v>5.9796037825630801</v>
      </c>
      <c r="V353" s="2">
        <v>8.1514518942044099</v>
      </c>
      <c r="W353">
        <v>5</v>
      </c>
      <c r="AG353" s="130" t="s">
        <v>342</v>
      </c>
      <c r="AI353">
        <v>1</v>
      </c>
      <c r="AJ353">
        <v>1.0124924417722201</v>
      </c>
      <c r="AK353">
        <v>1.1313894180791499</v>
      </c>
      <c r="AL353">
        <v>1.24760189562937</v>
      </c>
      <c r="AM353">
        <v>1.34810455246965</v>
      </c>
      <c r="AN353">
        <v>1.44349661274636</v>
      </c>
      <c r="AO353">
        <v>1.53893173984805</v>
      </c>
      <c r="AP353">
        <v>1.6358789910266001</v>
      </c>
      <c r="AQ353">
        <v>1.7360208435776501</v>
      </c>
      <c r="AR353">
        <v>1.84198437382463</v>
      </c>
      <c r="AS353">
        <v>1.9534767273577101</v>
      </c>
      <c r="AT353">
        <v>2.0635277778150001</v>
      </c>
      <c r="AU353">
        <v>2.1690147018656001</v>
      </c>
      <c r="AV353">
        <v>2.2687038742341499</v>
      </c>
      <c r="AW353">
        <v>2.3611185813443298</v>
      </c>
      <c r="AX353">
        <v>2.4461143100723302</v>
      </c>
      <c r="AY353">
        <v>2.5249084160040902</v>
      </c>
      <c r="AZ353">
        <v>2.5973563860158002</v>
      </c>
      <c r="BA353">
        <v>0</v>
      </c>
      <c r="BB353">
        <v>0</v>
      </c>
      <c r="BC353">
        <v>0</v>
      </c>
      <c r="BD353">
        <v>0</v>
      </c>
      <c r="BE353">
        <v>0</v>
      </c>
      <c r="BF353">
        <v>0</v>
      </c>
      <c r="BG353">
        <v>0</v>
      </c>
      <c r="BH353">
        <v>0</v>
      </c>
      <c r="BJ353" t="s">
        <v>357</v>
      </c>
      <c r="BL353">
        <v>0.80</v>
      </c>
      <c r="BM353">
        <v>0.79756097560975603</v>
      </c>
      <c r="BN353">
        <v>0.78536585365853595</v>
      </c>
      <c r="BO353">
        <v>0.77317073170731698</v>
      </c>
      <c r="BP353">
        <v>0.76097560975609702</v>
      </c>
      <c r="BQ353">
        <v>0.74878048780487805</v>
      </c>
      <c r="BR353">
        <v>0.73658536585365797</v>
      </c>
      <c r="BS353">
        <v>0.724390243902439</v>
      </c>
      <c r="BT353">
        <v>0.71219512195122003</v>
      </c>
      <c r="BU353">
        <v>0.69999999999999896</v>
      </c>
      <c r="BV353">
        <v>0.687499999999999</v>
      </c>
      <c r="BW353">
        <v>0.675</v>
      </c>
      <c r="BX353">
        <v>0.6625</v>
      </c>
      <c r="BY353">
        <v>0.64999999999999902</v>
      </c>
      <c r="BZ353">
        <v>0.63749999999999896</v>
      </c>
      <c r="CA353">
        <v>0.625</v>
      </c>
      <c r="CB353">
        <v>0.6125</v>
      </c>
      <c r="CC353">
        <v>0.60</v>
      </c>
      <c r="CD353" t="e">
        <v>#VALUE!</v>
      </c>
      <c r="CE353" t="e">
        <v>#VALUE!</v>
      </c>
      <c r="CF353" t="e">
        <v>#VALUE!</v>
      </c>
      <c r="CG353" t="e">
        <v>#VALUE!</v>
      </c>
      <c r="CH353" t="e">
        <v>#VALUE!</v>
      </c>
      <c r="CI353" t="e">
        <v>#VALUE!</v>
      </c>
      <c r="CJ353" t="e">
        <v>#VALUE!</v>
      </c>
      <c r="CK353" t="e">
        <v>#VALUE!</v>
      </c>
    </row>
    <row r="354" spans="1:89" ht="12.5">
      <c r="A354" t="s">
        <v>33</v>
      </c>
      <c r="B354" t="s">
        <v>346</v>
      </c>
      <c r="C354" t="s">
        <v>346</v>
      </c>
      <c r="E354" s="2">
        <v>13.7458008530983</v>
      </c>
      <c r="I354" s="2">
        <v>14.148885907274</v>
      </c>
      <c r="J354" s="2">
        <v>14.261693869058499</v>
      </c>
      <c r="L354" s="2">
        <v>14.548518054606401</v>
      </c>
      <c r="V354" s="2">
        <v>15.366197267195201</v>
      </c>
      <c r="W354">
        <v>5</v>
      </c>
      <c r="AG354" s="130" t="s">
        <v>347</v>
      </c>
      <c r="AI354">
        <v>1</v>
      </c>
      <c r="AJ354">
        <v>1.00327699628325</v>
      </c>
      <c r="AK354">
        <v>1.0196619776995</v>
      </c>
      <c r="AL354">
        <v>1.0308479145540399</v>
      </c>
      <c r="AM354">
        <v>1.04133499382809</v>
      </c>
      <c r="AN354">
        <v>1.05242299982453</v>
      </c>
      <c r="AO354">
        <v>1.0654133382180799</v>
      </c>
      <c r="AP354">
        <v>1.08147469381852</v>
      </c>
      <c r="AQ354">
        <v>1.0962028185316299</v>
      </c>
      <c r="AR354">
        <v>1.10998040243245</v>
      </c>
      <c r="AS354">
        <v>1.1227441656950099</v>
      </c>
      <c r="AT354">
        <v>1.1354947263584401</v>
      </c>
      <c r="AU354">
        <v>1.14791225724948</v>
      </c>
      <c r="AV354">
        <v>1.1585513285506801</v>
      </c>
      <c r="AW354">
        <v>1.1657819983311399</v>
      </c>
      <c r="AX354">
        <v>1.1694426389825801</v>
      </c>
      <c r="AY354">
        <v>1.1712124821393199</v>
      </c>
      <c r="AZ354">
        <v>1.1725307500809801</v>
      </c>
      <c r="BA354">
        <v>0</v>
      </c>
      <c r="BB354">
        <v>0</v>
      </c>
      <c r="BC354">
        <v>0</v>
      </c>
      <c r="BD354">
        <v>0</v>
      </c>
      <c r="BE354">
        <v>0</v>
      </c>
      <c r="BF354">
        <v>0</v>
      </c>
      <c r="BG354">
        <v>0</v>
      </c>
      <c r="BH354">
        <v>0</v>
      </c>
      <c r="BJ354" t="s">
        <v>357</v>
      </c>
      <c r="BL354">
        <v>0.80</v>
      </c>
      <c r="BM354">
        <v>0.79756097560975603</v>
      </c>
      <c r="BN354">
        <v>0.78536585365853595</v>
      </c>
      <c r="BO354">
        <v>0.77317073170731698</v>
      </c>
      <c r="BP354">
        <v>0.76097560975609702</v>
      </c>
      <c r="BQ354">
        <v>0.74878048780487805</v>
      </c>
      <c r="BR354">
        <v>0.73658536585365797</v>
      </c>
      <c r="BS354">
        <v>0.724390243902439</v>
      </c>
      <c r="BT354">
        <v>0.71219512195122003</v>
      </c>
      <c r="BU354">
        <v>0.69999999999999896</v>
      </c>
      <c r="BV354">
        <v>0.687499999999999</v>
      </c>
      <c r="BW354">
        <v>0.675</v>
      </c>
      <c r="BX354">
        <v>0.6625</v>
      </c>
      <c r="BY354">
        <v>0.64999999999999902</v>
      </c>
      <c r="BZ354">
        <v>0.63749999999999896</v>
      </c>
      <c r="CA354">
        <v>0.625</v>
      </c>
      <c r="CB354">
        <v>0.6125</v>
      </c>
      <c r="CC354">
        <v>0.60</v>
      </c>
      <c r="CD354" t="e">
        <v>#VALUE!</v>
      </c>
      <c r="CE354" t="e">
        <v>#VALUE!</v>
      </c>
      <c r="CF354" t="e">
        <v>#VALUE!</v>
      </c>
      <c r="CG354" t="e">
        <v>#VALUE!</v>
      </c>
      <c r="CH354" t="e">
        <v>#VALUE!</v>
      </c>
      <c r="CI354" t="e">
        <v>#VALUE!</v>
      </c>
      <c r="CJ354" t="e">
        <v>#VALUE!</v>
      </c>
      <c r="CK354" t="e">
        <v>#VALUE!</v>
      </c>
    </row>
    <row r="355" spans="1:89" ht="12.5">
      <c r="A355" t="s">
        <v>33</v>
      </c>
      <c r="B355" t="s">
        <v>348</v>
      </c>
      <c r="C355" t="s">
        <v>348</v>
      </c>
      <c r="E355" s="2">
        <v>16.6107321567818</v>
      </c>
      <c r="F355" s="2">
        <f>E355</f>
        <v>16.6107321567818</v>
      </c>
      <c r="I355" s="2">
        <f>F355</f>
        <v>16.6107321567818</v>
      </c>
      <c r="J355" s="2">
        <f>I355</f>
        <v>16.6107321567818</v>
      </c>
      <c r="L355" s="2">
        <f>J355</f>
        <v>16.6107321567818</v>
      </c>
      <c r="V355" s="2">
        <f>L355</f>
        <v>16.6107321567818</v>
      </c>
      <c r="W355">
        <v>5</v>
      </c>
      <c r="AG355" s="130" t="s">
        <v>342</v>
      </c>
      <c r="AI355">
        <v>1</v>
      </c>
      <c r="AJ355">
        <v>1.0124924417722201</v>
      </c>
      <c r="AK355">
        <v>1.1313894180791499</v>
      </c>
      <c r="AL355">
        <v>1.24760189562937</v>
      </c>
      <c r="AM355">
        <v>1.34810455246965</v>
      </c>
      <c r="AN355">
        <v>1.44349661274636</v>
      </c>
      <c r="AO355">
        <v>1.53893173984805</v>
      </c>
      <c r="AP355">
        <v>1.6358789910266001</v>
      </c>
      <c r="AQ355">
        <v>1.7360208435776501</v>
      </c>
      <c r="AR355">
        <v>1.84198437382463</v>
      </c>
      <c r="AS355">
        <v>1.9534767273577101</v>
      </c>
      <c r="AT355">
        <v>2.0635277778150001</v>
      </c>
      <c r="AU355">
        <v>2.1690147018656001</v>
      </c>
      <c r="AV355">
        <v>2.2687038742341499</v>
      </c>
      <c r="AW355">
        <v>2.3611185813443298</v>
      </c>
      <c r="AX355">
        <v>2.4461143100723302</v>
      </c>
      <c r="AY355">
        <v>2.5249084160040902</v>
      </c>
      <c r="AZ355">
        <v>2.5973563860158002</v>
      </c>
      <c r="BA355">
        <v>0</v>
      </c>
      <c r="BB355">
        <v>0</v>
      </c>
      <c r="BC355">
        <v>0</v>
      </c>
      <c r="BD355">
        <v>0</v>
      </c>
      <c r="BE355">
        <v>0</v>
      </c>
      <c r="BF355">
        <v>0</v>
      </c>
      <c r="BG355">
        <v>0</v>
      </c>
      <c r="BH355">
        <v>0</v>
      </c>
      <c r="BJ355" t="s">
        <v>357</v>
      </c>
      <c r="BL355">
        <v>0.80</v>
      </c>
      <c r="BM355">
        <v>0.79756097560975603</v>
      </c>
      <c r="BN355">
        <v>0.78536585365853595</v>
      </c>
      <c r="BO355">
        <v>0.77317073170731698</v>
      </c>
      <c r="BP355">
        <v>0.76097560975609702</v>
      </c>
      <c r="BQ355">
        <v>0.74878048780487805</v>
      </c>
      <c r="BR355">
        <v>0.73658536585365797</v>
      </c>
      <c r="BS355">
        <v>0.724390243902439</v>
      </c>
      <c r="BT355">
        <v>0.71219512195122003</v>
      </c>
      <c r="BU355">
        <v>0.69999999999999896</v>
      </c>
      <c r="BV355">
        <v>0.687499999999999</v>
      </c>
      <c r="BW355">
        <v>0.675</v>
      </c>
      <c r="BX355">
        <v>0.6625</v>
      </c>
      <c r="BY355">
        <v>0.64999999999999902</v>
      </c>
      <c r="BZ355">
        <v>0.63749999999999896</v>
      </c>
      <c r="CA355">
        <v>0.625</v>
      </c>
      <c r="CB355">
        <v>0.6125</v>
      </c>
      <c r="CC355">
        <v>0.60</v>
      </c>
      <c r="CD355" t="e">
        <v>#VALUE!</v>
      </c>
      <c r="CE355" t="e">
        <v>#VALUE!</v>
      </c>
      <c r="CF355" t="e">
        <v>#VALUE!</v>
      </c>
      <c r="CG355" t="e">
        <v>#VALUE!</v>
      </c>
      <c r="CH355" t="e">
        <v>#VALUE!</v>
      </c>
      <c r="CI355" t="e">
        <v>#VALUE!</v>
      </c>
      <c r="CJ355" t="e">
        <v>#VALUE!</v>
      </c>
      <c r="CK355" t="e">
        <v>#VALUE!</v>
      </c>
    </row>
    <row r="356" spans="1:89" ht="12.5">
      <c r="A356" t="s">
        <v>33</v>
      </c>
      <c r="B356" t="s">
        <v>349</v>
      </c>
      <c r="C356" t="s">
        <v>349</v>
      </c>
      <c r="E356" s="2">
        <v>129.840269242668</v>
      </c>
      <c r="F356" s="2">
        <f>E356</f>
        <v>129.840269242668</v>
      </c>
      <c r="I356" s="2">
        <f>F356</f>
        <v>129.840269242668</v>
      </c>
      <c r="J356" s="2">
        <f>I356</f>
        <v>129.840269242668</v>
      </c>
      <c r="L356" s="2">
        <f>J356</f>
        <v>129.840269242668</v>
      </c>
      <c r="V356" s="2">
        <f>L356</f>
        <v>129.840269242668</v>
      </c>
      <c r="W356">
        <v>5</v>
      </c>
      <c r="AG356" s="130" t="s">
        <v>342</v>
      </c>
      <c r="AI356">
        <v>1</v>
      </c>
      <c r="AJ356">
        <v>1.0124924417722201</v>
      </c>
      <c r="AK356">
        <v>1.1313894180791499</v>
      </c>
      <c r="AL356">
        <v>1.24760189562937</v>
      </c>
      <c r="AM356">
        <v>1.34810455246965</v>
      </c>
      <c r="AN356">
        <v>1.44349661274636</v>
      </c>
      <c r="AO356">
        <v>1.53893173984805</v>
      </c>
      <c r="AP356">
        <v>1.6358789910266001</v>
      </c>
      <c r="AQ356">
        <v>1.7360208435776501</v>
      </c>
      <c r="AR356">
        <v>1.84198437382463</v>
      </c>
      <c r="AS356">
        <v>1.9534767273577101</v>
      </c>
      <c r="AT356">
        <v>2.0635277778150001</v>
      </c>
      <c r="AU356">
        <v>2.1690147018656001</v>
      </c>
      <c r="AV356">
        <v>2.2687038742341499</v>
      </c>
      <c r="AW356">
        <v>2.3611185813443298</v>
      </c>
      <c r="AX356">
        <v>2.4461143100723302</v>
      </c>
      <c r="AY356">
        <v>2.5249084160040902</v>
      </c>
      <c r="AZ356">
        <v>2.5973563860158002</v>
      </c>
      <c r="BA356">
        <v>0</v>
      </c>
      <c r="BB356">
        <v>0</v>
      </c>
      <c r="BC356">
        <v>0</v>
      </c>
      <c r="BD356">
        <v>0</v>
      </c>
      <c r="BE356">
        <v>0</v>
      </c>
      <c r="BF356">
        <v>0</v>
      </c>
      <c r="BG356">
        <v>0</v>
      </c>
      <c r="BH356">
        <v>0</v>
      </c>
      <c r="BJ356" t="s">
        <v>357</v>
      </c>
      <c r="BL356">
        <v>0.80</v>
      </c>
      <c r="BM356">
        <v>0.79756097560975603</v>
      </c>
      <c r="BN356">
        <v>0.78536585365853595</v>
      </c>
      <c r="BO356">
        <v>0.77317073170731698</v>
      </c>
      <c r="BP356">
        <v>0.76097560975609702</v>
      </c>
      <c r="BQ356">
        <v>0.74878048780487805</v>
      </c>
      <c r="BR356">
        <v>0.73658536585365797</v>
      </c>
      <c r="BS356">
        <v>0.724390243902439</v>
      </c>
      <c r="BT356">
        <v>0.71219512195122003</v>
      </c>
      <c r="BU356">
        <v>0.69999999999999896</v>
      </c>
      <c r="BV356">
        <v>0.687499999999999</v>
      </c>
      <c r="BW356">
        <v>0.675</v>
      </c>
      <c r="BX356">
        <v>0.6625</v>
      </c>
      <c r="BY356">
        <v>0.64999999999999902</v>
      </c>
      <c r="BZ356">
        <v>0.63749999999999896</v>
      </c>
      <c r="CA356">
        <v>0.625</v>
      </c>
      <c r="CB356">
        <v>0.6125</v>
      </c>
      <c r="CC356">
        <v>0.60</v>
      </c>
      <c r="CD356" t="e">
        <v>#VALUE!</v>
      </c>
      <c r="CE356" t="e">
        <v>#VALUE!</v>
      </c>
      <c r="CF356" t="e">
        <v>#VALUE!</v>
      </c>
      <c r="CG356" t="e">
        <v>#VALUE!</v>
      </c>
      <c r="CH356" t="e">
        <v>#VALUE!</v>
      </c>
      <c r="CI356" t="e">
        <v>#VALUE!</v>
      </c>
      <c r="CJ356" t="e">
        <v>#VALUE!</v>
      </c>
      <c r="CK356" t="e">
        <v>#VALUE!</v>
      </c>
    </row>
    <row r="357" spans="1:89" ht="12.5">
      <c r="A357" t="s">
        <v>33</v>
      </c>
      <c r="B357" t="s">
        <v>350</v>
      </c>
      <c r="C357" t="s">
        <v>350</v>
      </c>
      <c r="D357">
        <v>0.91</v>
      </c>
      <c r="E357">
        <v>0.91237837996099203</v>
      </c>
      <c r="F357"/>
      <c r="G357">
        <v>0.924080703445745</v>
      </c>
      <c r="H357">
        <v>0.93191863461286795</v>
      </c>
      <c r="I357">
        <v>0.93913317530872298</v>
      </c>
      <c r="J357">
        <v>0.94662081073422899</v>
      </c>
      <c r="K357">
        <v>0.95522736413757303</v>
      </c>
      <c r="L357">
        <v>0.96565878375163305</v>
      </c>
      <c r="M357">
        <v>0.97502477572848101</v>
      </c>
      <c r="N357">
        <v>0.98360296928729696</v>
      </c>
      <c r="O357">
        <v>0.99137896411483195</v>
      </c>
      <c r="P357">
        <v>0.99897858534273098</v>
      </c>
      <c r="Q357">
        <v>1.00621614553584</v>
      </c>
      <c r="R357">
        <v>1.0122779184735899</v>
      </c>
      <c r="S357">
        <v>1.0163054894352901</v>
      </c>
      <c r="T357">
        <v>1.0183000353678899</v>
      </c>
      <c r="U357">
        <v>1.0192439608453201</v>
      </c>
      <c r="V357">
        <v>1.01993229195114</v>
      </c>
      <c r="W357">
        <v>5</v>
      </c>
      <c r="AG357" s="130" t="s">
        <v>347</v>
      </c>
      <c r="AI357">
        <v>1</v>
      </c>
      <c r="AJ357">
        <v>1.00327699628325</v>
      </c>
      <c r="AK357">
        <v>1.0196619776995</v>
      </c>
      <c r="AL357">
        <v>1.0308479145540399</v>
      </c>
      <c r="AM357">
        <v>1.04133499382809</v>
      </c>
      <c r="AN357">
        <v>1.05242299982453</v>
      </c>
      <c r="AO357">
        <v>1.0654133382180799</v>
      </c>
      <c r="AP357">
        <v>1.08147469381852</v>
      </c>
      <c r="AQ357">
        <v>1.0962028185316299</v>
      </c>
      <c r="AR357">
        <v>1.10998040243245</v>
      </c>
      <c r="AS357">
        <v>1.1227441656950099</v>
      </c>
      <c r="AT357">
        <v>1.1354947263584401</v>
      </c>
      <c r="AU357">
        <v>1.14791225724948</v>
      </c>
      <c r="AV357">
        <v>1.1585513285506801</v>
      </c>
      <c r="AW357">
        <v>1.1657819983311399</v>
      </c>
      <c r="AX357">
        <v>1.1694426389825801</v>
      </c>
      <c r="AY357">
        <v>1.1712124821393199</v>
      </c>
      <c r="AZ357">
        <v>1.1725307500809801</v>
      </c>
      <c r="BA357">
        <v>0</v>
      </c>
      <c r="BB357">
        <v>0</v>
      </c>
      <c r="BC357">
        <v>0</v>
      </c>
      <c r="BD357">
        <v>0</v>
      </c>
      <c r="BE357">
        <v>0</v>
      </c>
      <c r="BF357">
        <v>0</v>
      </c>
      <c r="BG357">
        <v>0</v>
      </c>
      <c r="BH357">
        <v>0</v>
      </c>
      <c r="BJ357" t="s">
        <v>357</v>
      </c>
      <c r="BL357">
        <v>0.80</v>
      </c>
      <c r="BM357">
        <v>0.79756097560975603</v>
      </c>
      <c r="BN357">
        <v>0.78536585365853595</v>
      </c>
      <c r="BO357">
        <v>0.77317073170731698</v>
      </c>
      <c r="BP357">
        <v>0.76097560975609702</v>
      </c>
      <c r="BQ357">
        <v>0.74878048780487805</v>
      </c>
      <c r="BR357">
        <v>0.73658536585365797</v>
      </c>
      <c r="BS357">
        <v>0.724390243902439</v>
      </c>
      <c r="BT357">
        <v>0.71219512195122003</v>
      </c>
      <c r="BU357">
        <v>0.69999999999999896</v>
      </c>
      <c r="BV357">
        <v>0.687499999999999</v>
      </c>
      <c r="BW357">
        <v>0.675</v>
      </c>
      <c r="BX357">
        <v>0.6625</v>
      </c>
      <c r="BY357">
        <v>0.64999999999999902</v>
      </c>
      <c r="BZ357">
        <v>0.63749999999999896</v>
      </c>
      <c r="CA357">
        <v>0.625</v>
      </c>
      <c r="CB357">
        <v>0.6125</v>
      </c>
      <c r="CC357">
        <v>0.60</v>
      </c>
      <c r="CD357" t="e">
        <v>#VALUE!</v>
      </c>
      <c r="CE357" t="e">
        <v>#VALUE!</v>
      </c>
      <c r="CF357" t="e">
        <v>#VALUE!</v>
      </c>
      <c r="CG357" t="e">
        <v>#VALUE!</v>
      </c>
      <c r="CH357" t="e">
        <v>#VALUE!</v>
      </c>
      <c r="CI357" t="e">
        <v>#VALUE!</v>
      </c>
      <c r="CJ357" t="e">
        <v>#VALUE!</v>
      </c>
      <c r="CK357" t="e">
        <v>#VALUE!</v>
      </c>
    </row>
    <row r="358" spans="1:89" ht="12.5">
      <c r="A358" t="s">
        <v>33</v>
      </c>
      <c r="B358" t="s">
        <v>351</v>
      </c>
      <c r="C358" t="s">
        <v>351</v>
      </c>
      <c r="D358">
        <v>0.54</v>
      </c>
      <c r="E358">
        <v>0.54141134635047905</v>
      </c>
      <c r="F358"/>
      <c r="G358">
        <v>0.54835558226450798</v>
      </c>
      <c r="H358">
        <v>0.55300666229774598</v>
      </c>
      <c r="I358">
        <v>0.55728781831506602</v>
      </c>
      <c r="J358">
        <v>0.56173103054558604</v>
      </c>
      <c r="K358">
        <v>0.56683821608163698</v>
      </c>
      <c r="L358">
        <v>0.57302828925921101</v>
      </c>
      <c r="M358">
        <v>0.57858613065206499</v>
      </c>
      <c r="N358">
        <v>0.58367648726938504</v>
      </c>
      <c r="O358">
        <v>0.58829081387033999</v>
      </c>
      <c r="P358">
        <v>0.59280047921436796</v>
      </c>
      <c r="Q358">
        <v>0.59709529515313498</v>
      </c>
      <c r="R358">
        <v>0.60069239118212803</v>
      </c>
      <c r="S358">
        <v>0.60308237834621603</v>
      </c>
      <c r="T358">
        <v>0.60426595505347303</v>
      </c>
      <c r="U358">
        <v>0.604826086655463</v>
      </c>
      <c r="V358">
        <v>0.60523454687210698</v>
      </c>
      <c r="W358">
        <v>5</v>
      </c>
      <c r="AG358" s="130" t="s">
        <v>347</v>
      </c>
      <c r="AI358">
        <v>1</v>
      </c>
      <c r="AJ358">
        <v>1.00327699628325</v>
      </c>
      <c r="AK358">
        <v>1.0196619776995</v>
      </c>
      <c r="AL358">
        <v>1.0308479145540399</v>
      </c>
      <c r="AM358">
        <v>1.04133499382809</v>
      </c>
      <c r="AN358">
        <v>1.05242299982453</v>
      </c>
      <c r="AO358">
        <v>1.0654133382180799</v>
      </c>
      <c r="AP358">
        <v>1.08147469381852</v>
      </c>
      <c r="AQ358">
        <v>1.0962028185316299</v>
      </c>
      <c r="AR358">
        <v>1.10998040243245</v>
      </c>
      <c r="AS358">
        <v>1.1227441656950099</v>
      </c>
      <c r="AT358">
        <v>1.1354947263584401</v>
      </c>
      <c r="AU358">
        <v>1.14791225724948</v>
      </c>
      <c r="AV358">
        <v>1.1585513285506801</v>
      </c>
      <c r="AW358">
        <v>1.1657819983311399</v>
      </c>
      <c r="AX358">
        <v>1.1694426389825801</v>
      </c>
      <c r="AY358">
        <v>1.1712124821393199</v>
      </c>
      <c r="AZ358">
        <v>1.1725307500809801</v>
      </c>
      <c r="BA358">
        <v>0</v>
      </c>
      <c r="BB358">
        <v>0</v>
      </c>
      <c r="BC358">
        <v>0</v>
      </c>
      <c r="BD358">
        <v>0</v>
      </c>
      <c r="BE358">
        <v>0</v>
      </c>
      <c r="BF358">
        <v>0</v>
      </c>
      <c r="BG358">
        <v>0</v>
      </c>
      <c r="BH358">
        <v>0</v>
      </c>
      <c r="BJ358" t="s">
        <v>357</v>
      </c>
      <c r="BL358">
        <v>0.80</v>
      </c>
      <c r="BM358">
        <v>0.79756097560975603</v>
      </c>
      <c r="BN358">
        <v>0.78536585365853595</v>
      </c>
      <c r="BO358">
        <v>0.77317073170731698</v>
      </c>
      <c r="BP358">
        <v>0.76097560975609702</v>
      </c>
      <c r="BQ358">
        <v>0.74878048780487805</v>
      </c>
      <c r="BR358">
        <v>0.73658536585365797</v>
      </c>
      <c r="BS358">
        <v>0.724390243902439</v>
      </c>
      <c r="BT358">
        <v>0.71219512195122003</v>
      </c>
      <c r="BU358">
        <v>0.69999999999999896</v>
      </c>
      <c r="BV358">
        <v>0.687499999999999</v>
      </c>
      <c r="BW358">
        <v>0.675</v>
      </c>
      <c r="BX358">
        <v>0.6625</v>
      </c>
      <c r="BY358">
        <v>0.64999999999999902</v>
      </c>
      <c r="BZ358">
        <v>0.63749999999999896</v>
      </c>
      <c r="CA358">
        <v>0.625</v>
      </c>
      <c r="CB358">
        <v>0.6125</v>
      </c>
      <c r="CC358">
        <v>0.60</v>
      </c>
      <c r="CD358" t="e">
        <v>#VALUE!</v>
      </c>
      <c r="CE358" t="e">
        <v>#VALUE!</v>
      </c>
      <c r="CF358" t="e">
        <v>#VALUE!</v>
      </c>
      <c r="CG358" t="e">
        <v>#VALUE!</v>
      </c>
      <c r="CH358" t="e">
        <v>#VALUE!</v>
      </c>
      <c r="CI358" t="e">
        <v>#VALUE!</v>
      </c>
      <c r="CJ358" t="e">
        <v>#VALUE!</v>
      </c>
      <c r="CK358" t="e">
        <v>#VALUE!</v>
      </c>
    </row>
    <row r="359" spans="1:89" ht="12.5">
      <c r="A359" t="s">
        <v>33</v>
      </c>
      <c r="B359" t="s">
        <v>352</v>
      </c>
      <c r="C359" t="s">
        <v>352</v>
      </c>
      <c r="D359">
        <v>1.295</v>
      </c>
      <c r="E359">
        <v>1.2983846176367999</v>
      </c>
      <c r="F359"/>
      <c r="G359">
        <v>1.31503792413433</v>
      </c>
      <c r="H359">
        <v>1.3261919031029299</v>
      </c>
      <c r="I359">
        <v>1.3364587494778</v>
      </c>
      <c r="J359">
        <v>1.3471142306602499</v>
      </c>
      <c r="K359">
        <v>1.35936201819578</v>
      </c>
      <c r="L359">
        <v>1.37420673072348</v>
      </c>
      <c r="M359">
        <v>1.38753525776745</v>
      </c>
      <c r="N359">
        <v>1.3997426870626899</v>
      </c>
      <c r="O359">
        <v>1.4108085258557199</v>
      </c>
      <c r="P359">
        <v>1.4216233714492701</v>
      </c>
      <c r="Q359">
        <v>1.4319229763394601</v>
      </c>
      <c r="R359">
        <v>1.4405493455200999</v>
      </c>
      <c r="S359">
        <v>1.44628088881176</v>
      </c>
      <c r="T359">
        <v>1.4491192811004601</v>
      </c>
      <c r="U359">
        <v>1.45046255966449</v>
      </c>
      <c r="V359">
        <v>1.45144210777663</v>
      </c>
      <c r="W359">
        <v>5</v>
      </c>
      <c r="AG359" s="130" t="s">
        <v>347</v>
      </c>
      <c r="AI359">
        <v>1</v>
      </c>
      <c r="AJ359">
        <v>1.00327699628325</v>
      </c>
      <c r="AK359">
        <v>1.0196619776995</v>
      </c>
      <c r="AL359">
        <v>1.0308479145540399</v>
      </c>
      <c r="AM359">
        <v>1.04133499382809</v>
      </c>
      <c r="AN359">
        <v>1.05242299982453</v>
      </c>
      <c r="AO359">
        <v>1.0654133382180799</v>
      </c>
      <c r="AP359">
        <v>1.08147469381852</v>
      </c>
      <c r="AQ359">
        <v>1.0962028185316299</v>
      </c>
      <c r="AR359">
        <v>1.10998040243245</v>
      </c>
      <c r="AS359">
        <v>1.1227441656950099</v>
      </c>
      <c r="AT359">
        <v>1.1354947263584401</v>
      </c>
      <c r="AU359">
        <v>1.14791225724948</v>
      </c>
      <c r="AV359">
        <v>1.1585513285506801</v>
      </c>
      <c r="AW359">
        <v>1.1657819983311399</v>
      </c>
      <c r="AX359">
        <v>1.1694426389825801</v>
      </c>
      <c r="AY359">
        <v>1.1712124821393199</v>
      </c>
      <c r="AZ359">
        <v>1.1725307500809801</v>
      </c>
      <c r="BA359">
        <v>0</v>
      </c>
      <c r="BB359">
        <v>0</v>
      </c>
      <c r="BC359">
        <v>0</v>
      </c>
      <c r="BD359">
        <v>0</v>
      </c>
      <c r="BE359">
        <v>0</v>
      </c>
      <c r="BF359">
        <v>0</v>
      </c>
      <c r="BG359">
        <v>0</v>
      </c>
      <c r="BH359">
        <v>0</v>
      </c>
      <c r="BJ359" t="s">
        <v>357</v>
      </c>
      <c r="BL359">
        <v>0.80</v>
      </c>
      <c r="BM359">
        <v>0.79756097560975603</v>
      </c>
      <c r="BN359">
        <v>0.78536585365853595</v>
      </c>
      <c r="BO359">
        <v>0.77317073170731698</v>
      </c>
      <c r="BP359">
        <v>0.76097560975609702</v>
      </c>
      <c r="BQ359">
        <v>0.74878048780487805</v>
      </c>
      <c r="BR359">
        <v>0.73658536585365797</v>
      </c>
      <c r="BS359">
        <v>0.724390243902439</v>
      </c>
      <c r="BT359">
        <v>0.71219512195122003</v>
      </c>
      <c r="BU359">
        <v>0.69999999999999896</v>
      </c>
      <c r="BV359">
        <v>0.687499999999999</v>
      </c>
      <c r="BW359">
        <v>0.675</v>
      </c>
      <c r="BX359">
        <v>0.6625</v>
      </c>
      <c r="BY359">
        <v>0.64999999999999902</v>
      </c>
      <c r="BZ359">
        <v>0.63749999999999896</v>
      </c>
      <c r="CA359">
        <v>0.625</v>
      </c>
      <c r="CB359">
        <v>0.6125</v>
      </c>
      <c r="CC359">
        <v>0.60</v>
      </c>
      <c r="CD359" t="e">
        <v>#VALUE!</v>
      </c>
      <c r="CE359" t="e">
        <v>#VALUE!</v>
      </c>
      <c r="CF359" t="e">
        <v>#VALUE!</v>
      </c>
      <c r="CG359" t="e">
        <v>#VALUE!</v>
      </c>
      <c r="CH359" t="e">
        <v>#VALUE!</v>
      </c>
      <c r="CI359" t="e">
        <v>#VALUE!</v>
      </c>
      <c r="CJ359" t="e">
        <v>#VALUE!</v>
      </c>
      <c r="CK359" t="e">
        <v>#VALUE!</v>
      </c>
    </row>
    <row r="360" spans="1:89" ht="12.5">
      <c r="A360" t="s">
        <v>33</v>
      </c>
      <c r="B360" t="s">
        <v>353</v>
      </c>
      <c r="C360" t="s">
        <v>353</v>
      </c>
      <c r="D360">
        <v>129.828</v>
      </c>
      <c r="E360">
        <v>130.77910341865601</v>
      </c>
      <c r="F360"/>
      <c r="G360">
        <v>140.99601941550699</v>
      </c>
      <c r="H360">
        <v>150.88912720982199</v>
      </c>
      <c r="I360">
        <v>158.88936990631501</v>
      </c>
      <c r="J360">
        <v>165.965772660955</v>
      </c>
      <c r="K360">
        <v>172.45897012508601</v>
      </c>
      <c r="L360">
        <v>178.35674327231999</v>
      </c>
      <c r="M360">
        <v>184.32155791889301</v>
      </c>
      <c r="N360">
        <v>190.49774082770301</v>
      </c>
      <c r="O360">
        <v>196.84597243694401</v>
      </c>
      <c r="P360">
        <v>202.75532009765399</v>
      </c>
      <c r="Q360">
        <v>208.09465039272899</v>
      </c>
      <c r="R360">
        <v>213.01214231077401</v>
      </c>
      <c r="S360">
        <v>217.66713665022601</v>
      </c>
      <c r="T360">
        <v>222.12321153329901</v>
      </c>
      <c r="U360">
        <v>226.29345099021799</v>
      </c>
      <c r="V360">
        <v>230.032283184352</v>
      </c>
      <c r="W360">
        <v>5</v>
      </c>
      <c r="AG360" s="130" t="s">
        <v>354</v>
      </c>
      <c r="AI360">
        <v>1</v>
      </c>
      <c r="AJ360">
        <v>1.00918534514706</v>
      </c>
      <c r="AK360">
        <v>1.1095730181404999</v>
      </c>
      <c r="AL360">
        <v>1.2102676621983599</v>
      </c>
      <c r="AM360">
        <v>1.29459257631768</v>
      </c>
      <c r="AN360">
        <v>1.37159356360231</v>
      </c>
      <c r="AO360">
        <v>1.44444572321756</v>
      </c>
      <c r="AP360">
        <v>1.51263732787917</v>
      </c>
      <c r="AQ360">
        <v>1.5836675606281201</v>
      </c>
      <c r="AR360">
        <v>1.6594746806232199</v>
      </c>
      <c r="AS360">
        <v>1.73991260613539</v>
      </c>
      <c r="AT360">
        <v>1.8172940216400499</v>
      </c>
      <c r="AU360">
        <v>1.8895300474121399</v>
      </c>
      <c r="AV360">
        <v>1.95822474009178</v>
      </c>
      <c r="AW360">
        <v>2.02535172504325</v>
      </c>
      <c r="AX360">
        <v>2.0916924255476599</v>
      </c>
      <c r="AY360">
        <v>2.1558072975726401</v>
      </c>
      <c r="AZ360">
        <v>2.2151712318303098</v>
      </c>
      <c r="BA360">
        <v>0</v>
      </c>
      <c r="BB360">
        <v>0</v>
      </c>
      <c r="BC360">
        <v>0</v>
      </c>
      <c r="BD360">
        <v>0</v>
      </c>
      <c r="BE360">
        <v>0</v>
      </c>
      <c r="BF360">
        <v>0</v>
      </c>
      <c r="BG360">
        <v>0</v>
      </c>
      <c r="BH360">
        <v>0</v>
      </c>
      <c r="BJ360" t="s">
        <v>357</v>
      </c>
      <c r="BL360">
        <v>0.80</v>
      </c>
      <c r="BM360">
        <v>0.79756097560975603</v>
      </c>
      <c r="BN360">
        <v>0.78536585365853595</v>
      </c>
      <c r="BO360">
        <v>0.77317073170731698</v>
      </c>
      <c r="BP360">
        <v>0.76097560975609702</v>
      </c>
      <c r="BQ360">
        <v>0.74878048780487805</v>
      </c>
      <c r="BR360">
        <v>0.73658536585365797</v>
      </c>
      <c r="BS360">
        <v>0.724390243902439</v>
      </c>
      <c r="BT360">
        <v>0.71219512195122003</v>
      </c>
      <c r="BU360">
        <v>0.69999999999999896</v>
      </c>
      <c r="BV360">
        <v>0.687499999999999</v>
      </c>
      <c r="BW360">
        <v>0.675</v>
      </c>
      <c r="BX360">
        <v>0.6625</v>
      </c>
      <c r="BY360">
        <v>0.64999999999999902</v>
      </c>
      <c r="BZ360">
        <v>0.63749999999999896</v>
      </c>
      <c r="CA360">
        <v>0.625</v>
      </c>
      <c r="CB360">
        <v>0.6125</v>
      </c>
      <c r="CC360">
        <v>0.60</v>
      </c>
      <c r="CD360" t="e">
        <v>#VALUE!</v>
      </c>
      <c r="CE360" t="e">
        <v>#VALUE!</v>
      </c>
      <c r="CF360" t="e">
        <v>#VALUE!</v>
      </c>
      <c r="CG360" t="e">
        <v>#VALUE!</v>
      </c>
      <c r="CH360" t="e">
        <v>#VALUE!</v>
      </c>
      <c r="CI360" t="e">
        <v>#VALUE!</v>
      </c>
      <c r="CJ360" t="e">
        <v>#VALUE!</v>
      </c>
      <c r="CK360" t="e">
        <v>#VALUE!</v>
      </c>
    </row>
    <row r="361" spans="1:89" ht="12.5">
      <c r="A361" t="s">
        <v>33</v>
      </c>
      <c r="B361" t="s">
        <v>355</v>
      </c>
      <c r="C361" t="s">
        <v>355</v>
      </c>
      <c r="D361">
        <v>35.20</v>
      </c>
      <c r="E361">
        <v>35.550714638475498</v>
      </c>
      <c r="F361"/>
      <c r="G361">
        <v>38.829397197981997</v>
      </c>
      <c r="H361">
        <v>41.9131297239351</v>
      </c>
      <c r="I361">
        <v>44.4824742643479</v>
      </c>
      <c r="J361">
        <v>46.839325161738699</v>
      </c>
      <c r="K361">
        <v>49.120329980228398</v>
      </c>
      <c r="L361">
        <v>51.3618881370857</v>
      </c>
      <c r="M361">
        <v>53.601147618037203</v>
      </c>
      <c r="N361">
        <v>55.891348679583302</v>
      </c>
      <c r="O361">
        <v>58.2171704619482</v>
      </c>
      <c r="P361">
        <v>60.430982868887803</v>
      </c>
      <c r="Q361">
        <v>62.477587015331601</v>
      </c>
      <c r="R361">
        <v>64.344065978457394</v>
      </c>
      <c r="S361">
        <v>66.014971787495099</v>
      </c>
      <c r="T361">
        <v>67.5002293149998</v>
      </c>
      <c r="U361">
        <v>68.831996547120795</v>
      </c>
      <c r="V361">
        <v>70.017007074255304</v>
      </c>
      <c r="W361">
        <v>5</v>
      </c>
      <c r="AG361" s="130" t="s">
        <v>342</v>
      </c>
      <c r="AI361">
        <v>1</v>
      </c>
      <c r="AJ361">
        <v>1.0124924417722201</v>
      </c>
      <c r="AK361">
        <v>1.1313894180791499</v>
      </c>
      <c r="AL361">
        <v>1.24760189562937</v>
      </c>
      <c r="AM361">
        <v>1.34810455246965</v>
      </c>
      <c r="AN361">
        <v>1.44349661274636</v>
      </c>
      <c r="AO361">
        <v>1.53893173984805</v>
      </c>
      <c r="AP361">
        <v>1.6358789910266001</v>
      </c>
      <c r="AQ361">
        <v>1.7360208435776501</v>
      </c>
      <c r="AR361">
        <v>1.84198437382463</v>
      </c>
      <c r="AS361">
        <v>1.9534767273577101</v>
      </c>
      <c r="AT361">
        <v>2.0635277778150001</v>
      </c>
      <c r="AU361">
        <v>2.1690147018656001</v>
      </c>
      <c r="AV361">
        <v>2.2687038742341499</v>
      </c>
      <c r="AW361">
        <v>2.3611185813443298</v>
      </c>
      <c r="AX361">
        <v>2.4461143100723302</v>
      </c>
      <c r="AY361">
        <v>2.5249084160040902</v>
      </c>
      <c r="AZ361">
        <v>2.5973563860158002</v>
      </c>
      <c r="BA361">
        <v>0</v>
      </c>
      <c r="BB361">
        <v>0</v>
      </c>
      <c r="BC361">
        <v>0</v>
      </c>
      <c r="BD361">
        <v>0</v>
      </c>
      <c r="BE361">
        <v>0</v>
      </c>
      <c r="BF361">
        <v>0</v>
      </c>
      <c r="BG361">
        <v>0</v>
      </c>
      <c r="BH361">
        <v>0</v>
      </c>
      <c r="BJ361" t="s">
        <v>357</v>
      </c>
      <c r="BL361">
        <v>0.80</v>
      </c>
      <c r="BM361">
        <v>0.79756097560975603</v>
      </c>
      <c r="BN361">
        <v>0.78536585365853595</v>
      </c>
      <c r="BO361">
        <v>0.77317073170731698</v>
      </c>
      <c r="BP361">
        <v>0.76097560975609702</v>
      </c>
      <c r="BQ361">
        <v>0.74878048780487805</v>
      </c>
      <c r="BR361">
        <v>0.73658536585365797</v>
      </c>
      <c r="BS361">
        <v>0.724390243902439</v>
      </c>
      <c r="BT361">
        <v>0.71219512195122003</v>
      </c>
      <c r="BU361">
        <v>0.69999999999999896</v>
      </c>
      <c r="BV361">
        <v>0.687499999999999</v>
      </c>
      <c r="BW361">
        <v>0.675</v>
      </c>
      <c r="BX361">
        <v>0.6625</v>
      </c>
      <c r="BY361">
        <v>0.64999999999999902</v>
      </c>
      <c r="BZ361">
        <v>0.63749999999999896</v>
      </c>
      <c r="CA361">
        <v>0.625</v>
      </c>
      <c r="CB361">
        <v>0.6125</v>
      </c>
      <c r="CC361">
        <v>0.60</v>
      </c>
      <c r="CD361" t="e">
        <v>#VALUE!</v>
      </c>
      <c r="CE361" t="e">
        <v>#VALUE!</v>
      </c>
      <c r="CF361" t="e">
        <v>#VALUE!</v>
      </c>
      <c r="CG361" t="e">
        <v>#VALUE!</v>
      </c>
      <c r="CH361" t="e">
        <v>#VALUE!</v>
      </c>
      <c r="CI361" t="e">
        <v>#VALUE!</v>
      </c>
      <c r="CJ361" t="e">
        <v>#VALUE!</v>
      </c>
      <c r="CK361" t="e">
        <v>#VALUE!</v>
      </c>
    </row>
    <row r="362" spans="1:89" ht="12.5">
      <c r="A362" t="s">
        <v>33</v>
      </c>
      <c r="B362" t="s">
        <v>356</v>
      </c>
      <c r="C362" t="s">
        <v>356</v>
      </c>
      <c r="D362">
        <v>19.96</v>
      </c>
      <c r="E362">
        <v>20.158871141590101</v>
      </c>
      <c r="F362"/>
      <c r="G362">
        <v>22.0180331838557</v>
      </c>
      <c r="H362">
        <v>23.766649695731399</v>
      </c>
      <c r="I362">
        <v>25.223584838533601</v>
      </c>
      <c r="J362">
        <v>26.5600264269405</v>
      </c>
      <c r="K362">
        <v>27.853459841061301</v>
      </c>
      <c r="L362">
        <v>29.124525205006599</v>
      </c>
      <c r="M362">
        <v>30.3942871152279</v>
      </c>
      <c r="N362">
        <v>31.692935217172799</v>
      </c>
      <c r="O362">
        <v>33.011781886945599</v>
      </c>
      <c r="P362">
        <v>34.267114149516999</v>
      </c>
      <c r="Q362">
        <v>35.427631728011903</v>
      </c>
      <c r="R362">
        <v>36.486010140057097</v>
      </c>
      <c r="S362">
        <v>37.433489684045497</v>
      </c>
      <c r="T362">
        <v>38.275698213846397</v>
      </c>
      <c r="U362">
        <v>39.030870769333298</v>
      </c>
      <c r="V362">
        <v>39.702825602333398</v>
      </c>
      <c r="W362">
        <v>5</v>
      </c>
      <c r="AG362" s="130" t="s">
        <v>342</v>
      </c>
      <c r="AI362">
        <v>1</v>
      </c>
      <c r="AJ362">
        <v>1.0124924417722201</v>
      </c>
      <c r="AK362">
        <v>1.1313894180791499</v>
      </c>
      <c r="AL362">
        <v>1.24760189562937</v>
      </c>
      <c r="AM362">
        <v>1.34810455246965</v>
      </c>
      <c r="AN362">
        <v>1.44349661274636</v>
      </c>
      <c r="AO362">
        <v>1.53893173984805</v>
      </c>
      <c r="AP362">
        <v>1.6358789910266001</v>
      </c>
      <c r="AQ362">
        <v>1.7360208435776501</v>
      </c>
      <c r="AR362">
        <v>1.84198437382463</v>
      </c>
      <c r="AS362">
        <v>1.9534767273577101</v>
      </c>
      <c r="AT362">
        <v>2.0635277778150001</v>
      </c>
      <c r="AU362">
        <v>2.1690147018656001</v>
      </c>
      <c r="AV362">
        <v>2.2687038742341499</v>
      </c>
      <c r="AW362">
        <v>2.3611185813443298</v>
      </c>
      <c r="AX362">
        <v>2.4461143100723302</v>
      </c>
      <c r="AY362">
        <v>2.5249084160040902</v>
      </c>
      <c r="AZ362">
        <v>2.5973563860158002</v>
      </c>
      <c r="BA362">
        <v>0</v>
      </c>
      <c r="BB362">
        <v>0</v>
      </c>
      <c r="BC362">
        <v>0</v>
      </c>
      <c r="BD362">
        <v>0</v>
      </c>
      <c r="BE362">
        <v>0</v>
      </c>
      <c r="BF362">
        <v>0</v>
      </c>
      <c r="BG362">
        <v>0</v>
      </c>
      <c r="BH362">
        <v>0</v>
      </c>
      <c r="BJ362" t="s">
        <v>357</v>
      </c>
      <c r="BL362">
        <v>0.80</v>
      </c>
      <c r="BM362">
        <v>0.79756097560975603</v>
      </c>
      <c r="BN362">
        <v>0.78536585365853595</v>
      </c>
      <c r="BO362">
        <v>0.77317073170731698</v>
      </c>
      <c r="BP362">
        <v>0.76097560975609702</v>
      </c>
      <c r="BQ362">
        <v>0.74878048780487805</v>
      </c>
      <c r="BR362">
        <v>0.73658536585365797</v>
      </c>
      <c r="BS362">
        <v>0.724390243902439</v>
      </c>
      <c r="BT362">
        <v>0.71219512195122003</v>
      </c>
      <c r="BU362">
        <v>0.69999999999999896</v>
      </c>
      <c r="BV362">
        <v>0.687499999999999</v>
      </c>
      <c r="BW362">
        <v>0.675</v>
      </c>
      <c r="BX362">
        <v>0.6625</v>
      </c>
      <c r="BY362">
        <v>0.64999999999999902</v>
      </c>
      <c r="BZ362">
        <v>0.63749999999999896</v>
      </c>
      <c r="CA362">
        <v>0.625</v>
      </c>
      <c r="CB362">
        <v>0.6125</v>
      </c>
      <c r="CC362">
        <v>0.60</v>
      </c>
      <c r="CD362" t="e">
        <v>#VALUE!</v>
      </c>
      <c r="CE362" t="e">
        <v>#VALUE!</v>
      </c>
      <c r="CF362" t="e">
        <v>#VALUE!</v>
      </c>
      <c r="CG362" t="e">
        <v>#VALUE!</v>
      </c>
      <c r="CH362" t="e">
        <v>#VALUE!</v>
      </c>
      <c r="CI362" t="e">
        <v>#VALUE!</v>
      </c>
      <c r="CJ362" t="e">
        <v>#VALUE!</v>
      </c>
      <c r="CK362" t="e">
        <v>#VALUE!</v>
      </c>
    </row>
    <row r="363" spans="1:89" ht="12.5">
      <c r="A363" t="s">
        <v>34</v>
      </c>
      <c r="B363" t="s">
        <v>341</v>
      </c>
      <c r="C363" t="s">
        <v>341</v>
      </c>
      <c r="E363" s="2">
        <v>2.7922333831801001</v>
      </c>
      <c r="F363" s="2">
        <f>E363</f>
        <v>2.7922333831801001</v>
      </c>
      <c r="I363" s="2">
        <f>F363</f>
        <v>2.7922333831801001</v>
      </c>
      <c r="J363" s="2">
        <f>I363</f>
        <v>2.7922333831801001</v>
      </c>
      <c r="L363" s="2">
        <f>J363</f>
        <v>2.7922333831801001</v>
      </c>
      <c r="V363" s="2">
        <f>L363</f>
        <v>2.7922333831801001</v>
      </c>
      <c r="W363">
        <v>5</v>
      </c>
      <c r="AG363" s="130" t="s">
        <v>342</v>
      </c>
      <c r="AI363">
        <v>1</v>
      </c>
      <c r="AJ363">
        <v>1.0101462027550301</v>
      </c>
      <c r="AK363">
        <v>1.1273882138720399</v>
      </c>
      <c r="AL363">
        <v>1.1907158729448599</v>
      </c>
      <c r="AM363">
        <v>1.25597341974685</v>
      </c>
      <c r="AN363">
        <v>1.3157573291348099</v>
      </c>
      <c r="AO363">
        <v>1.3745683052425499</v>
      </c>
      <c r="AP363">
        <v>1.43391013363274</v>
      </c>
      <c r="AQ363">
        <v>1.4945267176710999</v>
      </c>
      <c r="AR363">
        <v>1.55938656911768</v>
      </c>
      <c r="AS363">
        <v>1.62911108696532</v>
      </c>
      <c r="AT363">
        <v>1.70037134803812</v>
      </c>
      <c r="AU363">
        <v>1.7703213449488799</v>
      </c>
      <c r="AV363">
        <v>1.8353640652419201</v>
      </c>
      <c r="AW363">
        <v>1.8935447652283599</v>
      </c>
      <c r="AX363">
        <v>1.9449788475782801</v>
      </c>
      <c r="AY363">
        <v>1.9904474995969801</v>
      </c>
      <c r="AZ363">
        <v>2.0296844074303699</v>
      </c>
      <c r="BA363">
        <v>0</v>
      </c>
      <c r="BB363">
        <v>0</v>
      </c>
      <c r="BC363">
        <v>0</v>
      </c>
      <c r="BD363">
        <v>0</v>
      </c>
      <c r="BE363">
        <v>0</v>
      </c>
      <c r="BF363">
        <v>0</v>
      </c>
      <c r="BG363">
        <v>0</v>
      </c>
      <c r="BH363">
        <v>0</v>
      </c>
      <c r="BJ363" t="s">
        <v>357</v>
      </c>
      <c r="BL363">
        <v>0.80</v>
      </c>
      <c r="BM363">
        <v>0.79756097560975603</v>
      </c>
      <c r="BN363">
        <v>0.78536585365853595</v>
      </c>
      <c r="BO363">
        <v>0.77317073170731698</v>
      </c>
      <c r="BP363">
        <v>0.76097560975609702</v>
      </c>
      <c r="BQ363">
        <v>0.74878048780487805</v>
      </c>
      <c r="BR363">
        <v>0.73658536585365797</v>
      </c>
      <c r="BS363">
        <v>0.724390243902439</v>
      </c>
      <c r="BT363">
        <v>0.71219512195122003</v>
      </c>
      <c r="BU363">
        <v>0.69999999999999896</v>
      </c>
      <c r="BV363">
        <v>0.687499999999999</v>
      </c>
      <c r="BW363">
        <v>0.675</v>
      </c>
      <c r="BX363">
        <v>0.6625</v>
      </c>
      <c r="BY363">
        <v>0.64999999999999902</v>
      </c>
      <c r="BZ363">
        <v>0.63749999999999896</v>
      </c>
      <c r="CA363">
        <v>0.625</v>
      </c>
      <c r="CB363">
        <v>0.6125</v>
      </c>
      <c r="CC363">
        <v>0.60</v>
      </c>
      <c r="CD363" t="e">
        <v>#VALUE!</v>
      </c>
      <c r="CE363" t="e">
        <v>#VALUE!</v>
      </c>
      <c r="CF363" t="e">
        <v>#VALUE!</v>
      </c>
      <c r="CG363" t="e">
        <v>#VALUE!</v>
      </c>
      <c r="CH363" t="e">
        <v>#VALUE!</v>
      </c>
      <c r="CI363" t="e">
        <v>#VALUE!</v>
      </c>
      <c r="CJ363" t="e">
        <v>#VALUE!</v>
      </c>
      <c r="CK363" t="e">
        <v>#VALUE!</v>
      </c>
    </row>
    <row r="364" spans="1:89" ht="12.5">
      <c r="A364" t="s">
        <v>34</v>
      </c>
      <c r="B364" t="s">
        <v>344</v>
      </c>
      <c r="C364" t="s">
        <v>344</v>
      </c>
      <c r="E364" s="2">
        <v>78.580975408405195</v>
      </c>
      <c r="F364" s="2">
        <f>E364</f>
        <v>78.580975408405195</v>
      </c>
      <c r="I364" s="2">
        <f>F364</f>
        <v>78.580975408405195</v>
      </c>
      <c r="J364" s="2">
        <f>I364</f>
        <v>78.580975408405195</v>
      </c>
      <c r="L364" s="2">
        <f>J364</f>
        <v>78.580975408405195</v>
      </c>
      <c r="V364" s="2">
        <f>L364</f>
        <v>78.580975408405195</v>
      </c>
      <c r="W364">
        <v>5</v>
      </c>
      <c r="AG364" s="130" t="s">
        <v>342</v>
      </c>
      <c r="AI364">
        <v>1</v>
      </c>
      <c r="AJ364">
        <v>1.0101462027550301</v>
      </c>
      <c r="AK364">
        <v>1.1273882138720399</v>
      </c>
      <c r="AL364">
        <v>1.1907158729448599</v>
      </c>
      <c r="AM364">
        <v>1.25597341974685</v>
      </c>
      <c r="AN364">
        <v>1.3157573291348099</v>
      </c>
      <c r="AO364">
        <v>1.3745683052425499</v>
      </c>
      <c r="AP364">
        <v>1.43391013363274</v>
      </c>
      <c r="AQ364">
        <v>1.4945267176710999</v>
      </c>
      <c r="AR364">
        <v>1.55938656911768</v>
      </c>
      <c r="AS364">
        <v>1.62911108696532</v>
      </c>
      <c r="AT364">
        <v>1.70037134803812</v>
      </c>
      <c r="AU364">
        <v>1.7703213449488799</v>
      </c>
      <c r="AV364">
        <v>1.8353640652419201</v>
      </c>
      <c r="AW364">
        <v>1.8935447652283599</v>
      </c>
      <c r="AX364">
        <v>1.9449788475782801</v>
      </c>
      <c r="AY364">
        <v>1.9904474995969801</v>
      </c>
      <c r="AZ364">
        <v>2.0296844074303699</v>
      </c>
      <c r="BA364">
        <v>0</v>
      </c>
      <c r="BB364">
        <v>0</v>
      </c>
      <c r="BC364">
        <v>0</v>
      </c>
      <c r="BD364">
        <v>0</v>
      </c>
      <c r="BE364">
        <v>0</v>
      </c>
      <c r="BF364">
        <v>0</v>
      </c>
      <c r="BG364">
        <v>0</v>
      </c>
      <c r="BH364">
        <v>0</v>
      </c>
      <c r="BJ364" t="s">
        <v>357</v>
      </c>
      <c r="BL364">
        <v>0.80</v>
      </c>
      <c r="BM364">
        <v>0.79756097560975603</v>
      </c>
      <c r="BN364">
        <v>0.78536585365853595</v>
      </c>
      <c r="BO364">
        <v>0.77317073170731698</v>
      </c>
      <c r="BP364">
        <v>0.76097560975609702</v>
      </c>
      <c r="BQ364">
        <v>0.74878048780487805</v>
      </c>
      <c r="BR364">
        <v>0.73658536585365797</v>
      </c>
      <c r="BS364">
        <v>0.724390243902439</v>
      </c>
      <c r="BT364">
        <v>0.71219512195122003</v>
      </c>
      <c r="BU364">
        <v>0.69999999999999896</v>
      </c>
      <c r="BV364">
        <v>0.687499999999999</v>
      </c>
      <c r="BW364">
        <v>0.675</v>
      </c>
      <c r="BX364">
        <v>0.6625</v>
      </c>
      <c r="BY364">
        <v>0.64999999999999902</v>
      </c>
      <c r="BZ364">
        <v>0.63749999999999896</v>
      </c>
      <c r="CA364">
        <v>0.625</v>
      </c>
      <c r="CB364">
        <v>0.6125</v>
      </c>
      <c r="CC364">
        <v>0.60</v>
      </c>
      <c r="CD364" t="e">
        <v>#VALUE!</v>
      </c>
      <c r="CE364" t="e">
        <v>#VALUE!</v>
      </c>
      <c r="CF364" t="e">
        <v>#VALUE!</v>
      </c>
      <c r="CG364" t="e">
        <v>#VALUE!</v>
      </c>
      <c r="CH364" t="e">
        <v>#VALUE!</v>
      </c>
      <c r="CI364" t="e">
        <v>#VALUE!</v>
      </c>
      <c r="CJ364" t="e">
        <v>#VALUE!</v>
      </c>
      <c r="CK364" t="e">
        <v>#VALUE!</v>
      </c>
    </row>
    <row r="365" spans="1:89" ht="12.5">
      <c r="A365" t="s">
        <v>34</v>
      </c>
      <c r="B365" t="s">
        <v>345</v>
      </c>
      <c r="C365" t="s">
        <v>345</v>
      </c>
      <c r="E365" s="2">
        <v>0.35603634664253297</v>
      </c>
      <c r="I365" s="2">
        <v>0.422268318976179</v>
      </c>
      <c r="J365" s="2">
        <v>0.43731867871194402</v>
      </c>
      <c r="L365" s="2">
        <v>0.46584319026211901</v>
      </c>
      <c r="V365" s="2">
        <v>0.58764335038056104</v>
      </c>
      <c r="W365">
        <v>5</v>
      </c>
      <c r="AG365" s="130" t="s">
        <v>342</v>
      </c>
      <c r="AI365">
        <v>1</v>
      </c>
      <c r="AJ365">
        <v>1.0101462027550301</v>
      </c>
      <c r="AK365">
        <v>1.1273882138720399</v>
      </c>
      <c r="AL365">
        <v>1.1907158729448599</v>
      </c>
      <c r="AM365">
        <v>1.25597341974685</v>
      </c>
      <c r="AN365">
        <v>1.3157573291348099</v>
      </c>
      <c r="AO365">
        <v>1.3745683052425499</v>
      </c>
      <c r="AP365">
        <v>1.43391013363274</v>
      </c>
      <c r="AQ365">
        <v>1.4945267176710999</v>
      </c>
      <c r="AR365">
        <v>1.55938656911768</v>
      </c>
      <c r="AS365">
        <v>1.62911108696532</v>
      </c>
      <c r="AT365">
        <v>1.70037134803812</v>
      </c>
      <c r="AU365">
        <v>1.7703213449488799</v>
      </c>
      <c r="AV365">
        <v>1.8353640652419201</v>
      </c>
      <c r="AW365">
        <v>1.8935447652283599</v>
      </c>
      <c r="AX365">
        <v>1.9449788475782801</v>
      </c>
      <c r="AY365">
        <v>1.9904474995969801</v>
      </c>
      <c r="AZ365">
        <v>2.0296844074303699</v>
      </c>
      <c r="BA365">
        <v>0</v>
      </c>
      <c r="BB365">
        <v>0</v>
      </c>
      <c r="BC365">
        <v>0</v>
      </c>
      <c r="BD365">
        <v>0</v>
      </c>
      <c r="BE365">
        <v>0</v>
      </c>
      <c r="BF365">
        <v>0</v>
      </c>
      <c r="BG365">
        <v>0</v>
      </c>
      <c r="BH365">
        <v>0</v>
      </c>
      <c r="BJ365" t="s">
        <v>357</v>
      </c>
      <c r="BL365">
        <v>0.80</v>
      </c>
      <c r="BM365">
        <v>0.79756097560975603</v>
      </c>
      <c r="BN365">
        <v>0.78536585365853595</v>
      </c>
      <c r="BO365">
        <v>0.77317073170731698</v>
      </c>
      <c r="BP365">
        <v>0.76097560975609702</v>
      </c>
      <c r="BQ365">
        <v>0.74878048780487805</v>
      </c>
      <c r="BR365">
        <v>0.73658536585365797</v>
      </c>
      <c r="BS365">
        <v>0.724390243902439</v>
      </c>
      <c r="BT365">
        <v>0.71219512195122003</v>
      </c>
      <c r="BU365">
        <v>0.69999999999999896</v>
      </c>
      <c r="BV365">
        <v>0.687499999999999</v>
      </c>
      <c r="BW365">
        <v>0.675</v>
      </c>
      <c r="BX365">
        <v>0.6625</v>
      </c>
      <c r="BY365">
        <v>0.64999999999999902</v>
      </c>
      <c r="BZ365">
        <v>0.63749999999999896</v>
      </c>
      <c r="CA365">
        <v>0.625</v>
      </c>
      <c r="CB365">
        <v>0.6125</v>
      </c>
      <c r="CC365">
        <v>0.60</v>
      </c>
      <c r="CD365" t="e">
        <v>#VALUE!</v>
      </c>
      <c r="CE365" t="e">
        <v>#VALUE!</v>
      </c>
      <c r="CF365" t="e">
        <v>#VALUE!</v>
      </c>
      <c r="CG365" t="e">
        <v>#VALUE!</v>
      </c>
      <c r="CH365" t="e">
        <v>#VALUE!</v>
      </c>
      <c r="CI365" t="e">
        <v>#VALUE!</v>
      </c>
      <c r="CJ365" t="e">
        <v>#VALUE!</v>
      </c>
      <c r="CK365" t="e">
        <v>#VALUE!</v>
      </c>
    </row>
    <row r="366" spans="1:89" ht="12.5">
      <c r="A366" t="s">
        <v>34</v>
      </c>
      <c r="B366" t="s">
        <v>346</v>
      </c>
      <c r="C366" t="s">
        <v>346</v>
      </c>
      <c r="E366" s="2">
        <v>11.0388847973258</v>
      </c>
      <c r="I366" s="2">
        <v>11.600022996446199</v>
      </c>
      <c r="J366" s="2">
        <v>11.744583496214799</v>
      </c>
      <c r="L366" s="2">
        <v>12.0632503469926</v>
      </c>
      <c r="V366" s="2">
        <v>12.632783402411199</v>
      </c>
      <c r="W366">
        <v>5</v>
      </c>
      <c r="AG366" s="130" t="s">
        <v>347</v>
      </c>
      <c r="AI366">
        <v>1</v>
      </c>
      <c r="AJ366">
        <v>1.0056638061002301</v>
      </c>
      <c r="AK366">
        <v>1.0339828366013699</v>
      </c>
      <c r="AL366">
        <v>1.0538014722535201</v>
      </c>
      <c r="AM366">
        <v>1.07191818270051</v>
      </c>
      <c r="AN366">
        <v>1.08975830839221</v>
      </c>
      <c r="AO366">
        <v>1.108976099595</v>
      </c>
      <c r="AP366">
        <v>1.1303508312277499</v>
      </c>
      <c r="AQ366">
        <v>1.1495283090631701</v>
      </c>
      <c r="AR366">
        <v>1.1658047435021699</v>
      </c>
      <c r="AS366">
        <v>1.1784074032449401</v>
      </c>
      <c r="AT366">
        <v>1.18938864766694</v>
      </c>
      <c r="AU366">
        <v>1.19927395274811</v>
      </c>
      <c r="AV366">
        <v>1.20718682408651</v>
      </c>
      <c r="AW366">
        <v>1.21211463663389</v>
      </c>
      <c r="AX366">
        <v>1.2138024229478901</v>
      </c>
      <c r="AY366">
        <v>1.21250853913074</v>
      </c>
      <c r="AZ366">
        <v>1.20846469940706</v>
      </c>
      <c r="BA366">
        <v>0</v>
      </c>
      <c r="BB366">
        <v>0</v>
      </c>
      <c r="BC366">
        <v>0</v>
      </c>
      <c r="BD366">
        <v>0</v>
      </c>
      <c r="BE366">
        <v>0</v>
      </c>
      <c r="BF366">
        <v>0</v>
      </c>
      <c r="BG366">
        <v>0</v>
      </c>
      <c r="BH366">
        <v>0</v>
      </c>
      <c r="BJ366" t="s">
        <v>357</v>
      </c>
      <c r="BL366">
        <v>0.80</v>
      </c>
      <c r="BM366">
        <v>0.79756097560975603</v>
      </c>
      <c r="BN366">
        <v>0.78536585365853595</v>
      </c>
      <c r="BO366">
        <v>0.77317073170731698</v>
      </c>
      <c r="BP366">
        <v>0.76097560975609702</v>
      </c>
      <c r="BQ366">
        <v>0.74878048780487805</v>
      </c>
      <c r="BR366">
        <v>0.73658536585365797</v>
      </c>
      <c r="BS366">
        <v>0.724390243902439</v>
      </c>
      <c r="BT366">
        <v>0.71219512195122003</v>
      </c>
      <c r="BU366">
        <v>0.69999999999999896</v>
      </c>
      <c r="BV366">
        <v>0.687499999999999</v>
      </c>
      <c r="BW366">
        <v>0.675</v>
      </c>
      <c r="BX366">
        <v>0.6625</v>
      </c>
      <c r="BY366">
        <v>0.64999999999999902</v>
      </c>
      <c r="BZ366">
        <v>0.63749999999999896</v>
      </c>
      <c r="CA366">
        <v>0.625</v>
      </c>
      <c r="CB366">
        <v>0.6125</v>
      </c>
      <c r="CC366">
        <v>0.60</v>
      </c>
      <c r="CD366" t="e">
        <v>#VALUE!</v>
      </c>
      <c r="CE366" t="e">
        <v>#VALUE!</v>
      </c>
      <c r="CF366" t="e">
        <v>#VALUE!</v>
      </c>
      <c r="CG366" t="e">
        <v>#VALUE!</v>
      </c>
      <c r="CH366" t="e">
        <v>#VALUE!</v>
      </c>
      <c r="CI366" t="e">
        <v>#VALUE!</v>
      </c>
      <c r="CJ366" t="e">
        <v>#VALUE!</v>
      </c>
      <c r="CK366" t="e">
        <v>#VALUE!</v>
      </c>
    </row>
    <row r="367" spans="1:89" ht="12.5">
      <c r="A367" t="s">
        <v>34</v>
      </c>
      <c r="B367" t="s">
        <v>348</v>
      </c>
      <c r="C367" t="s">
        <v>348</v>
      </c>
      <c r="E367" s="2">
        <v>1.5612086088509001</v>
      </c>
      <c r="F367" s="2">
        <f>E367</f>
        <v>1.5612086088509001</v>
      </c>
      <c r="I367" s="2">
        <f>F367</f>
        <v>1.5612086088509001</v>
      </c>
      <c r="J367" s="2">
        <f>I367</f>
        <v>1.5612086088509001</v>
      </c>
      <c r="L367" s="2">
        <f>J367</f>
        <v>1.5612086088509001</v>
      </c>
      <c r="V367" s="2">
        <f>L367</f>
        <v>1.5612086088509001</v>
      </c>
      <c r="W367">
        <v>5</v>
      </c>
      <c r="AG367" s="130" t="s">
        <v>342</v>
      </c>
      <c r="AI367">
        <v>1</v>
      </c>
      <c r="AJ367">
        <v>1.0101462027550301</v>
      </c>
      <c r="AK367">
        <v>1.1273882138720399</v>
      </c>
      <c r="AL367">
        <v>1.1907158729448599</v>
      </c>
      <c r="AM367">
        <v>1.25597341974685</v>
      </c>
      <c r="AN367">
        <v>1.3157573291348099</v>
      </c>
      <c r="AO367">
        <v>1.3745683052425499</v>
      </c>
      <c r="AP367">
        <v>1.43391013363274</v>
      </c>
      <c r="AQ367">
        <v>1.4945267176710999</v>
      </c>
      <c r="AR367">
        <v>1.55938656911768</v>
      </c>
      <c r="AS367">
        <v>1.62911108696532</v>
      </c>
      <c r="AT367">
        <v>1.70037134803812</v>
      </c>
      <c r="AU367">
        <v>1.7703213449488799</v>
      </c>
      <c r="AV367">
        <v>1.8353640652419201</v>
      </c>
      <c r="AW367">
        <v>1.8935447652283599</v>
      </c>
      <c r="AX367">
        <v>1.9449788475782801</v>
      </c>
      <c r="AY367">
        <v>1.9904474995969801</v>
      </c>
      <c r="AZ367">
        <v>2.0296844074303699</v>
      </c>
      <c r="BA367">
        <v>0</v>
      </c>
      <c r="BB367">
        <v>0</v>
      </c>
      <c r="BC367">
        <v>0</v>
      </c>
      <c r="BD367">
        <v>0</v>
      </c>
      <c r="BE367">
        <v>0</v>
      </c>
      <c r="BF367">
        <v>0</v>
      </c>
      <c r="BG367">
        <v>0</v>
      </c>
      <c r="BH367">
        <v>0</v>
      </c>
      <c r="BJ367" t="s">
        <v>357</v>
      </c>
      <c r="BL367">
        <v>0.80</v>
      </c>
      <c r="BM367">
        <v>0.79756097560975603</v>
      </c>
      <c r="BN367">
        <v>0.78536585365853595</v>
      </c>
      <c r="BO367">
        <v>0.77317073170731698</v>
      </c>
      <c r="BP367">
        <v>0.76097560975609702</v>
      </c>
      <c r="BQ367">
        <v>0.74878048780487805</v>
      </c>
      <c r="BR367">
        <v>0.73658536585365797</v>
      </c>
      <c r="BS367">
        <v>0.724390243902439</v>
      </c>
      <c r="BT367">
        <v>0.71219512195122003</v>
      </c>
      <c r="BU367">
        <v>0.69999999999999896</v>
      </c>
      <c r="BV367">
        <v>0.687499999999999</v>
      </c>
      <c r="BW367">
        <v>0.675</v>
      </c>
      <c r="BX367">
        <v>0.6625</v>
      </c>
      <c r="BY367">
        <v>0.64999999999999902</v>
      </c>
      <c r="BZ367">
        <v>0.63749999999999896</v>
      </c>
      <c r="CA367">
        <v>0.625</v>
      </c>
      <c r="CB367">
        <v>0.6125</v>
      </c>
      <c r="CC367">
        <v>0.60</v>
      </c>
      <c r="CD367" t="e">
        <v>#VALUE!</v>
      </c>
      <c r="CE367" t="e">
        <v>#VALUE!</v>
      </c>
      <c r="CF367" t="e">
        <v>#VALUE!</v>
      </c>
      <c r="CG367" t="e">
        <v>#VALUE!</v>
      </c>
      <c r="CH367" t="e">
        <v>#VALUE!</v>
      </c>
      <c r="CI367" t="e">
        <v>#VALUE!</v>
      </c>
      <c r="CJ367" t="e">
        <v>#VALUE!</v>
      </c>
      <c r="CK367" t="e">
        <v>#VALUE!</v>
      </c>
    </row>
    <row r="368" spans="1:89" ht="12.5">
      <c r="A368" t="s">
        <v>34</v>
      </c>
      <c r="B368" t="s">
        <v>349</v>
      </c>
      <c r="C368" t="s">
        <v>349</v>
      </c>
      <c r="E368" s="2">
        <v>0.112388280015901</v>
      </c>
      <c r="F368" s="2">
        <f>E368</f>
        <v>0.112388280015901</v>
      </c>
      <c r="I368" s="2">
        <f>F368</f>
        <v>0.112388280015901</v>
      </c>
      <c r="J368" s="2">
        <f>I368</f>
        <v>0.112388280015901</v>
      </c>
      <c r="L368" s="2">
        <f>J368</f>
        <v>0.112388280015901</v>
      </c>
      <c r="V368" s="2">
        <f>L368</f>
        <v>0.112388280015901</v>
      </c>
      <c r="W368">
        <v>5</v>
      </c>
      <c r="AG368" s="130" t="s">
        <v>342</v>
      </c>
      <c r="AI368">
        <v>1</v>
      </c>
      <c r="AJ368">
        <v>1.0101462027550301</v>
      </c>
      <c r="AK368">
        <v>1.1273882138720399</v>
      </c>
      <c r="AL368">
        <v>1.1907158729448599</v>
      </c>
      <c r="AM368">
        <v>1.25597341974685</v>
      </c>
      <c r="AN368">
        <v>1.3157573291348099</v>
      </c>
      <c r="AO368">
        <v>1.3745683052425499</v>
      </c>
      <c r="AP368">
        <v>1.43391013363274</v>
      </c>
      <c r="AQ368">
        <v>1.4945267176710999</v>
      </c>
      <c r="AR368">
        <v>1.55938656911768</v>
      </c>
      <c r="AS368">
        <v>1.62911108696532</v>
      </c>
      <c r="AT368">
        <v>1.70037134803812</v>
      </c>
      <c r="AU368">
        <v>1.7703213449488799</v>
      </c>
      <c r="AV368">
        <v>1.8353640652419201</v>
      </c>
      <c r="AW368">
        <v>1.8935447652283599</v>
      </c>
      <c r="AX368">
        <v>1.9449788475782801</v>
      </c>
      <c r="AY368">
        <v>1.9904474995969801</v>
      </c>
      <c r="AZ368">
        <v>2.0296844074303699</v>
      </c>
      <c r="BA368">
        <v>0</v>
      </c>
      <c r="BB368">
        <v>0</v>
      </c>
      <c r="BC368">
        <v>0</v>
      </c>
      <c r="BD368">
        <v>0</v>
      </c>
      <c r="BE368">
        <v>0</v>
      </c>
      <c r="BF368">
        <v>0</v>
      </c>
      <c r="BG368">
        <v>0</v>
      </c>
      <c r="BH368">
        <v>0</v>
      </c>
      <c r="BJ368" t="s">
        <v>357</v>
      </c>
      <c r="BL368">
        <v>0.80</v>
      </c>
      <c r="BM368">
        <v>0.79756097560975603</v>
      </c>
      <c r="BN368">
        <v>0.78536585365853595</v>
      </c>
      <c r="BO368">
        <v>0.77317073170731698</v>
      </c>
      <c r="BP368">
        <v>0.76097560975609702</v>
      </c>
      <c r="BQ368">
        <v>0.74878048780487805</v>
      </c>
      <c r="BR368">
        <v>0.73658536585365797</v>
      </c>
      <c r="BS368">
        <v>0.724390243902439</v>
      </c>
      <c r="BT368">
        <v>0.71219512195122003</v>
      </c>
      <c r="BU368">
        <v>0.69999999999999896</v>
      </c>
      <c r="BV368">
        <v>0.687499999999999</v>
      </c>
      <c r="BW368">
        <v>0.675</v>
      </c>
      <c r="BX368">
        <v>0.6625</v>
      </c>
      <c r="BY368">
        <v>0.64999999999999902</v>
      </c>
      <c r="BZ368">
        <v>0.63749999999999896</v>
      </c>
      <c r="CA368">
        <v>0.625</v>
      </c>
      <c r="CB368">
        <v>0.6125</v>
      </c>
      <c r="CC368">
        <v>0.60</v>
      </c>
      <c r="CD368" t="e">
        <v>#VALUE!</v>
      </c>
      <c r="CE368" t="e">
        <v>#VALUE!</v>
      </c>
      <c r="CF368" t="e">
        <v>#VALUE!</v>
      </c>
      <c r="CG368" t="e">
        <v>#VALUE!</v>
      </c>
      <c r="CH368" t="e">
        <v>#VALUE!</v>
      </c>
      <c r="CI368" t="e">
        <v>#VALUE!</v>
      </c>
      <c r="CJ368" t="e">
        <v>#VALUE!</v>
      </c>
      <c r="CK368" t="e">
        <v>#VALUE!</v>
      </c>
    </row>
    <row r="369" spans="1:89" ht="12.5">
      <c r="A369" t="s">
        <v>34</v>
      </c>
      <c r="B369" t="s">
        <v>350</v>
      </c>
      <c r="C369" t="s">
        <v>350</v>
      </c>
      <c r="D369">
        <v>0.48299999999999998</v>
      </c>
      <c r="E369">
        <v>0.48518182243725999</v>
      </c>
      <c r="F369"/>
      <c r="G369">
        <v>0.49591188113045098</v>
      </c>
      <c r="H369">
        <v>0.503261085804945</v>
      </c>
      <c r="I369">
        <v>0.50984500708742597</v>
      </c>
      <c r="J369">
        <v>0.51619874009741196</v>
      </c>
      <c r="K369">
        <v>0.52290396436604303</v>
      </c>
      <c r="L369">
        <v>0.53020480739944398</v>
      </c>
      <c r="M369">
        <v>0.53661130823880498</v>
      </c>
      <c r="N369">
        <v>0.54192990987413603</v>
      </c>
      <c r="O369">
        <v>0.54595756444402899</v>
      </c>
      <c r="P369">
        <v>0.54939171045653401</v>
      </c>
      <c r="Q369">
        <v>0.55241677240655096</v>
      </c>
      <c r="R369">
        <v>0.55478594072116905</v>
      </c>
      <c r="S369">
        <v>0.556229668551109</v>
      </c>
      <c r="T369">
        <v>0.55671373828843396</v>
      </c>
      <c r="U369">
        <v>0.55635025427660301</v>
      </c>
      <c r="V369">
        <v>0.55523696334994099</v>
      </c>
      <c r="W369">
        <v>5</v>
      </c>
      <c r="AG369" s="130" t="s">
        <v>347</v>
      </c>
      <c r="AI369">
        <v>1</v>
      </c>
      <c r="AJ369">
        <v>1.0056638061002301</v>
      </c>
      <c r="AK369">
        <v>1.0339828366013699</v>
      </c>
      <c r="AL369">
        <v>1.0538014722535201</v>
      </c>
      <c r="AM369">
        <v>1.07191818270051</v>
      </c>
      <c r="AN369">
        <v>1.08975830839221</v>
      </c>
      <c r="AO369">
        <v>1.108976099595</v>
      </c>
      <c r="AP369">
        <v>1.1303508312277499</v>
      </c>
      <c r="AQ369">
        <v>1.1495283090631701</v>
      </c>
      <c r="AR369">
        <v>1.1658047435021699</v>
      </c>
      <c r="AS369">
        <v>1.1784074032449401</v>
      </c>
      <c r="AT369">
        <v>1.18938864766694</v>
      </c>
      <c r="AU369">
        <v>1.19927395274811</v>
      </c>
      <c r="AV369">
        <v>1.20718682408651</v>
      </c>
      <c r="AW369">
        <v>1.21211463663389</v>
      </c>
      <c r="AX369">
        <v>1.2138024229478901</v>
      </c>
      <c r="AY369">
        <v>1.21250853913074</v>
      </c>
      <c r="AZ369">
        <v>1.20846469940706</v>
      </c>
      <c r="BA369">
        <v>0</v>
      </c>
      <c r="BB369">
        <v>0</v>
      </c>
      <c r="BC369">
        <v>0</v>
      </c>
      <c r="BD369">
        <v>0</v>
      </c>
      <c r="BE369">
        <v>0</v>
      </c>
      <c r="BF369">
        <v>0</v>
      </c>
      <c r="BG369">
        <v>0</v>
      </c>
      <c r="BH369">
        <v>0</v>
      </c>
      <c r="BJ369" t="s">
        <v>357</v>
      </c>
      <c r="BL369">
        <v>0.80</v>
      </c>
      <c r="BM369">
        <v>0.79756097560975603</v>
      </c>
      <c r="BN369">
        <v>0.78536585365853595</v>
      </c>
      <c r="BO369">
        <v>0.77317073170731698</v>
      </c>
      <c r="BP369">
        <v>0.76097560975609702</v>
      </c>
      <c r="BQ369">
        <v>0.74878048780487805</v>
      </c>
      <c r="BR369">
        <v>0.73658536585365797</v>
      </c>
      <c r="BS369">
        <v>0.724390243902439</v>
      </c>
      <c r="BT369">
        <v>0.71219512195122003</v>
      </c>
      <c r="BU369">
        <v>0.69999999999999896</v>
      </c>
      <c r="BV369">
        <v>0.687499999999999</v>
      </c>
      <c r="BW369">
        <v>0.675</v>
      </c>
      <c r="BX369">
        <v>0.6625</v>
      </c>
      <c r="BY369">
        <v>0.64999999999999902</v>
      </c>
      <c r="BZ369">
        <v>0.63749999999999896</v>
      </c>
      <c r="CA369">
        <v>0.625</v>
      </c>
      <c r="CB369">
        <v>0.6125</v>
      </c>
      <c r="CC369">
        <v>0.60</v>
      </c>
      <c r="CD369" t="e">
        <v>#VALUE!</v>
      </c>
      <c r="CE369" t="e">
        <v>#VALUE!</v>
      </c>
      <c r="CF369" t="e">
        <v>#VALUE!</v>
      </c>
      <c r="CG369" t="e">
        <v>#VALUE!</v>
      </c>
      <c r="CH369" t="e">
        <v>#VALUE!</v>
      </c>
      <c r="CI369" t="e">
        <v>#VALUE!</v>
      </c>
      <c r="CJ369" t="e">
        <v>#VALUE!</v>
      </c>
      <c r="CK369" t="e">
        <v>#VALUE!</v>
      </c>
    </row>
    <row r="370" spans="1:89" ht="12.5">
      <c r="A370" t="s">
        <v>34</v>
      </c>
      <c r="B370" t="s">
        <v>351</v>
      </c>
      <c r="C370" t="s">
        <v>351</v>
      </c>
      <c r="D370">
        <v>0.285</v>
      </c>
      <c r="E370">
        <v>0.28628741075490499</v>
      </c>
      <c r="F370"/>
      <c r="G370">
        <v>0.29261881184715999</v>
      </c>
      <c r="H370">
        <v>0.296955299077452</v>
      </c>
      <c r="I370">
        <v>0.30084022157332602</v>
      </c>
      <c r="J370">
        <v>0.30458931869102002</v>
      </c>
      <c r="K370">
        <v>0.30854581748306897</v>
      </c>
      <c r="L370">
        <v>0.31285376834128698</v>
      </c>
      <c r="M370">
        <v>0.31663400175581702</v>
      </c>
      <c r="N370">
        <v>0.319772307068589</v>
      </c>
      <c r="O370">
        <v>0.322148873429706</v>
      </c>
      <c r="P370">
        <v>0.32417523287807898</v>
      </c>
      <c r="Q370">
        <v>0.32596020732063602</v>
      </c>
      <c r="R370">
        <v>0.327358163779572</v>
      </c>
      <c r="S370">
        <v>0.32821005287177202</v>
      </c>
      <c r="T370">
        <v>0.32849568408323698</v>
      </c>
      <c r="U370">
        <v>0.32828120593961002</v>
      </c>
      <c r="V370">
        <v>0.32762429514437502</v>
      </c>
      <c r="W370">
        <v>5</v>
      </c>
      <c r="AG370" s="130" t="s">
        <v>347</v>
      </c>
      <c r="AI370">
        <v>1</v>
      </c>
      <c r="AJ370">
        <v>1.0056638061002301</v>
      </c>
      <c r="AK370">
        <v>1.0339828366013699</v>
      </c>
      <c r="AL370">
        <v>1.0538014722535201</v>
      </c>
      <c r="AM370">
        <v>1.07191818270051</v>
      </c>
      <c r="AN370">
        <v>1.08975830839221</v>
      </c>
      <c r="AO370">
        <v>1.108976099595</v>
      </c>
      <c r="AP370">
        <v>1.1303508312277499</v>
      </c>
      <c r="AQ370">
        <v>1.1495283090631701</v>
      </c>
      <c r="AR370">
        <v>1.1658047435021699</v>
      </c>
      <c r="AS370">
        <v>1.1784074032449401</v>
      </c>
      <c r="AT370">
        <v>1.18938864766694</v>
      </c>
      <c r="AU370">
        <v>1.19927395274811</v>
      </c>
      <c r="AV370">
        <v>1.20718682408651</v>
      </c>
      <c r="AW370">
        <v>1.21211463663389</v>
      </c>
      <c r="AX370">
        <v>1.2138024229478901</v>
      </c>
      <c r="AY370">
        <v>1.21250853913074</v>
      </c>
      <c r="AZ370">
        <v>1.20846469940706</v>
      </c>
      <c r="BA370">
        <v>0</v>
      </c>
      <c r="BB370">
        <v>0</v>
      </c>
      <c r="BC370">
        <v>0</v>
      </c>
      <c r="BD370">
        <v>0</v>
      </c>
      <c r="BE370">
        <v>0</v>
      </c>
      <c r="BF370">
        <v>0</v>
      </c>
      <c r="BG370">
        <v>0</v>
      </c>
      <c r="BH370">
        <v>0</v>
      </c>
      <c r="BJ370" t="s">
        <v>357</v>
      </c>
      <c r="BL370">
        <v>0.80</v>
      </c>
      <c r="BM370">
        <v>0.79756097560975603</v>
      </c>
      <c r="BN370">
        <v>0.78536585365853595</v>
      </c>
      <c r="BO370">
        <v>0.77317073170731698</v>
      </c>
      <c r="BP370">
        <v>0.76097560975609702</v>
      </c>
      <c r="BQ370">
        <v>0.74878048780487805</v>
      </c>
      <c r="BR370">
        <v>0.73658536585365797</v>
      </c>
      <c r="BS370">
        <v>0.724390243902439</v>
      </c>
      <c r="BT370">
        <v>0.71219512195122003</v>
      </c>
      <c r="BU370">
        <v>0.69999999999999896</v>
      </c>
      <c r="BV370">
        <v>0.687499999999999</v>
      </c>
      <c r="BW370">
        <v>0.675</v>
      </c>
      <c r="BX370">
        <v>0.6625</v>
      </c>
      <c r="BY370">
        <v>0.64999999999999902</v>
      </c>
      <c r="BZ370">
        <v>0.63749999999999896</v>
      </c>
      <c r="CA370">
        <v>0.625</v>
      </c>
      <c r="CB370">
        <v>0.6125</v>
      </c>
      <c r="CC370">
        <v>0.60</v>
      </c>
      <c r="CD370" t="e">
        <v>#VALUE!</v>
      </c>
      <c r="CE370" t="e">
        <v>#VALUE!</v>
      </c>
      <c r="CF370" t="e">
        <v>#VALUE!</v>
      </c>
      <c r="CG370" t="e">
        <v>#VALUE!</v>
      </c>
      <c r="CH370" t="e">
        <v>#VALUE!</v>
      </c>
      <c r="CI370" t="e">
        <v>#VALUE!</v>
      </c>
      <c r="CJ370" t="e">
        <v>#VALUE!</v>
      </c>
      <c r="CK370" t="e">
        <v>#VALUE!</v>
      </c>
    </row>
    <row r="371" spans="1:89" ht="12.5">
      <c r="A371" t="s">
        <v>34</v>
      </c>
      <c r="B371" t="s">
        <v>352</v>
      </c>
      <c r="C371" t="s">
        <v>352</v>
      </c>
      <c r="D371">
        <v>0.35</v>
      </c>
      <c r="E371">
        <v>0.35158103075163699</v>
      </c>
      <c r="F371"/>
      <c r="G371">
        <v>0.35935643560177599</v>
      </c>
      <c r="H371">
        <v>0.36468194623546701</v>
      </c>
      <c r="I371">
        <v>0.36945290368654099</v>
      </c>
      <c r="J371">
        <v>0.374057058041603</v>
      </c>
      <c r="K371">
        <v>0.37891591620727799</v>
      </c>
      <c r="L371">
        <v>0.38420638217351</v>
      </c>
      <c r="M371">
        <v>0.38884877408609098</v>
      </c>
      <c r="N371">
        <v>0.39270283324212701</v>
      </c>
      <c r="O371">
        <v>0.39562142351016599</v>
      </c>
      <c r="P371">
        <v>0.39810993511343001</v>
      </c>
      <c r="Q371">
        <v>0.40030200899025498</v>
      </c>
      <c r="R371">
        <v>0.40201879762403597</v>
      </c>
      <c r="S371">
        <v>0.40306497721094803</v>
      </c>
      <c r="T371">
        <v>0.40341575238292299</v>
      </c>
      <c r="U371">
        <v>0.40315235817145101</v>
      </c>
      <c r="V371">
        <v>0.40234562561589898</v>
      </c>
      <c r="W371">
        <v>5</v>
      </c>
      <c r="AG371" s="130" t="s">
        <v>347</v>
      </c>
      <c r="AI371">
        <v>1</v>
      </c>
      <c r="AJ371">
        <v>1.0056638061002301</v>
      </c>
      <c r="AK371">
        <v>1.0339828366013699</v>
      </c>
      <c r="AL371">
        <v>1.0538014722535201</v>
      </c>
      <c r="AM371">
        <v>1.07191818270051</v>
      </c>
      <c r="AN371">
        <v>1.08975830839221</v>
      </c>
      <c r="AO371">
        <v>1.108976099595</v>
      </c>
      <c r="AP371">
        <v>1.1303508312277499</v>
      </c>
      <c r="AQ371">
        <v>1.1495283090631701</v>
      </c>
      <c r="AR371">
        <v>1.1658047435021699</v>
      </c>
      <c r="AS371">
        <v>1.1784074032449401</v>
      </c>
      <c r="AT371">
        <v>1.18938864766694</v>
      </c>
      <c r="AU371">
        <v>1.19927395274811</v>
      </c>
      <c r="AV371">
        <v>1.20718682408651</v>
      </c>
      <c r="AW371">
        <v>1.21211463663389</v>
      </c>
      <c r="AX371">
        <v>1.2138024229478901</v>
      </c>
      <c r="AY371">
        <v>1.21250853913074</v>
      </c>
      <c r="AZ371">
        <v>1.20846469940706</v>
      </c>
      <c r="BA371">
        <v>0</v>
      </c>
      <c r="BB371">
        <v>0</v>
      </c>
      <c r="BC371">
        <v>0</v>
      </c>
      <c r="BD371">
        <v>0</v>
      </c>
      <c r="BE371">
        <v>0</v>
      </c>
      <c r="BF371">
        <v>0</v>
      </c>
      <c r="BG371">
        <v>0</v>
      </c>
      <c r="BH371">
        <v>0</v>
      </c>
      <c r="BJ371" t="s">
        <v>357</v>
      </c>
      <c r="BL371">
        <v>0.80</v>
      </c>
      <c r="BM371">
        <v>0.79756097560975603</v>
      </c>
      <c r="BN371">
        <v>0.78536585365853595</v>
      </c>
      <c r="BO371">
        <v>0.77317073170731698</v>
      </c>
      <c r="BP371">
        <v>0.76097560975609702</v>
      </c>
      <c r="BQ371">
        <v>0.74878048780487805</v>
      </c>
      <c r="BR371">
        <v>0.73658536585365797</v>
      </c>
      <c r="BS371">
        <v>0.724390243902439</v>
      </c>
      <c r="BT371">
        <v>0.71219512195122003</v>
      </c>
      <c r="BU371">
        <v>0.69999999999999896</v>
      </c>
      <c r="BV371">
        <v>0.687499999999999</v>
      </c>
      <c r="BW371">
        <v>0.675</v>
      </c>
      <c r="BX371">
        <v>0.6625</v>
      </c>
      <c r="BY371">
        <v>0.64999999999999902</v>
      </c>
      <c r="BZ371">
        <v>0.63749999999999896</v>
      </c>
      <c r="CA371">
        <v>0.625</v>
      </c>
      <c r="CB371">
        <v>0.6125</v>
      </c>
      <c r="CC371">
        <v>0.60</v>
      </c>
      <c r="CD371" t="e">
        <v>#VALUE!</v>
      </c>
      <c r="CE371" t="e">
        <v>#VALUE!</v>
      </c>
      <c r="CF371" t="e">
        <v>#VALUE!</v>
      </c>
      <c r="CG371" t="e">
        <v>#VALUE!</v>
      </c>
      <c r="CH371" t="e">
        <v>#VALUE!</v>
      </c>
      <c r="CI371" t="e">
        <v>#VALUE!</v>
      </c>
      <c r="CJ371" t="e">
        <v>#VALUE!</v>
      </c>
      <c r="CK371" t="e">
        <v>#VALUE!</v>
      </c>
    </row>
    <row r="372" spans="1:89" ht="12.5">
      <c r="A372" t="s">
        <v>34</v>
      </c>
      <c r="B372" t="s">
        <v>353</v>
      </c>
      <c r="C372" t="s">
        <v>353</v>
      </c>
      <c r="D372">
        <v>57.564</v>
      </c>
      <c r="E372">
        <v>57.768631423634197</v>
      </c>
      <c r="F372"/>
      <c r="G372">
        <v>61.6476017768071</v>
      </c>
      <c r="H372">
        <v>63.378228328649101</v>
      </c>
      <c r="I372">
        <v>65.161642328328696</v>
      </c>
      <c r="J372">
        <v>66.647337118263906</v>
      </c>
      <c r="K372">
        <v>67.952853013152804</v>
      </c>
      <c r="L372">
        <v>69.106921943561701</v>
      </c>
      <c r="M372">
        <v>70.331725403431307</v>
      </c>
      <c r="N372">
        <v>71.751129539404403</v>
      </c>
      <c r="O372">
        <v>73.405618130063303</v>
      </c>
      <c r="P372">
        <v>75.095493175946999</v>
      </c>
      <c r="Q372">
        <v>76.715190942030304</v>
      </c>
      <c r="R372">
        <v>78.208394554054905</v>
      </c>
      <c r="S372">
        <v>79.579758308336906</v>
      </c>
      <c r="T372">
        <v>80.859728607479695</v>
      </c>
      <c r="U372">
        <v>82.071619981266196</v>
      </c>
      <c r="V372">
        <v>83.210355435126601</v>
      </c>
      <c r="W372">
        <v>5</v>
      </c>
      <c r="AG372" s="130" t="s">
        <v>354</v>
      </c>
      <c r="AI372">
        <v>1</v>
      </c>
      <c r="AJ372">
        <v>1.0044571522089401</v>
      </c>
      <c r="AK372">
        <v>1.0903355200534</v>
      </c>
      <c r="AL372">
        <v>1.1299242829852401</v>
      </c>
      <c r="AM372">
        <v>1.1717064231363701</v>
      </c>
      <c r="AN372">
        <v>1.2073845356371</v>
      </c>
      <c r="AO372">
        <v>1.2394931736982799</v>
      </c>
      <c r="AP372">
        <v>1.26855317306687</v>
      </c>
      <c r="AQ372">
        <v>1.30012171591415</v>
      </c>
      <c r="AR372">
        <v>1.3376052703587</v>
      </c>
      <c r="AS372">
        <v>1.38246847607992</v>
      </c>
      <c r="AT372">
        <v>1.4296179397487101</v>
      </c>
      <c r="AU372">
        <v>1.4761609229419399</v>
      </c>
      <c r="AV372">
        <v>1.5203645604985401</v>
      </c>
      <c r="AW372">
        <v>1.56218290580736</v>
      </c>
      <c r="AX372">
        <v>1.6023850429088999</v>
      </c>
      <c r="AY372">
        <v>1.6415946241697901</v>
      </c>
      <c r="AZ372">
        <v>1.67955622404714</v>
      </c>
      <c r="BA372">
        <v>0</v>
      </c>
      <c r="BB372">
        <v>0</v>
      </c>
      <c r="BC372">
        <v>0</v>
      </c>
      <c r="BD372">
        <v>0</v>
      </c>
      <c r="BE372">
        <v>0</v>
      </c>
      <c r="BF372">
        <v>0</v>
      </c>
      <c r="BG372">
        <v>0</v>
      </c>
      <c r="BH372">
        <v>0</v>
      </c>
      <c r="BJ372" t="s">
        <v>357</v>
      </c>
      <c r="BL372">
        <v>0.80</v>
      </c>
      <c r="BM372">
        <v>0.79756097560975603</v>
      </c>
      <c r="BN372">
        <v>0.78536585365853595</v>
      </c>
      <c r="BO372">
        <v>0.77317073170731698</v>
      </c>
      <c r="BP372">
        <v>0.76097560975609702</v>
      </c>
      <c r="BQ372">
        <v>0.74878048780487805</v>
      </c>
      <c r="BR372">
        <v>0.73658536585365797</v>
      </c>
      <c r="BS372">
        <v>0.724390243902439</v>
      </c>
      <c r="BT372">
        <v>0.71219512195122003</v>
      </c>
      <c r="BU372">
        <v>0.69999999999999896</v>
      </c>
      <c r="BV372">
        <v>0.687499999999999</v>
      </c>
      <c r="BW372">
        <v>0.675</v>
      </c>
      <c r="BX372">
        <v>0.6625</v>
      </c>
      <c r="BY372">
        <v>0.64999999999999902</v>
      </c>
      <c r="BZ372">
        <v>0.63749999999999896</v>
      </c>
      <c r="CA372">
        <v>0.625</v>
      </c>
      <c r="CB372">
        <v>0.6125</v>
      </c>
      <c r="CC372">
        <v>0.60</v>
      </c>
      <c r="CD372" t="e">
        <v>#VALUE!</v>
      </c>
      <c r="CE372" t="e">
        <v>#VALUE!</v>
      </c>
      <c r="CF372" t="e">
        <v>#VALUE!</v>
      </c>
      <c r="CG372" t="e">
        <v>#VALUE!</v>
      </c>
      <c r="CH372" t="e">
        <v>#VALUE!</v>
      </c>
      <c r="CI372" t="e">
        <v>#VALUE!</v>
      </c>
      <c r="CJ372" t="e">
        <v>#VALUE!</v>
      </c>
      <c r="CK372" t="e">
        <v>#VALUE!</v>
      </c>
    </row>
    <row r="373" spans="1:89" ht="12.5">
      <c r="A373" t="s">
        <v>34</v>
      </c>
      <c r="B373" t="s">
        <v>355</v>
      </c>
      <c r="C373" t="s">
        <v>355</v>
      </c>
      <c r="D373">
        <v>10.80</v>
      </c>
      <c r="E373">
        <v>10.887395925974801</v>
      </c>
      <c r="F373"/>
      <c r="G373">
        <v>11.8798148919975</v>
      </c>
      <c r="H373">
        <v>12.3957618110037</v>
      </c>
      <c r="I373">
        <v>12.912733261768199</v>
      </c>
      <c r="J373">
        <v>13.372964996019</v>
      </c>
      <c r="K373">
        <v>13.8132494830826</v>
      </c>
      <c r="L373">
        <v>14.245228892024</v>
      </c>
      <c r="M373">
        <v>14.674111022210599</v>
      </c>
      <c r="N373">
        <v>15.119892589599401</v>
      </c>
      <c r="O373">
        <v>15.584678697545399</v>
      </c>
      <c r="P373">
        <v>16.0448275419587</v>
      </c>
      <c r="Q373">
        <v>16.4821128210633</v>
      </c>
      <c r="R373">
        <v>16.875728899368099</v>
      </c>
      <c r="S373">
        <v>17.216764287631001</v>
      </c>
      <c r="T373">
        <v>17.5090495851687</v>
      </c>
      <c r="U373">
        <v>17.759756240051601</v>
      </c>
      <c r="V373">
        <v>17.969810889232399</v>
      </c>
      <c r="W373">
        <v>5</v>
      </c>
      <c r="AG373" s="130" t="s">
        <v>342</v>
      </c>
      <c r="AI373">
        <v>1</v>
      </c>
      <c r="AJ373">
        <v>1.0101462027550301</v>
      </c>
      <c r="AK373">
        <v>1.1273882138720399</v>
      </c>
      <c r="AL373">
        <v>1.1907158729448599</v>
      </c>
      <c r="AM373">
        <v>1.25597341974685</v>
      </c>
      <c r="AN373">
        <v>1.3157573291348099</v>
      </c>
      <c r="AO373">
        <v>1.3745683052425499</v>
      </c>
      <c r="AP373">
        <v>1.43391013363274</v>
      </c>
      <c r="AQ373">
        <v>1.4945267176710999</v>
      </c>
      <c r="AR373">
        <v>1.55938656911768</v>
      </c>
      <c r="AS373">
        <v>1.62911108696532</v>
      </c>
      <c r="AT373">
        <v>1.70037134803812</v>
      </c>
      <c r="AU373">
        <v>1.7703213449488799</v>
      </c>
      <c r="AV373">
        <v>1.8353640652419201</v>
      </c>
      <c r="AW373">
        <v>1.8935447652283599</v>
      </c>
      <c r="AX373">
        <v>1.9449788475782801</v>
      </c>
      <c r="AY373">
        <v>1.9904474995969801</v>
      </c>
      <c r="AZ373">
        <v>2.0296844074303699</v>
      </c>
      <c r="BA373">
        <v>0</v>
      </c>
      <c r="BB373">
        <v>0</v>
      </c>
      <c r="BC373">
        <v>0</v>
      </c>
      <c r="BD373">
        <v>0</v>
      </c>
      <c r="BE373">
        <v>0</v>
      </c>
      <c r="BF373">
        <v>0</v>
      </c>
      <c r="BG373">
        <v>0</v>
      </c>
      <c r="BH373">
        <v>0</v>
      </c>
      <c r="BJ373" t="s">
        <v>357</v>
      </c>
      <c r="BL373">
        <v>0.80</v>
      </c>
      <c r="BM373">
        <v>0.79756097560975603</v>
      </c>
      <c r="BN373">
        <v>0.78536585365853595</v>
      </c>
      <c r="BO373">
        <v>0.77317073170731698</v>
      </c>
      <c r="BP373">
        <v>0.76097560975609702</v>
      </c>
      <c r="BQ373">
        <v>0.74878048780487805</v>
      </c>
      <c r="BR373">
        <v>0.73658536585365797</v>
      </c>
      <c r="BS373">
        <v>0.724390243902439</v>
      </c>
      <c r="BT373">
        <v>0.71219512195122003</v>
      </c>
      <c r="BU373">
        <v>0.69999999999999896</v>
      </c>
      <c r="BV373">
        <v>0.687499999999999</v>
      </c>
      <c r="BW373">
        <v>0.675</v>
      </c>
      <c r="BX373">
        <v>0.6625</v>
      </c>
      <c r="BY373">
        <v>0.64999999999999902</v>
      </c>
      <c r="BZ373">
        <v>0.63749999999999896</v>
      </c>
      <c r="CA373">
        <v>0.625</v>
      </c>
      <c r="CB373">
        <v>0.6125</v>
      </c>
      <c r="CC373">
        <v>0.60</v>
      </c>
      <c r="CD373" t="e">
        <v>#VALUE!</v>
      </c>
      <c r="CE373" t="e">
        <v>#VALUE!</v>
      </c>
      <c r="CF373" t="e">
        <v>#VALUE!</v>
      </c>
      <c r="CG373" t="e">
        <v>#VALUE!</v>
      </c>
      <c r="CH373" t="e">
        <v>#VALUE!</v>
      </c>
      <c r="CI373" t="e">
        <v>#VALUE!</v>
      </c>
      <c r="CJ373" t="e">
        <v>#VALUE!</v>
      </c>
      <c r="CK373" t="e">
        <v>#VALUE!</v>
      </c>
    </row>
    <row r="374" spans="1:89" ht="12.5">
      <c r="A374" t="s">
        <v>34</v>
      </c>
      <c r="B374" t="s">
        <v>356</v>
      </c>
      <c r="C374" t="s">
        <v>356</v>
      </c>
      <c r="D374">
        <v>6.56</v>
      </c>
      <c r="E374">
        <v>6.6130849328143197</v>
      </c>
      <c r="F374"/>
      <c r="G374">
        <v>7.2158875640281197</v>
      </c>
      <c r="H374">
        <v>7.5292775444615101</v>
      </c>
      <c r="I374">
        <v>7.8432898330740297</v>
      </c>
      <c r="J374">
        <v>8.1228379975819305</v>
      </c>
      <c r="K374">
        <v>8.3902700563909303</v>
      </c>
      <c r="L374">
        <v>8.6526575492293993</v>
      </c>
      <c r="M374">
        <v>8.9131637320093908</v>
      </c>
      <c r="N374">
        <v>9.1839347581270196</v>
      </c>
      <c r="O374">
        <v>9.4662492829535196</v>
      </c>
      <c r="P374">
        <v>9.7457470995600701</v>
      </c>
      <c r="Q374">
        <v>10.011357417238401</v>
      </c>
      <c r="R374">
        <v>10.250442738875501</v>
      </c>
      <c r="S374">
        <v>10.4575901598944</v>
      </c>
      <c r="T374">
        <v>10.635126414695099</v>
      </c>
      <c r="U374">
        <v>10.7874074939572</v>
      </c>
      <c r="V374">
        <v>10.91499624383</v>
      </c>
      <c r="W374">
        <v>5</v>
      </c>
      <c r="AG374" s="130" t="s">
        <v>342</v>
      </c>
      <c r="AI374">
        <v>1</v>
      </c>
      <c r="AJ374">
        <v>1.0101462027550301</v>
      </c>
      <c r="AK374">
        <v>1.1273882138720399</v>
      </c>
      <c r="AL374">
        <v>1.1907158729448599</v>
      </c>
      <c r="AM374">
        <v>1.25597341974685</v>
      </c>
      <c r="AN374">
        <v>1.3157573291348099</v>
      </c>
      <c r="AO374">
        <v>1.3745683052425499</v>
      </c>
      <c r="AP374">
        <v>1.43391013363274</v>
      </c>
      <c r="AQ374">
        <v>1.4945267176710999</v>
      </c>
      <c r="AR374">
        <v>1.55938656911768</v>
      </c>
      <c r="AS374">
        <v>1.62911108696532</v>
      </c>
      <c r="AT374">
        <v>1.70037134803812</v>
      </c>
      <c r="AU374">
        <v>1.7703213449488799</v>
      </c>
      <c r="AV374">
        <v>1.8353640652419201</v>
      </c>
      <c r="AW374">
        <v>1.8935447652283599</v>
      </c>
      <c r="AX374">
        <v>1.9449788475782801</v>
      </c>
      <c r="AY374">
        <v>1.9904474995969801</v>
      </c>
      <c r="AZ374">
        <v>2.0296844074303699</v>
      </c>
      <c r="BA374">
        <v>0</v>
      </c>
      <c r="BB374">
        <v>0</v>
      </c>
      <c r="BC374">
        <v>0</v>
      </c>
      <c r="BD374">
        <v>0</v>
      </c>
      <c r="BE374">
        <v>0</v>
      </c>
      <c r="BF374">
        <v>0</v>
      </c>
      <c r="BG374">
        <v>0</v>
      </c>
      <c r="BH374">
        <v>0</v>
      </c>
      <c r="BJ374" t="s">
        <v>357</v>
      </c>
      <c r="BL374">
        <v>0.80</v>
      </c>
      <c r="BM374">
        <v>0.79756097560975603</v>
      </c>
      <c r="BN374">
        <v>0.78536585365853595</v>
      </c>
      <c r="BO374">
        <v>0.77317073170731698</v>
      </c>
      <c r="BP374">
        <v>0.76097560975609702</v>
      </c>
      <c r="BQ374">
        <v>0.74878048780487805</v>
      </c>
      <c r="BR374">
        <v>0.73658536585365797</v>
      </c>
      <c r="BS374">
        <v>0.724390243902439</v>
      </c>
      <c r="BT374">
        <v>0.71219512195122003</v>
      </c>
      <c r="BU374">
        <v>0.69999999999999896</v>
      </c>
      <c r="BV374">
        <v>0.687499999999999</v>
      </c>
      <c r="BW374">
        <v>0.675</v>
      </c>
      <c r="BX374">
        <v>0.6625</v>
      </c>
      <c r="BY374">
        <v>0.64999999999999902</v>
      </c>
      <c r="BZ374">
        <v>0.63749999999999896</v>
      </c>
      <c r="CA374">
        <v>0.625</v>
      </c>
      <c r="CB374">
        <v>0.6125</v>
      </c>
      <c r="CC374">
        <v>0.60</v>
      </c>
      <c r="CD374" t="e">
        <v>#VALUE!</v>
      </c>
      <c r="CE374" t="e">
        <v>#VALUE!</v>
      </c>
      <c r="CF374" t="e">
        <v>#VALUE!</v>
      </c>
      <c r="CG374" t="e">
        <v>#VALUE!</v>
      </c>
      <c r="CH374" t="e">
        <v>#VALUE!</v>
      </c>
      <c r="CI374" t="e">
        <v>#VALUE!</v>
      </c>
      <c r="CJ374" t="e">
        <v>#VALUE!</v>
      </c>
      <c r="CK374" t="e">
        <v>#VALUE!</v>
      </c>
    </row>
    <row r="375" spans="1:89" ht="12.5">
      <c r="A375" t="s">
        <v>35</v>
      </c>
      <c r="B375" t="s">
        <v>341</v>
      </c>
      <c r="C375" t="s">
        <v>341</v>
      </c>
      <c r="E375" s="2">
        <v>51.674267790074197</v>
      </c>
      <c r="F375" s="2">
        <f>E375</f>
        <v>51.674267790074197</v>
      </c>
      <c r="I375" s="2">
        <f>F375</f>
        <v>51.674267790074197</v>
      </c>
      <c r="J375" s="2">
        <f>I375</f>
        <v>51.674267790074197</v>
      </c>
      <c r="L375" s="2">
        <f>J375</f>
        <v>51.674267790074197</v>
      </c>
      <c r="V375" s="2">
        <f>L375</f>
        <v>51.674267790074197</v>
      </c>
      <c r="W375">
        <v>5</v>
      </c>
      <c r="AG375" s="130" t="s">
        <v>342</v>
      </c>
      <c r="AI375">
        <v>1</v>
      </c>
      <c r="AJ375">
        <v>1.0307065500364501</v>
      </c>
      <c r="AK375">
        <v>1.3442847721198199</v>
      </c>
      <c r="AL375">
        <v>1.6265273004963701</v>
      </c>
      <c r="AM375">
        <v>1.90676524697143</v>
      </c>
      <c r="AN375">
        <v>2.16523048352945</v>
      </c>
      <c r="AO375">
        <v>2.4102146898538699</v>
      </c>
      <c r="AP375">
        <v>2.6374223332986202</v>
      </c>
      <c r="AQ375">
        <v>2.85196032489847</v>
      </c>
      <c r="AR375">
        <v>3.05092592592593</v>
      </c>
      <c r="AS375">
        <v>3.2247952028879898</v>
      </c>
      <c r="AT375">
        <v>3.36675170953521</v>
      </c>
      <c r="AU375">
        <v>3.48119945156028</v>
      </c>
      <c r="AV375">
        <v>3.5717397341108699</v>
      </c>
      <c r="AW375">
        <v>3.6457183519039198</v>
      </c>
      <c r="AX375">
        <v>3.70923582908119</v>
      </c>
      <c r="AY375">
        <v>3.7652599881981299</v>
      </c>
      <c r="AZ375">
        <v>3.8141292651601901</v>
      </c>
      <c r="BA375">
        <v>0</v>
      </c>
      <c r="BB375">
        <v>0</v>
      </c>
      <c r="BC375">
        <v>0</v>
      </c>
      <c r="BD375">
        <v>0</v>
      </c>
      <c r="BE375">
        <v>0</v>
      </c>
      <c r="BF375">
        <v>0</v>
      </c>
      <c r="BG375">
        <v>0</v>
      </c>
      <c r="BH375">
        <v>0</v>
      </c>
      <c r="BJ375" t="s">
        <v>357</v>
      </c>
      <c r="BL375">
        <v>0.80</v>
      </c>
      <c r="BM375">
        <v>0.79756097560975603</v>
      </c>
      <c r="BN375">
        <v>0.78536585365853595</v>
      </c>
      <c r="BO375">
        <v>0.77317073170731698</v>
      </c>
      <c r="BP375">
        <v>0.76097560975609702</v>
      </c>
      <c r="BQ375">
        <v>0.74878048780487805</v>
      </c>
      <c r="BR375">
        <v>0.73658536585365797</v>
      </c>
      <c r="BS375">
        <v>0.724390243902439</v>
      </c>
      <c r="BT375">
        <v>0.71219512195122003</v>
      </c>
      <c r="BU375">
        <v>0.69999999999999896</v>
      </c>
      <c r="BV375">
        <v>0.687499999999999</v>
      </c>
      <c r="BW375">
        <v>0.675</v>
      </c>
      <c r="BX375">
        <v>0.6625</v>
      </c>
      <c r="BY375">
        <v>0.64999999999999902</v>
      </c>
      <c r="BZ375">
        <v>0.63749999999999896</v>
      </c>
      <c r="CA375">
        <v>0.625</v>
      </c>
      <c r="CB375">
        <v>0.6125</v>
      </c>
      <c r="CC375">
        <v>0.60</v>
      </c>
      <c r="CD375" t="e">
        <v>#VALUE!</v>
      </c>
      <c r="CE375" t="e">
        <v>#VALUE!</v>
      </c>
      <c r="CF375" t="e">
        <v>#VALUE!</v>
      </c>
      <c r="CG375" t="e">
        <v>#VALUE!</v>
      </c>
      <c r="CH375" t="e">
        <v>#VALUE!</v>
      </c>
      <c r="CI375" t="e">
        <v>#VALUE!</v>
      </c>
      <c r="CJ375" t="e">
        <v>#VALUE!</v>
      </c>
      <c r="CK375" t="e">
        <v>#VALUE!</v>
      </c>
    </row>
    <row r="376" spans="1:89" ht="12.5">
      <c r="A376" t="s">
        <v>35</v>
      </c>
      <c r="B376" t="s">
        <v>344</v>
      </c>
      <c r="C376" t="s">
        <v>344</v>
      </c>
      <c r="E376" s="2">
        <v>188.94368028202399</v>
      </c>
      <c r="F376" s="2">
        <f>E376</f>
        <v>188.94368028202399</v>
      </c>
      <c r="I376" s="2">
        <f>F376</f>
        <v>188.94368028202399</v>
      </c>
      <c r="J376" s="2">
        <f>I376</f>
        <v>188.94368028202399</v>
      </c>
      <c r="L376" s="2">
        <f>J376</f>
        <v>188.94368028202399</v>
      </c>
      <c r="V376" s="2">
        <f>L376</f>
        <v>188.94368028202399</v>
      </c>
      <c r="W376">
        <v>5</v>
      </c>
      <c r="AG376" s="130" t="s">
        <v>342</v>
      </c>
      <c r="AI376">
        <v>1</v>
      </c>
      <c r="AJ376">
        <v>1.0307065500364501</v>
      </c>
      <c r="AK376">
        <v>1.3442847721198199</v>
      </c>
      <c r="AL376">
        <v>1.6265273004963701</v>
      </c>
      <c r="AM376">
        <v>1.90676524697143</v>
      </c>
      <c r="AN376">
        <v>2.16523048352945</v>
      </c>
      <c r="AO376">
        <v>2.4102146898538699</v>
      </c>
      <c r="AP376">
        <v>2.6374223332986202</v>
      </c>
      <c r="AQ376">
        <v>2.85196032489847</v>
      </c>
      <c r="AR376">
        <v>3.05092592592593</v>
      </c>
      <c r="AS376">
        <v>3.2247952028879898</v>
      </c>
      <c r="AT376">
        <v>3.36675170953521</v>
      </c>
      <c r="AU376">
        <v>3.48119945156028</v>
      </c>
      <c r="AV376">
        <v>3.5717397341108699</v>
      </c>
      <c r="AW376">
        <v>3.6457183519039198</v>
      </c>
      <c r="AX376">
        <v>3.70923582908119</v>
      </c>
      <c r="AY376">
        <v>3.7652599881981299</v>
      </c>
      <c r="AZ376">
        <v>3.8141292651601901</v>
      </c>
      <c r="BA376">
        <v>0</v>
      </c>
      <c r="BB376">
        <v>0</v>
      </c>
      <c r="BC376">
        <v>0</v>
      </c>
      <c r="BD376">
        <v>0</v>
      </c>
      <c r="BE376">
        <v>0</v>
      </c>
      <c r="BF376">
        <v>0</v>
      </c>
      <c r="BG376">
        <v>0</v>
      </c>
      <c r="BH376">
        <v>0</v>
      </c>
      <c r="BJ376" t="s">
        <v>357</v>
      </c>
      <c r="BL376">
        <v>0.80</v>
      </c>
      <c r="BM376">
        <v>0.79756097560975603</v>
      </c>
      <c r="BN376">
        <v>0.78536585365853595</v>
      </c>
      <c r="BO376">
        <v>0.77317073170731698</v>
      </c>
      <c r="BP376">
        <v>0.76097560975609702</v>
      </c>
      <c r="BQ376">
        <v>0.74878048780487805</v>
      </c>
      <c r="BR376">
        <v>0.73658536585365797</v>
      </c>
      <c r="BS376">
        <v>0.724390243902439</v>
      </c>
      <c r="BT376">
        <v>0.71219512195122003</v>
      </c>
      <c r="BU376">
        <v>0.69999999999999896</v>
      </c>
      <c r="BV376">
        <v>0.687499999999999</v>
      </c>
      <c r="BW376">
        <v>0.675</v>
      </c>
      <c r="BX376">
        <v>0.6625</v>
      </c>
      <c r="BY376">
        <v>0.64999999999999902</v>
      </c>
      <c r="BZ376">
        <v>0.63749999999999896</v>
      </c>
      <c r="CA376">
        <v>0.625</v>
      </c>
      <c r="CB376">
        <v>0.6125</v>
      </c>
      <c r="CC376">
        <v>0.60</v>
      </c>
      <c r="CD376" t="e">
        <v>#VALUE!</v>
      </c>
      <c r="CE376" t="e">
        <v>#VALUE!</v>
      </c>
      <c r="CF376" t="e">
        <v>#VALUE!</v>
      </c>
      <c r="CG376" t="e">
        <v>#VALUE!</v>
      </c>
      <c r="CH376" t="e">
        <v>#VALUE!</v>
      </c>
      <c r="CI376" t="e">
        <v>#VALUE!</v>
      </c>
      <c r="CJ376" t="e">
        <v>#VALUE!</v>
      </c>
      <c r="CK376" t="e">
        <v>#VALUE!</v>
      </c>
    </row>
    <row r="377" spans="1:89" ht="12.5">
      <c r="A377" t="s">
        <v>35</v>
      </c>
      <c r="B377" t="s">
        <v>345</v>
      </c>
      <c r="C377" t="s">
        <v>345</v>
      </c>
      <c r="E377" s="2">
        <v>3.95764867674044</v>
      </c>
      <c r="I377" s="2">
        <v>6.4464674603342003</v>
      </c>
      <c r="J377" s="2">
        <v>7.1007739453831604</v>
      </c>
      <c r="L377" s="2">
        <v>8.2178610720159799</v>
      </c>
      <c r="V377" s="2">
        <v>10.5694547388171</v>
      </c>
      <c r="W377">
        <v>5</v>
      </c>
      <c r="AG377" s="130" t="s">
        <v>342</v>
      </c>
      <c r="AI377">
        <v>1</v>
      </c>
      <c r="AJ377">
        <v>1.0307065500364501</v>
      </c>
      <c r="AK377">
        <v>1.3442847721198199</v>
      </c>
      <c r="AL377">
        <v>1.6265273004963701</v>
      </c>
      <c r="AM377">
        <v>1.90676524697143</v>
      </c>
      <c r="AN377">
        <v>2.16523048352945</v>
      </c>
      <c r="AO377">
        <v>2.4102146898538699</v>
      </c>
      <c r="AP377">
        <v>2.6374223332986202</v>
      </c>
      <c r="AQ377">
        <v>2.85196032489847</v>
      </c>
      <c r="AR377">
        <v>3.05092592592593</v>
      </c>
      <c r="AS377">
        <v>3.2247952028879898</v>
      </c>
      <c r="AT377">
        <v>3.36675170953521</v>
      </c>
      <c r="AU377">
        <v>3.48119945156028</v>
      </c>
      <c r="AV377">
        <v>3.5717397341108699</v>
      </c>
      <c r="AW377">
        <v>3.6457183519039198</v>
      </c>
      <c r="AX377">
        <v>3.70923582908119</v>
      </c>
      <c r="AY377">
        <v>3.7652599881981299</v>
      </c>
      <c r="AZ377">
        <v>3.8141292651601901</v>
      </c>
      <c r="BA377">
        <v>0</v>
      </c>
      <c r="BB377">
        <v>0</v>
      </c>
      <c r="BC377">
        <v>0</v>
      </c>
      <c r="BD377">
        <v>0</v>
      </c>
      <c r="BE377">
        <v>0</v>
      </c>
      <c r="BF377">
        <v>0</v>
      </c>
      <c r="BG377">
        <v>0</v>
      </c>
      <c r="BH377">
        <v>0</v>
      </c>
      <c r="BJ377" t="s">
        <v>357</v>
      </c>
      <c r="BL377">
        <v>0.80</v>
      </c>
      <c r="BM377">
        <v>0.79756097560975603</v>
      </c>
      <c r="BN377">
        <v>0.78536585365853595</v>
      </c>
      <c r="BO377">
        <v>0.77317073170731698</v>
      </c>
      <c r="BP377">
        <v>0.76097560975609702</v>
      </c>
      <c r="BQ377">
        <v>0.74878048780487805</v>
      </c>
      <c r="BR377">
        <v>0.73658536585365797</v>
      </c>
      <c r="BS377">
        <v>0.724390243902439</v>
      </c>
      <c r="BT377">
        <v>0.71219512195122003</v>
      </c>
      <c r="BU377">
        <v>0.69999999999999896</v>
      </c>
      <c r="BV377">
        <v>0.687499999999999</v>
      </c>
      <c r="BW377">
        <v>0.675</v>
      </c>
      <c r="BX377">
        <v>0.6625</v>
      </c>
      <c r="BY377">
        <v>0.64999999999999902</v>
      </c>
      <c r="BZ377">
        <v>0.63749999999999896</v>
      </c>
      <c r="CA377">
        <v>0.625</v>
      </c>
      <c r="CB377">
        <v>0.6125</v>
      </c>
      <c r="CC377">
        <v>0.60</v>
      </c>
      <c r="CD377" t="e">
        <v>#VALUE!</v>
      </c>
      <c r="CE377" t="e">
        <v>#VALUE!</v>
      </c>
      <c r="CF377" t="e">
        <v>#VALUE!</v>
      </c>
      <c r="CG377" t="e">
        <v>#VALUE!</v>
      </c>
      <c r="CH377" t="e">
        <v>#VALUE!</v>
      </c>
      <c r="CI377" t="e">
        <v>#VALUE!</v>
      </c>
      <c r="CJ377" t="e">
        <v>#VALUE!</v>
      </c>
      <c r="CK377" t="e">
        <v>#VALUE!</v>
      </c>
    </row>
    <row r="378" spans="1:89" ht="12.5">
      <c r="A378" t="s">
        <v>35</v>
      </c>
      <c r="B378" t="s">
        <v>346</v>
      </c>
      <c r="C378" t="s">
        <v>346</v>
      </c>
      <c r="E378" s="2">
        <v>5.6643024625836302</v>
      </c>
      <c r="I378" s="2">
        <v>6.1040195463312203</v>
      </c>
      <c r="J378" s="2">
        <v>6.1970048291652704</v>
      </c>
      <c r="L378" s="2">
        <v>6.3037133050670402</v>
      </c>
      <c r="V378" s="2">
        <v>5.7761418345808</v>
      </c>
      <c r="W378">
        <v>5</v>
      </c>
      <c r="AG378" s="130" t="s">
        <v>347</v>
      </c>
      <c r="AI378">
        <v>1</v>
      </c>
      <c r="AJ378">
        <v>1.0078682256640701</v>
      </c>
      <c r="AK378">
        <v>1.04720935398443</v>
      </c>
      <c r="AL378">
        <v>1.0816769759546001</v>
      </c>
      <c r="AM378">
        <v>1.1095781329127099</v>
      </c>
      <c r="AN378">
        <v>1.13215177689108</v>
      </c>
      <c r="AO378">
        <v>1.14910195098027</v>
      </c>
      <c r="AP378">
        <v>1.15881636284435</v>
      </c>
      <c r="AQ378">
        <v>1.16158245541562</v>
      </c>
      <c r="AR378">
        <v>1.1572550220920901</v>
      </c>
      <c r="AS378">
        <v>1.14748269594269</v>
      </c>
      <c r="AT378">
        <v>1.13394754062466</v>
      </c>
      <c r="AU378">
        <v>1.1175235495646201</v>
      </c>
      <c r="AV378">
        <v>1.0987096201784901</v>
      </c>
      <c r="AW378">
        <v>1.0779746946320199</v>
      </c>
      <c r="AX378">
        <v>1.0559200785748699</v>
      </c>
      <c r="AY378">
        <v>1.0330660625943799</v>
      </c>
      <c r="AZ378">
        <v>1.0096217802735901</v>
      </c>
      <c r="BA378">
        <v>0</v>
      </c>
      <c r="BB378">
        <v>0</v>
      </c>
      <c r="BC378">
        <v>0</v>
      </c>
      <c r="BD378">
        <v>0</v>
      </c>
      <c r="BE378">
        <v>0</v>
      </c>
      <c r="BF378">
        <v>0</v>
      </c>
      <c r="BG378">
        <v>0</v>
      </c>
      <c r="BH378">
        <v>0</v>
      </c>
      <c r="BJ378" t="s">
        <v>357</v>
      </c>
      <c r="BL378">
        <v>0.80</v>
      </c>
      <c r="BM378">
        <v>0.79756097560975603</v>
      </c>
      <c r="BN378">
        <v>0.78536585365853595</v>
      </c>
      <c r="BO378">
        <v>0.77317073170731698</v>
      </c>
      <c r="BP378">
        <v>0.76097560975609702</v>
      </c>
      <c r="BQ378">
        <v>0.74878048780487805</v>
      </c>
      <c r="BR378">
        <v>0.73658536585365797</v>
      </c>
      <c r="BS378">
        <v>0.724390243902439</v>
      </c>
      <c r="BT378">
        <v>0.71219512195122003</v>
      </c>
      <c r="BU378">
        <v>0.69999999999999896</v>
      </c>
      <c r="BV378">
        <v>0.687499999999999</v>
      </c>
      <c r="BW378">
        <v>0.675</v>
      </c>
      <c r="BX378">
        <v>0.6625</v>
      </c>
      <c r="BY378">
        <v>0.64999999999999902</v>
      </c>
      <c r="BZ378">
        <v>0.63749999999999896</v>
      </c>
      <c r="CA378">
        <v>0.625</v>
      </c>
      <c r="CB378">
        <v>0.6125</v>
      </c>
      <c r="CC378">
        <v>0.60</v>
      </c>
      <c r="CD378" t="e">
        <v>#VALUE!</v>
      </c>
      <c r="CE378" t="e">
        <v>#VALUE!</v>
      </c>
      <c r="CF378" t="e">
        <v>#VALUE!</v>
      </c>
      <c r="CG378" t="e">
        <v>#VALUE!</v>
      </c>
      <c r="CH378" t="e">
        <v>#VALUE!</v>
      </c>
      <c r="CI378" t="e">
        <v>#VALUE!</v>
      </c>
      <c r="CJ378" t="e">
        <v>#VALUE!</v>
      </c>
      <c r="CK378" t="e">
        <v>#VALUE!</v>
      </c>
    </row>
    <row r="379" spans="1:89" ht="12.5">
      <c r="A379" t="s">
        <v>35</v>
      </c>
      <c r="B379" t="s">
        <v>348</v>
      </c>
      <c r="C379" t="s">
        <v>348</v>
      </c>
      <c r="E379" s="2">
        <v>16.622151379340998</v>
      </c>
      <c r="F379" s="2">
        <f>E379</f>
        <v>16.622151379340998</v>
      </c>
      <c r="I379" s="2">
        <f>F379</f>
        <v>16.622151379340998</v>
      </c>
      <c r="J379" s="2">
        <f>I379</f>
        <v>16.622151379340998</v>
      </c>
      <c r="L379" s="2">
        <f>J379</f>
        <v>16.622151379340998</v>
      </c>
      <c r="V379" s="2">
        <f>L379</f>
        <v>16.622151379340998</v>
      </c>
      <c r="W379">
        <v>5</v>
      </c>
      <c r="AG379" s="130" t="s">
        <v>342</v>
      </c>
      <c r="AI379">
        <v>1</v>
      </c>
      <c r="AJ379">
        <v>1.0307065500364501</v>
      </c>
      <c r="AK379">
        <v>1.3442847721198199</v>
      </c>
      <c r="AL379">
        <v>1.6265273004963701</v>
      </c>
      <c r="AM379">
        <v>1.90676524697143</v>
      </c>
      <c r="AN379">
        <v>2.16523048352945</v>
      </c>
      <c r="AO379">
        <v>2.4102146898538699</v>
      </c>
      <c r="AP379">
        <v>2.6374223332986202</v>
      </c>
      <c r="AQ379">
        <v>2.85196032489847</v>
      </c>
      <c r="AR379">
        <v>3.05092592592593</v>
      </c>
      <c r="AS379">
        <v>3.2247952028879898</v>
      </c>
      <c r="AT379">
        <v>3.36675170953521</v>
      </c>
      <c r="AU379">
        <v>3.48119945156028</v>
      </c>
      <c r="AV379">
        <v>3.5717397341108699</v>
      </c>
      <c r="AW379">
        <v>3.6457183519039198</v>
      </c>
      <c r="AX379">
        <v>3.70923582908119</v>
      </c>
      <c r="AY379">
        <v>3.7652599881981299</v>
      </c>
      <c r="AZ379">
        <v>3.8141292651601901</v>
      </c>
      <c r="BA379">
        <v>0</v>
      </c>
      <c r="BB379">
        <v>0</v>
      </c>
      <c r="BC379">
        <v>0</v>
      </c>
      <c r="BD379">
        <v>0</v>
      </c>
      <c r="BE379">
        <v>0</v>
      </c>
      <c r="BF379">
        <v>0</v>
      </c>
      <c r="BG379">
        <v>0</v>
      </c>
      <c r="BH379">
        <v>0</v>
      </c>
      <c r="BJ379" t="s">
        <v>357</v>
      </c>
      <c r="BL379">
        <v>0.80</v>
      </c>
      <c r="BM379">
        <v>0.79756097560975603</v>
      </c>
      <c r="BN379">
        <v>0.78536585365853595</v>
      </c>
      <c r="BO379">
        <v>0.77317073170731698</v>
      </c>
      <c r="BP379">
        <v>0.76097560975609702</v>
      </c>
      <c r="BQ379">
        <v>0.74878048780487805</v>
      </c>
      <c r="BR379">
        <v>0.73658536585365797</v>
      </c>
      <c r="BS379">
        <v>0.724390243902439</v>
      </c>
      <c r="BT379">
        <v>0.71219512195122003</v>
      </c>
      <c r="BU379">
        <v>0.69999999999999896</v>
      </c>
      <c r="BV379">
        <v>0.687499999999999</v>
      </c>
      <c r="BW379">
        <v>0.675</v>
      </c>
      <c r="BX379">
        <v>0.6625</v>
      </c>
      <c r="BY379">
        <v>0.64999999999999902</v>
      </c>
      <c r="BZ379">
        <v>0.63749999999999896</v>
      </c>
      <c r="CA379">
        <v>0.625</v>
      </c>
      <c r="CB379">
        <v>0.6125</v>
      </c>
      <c r="CC379">
        <v>0.60</v>
      </c>
      <c r="CD379" t="e">
        <v>#VALUE!</v>
      </c>
      <c r="CE379" t="e">
        <v>#VALUE!</v>
      </c>
      <c r="CF379" t="e">
        <v>#VALUE!</v>
      </c>
      <c r="CG379" t="e">
        <v>#VALUE!</v>
      </c>
      <c r="CH379" t="e">
        <v>#VALUE!</v>
      </c>
      <c r="CI379" t="e">
        <v>#VALUE!</v>
      </c>
      <c r="CJ379" t="e">
        <v>#VALUE!</v>
      </c>
      <c r="CK379" t="e">
        <v>#VALUE!</v>
      </c>
    </row>
    <row r="380" spans="1:89" ht="12.5">
      <c r="A380" t="s">
        <v>35</v>
      </c>
      <c r="B380" t="s">
        <v>349</v>
      </c>
      <c r="C380" t="s">
        <v>349</v>
      </c>
      <c r="E380" s="2">
        <v>37.800620091226797</v>
      </c>
      <c r="F380" s="2">
        <f>E380</f>
        <v>37.800620091226797</v>
      </c>
      <c r="I380" s="2">
        <f>F380</f>
        <v>37.800620091226797</v>
      </c>
      <c r="J380" s="2">
        <f>I380</f>
        <v>37.800620091226797</v>
      </c>
      <c r="L380" s="2">
        <f>J380</f>
        <v>37.800620091226797</v>
      </c>
      <c r="V380" s="2">
        <f>L380</f>
        <v>37.800620091226797</v>
      </c>
      <c r="W380">
        <v>5</v>
      </c>
      <c r="AG380" s="130" t="s">
        <v>342</v>
      </c>
      <c r="AI380">
        <v>1</v>
      </c>
      <c r="AJ380">
        <v>1.0307065500364501</v>
      </c>
      <c r="AK380">
        <v>1.3442847721198199</v>
      </c>
      <c r="AL380">
        <v>1.6265273004963701</v>
      </c>
      <c r="AM380">
        <v>1.90676524697143</v>
      </c>
      <c r="AN380">
        <v>2.16523048352945</v>
      </c>
      <c r="AO380">
        <v>2.4102146898538699</v>
      </c>
      <c r="AP380">
        <v>2.6374223332986202</v>
      </c>
      <c r="AQ380">
        <v>2.85196032489847</v>
      </c>
      <c r="AR380">
        <v>3.05092592592593</v>
      </c>
      <c r="AS380">
        <v>3.2247952028879898</v>
      </c>
      <c r="AT380">
        <v>3.36675170953521</v>
      </c>
      <c r="AU380">
        <v>3.48119945156028</v>
      </c>
      <c r="AV380">
        <v>3.5717397341108699</v>
      </c>
      <c r="AW380">
        <v>3.6457183519039198</v>
      </c>
      <c r="AX380">
        <v>3.70923582908119</v>
      </c>
      <c r="AY380">
        <v>3.7652599881981299</v>
      </c>
      <c r="AZ380">
        <v>3.8141292651601901</v>
      </c>
      <c r="BA380">
        <v>0</v>
      </c>
      <c r="BB380">
        <v>0</v>
      </c>
      <c r="BC380">
        <v>0</v>
      </c>
      <c r="BD380">
        <v>0</v>
      </c>
      <c r="BE380">
        <v>0</v>
      </c>
      <c r="BF380">
        <v>0</v>
      </c>
      <c r="BG380">
        <v>0</v>
      </c>
      <c r="BH380">
        <v>0</v>
      </c>
      <c r="BJ380" t="s">
        <v>357</v>
      </c>
      <c r="BL380">
        <v>0.80</v>
      </c>
      <c r="BM380">
        <v>0.79756097560975603</v>
      </c>
      <c r="BN380">
        <v>0.78536585365853595</v>
      </c>
      <c r="BO380">
        <v>0.77317073170731698</v>
      </c>
      <c r="BP380">
        <v>0.76097560975609702</v>
      </c>
      <c r="BQ380">
        <v>0.74878048780487805</v>
      </c>
      <c r="BR380">
        <v>0.73658536585365797</v>
      </c>
      <c r="BS380">
        <v>0.724390243902439</v>
      </c>
      <c r="BT380">
        <v>0.71219512195122003</v>
      </c>
      <c r="BU380">
        <v>0.69999999999999896</v>
      </c>
      <c r="BV380">
        <v>0.687499999999999</v>
      </c>
      <c r="BW380">
        <v>0.675</v>
      </c>
      <c r="BX380">
        <v>0.6625</v>
      </c>
      <c r="BY380">
        <v>0.64999999999999902</v>
      </c>
      <c r="BZ380">
        <v>0.63749999999999896</v>
      </c>
      <c r="CA380">
        <v>0.625</v>
      </c>
      <c r="CB380">
        <v>0.6125</v>
      </c>
      <c r="CC380">
        <v>0.60</v>
      </c>
      <c r="CD380" t="e">
        <v>#VALUE!</v>
      </c>
      <c r="CE380" t="e">
        <v>#VALUE!</v>
      </c>
      <c r="CF380" t="e">
        <v>#VALUE!</v>
      </c>
      <c r="CG380" t="e">
        <v>#VALUE!</v>
      </c>
      <c r="CH380" t="e">
        <v>#VALUE!</v>
      </c>
      <c r="CI380" t="e">
        <v>#VALUE!</v>
      </c>
      <c r="CJ380" t="e">
        <v>#VALUE!</v>
      </c>
      <c r="CK380" t="e">
        <v>#VALUE!</v>
      </c>
    </row>
    <row r="381" spans="1:89" ht="12.5">
      <c r="A381" t="s">
        <v>35</v>
      </c>
      <c r="B381" t="s">
        <v>350</v>
      </c>
      <c r="C381" t="s">
        <v>350</v>
      </c>
      <c r="D381">
        <v>1.379</v>
      </c>
      <c r="E381">
        <v>1.38765376244726</v>
      </c>
      <c r="F381"/>
      <c r="G381">
        <v>1.4301936355743601</v>
      </c>
      <c r="H381">
        <v>1.4665891661450501</v>
      </c>
      <c r="I381">
        <v>1.4953766585505801</v>
      </c>
      <c r="J381">
        <v>1.51815640564728</v>
      </c>
      <c r="K381">
        <v>1.5348984740942599</v>
      </c>
      <c r="L381">
        <v>1.5442980919446201</v>
      </c>
      <c r="M381">
        <v>1.54692341178661</v>
      </c>
      <c r="N381">
        <v>1.54288930682667</v>
      </c>
      <c r="O381">
        <v>1.53393202269634</v>
      </c>
      <c r="P381">
        <v>1.5217188925399201</v>
      </c>
      <c r="Q381">
        <v>1.50711710410446</v>
      </c>
      <c r="R381">
        <v>1.4906247298634001</v>
      </c>
      <c r="S381">
        <v>1.47269110568949</v>
      </c>
      <c r="T381">
        <v>1.45385970531635</v>
      </c>
      <c r="U381">
        <v>1.4345862282437101</v>
      </c>
      <c r="V381">
        <v>1.41505242739617</v>
      </c>
      <c r="W381">
        <v>5</v>
      </c>
      <c r="AG381" s="130" t="s">
        <v>347</v>
      </c>
      <c r="AI381">
        <v>1</v>
      </c>
      <c r="AJ381">
        <v>1.0078682256640701</v>
      </c>
      <c r="AK381">
        <v>1.04720935398443</v>
      </c>
      <c r="AL381">
        <v>1.0816769759546001</v>
      </c>
      <c r="AM381">
        <v>1.1095781329127099</v>
      </c>
      <c r="AN381">
        <v>1.13215177689108</v>
      </c>
      <c r="AO381">
        <v>1.14910195098027</v>
      </c>
      <c r="AP381">
        <v>1.15881636284435</v>
      </c>
      <c r="AQ381">
        <v>1.16158245541562</v>
      </c>
      <c r="AR381">
        <v>1.1572550220920901</v>
      </c>
      <c r="AS381">
        <v>1.14748269594269</v>
      </c>
      <c r="AT381">
        <v>1.13394754062466</v>
      </c>
      <c r="AU381">
        <v>1.1175235495646201</v>
      </c>
      <c r="AV381">
        <v>1.0987096201784901</v>
      </c>
      <c r="AW381">
        <v>1.0779746946320199</v>
      </c>
      <c r="AX381">
        <v>1.0559200785748699</v>
      </c>
      <c r="AY381">
        <v>1.0330660625943799</v>
      </c>
      <c r="AZ381">
        <v>1.0096217802735901</v>
      </c>
      <c r="BA381">
        <v>0</v>
      </c>
      <c r="BB381">
        <v>0</v>
      </c>
      <c r="BC381">
        <v>0</v>
      </c>
      <c r="BD381">
        <v>0</v>
      </c>
      <c r="BE381">
        <v>0</v>
      </c>
      <c r="BF381">
        <v>0</v>
      </c>
      <c r="BG381">
        <v>0</v>
      </c>
      <c r="BH381">
        <v>0</v>
      </c>
      <c r="BJ381" t="s">
        <v>357</v>
      </c>
      <c r="BL381">
        <v>0.80</v>
      </c>
      <c r="BM381">
        <v>0.79756097560975603</v>
      </c>
      <c r="BN381">
        <v>0.78536585365853595</v>
      </c>
      <c r="BO381">
        <v>0.77317073170731698</v>
      </c>
      <c r="BP381">
        <v>0.76097560975609702</v>
      </c>
      <c r="BQ381">
        <v>0.74878048780487805</v>
      </c>
      <c r="BR381">
        <v>0.73658536585365797</v>
      </c>
      <c r="BS381">
        <v>0.724390243902439</v>
      </c>
      <c r="BT381">
        <v>0.71219512195122003</v>
      </c>
      <c r="BU381">
        <v>0.69999999999999896</v>
      </c>
      <c r="BV381">
        <v>0.687499999999999</v>
      </c>
      <c r="BW381">
        <v>0.675</v>
      </c>
      <c r="BX381">
        <v>0.6625</v>
      </c>
      <c r="BY381">
        <v>0.64999999999999902</v>
      </c>
      <c r="BZ381">
        <v>0.63749999999999896</v>
      </c>
      <c r="CA381">
        <v>0.625</v>
      </c>
      <c r="CB381">
        <v>0.6125</v>
      </c>
      <c r="CC381">
        <v>0.60</v>
      </c>
      <c r="CD381" t="e">
        <v>#VALUE!</v>
      </c>
      <c r="CE381" t="e">
        <v>#VALUE!</v>
      </c>
      <c r="CF381" t="e">
        <v>#VALUE!</v>
      </c>
      <c r="CG381" t="e">
        <v>#VALUE!</v>
      </c>
      <c r="CH381" t="e">
        <v>#VALUE!</v>
      </c>
      <c r="CI381" t="e">
        <v>#VALUE!</v>
      </c>
      <c r="CJ381" t="e">
        <v>#VALUE!</v>
      </c>
      <c r="CK381" t="e">
        <v>#VALUE!</v>
      </c>
    </row>
    <row r="382" spans="1:89" ht="12.5">
      <c r="A382" t="s">
        <v>35</v>
      </c>
      <c r="B382" t="s">
        <v>351</v>
      </c>
      <c r="C382" t="s">
        <v>351</v>
      </c>
      <c r="D382">
        <v>0.405</v>
      </c>
      <c r="E382">
        <v>0.407541532843466</v>
      </c>
      <c r="F382"/>
      <c r="G382">
        <v>0.42003511414620298</v>
      </c>
      <c r="H382">
        <v>0.430724156844632</v>
      </c>
      <c r="I382">
        <v>0.43917878659389797</v>
      </c>
      <c r="J382">
        <v>0.445868995132088</v>
      </c>
      <c r="K382">
        <v>0.45078599130397201</v>
      </c>
      <c r="L382">
        <v>0.45354657522666503</v>
      </c>
      <c r="M382">
        <v>0.45431760824770001</v>
      </c>
      <c r="N382">
        <v>0.45313282760319101</v>
      </c>
      <c r="O382">
        <v>0.45050215314867098</v>
      </c>
      <c r="P382">
        <v>0.44691526575682999</v>
      </c>
      <c r="Q382">
        <v>0.44262685073408597</v>
      </c>
      <c r="R382">
        <v>0.43778318752333401</v>
      </c>
      <c r="S382">
        <v>0.43251624206253902</v>
      </c>
      <c r="T382">
        <v>0.42698562773975401</v>
      </c>
      <c r="U382">
        <v>0.42132517943343301</v>
      </c>
      <c r="V382">
        <v>0.41558827635638002</v>
      </c>
      <c r="W382">
        <v>5</v>
      </c>
      <c r="AG382" s="130" t="s">
        <v>347</v>
      </c>
      <c r="AI382">
        <v>1</v>
      </c>
      <c r="AJ382">
        <v>1.0078682256640701</v>
      </c>
      <c r="AK382">
        <v>1.04720935398443</v>
      </c>
      <c r="AL382">
        <v>1.0816769759546001</v>
      </c>
      <c r="AM382">
        <v>1.1095781329127099</v>
      </c>
      <c r="AN382">
        <v>1.13215177689108</v>
      </c>
      <c r="AO382">
        <v>1.14910195098027</v>
      </c>
      <c r="AP382">
        <v>1.15881636284435</v>
      </c>
      <c r="AQ382">
        <v>1.16158245541562</v>
      </c>
      <c r="AR382">
        <v>1.1572550220920901</v>
      </c>
      <c r="AS382">
        <v>1.14748269594269</v>
      </c>
      <c r="AT382">
        <v>1.13394754062466</v>
      </c>
      <c r="AU382">
        <v>1.1175235495646201</v>
      </c>
      <c r="AV382">
        <v>1.0987096201784901</v>
      </c>
      <c r="AW382">
        <v>1.0779746946320199</v>
      </c>
      <c r="AX382">
        <v>1.0559200785748699</v>
      </c>
      <c r="AY382">
        <v>1.0330660625943799</v>
      </c>
      <c r="AZ382">
        <v>1.0096217802735901</v>
      </c>
      <c r="BA382">
        <v>0</v>
      </c>
      <c r="BB382">
        <v>0</v>
      </c>
      <c r="BC382">
        <v>0</v>
      </c>
      <c r="BD382">
        <v>0</v>
      </c>
      <c r="BE382">
        <v>0</v>
      </c>
      <c r="BF382">
        <v>0</v>
      </c>
      <c r="BG382">
        <v>0</v>
      </c>
      <c r="BH382">
        <v>0</v>
      </c>
      <c r="BJ382" t="s">
        <v>357</v>
      </c>
      <c r="BL382">
        <v>0.80</v>
      </c>
      <c r="BM382">
        <v>0.79756097560975603</v>
      </c>
      <c r="BN382">
        <v>0.78536585365853595</v>
      </c>
      <c r="BO382">
        <v>0.77317073170731698</v>
      </c>
      <c r="BP382">
        <v>0.76097560975609702</v>
      </c>
      <c r="BQ382">
        <v>0.74878048780487805</v>
      </c>
      <c r="BR382">
        <v>0.73658536585365797</v>
      </c>
      <c r="BS382">
        <v>0.724390243902439</v>
      </c>
      <c r="BT382">
        <v>0.71219512195122003</v>
      </c>
      <c r="BU382">
        <v>0.69999999999999896</v>
      </c>
      <c r="BV382">
        <v>0.687499999999999</v>
      </c>
      <c r="BW382">
        <v>0.675</v>
      </c>
      <c r="BX382">
        <v>0.6625</v>
      </c>
      <c r="BY382">
        <v>0.64999999999999902</v>
      </c>
      <c r="BZ382">
        <v>0.63749999999999896</v>
      </c>
      <c r="CA382">
        <v>0.625</v>
      </c>
      <c r="CB382">
        <v>0.6125</v>
      </c>
      <c r="CC382">
        <v>0.60</v>
      </c>
      <c r="CD382" t="e">
        <v>#VALUE!</v>
      </c>
      <c r="CE382" t="e">
        <v>#VALUE!</v>
      </c>
      <c r="CF382" t="e">
        <v>#VALUE!</v>
      </c>
      <c r="CG382" t="e">
        <v>#VALUE!</v>
      </c>
      <c r="CH382" t="e">
        <v>#VALUE!</v>
      </c>
      <c r="CI382" t="e">
        <v>#VALUE!</v>
      </c>
      <c r="CJ382" t="e">
        <v>#VALUE!</v>
      </c>
      <c r="CK382" t="e">
        <v>#VALUE!</v>
      </c>
    </row>
    <row r="383" spans="1:89" ht="12.5">
      <c r="A383" t="s">
        <v>35</v>
      </c>
      <c r="B383" t="s">
        <v>352</v>
      </c>
      <c r="C383" t="s">
        <v>352</v>
      </c>
      <c r="D383">
        <v>7.07</v>
      </c>
      <c r="E383">
        <v>7.1143670054402603</v>
      </c>
      <c r="F383"/>
      <c r="G383">
        <v>7.3324648321324899</v>
      </c>
      <c r="H383">
        <v>7.5190612071396199</v>
      </c>
      <c r="I383">
        <v>7.6666519042440902</v>
      </c>
      <c r="J383">
        <v>7.7834414705774497</v>
      </c>
      <c r="K383">
        <v>7.8692764407878499</v>
      </c>
      <c r="L383">
        <v>7.9174673749445104</v>
      </c>
      <c r="M383">
        <v>7.9309271365709701</v>
      </c>
      <c r="N383">
        <v>7.9102446695174304</v>
      </c>
      <c r="O383">
        <v>7.8643215376817404</v>
      </c>
      <c r="P383">
        <v>7.8017059972858904</v>
      </c>
      <c r="Q383">
        <v>7.7268440362715802</v>
      </c>
      <c r="R383">
        <v>7.64228922417277</v>
      </c>
      <c r="S383">
        <v>7.5503452626719803</v>
      </c>
      <c r="T383">
        <v>7.4537984891853402</v>
      </c>
      <c r="U383">
        <v>7.3549852310972099</v>
      </c>
      <c r="V383">
        <v>7.2548373181224797</v>
      </c>
      <c r="W383">
        <v>5</v>
      </c>
      <c r="AG383" s="130" t="s">
        <v>347</v>
      </c>
      <c r="AI383">
        <v>1</v>
      </c>
      <c r="AJ383">
        <v>1.0078682256640701</v>
      </c>
      <c r="AK383">
        <v>1.04720935398443</v>
      </c>
      <c r="AL383">
        <v>1.0816769759546001</v>
      </c>
      <c r="AM383">
        <v>1.1095781329127099</v>
      </c>
      <c r="AN383">
        <v>1.13215177689108</v>
      </c>
      <c r="AO383">
        <v>1.14910195098027</v>
      </c>
      <c r="AP383">
        <v>1.15881636284435</v>
      </c>
      <c r="AQ383">
        <v>1.16158245541562</v>
      </c>
      <c r="AR383">
        <v>1.1572550220920901</v>
      </c>
      <c r="AS383">
        <v>1.14748269594269</v>
      </c>
      <c r="AT383">
        <v>1.13394754062466</v>
      </c>
      <c r="AU383">
        <v>1.1175235495646201</v>
      </c>
      <c r="AV383">
        <v>1.0987096201784901</v>
      </c>
      <c r="AW383">
        <v>1.0779746946320199</v>
      </c>
      <c r="AX383">
        <v>1.0559200785748699</v>
      </c>
      <c r="AY383">
        <v>1.0330660625943799</v>
      </c>
      <c r="AZ383">
        <v>1.0096217802735901</v>
      </c>
      <c r="BA383">
        <v>0</v>
      </c>
      <c r="BB383">
        <v>0</v>
      </c>
      <c r="BC383">
        <v>0</v>
      </c>
      <c r="BD383">
        <v>0</v>
      </c>
      <c r="BE383">
        <v>0</v>
      </c>
      <c r="BF383">
        <v>0</v>
      </c>
      <c r="BG383">
        <v>0</v>
      </c>
      <c r="BH383">
        <v>0</v>
      </c>
      <c r="BJ383" t="s">
        <v>357</v>
      </c>
      <c r="BL383">
        <v>0.80</v>
      </c>
      <c r="BM383">
        <v>0.79756097560975603</v>
      </c>
      <c r="BN383">
        <v>0.78536585365853595</v>
      </c>
      <c r="BO383">
        <v>0.77317073170731698</v>
      </c>
      <c r="BP383">
        <v>0.76097560975609702</v>
      </c>
      <c r="BQ383">
        <v>0.74878048780487805</v>
      </c>
      <c r="BR383">
        <v>0.73658536585365797</v>
      </c>
      <c r="BS383">
        <v>0.724390243902439</v>
      </c>
      <c r="BT383">
        <v>0.71219512195122003</v>
      </c>
      <c r="BU383">
        <v>0.69999999999999896</v>
      </c>
      <c r="BV383">
        <v>0.687499999999999</v>
      </c>
      <c r="BW383">
        <v>0.675</v>
      </c>
      <c r="BX383">
        <v>0.6625</v>
      </c>
      <c r="BY383">
        <v>0.64999999999999902</v>
      </c>
      <c r="BZ383">
        <v>0.63749999999999896</v>
      </c>
      <c r="CA383">
        <v>0.625</v>
      </c>
      <c r="CB383">
        <v>0.6125</v>
      </c>
      <c r="CC383">
        <v>0.60</v>
      </c>
      <c r="CD383" t="e">
        <v>#VALUE!</v>
      </c>
      <c r="CE383" t="e">
        <v>#VALUE!</v>
      </c>
      <c r="CF383" t="e">
        <v>#VALUE!</v>
      </c>
      <c r="CG383" t="e">
        <v>#VALUE!</v>
      </c>
      <c r="CH383" t="e">
        <v>#VALUE!</v>
      </c>
      <c r="CI383" t="e">
        <v>#VALUE!</v>
      </c>
      <c r="CJ383" t="e">
        <v>#VALUE!</v>
      </c>
      <c r="CK383" t="e">
        <v>#VALUE!</v>
      </c>
    </row>
    <row r="384" spans="1:89" ht="12.5">
      <c r="A384" t="s">
        <v>35</v>
      </c>
      <c r="B384" t="s">
        <v>353</v>
      </c>
      <c r="C384" t="s">
        <v>353</v>
      </c>
      <c r="D384">
        <v>120.072</v>
      </c>
      <c r="E384">
        <v>122.24203192807001</v>
      </c>
      <c r="F384"/>
      <c r="G384">
        <v>146.74619667080501</v>
      </c>
      <c r="H384">
        <v>166.19345781070999</v>
      </c>
      <c r="I384">
        <v>184.25503054904701</v>
      </c>
      <c r="J384">
        <v>199.83287042325401</v>
      </c>
      <c r="K384">
        <v>214.07018595527299</v>
      </c>
      <c r="L384">
        <v>227.26594853764399</v>
      </c>
      <c r="M384">
        <v>240.01528448800499</v>
      </c>
      <c r="N384">
        <v>252.408556241334</v>
      </c>
      <c r="O384">
        <v>263.85997592223401</v>
      </c>
      <c r="P384">
        <v>273.91974276581999</v>
      </c>
      <c r="Q384">
        <v>282.84632196108601</v>
      </c>
      <c r="R384">
        <v>290.85802730170701</v>
      </c>
      <c r="S384">
        <v>298.33900472396698</v>
      </c>
      <c r="T384">
        <v>305.55004810018397</v>
      </c>
      <c r="U384">
        <v>312.57949422628599</v>
      </c>
      <c r="V384">
        <v>319.42521602597702</v>
      </c>
      <c r="W384">
        <v>5</v>
      </c>
      <c r="AG384" s="130" t="s">
        <v>354</v>
      </c>
      <c r="AI384">
        <v>1</v>
      </c>
      <c r="AJ384">
        <v>1.02266003014167</v>
      </c>
      <c r="AK384">
        <v>1.2836829302613499</v>
      </c>
      <c r="AL384">
        <v>1.5037089044637599</v>
      </c>
      <c r="AM384">
        <v>1.71845964733107</v>
      </c>
      <c r="AN384">
        <v>1.9124913529484799</v>
      </c>
      <c r="AO384">
        <v>2.0974768059507398</v>
      </c>
      <c r="AP384">
        <v>2.2759622817415099</v>
      </c>
      <c r="AQ384">
        <v>2.4552370876487002</v>
      </c>
      <c r="AR384">
        <v>2.6363471038652002</v>
      </c>
      <c r="AS384">
        <v>2.8103214229637898</v>
      </c>
      <c r="AT384">
        <v>2.9690542012909802</v>
      </c>
      <c r="AU384">
        <v>3.1151016485661698</v>
      </c>
      <c r="AV384">
        <v>3.2508496044028599</v>
      </c>
      <c r="AW384">
        <v>3.3820073607093701</v>
      </c>
      <c r="AX384">
        <v>3.5127997888698101</v>
      </c>
      <c r="AY384">
        <v>3.6447426980054898</v>
      </c>
      <c r="AZ384">
        <v>3.77778029325659</v>
      </c>
      <c r="BA384">
        <v>0</v>
      </c>
      <c r="BB384">
        <v>0</v>
      </c>
      <c r="BC384">
        <v>0</v>
      </c>
      <c r="BD384">
        <v>0</v>
      </c>
      <c r="BE384">
        <v>0</v>
      </c>
      <c r="BF384">
        <v>0</v>
      </c>
      <c r="BG384">
        <v>0</v>
      </c>
      <c r="BH384">
        <v>0</v>
      </c>
      <c r="BJ384" t="s">
        <v>357</v>
      </c>
      <c r="BL384">
        <v>0.80</v>
      </c>
      <c r="BM384">
        <v>0.79756097560975603</v>
      </c>
      <c r="BN384">
        <v>0.78536585365853595</v>
      </c>
      <c r="BO384">
        <v>0.77317073170731698</v>
      </c>
      <c r="BP384">
        <v>0.76097560975609702</v>
      </c>
      <c r="BQ384">
        <v>0.74878048780487805</v>
      </c>
      <c r="BR384">
        <v>0.73658536585365797</v>
      </c>
      <c r="BS384">
        <v>0.724390243902439</v>
      </c>
      <c r="BT384">
        <v>0.71219512195122003</v>
      </c>
      <c r="BU384">
        <v>0.69999999999999896</v>
      </c>
      <c r="BV384">
        <v>0.687499999999999</v>
      </c>
      <c r="BW384">
        <v>0.675</v>
      </c>
      <c r="BX384">
        <v>0.6625</v>
      </c>
      <c r="BY384">
        <v>0.64999999999999902</v>
      </c>
      <c r="BZ384">
        <v>0.63749999999999896</v>
      </c>
      <c r="CA384">
        <v>0.625</v>
      </c>
      <c r="CB384">
        <v>0.6125</v>
      </c>
      <c r="CC384">
        <v>0.60</v>
      </c>
      <c r="CD384" t="e">
        <v>#VALUE!</v>
      </c>
      <c r="CE384" t="e">
        <v>#VALUE!</v>
      </c>
      <c r="CF384" t="e">
        <v>#VALUE!</v>
      </c>
      <c r="CG384" t="e">
        <v>#VALUE!</v>
      </c>
      <c r="CH384" t="e">
        <v>#VALUE!</v>
      </c>
      <c r="CI384" t="e">
        <v>#VALUE!</v>
      </c>
      <c r="CJ384" t="e">
        <v>#VALUE!</v>
      </c>
      <c r="CK384" t="e">
        <v>#VALUE!</v>
      </c>
    </row>
    <row r="385" spans="1:89" ht="12.5">
      <c r="A385" t="s">
        <v>35</v>
      </c>
      <c r="B385" t="s">
        <v>355</v>
      </c>
      <c r="C385" t="s">
        <v>355</v>
      </c>
      <c r="D385">
        <v>79.30</v>
      </c>
      <c r="E385">
        <v>81.242084438171204</v>
      </c>
      <c r="F385"/>
      <c r="G385">
        <v>100.653800494769</v>
      </c>
      <c r="H385">
        <v>116.993225075507</v>
      </c>
      <c r="I385">
        <v>132.33222464095499</v>
      </c>
      <c r="J385">
        <v>145.76374093981201</v>
      </c>
      <c r="K385">
        <v>157.91179025532</v>
      </c>
      <c r="L385">
        <v>168.69515655537</v>
      </c>
      <c r="M385">
        <v>178.46811696886101</v>
      </c>
      <c r="N385">
        <v>187.18363488573399</v>
      </c>
      <c r="O385">
        <v>194.51748050579801</v>
      </c>
      <c r="P385">
        <v>200.297317266607</v>
      </c>
      <c r="Q385">
        <v>204.80815447946799</v>
      </c>
      <c r="R385">
        <v>208.27052498757001</v>
      </c>
      <c r="S385">
        <v>211.02053584482101</v>
      </c>
      <c r="T385">
        <v>213.31834981035499</v>
      </c>
      <c r="U385">
        <v>215.29179563730099</v>
      </c>
      <c r="V385">
        <v>216.96835785424801</v>
      </c>
      <c r="W385">
        <v>5</v>
      </c>
      <c r="AG385" s="130" t="s">
        <v>342</v>
      </c>
      <c r="AI385">
        <v>1</v>
      </c>
      <c r="AJ385">
        <v>1.0307065500364501</v>
      </c>
      <c r="AK385">
        <v>1.3442847721198199</v>
      </c>
      <c r="AL385">
        <v>1.6265273004963701</v>
      </c>
      <c r="AM385">
        <v>1.90676524697143</v>
      </c>
      <c r="AN385">
        <v>2.16523048352945</v>
      </c>
      <c r="AO385">
        <v>2.4102146898538699</v>
      </c>
      <c r="AP385">
        <v>2.6374223332986202</v>
      </c>
      <c r="AQ385">
        <v>2.85196032489847</v>
      </c>
      <c r="AR385">
        <v>3.05092592592593</v>
      </c>
      <c r="AS385">
        <v>3.2247952028879898</v>
      </c>
      <c r="AT385">
        <v>3.36675170953521</v>
      </c>
      <c r="AU385">
        <v>3.48119945156028</v>
      </c>
      <c r="AV385">
        <v>3.5717397341108699</v>
      </c>
      <c r="AW385">
        <v>3.6457183519039198</v>
      </c>
      <c r="AX385">
        <v>3.70923582908119</v>
      </c>
      <c r="AY385">
        <v>3.7652599881981299</v>
      </c>
      <c r="AZ385">
        <v>3.8141292651601901</v>
      </c>
      <c r="BA385">
        <v>0</v>
      </c>
      <c r="BB385">
        <v>0</v>
      </c>
      <c r="BC385">
        <v>0</v>
      </c>
      <c r="BD385">
        <v>0</v>
      </c>
      <c r="BE385">
        <v>0</v>
      </c>
      <c r="BF385">
        <v>0</v>
      </c>
      <c r="BG385">
        <v>0</v>
      </c>
      <c r="BH385">
        <v>0</v>
      </c>
      <c r="BJ385" t="s">
        <v>357</v>
      </c>
      <c r="BL385">
        <v>0.80</v>
      </c>
      <c r="BM385">
        <v>0.79756097560975603</v>
      </c>
      <c r="BN385">
        <v>0.78536585365853595</v>
      </c>
      <c r="BO385">
        <v>0.77317073170731698</v>
      </c>
      <c r="BP385">
        <v>0.76097560975609702</v>
      </c>
      <c r="BQ385">
        <v>0.74878048780487805</v>
      </c>
      <c r="BR385">
        <v>0.73658536585365797</v>
      </c>
      <c r="BS385">
        <v>0.724390243902439</v>
      </c>
      <c r="BT385">
        <v>0.71219512195122003</v>
      </c>
      <c r="BU385">
        <v>0.69999999999999896</v>
      </c>
      <c r="BV385">
        <v>0.687499999999999</v>
      </c>
      <c r="BW385">
        <v>0.675</v>
      </c>
      <c r="BX385">
        <v>0.6625</v>
      </c>
      <c r="BY385">
        <v>0.64999999999999902</v>
      </c>
      <c r="BZ385">
        <v>0.63749999999999896</v>
      </c>
      <c r="CA385">
        <v>0.625</v>
      </c>
      <c r="CB385">
        <v>0.6125</v>
      </c>
      <c r="CC385">
        <v>0.60</v>
      </c>
      <c r="CD385" t="e">
        <v>#VALUE!</v>
      </c>
      <c r="CE385" t="e">
        <v>#VALUE!</v>
      </c>
      <c r="CF385" t="e">
        <v>#VALUE!</v>
      </c>
      <c r="CG385" t="e">
        <v>#VALUE!</v>
      </c>
      <c r="CH385" t="e">
        <v>#VALUE!</v>
      </c>
      <c r="CI385" t="e">
        <v>#VALUE!</v>
      </c>
      <c r="CJ385" t="e">
        <v>#VALUE!</v>
      </c>
      <c r="CK385" t="e">
        <v>#VALUE!</v>
      </c>
    </row>
    <row r="386" spans="1:89" ht="12.5">
      <c r="A386" t="s">
        <v>35</v>
      </c>
      <c r="B386" t="s">
        <v>356</v>
      </c>
      <c r="C386" t="s">
        <v>356</v>
      </c>
      <c r="D386">
        <v>67.56</v>
      </c>
      <c r="E386">
        <v>69.214567776076194</v>
      </c>
      <c r="F386"/>
      <c r="G386">
        <v>85.752468618241707</v>
      </c>
      <c r="H386">
        <v>99.672916596485095</v>
      </c>
      <c r="I386">
        <v>112.741047878221</v>
      </c>
      <c r="J386">
        <v>124.18409001127</v>
      </c>
      <c r="K386">
        <v>134.533676540345</v>
      </c>
      <c r="L386">
        <v>143.720615093075</v>
      </c>
      <c r="M386">
        <v>152.04673370007899</v>
      </c>
      <c r="N386">
        <v>159.471959304921</v>
      </c>
      <c r="O386">
        <v>165.72006283696999</v>
      </c>
      <c r="P386">
        <v>170.64422136862501</v>
      </c>
      <c r="Q386">
        <v>174.48724989448701</v>
      </c>
      <c r="R386">
        <v>177.43703238537501</v>
      </c>
      <c r="S386">
        <v>179.779916792889</v>
      </c>
      <c r="T386">
        <v>181.73754997714499</v>
      </c>
      <c r="U386">
        <v>183.41883623273699</v>
      </c>
      <c r="V386">
        <v>184.847191130303</v>
      </c>
      <c r="W386">
        <v>5</v>
      </c>
      <c r="AG386" s="130" t="s">
        <v>342</v>
      </c>
      <c r="AI386">
        <v>1</v>
      </c>
      <c r="AJ386">
        <v>1.0307065500364501</v>
      </c>
      <c r="AK386">
        <v>1.3442847721198199</v>
      </c>
      <c r="AL386">
        <v>1.6265273004963701</v>
      </c>
      <c r="AM386">
        <v>1.90676524697143</v>
      </c>
      <c r="AN386">
        <v>2.16523048352945</v>
      </c>
      <c r="AO386">
        <v>2.4102146898538699</v>
      </c>
      <c r="AP386">
        <v>2.6374223332986202</v>
      </c>
      <c r="AQ386">
        <v>2.85196032489847</v>
      </c>
      <c r="AR386">
        <v>3.05092592592593</v>
      </c>
      <c r="AS386">
        <v>3.2247952028879898</v>
      </c>
      <c r="AT386">
        <v>3.36675170953521</v>
      </c>
      <c r="AU386">
        <v>3.48119945156028</v>
      </c>
      <c r="AV386">
        <v>3.5717397341108699</v>
      </c>
      <c r="AW386">
        <v>3.6457183519039198</v>
      </c>
      <c r="AX386">
        <v>3.70923582908119</v>
      </c>
      <c r="AY386">
        <v>3.7652599881981299</v>
      </c>
      <c r="AZ386">
        <v>3.8141292651601901</v>
      </c>
      <c r="BA386">
        <v>0</v>
      </c>
      <c r="BB386">
        <v>0</v>
      </c>
      <c r="BC386">
        <v>0</v>
      </c>
      <c r="BD386">
        <v>0</v>
      </c>
      <c r="BE386">
        <v>0</v>
      </c>
      <c r="BF386">
        <v>0</v>
      </c>
      <c r="BG386">
        <v>0</v>
      </c>
      <c r="BH386">
        <v>0</v>
      </c>
      <c r="BJ386" t="s">
        <v>357</v>
      </c>
      <c r="BL386">
        <v>0.80</v>
      </c>
      <c r="BM386">
        <v>0.79756097560975603</v>
      </c>
      <c r="BN386">
        <v>0.78536585365853595</v>
      </c>
      <c r="BO386">
        <v>0.77317073170731698</v>
      </c>
      <c r="BP386">
        <v>0.76097560975609702</v>
      </c>
      <c r="BQ386">
        <v>0.74878048780487805</v>
      </c>
      <c r="BR386">
        <v>0.73658536585365797</v>
      </c>
      <c r="BS386">
        <v>0.724390243902439</v>
      </c>
      <c r="BT386">
        <v>0.71219512195122003</v>
      </c>
      <c r="BU386">
        <v>0.69999999999999896</v>
      </c>
      <c r="BV386">
        <v>0.687499999999999</v>
      </c>
      <c r="BW386">
        <v>0.675</v>
      </c>
      <c r="BX386">
        <v>0.6625</v>
      </c>
      <c r="BY386">
        <v>0.64999999999999902</v>
      </c>
      <c r="BZ386">
        <v>0.63749999999999896</v>
      </c>
      <c r="CA386">
        <v>0.625</v>
      </c>
      <c r="CB386">
        <v>0.6125</v>
      </c>
      <c r="CC386">
        <v>0.60</v>
      </c>
      <c r="CD386" t="e">
        <v>#VALUE!</v>
      </c>
      <c r="CE386" t="e">
        <v>#VALUE!</v>
      </c>
      <c r="CF386" t="e">
        <v>#VALUE!</v>
      </c>
      <c r="CG386" t="e">
        <v>#VALUE!</v>
      </c>
      <c r="CH386" t="e">
        <v>#VALUE!</v>
      </c>
      <c r="CI386" t="e">
        <v>#VALUE!</v>
      </c>
      <c r="CJ386" t="e">
        <v>#VALUE!</v>
      </c>
      <c r="CK386" t="e">
        <v>#VALUE!</v>
      </c>
    </row>
    <row r="387" spans="1:89" ht="12.5">
      <c r="A387" t="s">
        <v>36</v>
      </c>
      <c r="B387" t="s">
        <v>341</v>
      </c>
      <c r="C387" t="s">
        <v>341</v>
      </c>
      <c r="E387" s="2">
        <v>36.922619479913202</v>
      </c>
      <c r="F387" s="2">
        <f>E387</f>
        <v>36.922619479913202</v>
      </c>
      <c r="I387" s="2">
        <f>F387</f>
        <v>36.922619479913202</v>
      </c>
      <c r="J387" s="2">
        <f>I387</f>
        <v>36.922619479913202</v>
      </c>
      <c r="L387" s="2">
        <f>J387</f>
        <v>36.922619479913202</v>
      </c>
      <c r="V387" s="2">
        <f>L387</f>
        <v>36.922619479913202</v>
      </c>
      <c r="W387">
        <v>5</v>
      </c>
      <c r="AG387" s="130" t="s">
        <v>342</v>
      </c>
      <c r="AI387">
        <v>1</v>
      </c>
      <c r="AJ387">
        <v>0.99314839621828899</v>
      </c>
      <c r="AK387">
        <v>1.15302533912728</v>
      </c>
      <c r="AL387">
        <v>1.2560518663510301</v>
      </c>
      <c r="AM387">
        <v>1.37359173441292</v>
      </c>
      <c r="AN387">
        <v>1.5125359027899501</v>
      </c>
      <c r="AO387">
        <v>1.6700218015700701</v>
      </c>
      <c r="AP387">
        <v>1.83787012917579</v>
      </c>
      <c r="AQ387">
        <v>2.0126502570743701</v>
      </c>
      <c r="AR387">
        <v>2.1967680806004601</v>
      </c>
      <c r="AS387">
        <v>2.3885862543179899</v>
      </c>
      <c r="AT387">
        <v>2.57939454604319</v>
      </c>
      <c r="AU387">
        <v>2.7648267012798802</v>
      </c>
      <c r="AV387">
        <v>2.9416303059645399</v>
      </c>
      <c r="AW387">
        <v>3.1085244435995798</v>
      </c>
      <c r="AX387">
        <v>3.2653160485099799</v>
      </c>
      <c r="AY387">
        <v>3.4113108268260302</v>
      </c>
      <c r="AZ387">
        <v>3.54350512218087</v>
      </c>
      <c r="BA387">
        <v>0</v>
      </c>
      <c r="BB387">
        <v>0</v>
      </c>
      <c r="BC387">
        <v>0</v>
      </c>
      <c r="BD387">
        <v>0</v>
      </c>
      <c r="BE387">
        <v>0</v>
      </c>
      <c r="BF387">
        <v>0</v>
      </c>
      <c r="BG387">
        <v>0</v>
      </c>
      <c r="BH387">
        <v>0</v>
      </c>
      <c r="BJ387" t="s">
        <v>357</v>
      </c>
      <c r="BL387">
        <v>0.80</v>
      </c>
      <c r="BM387">
        <v>0.79756097560975603</v>
      </c>
      <c r="BN387">
        <v>0.78536585365853595</v>
      </c>
      <c r="BO387">
        <v>0.77317073170731698</v>
      </c>
      <c r="BP387">
        <v>0.76097560975609702</v>
      </c>
      <c r="BQ387">
        <v>0.74878048780487805</v>
      </c>
      <c r="BR387">
        <v>0.73658536585365797</v>
      </c>
      <c r="BS387">
        <v>0.724390243902439</v>
      </c>
      <c r="BT387">
        <v>0.71219512195122003</v>
      </c>
      <c r="BU387">
        <v>0.69999999999999896</v>
      </c>
      <c r="BV387">
        <v>0.687499999999999</v>
      </c>
      <c r="BW387">
        <v>0.675</v>
      </c>
      <c r="BX387">
        <v>0.6625</v>
      </c>
      <c r="BY387">
        <v>0.64999999999999902</v>
      </c>
      <c r="BZ387">
        <v>0.63749999999999896</v>
      </c>
      <c r="CA387">
        <v>0.625</v>
      </c>
      <c r="CB387">
        <v>0.6125</v>
      </c>
      <c r="CC387">
        <v>0.60</v>
      </c>
      <c r="CD387" t="e">
        <v>#VALUE!</v>
      </c>
      <c r="CE387" t="e">
        <v>#VALUE!</v>
      </c>
      <c r="CF387" t="e">
        <v>#VALUE!</v>
      </c>
      <c r="CG387" t="e">
        <v>#VALUE!</v>
      </c>
      <c r="CH387" t="e">
        <v>#VALUE!</v>
      </c>
      <c r="CI387" t="e">
        <v>#VALUE!</v>
      </c>
      <c r="CJ387" t="e">
        <v>#VALUE!</v>
      </c>
      <c r="CK387" t="e">
        <v>#VALUE!</v>
      </c>
    </row>
    <row r="388" spans="1:89" ht="12.5">
      <c r="A388" t="s">
        <v>36</v>
      </c>
      <c r="B388" t="s">
        <v>344</v>
      </c>
      <c r="C388" t="s">
        <v>344</v>
      </c>
      <c r="E388" s="2">
        <v>490.54387157109602</v>
      </c>
      <c r="F388" s="2">
        <f>E388</f>
        <v>490.54387157109602</v>
      </c>
      <c r="I388" s="2">
        <f>F388</f>
        <v>490.54387157109602</v>
      </c>
      <c r="J388" s="2">
        <f>I388</f>
        <v>490.54387157109602</v>
      </c>
      <c r="L388" s="2">
        <f>J388</f>
        <v>490.54387157109602</v>
      </c>
      <c r="V388" s="2">
        <f>L388</f>
        <v>490.54387157109602</v>
      </c>
      <c r="W388">
        <v>5</v>
      </c>
      <c r="AG388" s="130" t="s">
        <v>342</v>
      </c>
      <c r="AI388">
        <v>1</v>
      </c>
      <c r="AJ388">
        <v>0.99314839621828899</v>
      </c>
      <c r="AK388">
        <v>1.15302533912728</v>
      </c>
      <c r="AL388">
        <v>1.2560518663510301</v>
      </c>
      <c r="AM388">
        <v>1.37359173441292</v>
      </c>
      <c r="AN388">
        <v>1.5125359027899501</v>
      </c>
      <c r="AO388">
        <v>1.6700218015700701</v>
      </c>
      <c r="AP388">
        <v>1.83787012917579</v>
      </c>
      <c r="AQ388">
        <v>2.0126502570743701</v>
      </c>
      <c r="AR388">
        <v>2.1967680806004601</v>
      </c>
      <c r="AS388">
        <v>2.3885862543179899</v>
      </c>
      <c r="AT388">
        <v>2.57939454604319</v>
      </c>
      <c r="AU388">
        <v>2.7648267012798802</v>
      </c>
      <c r="AV388">
        <v>2.9416303059645399</v>
      </c>
      <c r="AW388">
        <v>3.1085244435995798</v>
      </c>
      <c r="AX388">
        <v>3.2653160485099799</v>
      </c>
      <c r="AY388">
        <v>3.4113108268260302</v>
      </c>
      <c r="AZ388">
        <v>3.54350512218087</v>
      </c>
      <c r="BA388">
        <v>0</v>
      </c>
      <c r="BB388">
        <v>0</v>
      </c>
      <c r="BC388">
        <v>0</v>
      </c>
      <c r="BD388">
        <v>0</v>
      </c>
      <c r="BE388">
        <v>0</v>
      </c>
      <c r="BF388">
        <v>0</v>
      </c>
      <c r="BG388">
        <v>0</v>
      </c>
      <c r="BH388">
        <v>0</v>
      </c>
      <c r="BJ388" t="s">
        <v>357</v>
      </c>
      <c r="BL388">
        <v>0.80</v>
      </c>
      <c r="BM388">
        <v>0.79756097560975603</v>
      </c>
      <c r="BN388">
        <v>0.78536585365853595</v>
      </c>
      <c r="BO388">
        <v>0.77317073170731698</v>
      </c>
      <c r="BP388">
        <v>0.76097560975609702</v>
      </c>
      <c r="BQ388">
        <v>0.74878048780487805</v>
      </c>
      <c r="BR388">
        <v>0.73658536585365797</v>
      </c>
      <c r="BS388">
        <v>0.724390243902439</v>
      </c>
      <c r="BT388">
        <v>0.71219512195122003</v>
      </c>
      <c r="BU388">
        <v>0.69999999999999896</v>
      </c>
      <c r="BV388">
        <v>0.687499999999999</v>
      </c>
      <c r="BW388">
        <v>0.675</v>
      </c>
      <c r="BX388">
        <v>0.6625</v>
      </c>
      <c r="BY388">
        <v>0.64999999999999902</v>
      </c>
      <c r="BZ388">
        <v>0.63749999999999896</v>
      </c>
      <c r="CA388">
        <v>0.625</v>
      </c>
      <c r="CB388">
        <v>0.6125</v>
      </c>
      <c r="CC388">
        <v>0.60</v>
      </c>
      <c r="CD388" t="e">
        <v>#VALUE!</v>
      </c>
      <c r="CE388" t="e">
        <v>#VALUE!</v>
      </c>
      <c r="CF388" t="e">
        <v>#VALUE!</v>
      </c>
      <c r="CG388" t="e">
        <v>#VALUE!</v>
      </c>
      <c r="CH388" t="e">
        <v>#VALUE!</v>
      </c>
      <c r="CI388" t="e">
        <v>#VALUE!</v>
      </c>
      <c r="CJ388" t="e">
        <v>#VALUE!</v>
      </c>
      <c r="CK388" t="e">
        <v>#VALUE!</v>
      </c>
    </row>
    <row r="389" spans="1:89" ht="12.5">
      <c r="A389" t="s">
        <v>36</v>
      </c>
      <c r="B389" t="s">
        <v>345</v>
      </c>
      <c r="C389" t="s">
        <v>345</v>
      </c>
      <c r="E389" s="2">
        <v>24.6033770922968</v>
      </c>
      <c r="I389" s="2">
        <v>31.738447115373301</v>
      </c>
      <c r="J389" s="2">
        <v>34.142382818710601</v>
      </c>
      <c r="L389" s="2">
        <v>39.437299543447303</v>
      </c>
      <c r="V389" s="2">
        <v>61.372046725486499</v>
      </c>
      <c r="W389">
        <v>5</v>
      </c>
      <c r="AG389" s="130" t="s">
        <v>342</v>
      </c>
      <c r="AI389">
        <v>1</v>
      </c>
      <c r="AJ389">
        <v>0.99314839621828899</v>
      </c>
      <c r="AK389">
        <v>1.15302533912728</v>
      </c>
      <c r="AL389">
        <v>1.2560518663510301</v>
      </c>
      <c r="AM389">
        <v>1.37359173441292</v>
      </c>
      <c r="AN389">
        <v>1.5125359027899501</v>
      </c>
      <c r="AO389">
        <v>1.6700218015700701</v>
      </c>
      <c r="AP389">
        <v>1.83787012917579</v>
      </c>
      <c r="AQ389">
        <v>2.0126502570743701</v>
      </c>
      <c r="AR389">
        <v>2.1967680806004601</v>
      </c>
      <c r="AS389">
        <v>2.3885862543179899</v>
      </c>
      <c r="AT389">
        <v>2.57939454604319</v>
      </c>
      <c r="AU389">
        <v>2.7648267012798802</v>
      </c>
      <c r="AV389">
        <v>2.9416303059645399</v>
      </c>
      <c r="AW389">
        <v>3.1085244435995798</v>
      </c>
      <c r="AX389">
        <v>3.2653160485099799</v>
      </c>
      <c r="AY389">
        <v>3.4113108268260302</v>
      </c>
      <c r="AZ389">
        <v>3.54350512218087</v>
      </c>
      <c r="BA389">
        <v>0</v>
      </c>
      <c r="BB389">
        <v>0</v>
      </c>
      <c r="BC389">
        <v>0</v>
      </c>
      <c r="BD389">
        <v>0</v>
      </c>
      <c r="BE389">
        <v>0</v>
      </c>
      <c r="BF389">
        <v>0</v>
      </c>
      <c r="BG389">
        <v>0</v>
      </c>
      <c r="BH389">
        <v>0</v>
      </c>
      <c r="BJ389" t="s">
        <v>357</v>
      </c>
      <c r="BL389">
        <v>0.80</v>
      </c>
      <c r="BM389">
        <v>0.79756097560975603</v>
      </c>
      <c r="BN389">
        <v>0.78536585365853595</v>
      </c>
      <c r="BO389">
        <v>0.77317073170731698</v>
      </c>
      <c r="BP389">
        <v>0.76097560975609702</v>
      </c>
      <c r="BQ389">
        <v>0.74878048780487805</v>
      </c>
      <c r="BR389">
        <v>0.73658536585365797</v>
      </c>
      <c r="BS389">
        <v>0.724390243902439</v>
      </c>
      <c r="BT389">
        <v>0.71219512195122003</v>
      </c>
      <c r="BU389">
        <v>0.69999999999999896</v>
      </c>
      <c r="BV389">
        <v>0.687499999999999</v>
      </c>
      <c r="BW389">
        <v>0.675</v>
      </c>
      <c r="BX389">
        <v>0.6625</v>
      </c>
      <c r="BY389">
        <v>0.64999999999999902</v>
      </c>
      <c r="BZ389">
        <v>0.63749999999999896</v>
      </c>
      <c r="CA389">
        <v>0.625</v>
      </c>
      <c r="CB389">
        <v>0.6125</v>
      </c>
      <c r="CC389">
        <v>0.60</v>
      </c>
      <c r="CD389" t="e">
        <v>#VALUE!</v>
      </c>
      <c r="CE389" t="e">
        <v>#VALUE!</v>
      </c>
      <c r="CF389" t="e">
        <v>#VALUE!</v>
      </c>
      <c r="CG389" t="e">
        <v>#VALUE!</v>
      </c>
      <c r="CH389" t="e">
        <v>#VALUE!</v>
      </c>
      <c r="CI389" t="e">
        <v>#VALUE!</v>
      </c>
      <c r="CJ389" t="e">
        <v>#VALUE!</v>
      </c>
      <c r="CK389" t="e">
        <v>#VALUE!</v>
      </c>
    </row>
    <row r="390" spans="1:89" ht="12.5">
      <c r="A390" t="s">
        <v>36</v>
      </c>
      <c r="B390" t="s">
        <v>346</v>
      </c>
      <c r="C390" t="s">
        <v>346</v>
      </c>
      <c r="E390" s="2">
        <v>23.108969963502901</v>
      </c>
      <c r="I390" s="2">
        <v>23.813422809077402</v>
      </c>
      <c r="J390" s="2">
        <v>24.0593576107348</v>
      </c>
      <c r="L390" s="2">
        <v>24.6177722207965</v>
      </c>
      <c r="V390" s="2">
        <v>25.7219062863884</v>
      </c>
      <c r="W390">
        <v>5</v>
      </c>
      <c r="AG390" s="130" t="s">
        <v>347</v>
      </c>
      <c r="AI390">
        <v>1</v>
      </c>
      <c r="AJ390">
        <v>1.00266957936856</v>
      </c>
      <c r="AK390">
        <v>1.0160174762113601</v>
      </c>
      <c r="AL390">
        <v>1.02907923907903</v>
      </c>
      <c r="AM390">
        <v>1.04231114578066</v>
      </c>
      <c r="AN390">
        <v>1.0566872439317301</v>
      </c>
      <c r="AO390">
        <v>1.07279320512051</v>
      </c>
      <c r="AP390">
        <v>1.0903423562311301</v>
      </c>
      <c r="AQ390">
        <v>1.1045989298739101</v>
      </c>
      <c r="AR390">
        <v>1.1164194709338799</v>
      </c>
      <c r="AS390">
        <v>1.1267827594841999</v>
      </c>
      <c r="AT390">
        <v>1.1373128072626799</v>
      </c>
      <c r="AU390">
        <v>1.1478095181716499</v>
      </c>
      <c r="AV390">
        <v>1.1565182137229499</v>
      </c>
      <c r="AW390">
        <v>1.1619324298376801</v>
      </c>
      <c r="AX390">
        <v>1.16407094658516</v>
      </c>
      <c r="AY390">
        <v>1.1640808308321799</v>
      </c>
      <c r="AZ390">
        <v>1.1628053286586699</v>
      </c>
      <c r="BA390">
        <v>0</v>
      </c>
      <c r="BB390">
        <v>0</v>
      </c>
      <c r="BC390">
        <v>0</v>
      </c>
      <c r="BD390">
        <v>0</v>
      </c>
      <c r="BE390">
        <v>0</v>
      </c>
      <c r="BF390">
        <v>0</v>
      </c>
      <c r="BG390">
        <v>0</v>
      </c>
      <c r="BH390">
        <v>0</v>
      </c>
      <c r="BJ390" t="s">
        <v>357</v>
      </c>
      <c r="BL390">
        <v>0.80</v>
      </c>
      <c r="BM390">
        <v>0.79756097560975603</v>
      </c>
      <c r="BN390">
        <v>0.78536585365853595</v>
      </c>
      <c r="BO390">
        <v>0.77317073170731698</v>
      </c>
      <c r="BP390">
        <v>0.76097560975609702</v>
      </c>
      <c r="BQ390">
        <v>0.74878048780487805</v>
      </c>
      <c r="BR390">
        <v>0.73658536585365797</v>
      </c>
      <c r="BS390">
        <v>0.724390243902439</v>
      </c>
      <c r="BT390">
        <v>0.71219512195122003</v>
      </c>
      <c r="BU390">
        <v>0.69999999999999896</v>
      </c>
      <c r="BV390">
        <v>0.687499999999999</v>
      </c>
      <c r="BW390">
        <v>0.675</v>
      </c>
      <c r="BX390">
        <v>0.6625</v>
      </c>
      <c r="BY390">
        <v>0.64999999999999902</v>
      </c>
      <c r="BZ390">
        <v>0.63749999999999896</v>
      </c>
      <c r="CA390">
        <v>0.625</v>
      </c>
      <c r="CB390">
        <v>0.6125</v>
      </c>
      <c r="CC390">
        <v>0.60</v>
      </c>
      <c r="CD390" t="e">
        <v>#VALUE!</v>
      </c>
      <c r="CE390" t="e">
        <v>#VALUE!</v>
      </c>
      <c r="CF390" t="e">
        <v>#VALUE!</v>
      </c>
      <c r="CG390" t="e">
        <v>#VALUE!</v>
      </c>
      <c r="CH390" t="e">
        <v>#VALUE!</v>
      </c>
      <c r="CI390" t="e">
        <v>#VALUE!</v>
      </c>
      <c r="CJ390" t="e">
        <v>#VALUE!</v>
      </c>
      <c r="CK390" t="e">
        <v>#VALUE!</v>
      </c>
    </row>
    <row r="391" spans="1:89" ht="12.5">
      <c r="A391" t="s">
        <v>36</v>
      </c>
      <c r="B391" t="s">
        <v>348</v>
      </c>
      <c r="C391" t="s">
        <v>348</v>
      </c>
      <c r="E391" s="2">
        <v>36.975809405883297</v>
      </c>
      <c r="F391" s="2">
        <f>E391</f>
        <v>36.975809405883297</v>
      </c>
      <c r="I391" s="2">
        <f>F391</f>
        <v>36.975809405883297</v>
      </c>
      <c r="J391" s="2">
        <f>I391</f>
        <v>36.975809405883297</v>
      </c>
      <c r="L391" s="2">
        <f>J391</f>
        <v>36.975809405883297</v>
      </c>
      <c r="V391" s="2">
        <f>L391</f>
        <v>36.975809405883297</v>
      </c>
      <c r="W391">
        <v>5</v>
      </c>
      <c r="AG391" s="130" t="s">
        <v>342</v>
      </c>
      <c r="AI391">
        <v>1</v>
      </c>
      <c r="AJ391">
        <v>0.99314839621828899</v>
      </c>
      <c r="AK391">
        <v>1.15302533912728</v>
      </c>
      <c r="AL391">
        <v>1.2560518663510301</v>
      </c>
      <c r="AM391">
        <v>1.37359173441292</v>
      </c>
      <c r="AN391">
        <v>1.5125359027899501</v>
      </c>
      <c r="AO391">
        <v>1.6700218015700701</v>
      </c>
      <c r="AP391">
        <v>1.83787012917579</v>
      </c>
      <c r="AQ391">
        <v>2.0126502570743701</v>
      </c>
      <c r="AR391">
        <v>2.1967680806004601</v>
      </c>
      <c r="AS391">
        <v>2.3885862543179899</v>
      </c>
      <c r="AT391">
        <v>2.57939454604319</v>
      </c>
      <c r="AU391">
        <v>2.7648267012798802</v>
      </c>
      <c r="AV391">
        <v>2.9416303059645399</v>
      </c>
      <c r="AW391">
        <v>3.1085244435995798</v>
      </c>
      <c r="AX391">
        <v>3.2653160485099799</v>
      </c>
      <c r="AY391">
        <v>3.4113108268260302</v>
      </c>
      <c r="AZ391">
        <v>3.54350512218087</v>
      </c>
      <c r="BA391">
        <v>0</v>
      </c>
      <c r="BB391">
        <v>0</v>
      </c>
      <c r="BC391">
        <v>0</v>
      </c>
      <c r="BD391">
        <v>0</v>
      </c>
      <c r="BE391">
        <v>0</v>
      </c>
      <c r="BF391">
        <v>0</v>
      </c>
      <c r="BG391">
        <v>0</v>
      </c>
      <c r="BH391">
        <v>0</v>
      </c>
      <c r="BJ391" t="s">
        <v>357</v>
      </c>
      <c r="BL391">
        <v>0.80</v>
      </c>
      <c r="BM391">
        <v>0.79756097560975603</v>
      </c>
      <c r="BN391">
        <v>0.78536585365853595</v>
      </c>
      <c r="BO391">
        <v>0.77317073170731698</v>
      </c>
      <c r="BP391">
        <v>0.76097560975609702</v>
      </c>
      <c r="BQ391">
        <v>0.74878048780487805</v>
      </c>
      <c r="BR391">
        <v>0.73658536585365797</v>
      </c>
      <c r="BS391">
        <v>0.724390243902439</v>
      </c>
      <c r="BT391">
        <v>0.71219512195122003</v>
      </c>
      <c r="BU391">
        <v>0.69999999999999896</v>
      </c>
      <c r="BV391">
        <v>0.687499999999999</v>
      </c>
      <c r="BW391">
        <v>0.675</v>
      </c>
      <c r="BX391">
        <v>0.6625</v>
      </c>
      <c r="BY391">
        <v>0.64999999999999902</v>
      </c>
      <c r="BZ391">
        <v>0.63749999999999896</v>
      </c>
      <c r="CA391">
        <v>0.625</v>
      </c>
      <c r="CB391">
        <v>0.6125</v>
      </c>
      <c r="CC391">
        <v>0.60</v>
      </c>
      <c r="CD391" t="e">
        <v>#VALUE!</v>
      </c>
      <c r="CE391" t="e">
        <v>#VALUE!</v>
      </c>
      <c r="CF391" t="e">
        <v>#VALUE!</v>
      </c>
      <c r="CG391" t="e">
        <v>#VALUE!</v>
      </c>
      <c r="CH391" t="e">
        <v>#VALUE!</v>
      </c>
      <c r="CI391" t="e">
        <v>#VALUE!</v>
      </c>
      <c r="CJ391" t="e">
        <v>#VALUE!</v>
      </c>
      <c r="CK391" t="e">
        <v>#VALUE!</v>
      </c>
    </row>
    <row r="392" spans="1:89" ht="12.5">
      <c r="A392" t="s">
        <v>36</v>
      </c>
      <c r="B392" t="s">
        <v>349</v>
      </c>
      <c r="C392" t="s">
        <v>349</v>
      </c>
      <c r="E392" s="2">
        <v>94.701473626264004</v>
      </c>
      <c r="F392" s="2">
        <f>E392</f>
        <v>94.701473626264004</v>
      </c>
      <c r="I392" s="2">
        <f>F392</f>
        <v>94.701473626264004</v>
      </c>
      <c r="J392" s="2">
        <f>I392</f>
        <v>94.701473626264004</v>
      </c>
      <c r="L392" s="2">
        <f>J392</f>
        <v>94.701473626264004</v>
      </c>
      <c r="V392" s="2">
        <f>L392</f>
        <v>94.701473626264004</v>
      </c>
      <c r="W392">
        <v>5</v>
      </c>
      <c r="AG392" s="130" t="s">
        <v>342</v>
      </c>
      <c r="AI392">
        <v>1</v>
      </c>
      <c r="AJ392">
        <v>0.99314839621828899</v>
      </c>
      <c r="AK392">
        <v>1.15302533912728</v>
      </c>
      <c r="AL392">
        <v>1.2560518663510301</v>
      </c>
      <c r="AM392">
        <v>1.37359173441292</v>
      </c>
      <c r="AN392">
        <v>1.5125359027899501</v>
      </c>
      <c r="AO392">
        <v>1.6700218015700701</v>
      </c>
      <c r="AP392">
        <v>1.83787012917579</v>
      </c>
      <c r="AQ392">
        <v>2.0126502570743701</v>
      </c>
      <c r="AR392">
        <v>2.1967680806004601</v>
      </c>
      <c r="AS392">
        <v>2.3885862543179899</v>
      </c>
      <c r="AT392">
        <v>2.57939454604319</v>
      </c>
      <c r="AU392">
        <v>2.7648267012798802</v>
      </c>
      <c r="AV392">
        <v>2.9416303059645399</v>
      </c>
      <c r="AW392">
        <v>3.1085244435995798</v>
      </c>
      <c r="AX392">
        <v>3.2653160485099799</v>
      </c>
      <c r="AY392">
        <v>3.4113108268260302</v>
      </c>
      <c r="AZ392">
        <v>3.54350512218087</v>
      </c>
      <c r="BA392">
        <v>0</v>
      </c>
      <c r="BB392">
        <v>0</v>
      </c>
      <c r="BC392">
        <v>0</v>
      </c>
      <c r="BD392">
        <v>0</v>
      </c>
      <c r="BE392">
        <v>0</v>
      </c>
      <c r="BF392">
        <v>0</v>
      </c>
      <c r="BG392">
        <v>0</v>
      </c>
      <c r="BH392">
        <v>0</v>
      </c>
      <c r="BJ392" t="s">
        <v>357</v>
      </c>
      <c r="BL392">
        <v>0.80</v>
      </c>
      <c r="BM392">
        <v>0.79756097560975603</v>
      </c>
      <c r="BN392">
        <v>0.78536585365853595</v>
      </c>
      <c r="BO392">
        <v>0.77317073170731698</v>
      </c>
      <c r="BP392">
        <v>0.76097560975609702</v>
      </c>
      <c r="BQ392">
        <v>0.74878048780487805</v>
      </c>
      <c r="BR392">
        <v>0.73658536585365797</v>
      </c>
      <c r="BS392">
        <v>0.724390243902439</v>
      </c>
      <c r="BT392">
        <v>0.71219512195122003</v>
      </c>
      <c r="BU392">
        <v>0.69999999999999896</v>
      </c>
      <c r="BV392">
        <v>0.687499999999999</v>
      </c>
      <c r="BW392">
        <v>0.675</v>
      </c>
      <c r="BX392">
        <v>0.6625</v>
      </c>
      <c r="BY392">
        <v>0.64999999999999902</v>
      </c>
      <c r="BZ392">
        <v>0.63749999999999896</v>
      </c>
      <c r="CA392">
        <v>0.625</v>
      </c>
      <c r="CB392">
        <v>0.6125</v>
      </c>
      <c r="CC392">
        <v>0.60</v>
      </c>
      <c r="CD392" t="e">
        <v>#VALUE!</v>
      </c>
      <c r="CE392" t="e">
        <v>#VALUE!</v>
      </c>
      <c r="CF392" t="e">
        <v>#VALUE!</v>
      </c>
      <c r="CG392" t="e">
        <v>#VALUE!</v>
      </c>
      <c r="CH392" t="e">
        <v>#VALUE!</v>
      </c>
      <c r="CI392" t="e">
        <v>#VALUE!</v>
      </c>
      <c r="CJ392" t="e">
        <v>#VALUE!</v>
      </c>
      <c r="CK392" t="e">
        <v>#VALUE!</v>
      </c>
    </row>
    <row r="393" spans="1:89" ht="12.5">
      <c r="A393" t="s">
        <v>36</v>
      </c>
      <c r="B393" t="s">
        <v>350</v>
      </c>
      <c r="C393" t="s">
        <v>350</v>
      </c>
      <c r="D393">
        <v>2.476</v>
      </c>
      <c r="E393">
        <v>2.4812717811583198</v>
      </c>
      <c r="F393"/>
      <c r="G393">
        <v>2.5072136556731</v>
      </c>
      <c r="H393">
        <v>2.5321347647971</v>
      </c>
      <c r="I393">
        <v>2.55691076332158</v>
      </c>
      <c r="J393">
        <v>2.58331743935782</v>
      </c>
      <c r="K393">
        <v>2.6123203140009199</v>
      </c>
      <c r="L393">
        <v>2.6432759064085398</v>
      </c>
      <c r="M393">
        <v>2.6678905623993101</v>
      </c>
      <c r="N393">
        <v>2.6878753155603201</v>
      </c>
      <c r="O393">
        <v>2.70502878644895</v>
      </c>
      <c r="P393">
        <v>2.7220921959069999</v>
      </c>
      <c r="Q393">
        <v>2.73873636118494</v>
      </c>
      <c r="R393">
        <v>2.7522429870768699</v>
      </c>
      <c r="S393">
        <v>2.7604568995981902</v>
      </c>
      <c r="T393">
        <v>2.7636322581425499</v>
      </c>
      <c r="U393">
        <v>2.7636466312438599</v>
      </c>
      <c r="V393">
        <v>2.76182972788546</v>
      </c>
      <c r="W393">
        <v>5</v>
      </c>
      <c r="AG393" s="130" t="s">
        <v>347</v>
      </c>
      <c r="AI393">
        <v>1</v>
      </c>
      <c r="AJ393">
        <v>1.00266957936856</v>
      </c>
      <c r="AK393">
        <v>1.0160174762113601</v>
      </c>
      <c r="AL393">
        <v>1.02907923907903</v>
      </c>
      <c r="AM393">
        <v>1.04231114578066</v>
      </c>
      <c r="AN393">
        <v>1.0566872439317301</v>
      </c>
      <c r="AO393">
        <v>1.07279320512051</v>
      </c>
      <c r="AP393">
        <v>1.0903423562311301</v>
      </c>
      <c r="AQ393">
        <v>1.1045989298739101</v>
      </c>
      <c r="AR393">
        <v>1.1164194709338799</v>
      </c>
      <c r="AS393">
        <v>1.1267827594841999</v>
      </c>
      <c r="AT393">
        <v>1.1373128072626799</v>
      </c>
      <c r="AU393">
        <v>1.1478095181716499</v>
      </c>
      <c r="AV393">
        <v>1.1565182137229499</v>
      </c>
      <c r="AW393">
        <v>1.1619324298376801</v>
      </c>
      <c r="AX393">
        <v>1.16407094658516</v>
      </c>
      <c r="AY393">
        <v>1.1640808308321799</v>
      </c>
      <c r="AZ393">
        <v>1.1628053286586699</v>
      </c>
      <c r="BA393">
        <v>0</v>
      </c>
      <c r="BB393">
        <v>0</v>
      </c>
      <c r="BC393">
        <v>0</v>
      </c>
      <c r="BD393">
        <v>0</v>
      </c>
      <c r="BE393">
        <v>0</v>
      </c>
      <c r="BF393">
        <v>0</v>
      </c>
      <c r="BG393">
        <v>0</v>
      </c>
      <c r="BH393">
        <v>0</v>
      </c>
      <c r="BJ393" t="s">
        <v>357</v>
      </c>
      <c r="BL393">
        <v>0.80</v>
      </c>
      <c r="BM393">
        <v>0.79756097560975603</v>
      </c>
      <c r="BN393">
        <v>0.78536585365853595</v>
      </c>
      <c r="BO393">
        <v>0.77317073170731698</v>
      </c>
      <c r="BP393">
        <v>0.76097560975609702</v>
      </c>
      <c r="BQ393">
        <v>0.74878048780487805</v>
      </c>
      <c r="BR393">
        <v>0.73658536585365797</v>
      </c>
      <c r="BS393">
        <v>0.724390243902439</v>
      </c>
      <c r="BT393">
        <v>0.71219512195122003</v>
      </c>
      <c r="BU393">
        <v>0.69999999999999896</v>
      </c>
      <c r="BV393">
        <v>0.687499999999999</v>
      </c>
      <c r="BW393">
        <v>0.675</v>
      </c>
      <c r="BX393">
        <v>0.6625</v>
      </c>
      <c r="BY393">
        <v>0.64999999999999902</v>
      </c>
      <c r="BZ393">
        <v>0.63749999999999896</v>
      </c>
      <c r="CA393">
        <v>0.625</v>
      </c>
      <c r="CB393">
        <v>0.6125</v>
      </c>
      <c r="CC393">
        <v>0.60</v>
      </c>
      <c r="CD393" t="e">
        <v>#VALUE!</v>
      </c>
      <c r="CE393" t="e">
        <v>#VALUE!</v>
      </c>
      <c r="CF393" t="e">
        <v>#VALUE!</v>
      </c>
      <c r="CG393" t="e">
        <v>#VALUE!</v>
      </c>
      <c r="CH393" t="e">
        <v>#VALUE!</v>
      </c>
      <c r="CI393" t="e">
        <v>#VALUE!</v>
      </c>
      <c r="CJ393" t="e">
        <v>#VALUE!</v>
      </c>
      <c r="CK393" t="e">
        <v>#VALUE!</v>
      </c>
    </row>
    <row r="394" spans="1:89" ht="12.5">
      <c r="A394" t="s">
        <v>36</v>
      </c>
      <c r="B394" t="s">
        <v>351</v>
      </c>
      <c r="C394" t="s">
        <v>351</v>
      </c>
      <c r="D394">
        <v>1.47</v>
      </c>
      <c r="E394">
        <v>1.4731298539187101</v>
      </c>
      <c r="F394"/>
      <c r="G394">
        <v>1.4885315322453401</v>
      </c>
      <c r="H394">
        <v>1.5033271826541701</v>
      </c>
      <c r="I394">
        <v>1.51803668097041</v>
      </c>
      <c r="J394">
        <v>1.53371431173505</v>
      </c>
      <c r="K394">
        <v>1.5509333043543401</v>
      </c>
      <c r="L394">
        <v>1.5693116245640299</v>
      </c>
      <c r="M394">
        <v>1.5839253338962</v>
      </c>
      <c r="N394">
        <v>1.5957902721622199</v>
      </c>
      <c r="O394">
        <v>1.60597427951533</v>
      </c>
      <c r="P394">
        <v>1.61610481744075</v>
      </c>
      <c r="Q394">
        <v>1.62598645029962</v>
      </c>
      <c r="R394">
        <v>1.6340053275456401</v>
      </c>
      <c r="S394">
        <v>1.63888192342865</v>
      </c>
      <c r="T394">
        <v>1.6407671322574899</v>
      </c>
      <c r="U394">
        <v>1.6407756655607699</v>
      </c>
      <c r="V394">
        <v>1.63969697091746</v>
      </c>
      <c r="W394">
        <v>5</v>
      </c>
      <c r="AG394" s="130" t="s">
        <v>347</v>
      </c>
      <c r="AI394">
        <v>1</v>
      </c>
      <c r="AJ394">
        <v>1.00266957936856</v>
      </c>
      <c r="AK394">
        <v>1.0160174762113601</v>
      </c>
      <c r="AL394">
        <v>1.02907923907903</v>
      </c>
      <c r="AM394">
        <v>1.04231114578066</v>
      </c>
      <c r="AN394">
        <v>1.0566872439317301</v>
      </c>
      <c r="AO394">
        <v>1.07279320512051</v>
      </c>
      <c r="AP394">
        <v>1.0903423562311301</v>
      </c>
      <c r="AQ394">
        <v>1.1045989298739101</v>
      </c>
      <c r="AR394">
        <v>1.1164194709338799</v>
      </c>
      <c r="AS394">
        <v>1.1267827594841999</v>
      </c>
      <c r="AT394">
        <v>1.1373128072626799</v>
      </c>
      <c r="AU394">
        <v>1.1478095181716499</v>
      </c>
      <c r="AV394">
        <v>1.1565182137229499</v>
      </c>
      <c r="AW394">
        <v>1.1619324298376801</v>
      </c>
      <c r="AX394">
        <v>1.16407094658516</v>
      </c>
      <c r="AY394">
        <v>1.1640808308321799</v>
      </c>
      <c r="AZ394">
        <v>1.1628053286586699</v>
      </c>
      <c r="BA394">
        <v>0</v>
      </c>
      <c r="BB394">
        <v>0</v>
      </c>
      <c r="BC394">
        <v>0</v>
      </c>
      <c r="BD394">
        <v>0</v>
      </c>
      <c r="BE394">
        <v>0</v>
      </c>
      <c r="BF394">
        <v>0</v>
      </c>
      <c r="BG394">
        <v>0</v>
      </c>
      <c r="BH394">
        <v>0</v>
      </c>
      <c r="BJ394" t="s">
        <v>357</v>
      </c>
      <c r="BL394">
        <v>0.80</v>
      </c>
      <c r="BM394">
        <v>0.79756097560975603</v>
      </c>
      <c r="BN394">
        <v>0.78536585365853595</v>
      </c>
      <c r="BO394">
        <v>0.77317073170731698</v>
      </c>
      <c r="BP394">
        <v>0.76097560975609702</v>
      </c>
      <c r="BQ394">
        <v>0.74878048780487805</v>
      </c>
      <c r="BR394">
        <v>0.73658536585365797</v>
      </c>
      <c r="BS394">
        <v>0.724390243902439</v>
      </c>
      <c r="BT394">
        <v>0.71219512195122003</v>
      </c>
      <c r="BU394">
        <v>0.69999999999999896</v>
      </c>
      <c r="BV394">
        <v>0.687499999999999</v>
      </c>
      <c r="BW394">
        <v>0.675</v>
      </c>
      <c r="BX394">
        <v>0.6625</v>
      </c>
      <c r="BY394">
        <v>0.64999999999999902</v>
      </c>
      <c r="BZ394">
        <v>0.63749999999999896</v>
      </c>
      <c r="CA394">
        <v>0.625</v>
      </c>
      <c r="CB394">
        <v>0.6125</v>
      </c>
      <c r="CC394">
        <v>0.60</v>
      </c>
      <c r="CD394" t="e">
        <v>#VALUE!</v>
      </c>
      <c r="CE394" t="e">
        <v>#VALUE!</v>
      </c>
      <c r="CF394" t="e">
        <v>#VALUE!</v>
      </c>
      <c r="CG394" t="e">
        <v>#VALUE!</v>
      </c>
      <c r="CH394" t="e">
        <v>#VALUE!</v>
      </c>
      <c r="CI394" t="e">
        <v>#VALUE!</v>
      </c>
      <c r="CJ394" t="e">
        <v>#VALUE!</v>
      </c>
      <c r="CK394" t="e">
        <v>#VALUE!</v>
      </c>
    </row>
    <row r="395" spans="1:89" ht="12.5">
      <c r="A395" t="s">
        <v>36</v>
      </c>
      <c r="B395" t="s">
        <v>352</v>
      </c>
      <c r="C395" t="s">
        <v>352</v>
      </c>
      <c r="D395">
        <v>3.15</v>
      </c>
      <c r="E395">
        <v>3.1567068298258198</v>
      </c>
      <c r="F395"/>
      <c r="G395">
        <v>3.18971042624</v>
      </c>
      <c r="H395">
        <v>3.2214153914018002</v>
      </c>
      <c r="I395">
        <v>3.2529357449365901</v>
      </c>
      <c r="J395">
        <v>3.2865306680036901</v>
      </c>
      <c r="K395">
        <v>3.3234285093307299</v>
      </c>
      <c r="L395">
        <v>3.3628106240657898</v>
      </c>
      <c r="M395">
        <v>3.39412571549185</v>
      </c>
      <c r="N395">
        <v>3.4195505832047601</v>
      </c>
      <c r="O395">
        <v>3.4413734561042801</v>
      </c>
      <c r="P395">
        <v>3.46308175165874</v>
      </c>
      <c r="Q395">
        <v>3.4842566792134702</v>
      </c>
      <c r="R395">
        <v>3.5014399875977902</v>
      </c>
      <c r="S395">
        <v>3.51188983591853</v>
      </c>
      <c r="T395">
        <v>3.5159295691231902</v>
      </c>
      <c r="U395">
        <v>3.51594785477308</v>
      </c>
      <c r="V395">
        <v>3.5136363662517001</v>
      </c>
      <c r="W395">
        <v>5</v>
      </c>
      <c r="AG395" s="130" t="s">
        <v>347</v>
      </c>
      <c r="AI395">
        <v>1</v>
      </c>
      <c r="AJ395">
        <v>1.00266957936856</v>
      </c>
      <c r="AK395">
        <v>1.0160174762113601</v>
      </c>
      <c r="AL395">
        <v>1.02907923907903</v>
      </c>
      <c r="AM395">
        <v>1.04231114578066</v>
      </c>
      <c r="AN395">
        <v>1.0566872439317301</v>
      </c>
      <c r="AO395">
        <v>1.07279320512051</v>
      </c>
      <c r="AP395">
        <v>1.0903423562311301</v>
      </c>
      <c r="AQ395">
        <v>1.1045989298739101</v>
      </c>
      <c r="AR395">
        <v>1.1164194709338799</v>
      </c>
      <c r="AS395">
        <v>1.1267827594841999</v>
      </c>
      <c r="AT395">
        <v>1.1373128072626799</v>
      </c>
      <c r="AU395">
        <v>1.1478095181716499</v>
      </c>
      <c r="AV395">
        <v>1.1565182137229499</v>
      </c>
      <c r="AW395">
        <v>1.1619324298376801</v>
      </c>
      <c r="AX395">
        <v>1.16407094658516</v>
      </c>
      <c r="AY395">
        <v>1.1640808308321799</v>
      </c>
      <c r="AZ395">
        <v>1.1628053286586699</v>
      </c>
      <c r="BA395">
        <v>0</v>
      </c>
      <c r="BB395">
        <v>0</v>
      </c>
      <c r="BC395">
        <v>0</v>
      </c>
      <c r="BD395">
        <v>0</v>
      </c>
      <c r="BE395">
        <v>0</v>
      </c>
      <c r="BF395">
        <v>0</v>
      </c>
      <c r="BG395">
        <v>0</v>
      </c>
      <c r="BH395">
        <v>0</v>
      </c>
      <c r="BJ395" t="s">
        <v>357</v>
      </c>
      <c r="BL395">
        <v>0.80</v>
      </c>
      <c r="BM395">
        <v>0.79756097560975603</v>
      </c>
      <c r="BN395">
        <v>0.78536585365853595</v>
      </c>
      <c r="BO395">
        <v>0.77317073170731698</v>
      </c>
      <c r="BP395">
        <v>0.76097560975609702</v>
      </c>
      <c r="BQ395">
        <v>0.74878048780487805</v>
      </c>
      <c r="BR395">
        <v>0.73658536585365797</v>
      </c>
      <c r="BS395">
        <v>0.724390243902439</v>
      </c>
      <c r="BT395">
        <v>0.71219512195122003</v>
      </c>
      <c r="BU395">
        <v>0.69999999999999896</v>
      </c>
      <c r="BV395">
        <v>0.687499999999999</v>
      </c>
      <c r="BW395">
        <v>0.675</v>
      </c>
      <c r="BX395">
        <v>0.6625</v>
      </c>
      <c r="BY395">
        <v>0.64999999999999902</v>
      </c>
      <c r="BZ395">
        <v>0.63749999999999896</v>
      </c>
      <c r="CA395">
        <v>0.625</v>
      </c>
      <c r="CB395">
        <v>0.6125</v>
      </c>
      <c r="CC395">
        <v>0.60</v>
      </c>
      <c r="CD395" t="e">
        <v>#VALUE!</v>
      </c>
      <c r="CE395" t="e">
        <v>#VALUE!</v>
      </c>
      <c r="CF395" t="e">
        <v>#VALUE!</v>
      </c>
      <c r="CG395" t="e">
        <v>#VALUE!</v>
      </c>
      <c r="CH395" t="e">
        <v>#VALUE!</v>
      </c>
      <c r="CI395" t="e">
        <v>#VALUE!</v>
      </c>
      <c r="CJ395" t="e">
        <v>#VALUE!</v>
      </c>
      <c r="CK395" t="e">
        <v>#VALUE!</v>
      </c>
    </row>
    <row r="396" spans="1:89" ht="12.5">
      <c r="A396" t="s">
        <v>36</v>
      </c>
      <c r="B396" t="s">
        <v>353</v>
      </c>
      <c r="C396" t="s">
        <v>353</v>
      </c>
      <c r="D396">
        <v>346.02</v>
      </c>
      <c r="E396">
        <v>343.39941543768703</v>
      </c>
      <c r="F396"/>
      <c r="G396">
        <v>382.70129418068598</v>
      </c>
      <c r="H396">
        <v>405.04906631085998</v>
      </c>
      <c r="I396">
        <v>429.61398963698298</v>
      </c>
      <c r="J396">
        <v>457.334636446194</v>
      </c>
      <c r="K396">
        <v>486.825286283558</v>
      </c>
      <c r="L396">
        <v>516.02268604240601</v>
      </c>
      <c r="M396">
        <v>545.77815508923595</v>
      </c>
      <c r="N396">
        <v>576.31261988578603</v>
      </c>
      <c r="O396">
        <v>606.947177163319</v>
      </c>
      <c r="P396">
        <v>635.57833057383698</v>
      </c>
      <c r="Q396">
        <v>661.72150086181796</v>
      </c>
      <c r="R396">
        <v>685.78055711109403</v>
      </c>
      <c r="S396">
        <v>708.43165070131704</v>
      </c>
      <c r="T396">
        <v>729.91018012492805</v>
      </c>
      <c r="U396">
        <v>749.89505534161196</v>
      </c>
      <c r="V396">
        <v>767.84357662101502</v>
      </c>
      <c r="W396">
        <v>5</v>
      </c>
      <c r="AG396" s="130" t="s">
        <v>354</v>
      </c>
      <c r="AI396">
        <v>1</v>
      </c>
      <c r="AJ396">
        <v>0.99050416673031305</v>
      </c>
      <c r="AK396">
        <v>1.1348479392567301</v>
      </c>
      <c r="AL396">
        <v>1.2205589410929401</v>
      </c>
      <c r="AM396">
        <v>1.31783272199794</v>
      </c>
      <c r="AN396">
        <v>1.4313941154073999</v>
      </c>
      <c r="AO396">
        <v>1.5567043057310099</v>
      </c>
      <c r="AP396">
        <v>1.6855899605043001</v>
      </c>
      <c r="AQ396">
        <v>1.8220642829195199</v>
      </c>
      <c r="AR396">
        <v>1.9676905838652901</v>
      </c>
      <c r="AS396">
        <v>2.1198285421152399</v>
      </c>
      <c r="AT396">
        <v>2.2679728299652</v>
      </c>
      <c r="AU396">
        <v>2.40878530584411</v>
      </c>
      <c r="AV396">
        <v>2.5435226795911201</v>
      </c>
      <c r="AW396">
        <v>2.6753056922887</v>
      </c>
      <c r="AX396">
        <v>2.8050833654846201</v>
      </c>
      <c r="AY396">
        <v>2.93047590551538</v>
      </c>
      <c r="AZ396">
        <v>3.0473760610199401</v>
      </c>
      <c r="BA396">
        <v>0</v>
      </c>
      <c r="BB396">
        <v>0</v>
      </c>
      <c r="BC396">
        <v>0</v>
      </c>
      <c r="BD396">
        <v>0</v>
      </c>
      <c r="BE396">
        <v>0</v>
      </c>
      <c r="BF396">
        <v>0</v>
      </c>
      <c r="BG396">
        <v>0</v>
      </c>
      <c r="BH396">
        <v>0</v>
      </c>
      <c r="BJ396" t="s">
        <v>357</v>
      </c>
      <c r="BL396">
        <v>0.80</v>
      </c>
      <c r="BM396">
        <v>0.79756097560975603</v>
      </c>
      <c r="BN396">
        <v>0.78536585365853595</v>
      </c>
      <c r="BO396">
        <v>0.77317073170731698</v>
      </c>
      <c r="BP396">
        <v>0.76097560975609702</v>
      </c>
      <c r="BQ396">
        <v>0.74878048780487805</v>
      </c>
      <c r="BR396">
        <v>0.73658536585365797</v>
      </c>
      <c r="BS396">
        <v>0.724390243902439</v>
      </c>
      <c r="BT396">
        <v>0.71219512195122003</v>
      </c>
      <c r="BU396">
        <v>0.69999999999999896</v>
      </c>
      <c r="BV396">
        <v>0.687499999999999</v>
      </c>
      <c r="BW396">
        <v>0.675</v>
      </c>
      <c r="BX396">
        <v>0.6625</v>
      </c>
      <c r="BY396">
        <v>0.64999999999999902</v>
      </c>
      <c r="BZ396">
        <v>0.63749999999999896</v>
      </c>
      <c r="CA396">
        <v>0.625</v>
      </c>
      <c r="CB396">
        <v>0.6125</v>
      </c>
      <c r="CC396">
        <v>0.60</v>
      </c>
      <c r="CD396" t="e">
        <v>#VALUE!</v>
      </c>
      <c r="CE396" t="e">
        <v>#VALUE!</v>
      </c>
      <c r="CF396" t="e">
        <v>#VALUE!</v>
      </c>
      <c r="CG396" t="e">
        <v>#VALUE!</v>
      </c>
      <c r="CH396" t="e">
        <v>#VALUE!</v>
      </c>
      <c r="CI396" t="e">
        <v>#VALUE!</v>
      </c>
      <c r="CJ396" t="e">
        <v>#VALUE!</v>
      </c>
      <c r="CK396" t="e">
        <v>#VALUE!</v>
      </c>
    </row>
    <row r="397" spans="1:89" ht="12.5">
      <c r="A397" t="s">
        <v>36</v>
      </c>
      <c r="B397" t="s">
        <v>355</v>
      </c>
      <c r="C397" t="s">
        <v>355</v>
      </c>
      <c r="D397">
        <v>95.20</v>
      </c>
      <c r="E397">
        <v>94.679772764960504</v>
      </c>
      <c r="F397"/>
      <c r="G397">
        <v>106.649959117685</v>
      </c>
      <c r="H397">
        <v>114.01790298127599</v>
      </c>
      <c r="I397">
        <v>122.13725577279</v>
      </c>
      <c r="J397">
        <v>131.38818442700401</v>
      </c>
      <c r="K397">
        <v>141.46481597263301</v>
      </c>
      <c r="L397">
        <v>151.76431045339399</v>
      </c>
      <c r="M397">
        <v>162.04319247353101</v>
      </c>
      <c r="N397">
        <v>172.41982292256401</v>
      </c>
      <c r="O397">
        <v>182.77042087073599</v>
      </c>
      <c r="P397">
        <v>192.62563351453599</v>
      </c>
      <c r="Q397">
        <v>201.799812978739</v>
      </c>
      <c r="R397">
        <v>210.187791625947</v>
      </c>
      <c r="S397">
        <v>217.79001571338</v>
      </c>
      <c r="T397">
        <v>224.65574226562501</v>
      </c>
      <c r="U397">
        <v>230.808016943289</v>
      </c>
      <c r="V397">
        <v>236.17454694497599</v>
      </c>
      <c r="W397">
        <v>5</v>
      </c>
      <c r="AG397" s="130" t="s">
        <v>342</v>
      </c>
      <c r="AI397">
        <v>1</v>
      </c>
      <c r="AJ397">
        <v>0.99314839621828899</v>
      </c>
      <c r="AK397">
        <v>1.15302533912728</v>
      </c>
      <c r="AL397">
        <v>1.2560518663510301</v>
      </c>
      <c r="AM397">
        <v>1.37359173441292</v>
      </c>
      <c r="AN397">
        <v>1.5125359027899501</v>
      </c>
      <c r="AO397">
        <v>1.6700218015700701</v>
      </c>
      <c r="AP397">
        <v>1.83787012917579</v>
      </c>
      <c r="AQ397">
        <v>2.0126502570743701</v>
      </c>
      <c r="AR397">
        <v>2.1967680806004601</v>
      </c>
      <c r="AS397">
        <v>2.3885862543179899</v>
      </c>
      <c r="AT397">
        <v>2.57939454604319</v>
      </c>
      <c r="AU397">
        <v>2.7648267012798802</v>
      </c>
      <c r="AV397">
        <v>2.9416303059645399</v>
      </c>
      <c r="AW397">
        <v>3.1085244435995798</v>
      </c>
      <c r="AX397">
        <v>3.2653160485099799</v>
      </c>
      <c r="AY397">
        <v>3.4113108268260302</v>
      </c>
      <c r="AZ397">
        <v>3.54350512218087</v>
      </c>
      <c r="BA397">
        <v>0</v>
      </c>
      <c r="BB397">
        <v>0</v>
      </c>
      <c r="BC397">
        <v>0</v>
      </c>
      <c r="BD397">
        <v>0</v>
      </c>
      <c r="BE397">
        <v>0</v>
      </c>
      <c r="BF397">
        <v>0</v>
      </c>
      <c r="BG397">
        <v>0</v>
      </c>
      <c r="BH397">
        <v>0</v>
      </c>
      <c r="BJ397" t="s">
        <v>357</v>
      </c>
      <c r="BL397">
        <v>0.80</v>
      </c>
      <c r="BM397">
        <v>0.79756097560975603</v>
      </c>
      <c r="BN397">
        <v>0.78536585365853595</v>
      </c>
      <c r="BO397">
        <v>0.77317073170731698</v>
      </c>
      <c r="BP397">
        <v>0.76097560975609702</v>
      </c>
      <c r="BQ397">
        <v>0.74878048780487805</v>
      </c>
      <c r="BR397">
        <v>0.73658536585365797</v>
      </c>
      <c r="BS397">
        <v>0.724390243902439</v>
      </c>
      <c r="BT397">
        <v>0.71219512195122003</v>
      </c>
      <c r="BU397">
        <v>0.69999999999999896</v>
      </c>
      <c r="BV397">
        <v>0.687499999999999</v>
      </c>
      <c r="BW397">
        <v>0.675</v>
      </c>
      <c r="BX397">
        <v>0.6625</v>
      </c>
      <c r="BY397">
        <v>0.64999999999999902</v>
      </c>
      <c r="BZ397">
        <v>0.63749999999999896</v>
      </c>
      <c r="CA397">
        <v>0.625</v>
      </c>
      <c r="CB397">
        <v>0.6125</v>
      </c>
      <c r="CC397">
        <v>0.60</v>
      </c>
      <c r="CD397" t="e">
        <v>#VALUE!</v>
      </c>
      <c r="CE397" t="e">
        <v>#VALUE!</v>
      </c>
      <c r="CF397" t="e">
        <v>#VALUE!</v>
      </c>
      <c r="CG397" t="e">
        <v>#VALUE!</v>
      </c>
      <c r="CH397" t="e">
        <v>#VALUE!</v>
      </c>
      <c r="CI397" t="e">
        <v>#VALUE!</v>
      </c>
      <c r="CJ397" t="e">
        <v>#VALUE!</v>
      </c>
      <c r="CK397" t="e">
        <v>#VALUE!</v>
      </c>
    </row>
    <row r="398" spans="1:89" ht="12.5">
      <c r="A398" t="s">
        <v>36</v>
      </c>
      <c r="B398" t="s">
        <v>356</v>
      </c>
      <c r="C398" t="s">
        <v>356</v>
      </c>
      <c r="D398">
        <v>54.40</v>
      </c>
      <c r="E398">
        <v>54.102727294263197</v>
      </c>
      <c r="F398"/>
      <c r="G398">
        <v>60.942833781534503</v>
      </c>
      <c r="H398">
        <v>65.153087417871802</v>
      </c>
      <c r="I398">
        <v>69.792717584451495</v>
      </c>
      <c r="J398">
        <v>75.078962529716406</v>
      </c>
      <c r="K398">
        <v>80.837037698647507</v>
      </c>
      <c r="L398">
        <v>86.722463116225398</v>
      </c>
      <c r="M398">
        <v>92.596109984874602</v>
      </c>
      <c r="N398">
        <v>98.525613098607707</v>
      </c>
      <c r="O398">
        <v>104.440240497563</v>
      </c>
      <c r="P398">
        <v>110.07179057973499</v>
      </c>
      <c r="Q398">
        <v>115.314178844994</v>
      </c>
      <c r="R398">
        <v>120.10730950054101</v>
      </c>
      <c r="S398">
        <v>124.451437550503</v>
      </c>
      <c r="T398">
        <v>128.37470986607201</v>
      </c>
      <c r="U398">
        <v>131.89029539616499</v>
      </c>
      <c r="V398">
        <v>134.956883968558</v>
      </c>
      <c r="W398">
        <v>5</v>
      </c>
      <c r="AG398" s="130" t="s">
        <v>342</v>
      </c>
      <c r="AI398">
        <v>1</v>
      </c>
      <c r="AJ398">
        <v>0.99314839621828899</v>
      </c>
      <c r="AK398">
        <v>1.15302533912728</v>
      </c>
      <c r="AL398">
        <v>1.2560518663510301</v>
      </c>
      <c r="AM398">
        <v>1.37359173441292</v>
      </c>
      <c r="AN398">
        <v>1.5125359027899501</v>
      </c>
      <c r="AO398">
        <v>1.6700218015700701</v>
      </c>
      <c r="AP398">
        <v>1.83787012917579</v>
      </c>
      <c r="AQ398">
        <v>2.0126502570743701</v>
      </c>
      <c r="AR398">
        <v>2.1967680806004601</v>
      </c>
      <c r="AS398">
        <v>2.3885862543179899</v>
      </c>
      <c r="AT398">
        <v>2.57939454604319</v>
      </c>
      <c r="AU398">
        <v>2.7648267012798802</v>
      </c>
      <c r="AV398">
        <v>2.9416303059645399</v>
      </c>
      <c r="AW398">
        <v>3.1085244435995798</v>
      </c>
      <c r="AX398">
        <v>3.2653160485099799</v>
      </c>
      <c r="AY398">
        <v>3.4113108268260302</v>
      </c>
      <c r="AZ398">
        <v>3.54350512218087</v>
      </c>
      <c r="BA398">
        <v>0</v>
      </c>
      <c r="BB398">
        <v>0</v>
      </c>
      <c r="BC398">
        <v>0</v>
      </c>
      <c r="BD398">
        <v>0</v>
      </c>
      <c r="BE398">
        <v>0</v>
      </c>
      <c r="BF398">
        <v>0</v>
      </c>
      <c r="BG398">
        <v>0</v>
      </c>
      <c r="BH398">
        <v>0</v>
      </c>
      <c r="BJ398" t="s">
        <v>357</v>
      </c>
      <c r="BL398">
        <v>0.80</v>
      </c>
      <c r="BM398">
        <v>0.79756097560975603</v>
      </c>
      <c r="BN398">
        <v>0.78536585365853595</v>
      </c>
      <c r="BO398">
        <v>0.77317073170731698</v>
      </c>
      <c r="BP398">
        <v>0.76097560975609702</v>
      </c>
      <c r="BQ398">
        <v>0.74878048780487805</v>
      </c>
      <c r="BR398">
        <v>0.73658536585365797</v>
      </c>
      <c r="BS398">
        <v>0.724390243902439</v>
      </c>
      <c r="BT398">
        <v>0.71219512195122003</v>
      </c>
      <c r="BU398">
        <v>0.69999999999999896</v>
      </c>
      <c r="BV398">
        <v>0.687499999999999</v>
      </c>
      <c r="BW398">
        <v>0.675</v>
      </c>
      <c r="BX398">
        <v>0.6625</v>
      </c>
      <c r="BY398">
        <v>0.64999999999999902</v>
      </c>
      <c r="BZ398">
        <v>0.63749999999999896</v>
      </c>
      <c r="CA398">
        <v>0.625</v>
      </c>
      <c r="CB398">
        <v>0.6125</v>
      </c>
      <c r="CC398">
        <v>0.60</v>
      </c>
      <c r="CD398" t="e">
        <v>#VALUE!</v>
      </c>
      <c r="CE398" t="e">
        <v>#VALUE!</v>
      </c>
      <c r="CF398" t="e">
        <v>#VALUE!</v>
      </c>
      <c r="CG398" t="e">
        <v>#VALUE!</v>
      </c>
      <c r="CH398" t="e">
        <v>#VALUE!</v>
      </c>
      <c r="CI398" t="e">
        <v>#VALUE!</v>
      </c>
      <c r="CJ398" t="e">
        <v>#VALUE!</v>
      </c>
      <c r="CK398" t="e">
        <v>#VALUE!</v>
      </c>
    </row>
    <row r="399" spans="1:89" ht="12.5">
      <c r="A399" t="s">
        <v>37</v>
      </c>
      <c r="B399" t="s">
        <v>341</v>
      </c>
      <c r="C399" t="s">
        <v>341</v>
      </c>
      <c r="E399" s="2">
        <v>7.7512478530715798</v>
      </c>
      <c r="F399" s="2">
        <f>E399</f>
        <v>7.7512478530715798</v>
      </c>
      <c r="I399" s="2">
        <f>F399</f>
        <v>7.7512478530715798</v>
      </c>
      <c r="J399" s="2">
        <f>I399</f>
        <v>7.7512478530715798</v>
      </c>
      <c r="L399" s="2">
        <f>J399</f>
        <v>7.7512478530715798</v>
      </c>
      <c r="V399" s="2">
        <f>L399</f>
        <v>7.7512478530715798</v>
      </c>
      <c r="W399">
        <v>5</v>
      </c>
      <c r="AG399" s="130" t="s">
        <v>342</v>
      </c>
      <c r="AI399">
        <v>1</v>
      </c>
      <c r="AJ399">
        <v>1.0145966444184</v>
      </c>
      <c r="AK399">
        <v>0.85676947805621495</v>
      </c>
      <c r="AL399">
        <v>1.0709615244502</v>
      </c>
      <c r="AM399">
        <v>1.29734461405191</v>
      </c>
      <c r="AN399">
        <v>1.5202320984373701</v>
      </c>
      <c r="AO399">
        <v>1.73249613354527</v>
      </c>
      <c r="AP399">
        <v>1.9425108836994101</v>
      </c>
      <c r="AQ399">
        <v>2.1575823705986301</v>
      </c>
      <c r="AR399">
        <v>2.38360559676455</v>
      </c>
      <c r="AS399">
        <v>2.61479338945824</v>
      </c>
      <c r="AT399">
        <v>2.84483862959129</v>
      </c>
      <c r="AU399">
        <v>3.0697717409676</v>
      </c>
      <c r="AV399">
        <v>3.2917293781172101</v>
      </c>
      <c r="AW399">
        <v>3.5180186705791598</v>
      </c>
      <c r="AX399">
        <v>3.75378553623732</v>
      </c>
      <c r="AY399">
        <v>3.9973959107475201</v>
      </c>
      <c r="AZ399">
        <v>4.2433733705562702</v>
      </c>
      <c r="BA399">
        <v>0</v>
      </c>
      <c r="BB399">
        <v>0</v>
      </c>
      <c r="BC399">
        <v>0</v>
      </c>
      <c r="BD399">
        <v>0</v>
      </c>
      <c r="BE399">
        <v>0</v>
      </c>
      <c r="BF399">
        <v>0</v>
      </c>
      <c r="BG399">
        <v>0</v>
      </c>
      <c r="BH399">
        <v>0</v>
      </c>
      <c r="BJ399" t="s">
        <v>343</v>
      </c>
      <c r="BL399">
        <v>1</v>
      </c>
      <c r="BM399">
        <v>0.99756097560975698</v>
      </c>
      <c r="BN399">
        <v>0.98536585365853702</v>
      </c>
      <c r="BO399">
        <v>0.97317073170731705</v>
      </c>
      <c r="BP399">
        <v>0.96097560975609797</v>
      </c>
      <c r="BQ399">
        <v>0.948780487804878</v>
      </c>
      <c r="BR399">
        <v>0.93658536585365804</v>
      </c>
      <c r="BS399">
        <v>0.92439024390243896</v>
      </c>
      <c r="BT399">
        <v>0.91219512195121999</v>
      </c>
      <c r="BU399">
        <v>0.90</v>
      </c>
      <c r="BV399">
        <v>0.8875</v>
      </c>
      <c r="BW399">
        <v>0.875000000000001</v>
      </c>
      <c r="BX399">
        <v>0.86250000000000104</v>
      </c>
      <c r="BY399">
        <v>0.85000000000000098</v>
      </c>
      <c r="BZ399">
        <v>0.8375</v>
      </c>
      <c r="CA399">
        <v>0.82500000000000095</v>
      </c>
      <c r="CB399">
        <v>0.812500000000001</v>
      </c>
      <c r="CC399">
        <v>0.80000000000000104</v>
      </c>
      <c r="CD399" t="e">
        <v>#VALUE!</v>
      </c>
      <c r="CE399" t="e">
        <v>#VALUE!</v>
      </c>
      <c r="CF399" t="e">
        <v>#VALUE!</v>
      </c>
      <c r="CG399" t="e">
        <v>#VALUE!</v>
      </c>
      <c r="CH399" t="e">
        <v>#VALUE!</v>
      </c>
      <c r="CI399" t="e">
        <v>#VALUE!</v>
      </c>
      <c r="CJ399" t="e">
        <v>#VALUE!</v>
      </c>
      <c r="CK399" t="e">
        <v>#VALUE!</v>
      </c>
    </row>
    <row r="400" spans="1:89" ht="12.5">
      <c r="A400" t="s">
        <v>37</v>
      </c>
      <c r="B400" t="s">
        <v>344</v>
      </c>
      <c r="C400" t="s">
        <v>344</v>
      </c>
      <c r="E400" s="2">
        <v>7.3979145812982496</v>
      </c>
      <c r="F400" s="2">
        <f>E400</f>
        <v>7.3979145812982496</v>
      </c>
      <c r="I400" s="2">
        <f>F400</f>
        <v>7.3979145812982496</v>
      </c>
      <c r="J400" s="2">
        <f>I400</f>
        <v>7.3979145812982496</v>
      </c>
      <c r="L400" s="2">
        <f>J400</f>
        <v>7.3979145812982496</v>
      </c>
      <c r="V400" s="2">
        <f>L400</f>
        <v>7.3979145812982496</v>
      </c>
      <c r="W400">
        <v>5</v>
      </c>
      <c r="AG400" s="130" t="s">
        <v>342</v>
      </c>
      <c r="AI400">
        <v>1</v>
      </c>
      <c r="AJ400">
        <v>1.0145966444184</v>
      </c>
      <c r="AK400">
        <v>0.85676947805621495</v>
      </c>
      <c r="AL400">
        <v>1.0709615244502</v>
      </c>
      <c r="AM400">
        <v>1.29734461405191</v>
      </c>
      <c r="AN400">
        <v>1.5202320984373701</v>
      </c>
      <c r="AO400">
        <v>1.73249613354527</v>
      </c>
      <c r="AP400">
        <v>1.9425108836994101</v>
      </c>
      <c r="AQ400">
        <v>2.1575823705986301</v>
      </c>
      <c r="AR400">
        <v>2.38360559676455</v>
      </c>
      <c r="AS400">
        <v>2.61479338945824</v>
      </c>
      <c r="AT400">
        <v>2.84483862959129</v>
      </c>
      <c r="AU400">
        <v>3.0697717409676</v>
      </c>
      <c r="AV400">
        <v>3.2917293781172101</v>
      </c>
      <c r="AW400">
        <v>3.5180186705791598</v>
      </c>
      <c r="AX400">
        <v>3.75378553623732</v>
      </c>
      <c r="AY400">
        <v>3.9973959107475201</v>
      </c>
      <c r="AZ400">
        <v>4.2433733705562702</v>
      </c>
      <c r="BA400">
        <v>0</v>
      </c>
      <c r="BB400">
        <v>0</v>
      </c>
      <c r="BC400">
        <v>0</v>
      </c>
      <c r="BD400">
        <v>0</v>
      </c>
      <c r="BE400">
        <v>0</v>
      </c>
      <c r="BF400">
        <v>0</v>
      </c>
      <c r="BG400">
        <v>0</v>
      </c>
      <c r="BH400">
        <v>0</v>
      </c>
      <c r="BJ400" t="s">
        <v>343</v>
      </c>
      <c r="BL400">
        <v>1</v>
      </c>
      <c r="BM400">
        <v>0.99756097560975698</v>
      </c>
      <c r="BN400">
        <v>0.98536585365853702</v>
      </c>
      <c r="BO400">
        <v>0.97317073170731705</v>
      </c>
      <c r="BP400">
        <v>0.96097560975609797</v>
      </c>
      <c r="BQ400">
        <v>0.948780487804878</v>
      </c>
      <c r="BR400">
        <v>0.93658536585365804</v>
      </c>
      <c r="BS400">
        <v>0.92439024390243896</v>
      </c>
      <c r="BT400">
        <v>0.91219512195121999</v>
      </c>
      <c r="BU400">
        <v>0.90</v>
      </c>
      <c r="BV400">
        <v>0.8875</v>
      </c>
      <c r="BW400">
        <v>0.875000000000001</v>
      </c>
      <c r="BX400">
        <v>0.86250000000000104</v>
      </c>
      <c r="BY400">
        <v>0.85000000000000098</v>
      </c>
      <c r="BZ400">
        <v>0.8375</v>
      </c>
      <c r="CA400">
        <v>0.82500000000000095</v>
      </c>
      <c r="CB400">
        <v>0.812500000000001</v>
      </c>
      <c r="CC400">
        <v>0.80000000000000104</v>
      </c>
      <c r="CD400" t="e">
        <v>#VALUE!</v>
      </c>
      <c r="CE400" t="e">
        <v>#VALUE!</v>
      </c>
      <c r="CF400" t="e">
        <v>#VALUE!</v>
      </c>
      <c r="CG400" t="e">
        <v>#VALUE!</v>
      </c>
      <c r="CH400" t="e">
        <v>#VALUE!</v>
      </c>
      <c r="CI400" t="e">
        <v>#VALUE!</v>
      </c>
      <c r="CJ400" t="e">
        <v>#VALUE!</v>
      </c>
      <c r="CK400" t="e">
        <v>#VALUE!</v>
      </c>
    </row>
    <row r="401" spans="1:89" ht="12.5">
      <c r="A401" t="s">
        <v>37</v>
      </c>
      <c r="B401" t="s">
        <v>345</v>
      </c>
      <c r="C401" t="s">
        <v>345</v>
      </c>
      <c r="E401" s="2">
        <v>5.3670236979516197</v>
      </c>
      <c r="I401" s="2">
        <v>6.7976764968942396</v>
      </c>
      <c r="J401" s="2">
        <v>7.9057193747157397</v>
      </c>
      <c r="L401" s="2">
        <v>9.9412906349647603</v>
      </c>
      <c r="V401" s="2">
        <v>19.581669630482601</v>
      </c>
      <c r="W401">
        <v>5</v>
      </c>
      <c r="AG401" s="130" t="s">
        <v>342</v>
      </c>
      <c r="AI401">
        <v>1</v>
      </c>
      <c r="AJ401">
        <v>1.0145966444184</v>
      </c>
      <c r="AK401">
        <v>0.85676947805621495</v>
      </c>
      <c r="AL401">
        <v>1.0709615244502</v>
      </c>
      <c r="AM401">
        <v>1.29734461405191</v>
      </c>
      <c r="AN401">
        <v>1.5202320984373701</v>
      </c>
      <c r="AO401">
        <v>1.73249613354527</v>
      </c>
      <c r="AP401">
        <v>1.9425108836994101</v>
      </c>
      <c r="AQ401">
        <v>2.1575823705986301</v>
      </c>
      <c r="AR401">
        <v>2.38360559676455</v>
      </c>
      <c r="AS401">
        <v>2.61479338945824</v>
      </c>
      <c r="AT401">
        <v>2.84483862959129</v>
      </c>
      <c r="AU401">
        <v>3.0697717409676</v>
      </c>
      <c r="AV401">
        <v>3.2917293781172101</v>
      </c>
      <c r="AW401">
        <v>3.5180186705791598</v>
      </c>
      <c r="AX401">
        <v>3.75378553623732</v>
      </c>
      <c r="AY401">
        <v>3.9973959107475201</v>
      </c>
      <c r="AZ401">
        <v>4.2433733705562702</v>
      </c>
      <c r="BA401">
        <v>0</v>
      </c>
      <c r="BB401">
        <v>0</v>
      </c>
      <c r="BC401">
        <v>0</v>
      </c>
      <c r="BD401">
        <v>0</v>
      </c>
      <c r="BE401">
        <v>0</v>
      </c>
      <c r="BF401">
        <v>0</v>
      </c>
      <c r="BG401">
        <v>0</v>
      </c>
      <c r="BH401">
        <v>0</v>
      </c>
      <c r="BJ401" t="s">
        <v>343</v>
      </c>
      <c r="BL401">
        <v>1</v>
      </c>
      <c r="BM401">
        <v>0.99756097560975698</v>
      </c>
      <c r="BN401">
        <v>0.98536585365853702</v>
      </c>
      <c r="BO401">
        <v>0.97317073170731705</v>
      </c>
      <c r="BP401">
        <v>0.96097560975609797</v>
      </c>
      <c r="BQ401">
        <v>0.948780487804878</v>
      </c>
      <c r="BR401">
        <v>0.93658536585365804</v>
      </c>
      <c r="BS401">
        <v>0.92439024390243896</v>
      </c>
      <c r="BT401">
        <v>0.91219512195121999</v>
      </c>
      <c r="BU401">
        <v>0.90</v>
      </c>
      <c r="BV401">
        <v>0.8875</v>
      </c>
      <c r="BW401">
        <v>0.875000000000001</v>
      </c>
      <c r="BX401">
        <v>0.86250000000000104</v>
      </c>
      <c r="BY401">
        <v>0.85000000000000098</v>
      </c>
      <c r="BZ401">
        <v>0.8375</v>
      </c>
      <c r="CA401">
        <v>0.82500000000000095</v>
      </c>
      <c r="CB401">
        <v>0.812500000000001</v>
      </c>
      <c r="CC401">
        <v>0.80000000000000104</v>
      </c>
      <c r="CD401" t="e">
        <v>#VALUE!</v>
      </c>
      <c r="CE401" t="e">
        <v>#VALUE!</v>
      </c>
      <c r="CF401" t="e">
        <v>#VALUE!</v>
      </c>
      <c r="CG401" t="e">
        <v>#VALUE!</v>
      </c>
      <c r="CH401" t="e">
        <v>#VALUE!</v>
      </c>
      <c r="CI401" t="e">
        <v>#VALUE!</v>
      </c>
      <c r="CJ401" t="e">
        <v>#VALUE!</v>
      </c>
      <c r="CK401" t="e">
        <v>#VALUE!</v>
      </c>
    </row>
    <row r="402" spans="1:89" ht="12.5">
      <c r="A402" t="s">
        <v>37</v>
      </c>
      <c r="B402" t="s">
        <v>346</v>
      </c>
      <c r="C402" t="s">
        <v>346</v>
      </c>
      <c r="E402" s="2">
        <v>15.1011499893745</v>
      </c>
      <c r="I402" s="2">
        <v>12.748273840537401</v>
      </c>
      <c r="J402" s="2">
        <v>12.5807321535368</v>
      </c>
      <c r="L402" s="2">
        <v>12.067604922717701</v>
      </c>
      <c r="V402" s="2">
        <v>9.6905601296656894</v>
      </c>
      <c r="W402">
        <v>5</v>
      </c>
      <c r="AG402" s="130" t="s">
        <v>347</v>
      </c>
      <c r="AI402">
        <v>1</v>
      </c>
      <c r="AJ402">
        <v>0.96821564689106598</v>
      </c>
      <c r="AK402">
        <v>0.80929388134639502</v>
      </c>
      <c r="AL402">
        <v>0.81791104352999899</v>
      </c>
      <c r="AM402">
        <v>0.81514032902570199</v>
      </c>
      <c r="AN402">
        <v>0.80384918008847295</v>
      </c>
      <c r="AO402">
        <v>0.78713815818740596</v>
      </c>
      <c r="AP402">
        <v>0.76862642834918704</v>
      </c>
      <c r="AQ402">
        <v>0.749127517330478</v>
      </c>
      <c r="AR402">
        <v>0.72983773852111</v>
      </c>
      <c r="AS402">
        <v>0.71055577754649601</v>
      </c>
      <c r="AT402">
        <v>0.69169091139324401</v>
      </c>
      <c r="AU402">
        <v>0.67362145349774605</v>
      </c>
      <c r="AV402">
        <v>0.65654461438433698</v>
      </c>
      <c r="AW402">
        <v>0.64041170186965801</v>
      </c>
      <c r="AX402">
        <v>0.62513163099714897</v>
      </c>
      <c r="AY402">
        <v>0.61020588655624897</v>
      </c>
      <c r="AZ402">
        <v>0.59477140831763797</v>
      </c>
      <c r="BA402">
        <v>0</v>
      </c>
      <c r="BB402">
        <v>0</v>
      </c>
      <c r="BC402">
        <v>0</v>
      </c>
      <c r="BD402">
        <v>0</v>
      </c>
      <c r="BE402">
        <v>0</v>
      </c>
      <c r="BF402">
        <v>0</v>
      </c>
      <c r="BG402">
        <v>0</v>
      </c>
      <c r="BH402">
        <v>0</v>
      </c>
      <c r="BJ402" t="s">
        <v>343</v>
      </c>
      <c r="BL402">
        <v>1</v>
      </c>
      <c r="BM402">
        <v>0.99756097560975698</v>
      </c>
      <c r="BN402">
        <v>0.98536585365853702</v>
      </c>
      <c r="BO402">
        <v>0.97317073170731705</v>
      </c>
      <c r="BP402">
        <v>0.96097560975609797</v>
      </c>
      <c r="BQ402">
        <v>0.948780487804878</v>
      </c>
      <c r="BR402">
        <v>0.93658536585365804</v>
      </c>
      <c r="BS402">
        <v>0.92439024390243896</v>
      </c>
      <c r="BT402">
        <v>0.91219512195121999</v>
      </c>
      <c r="BU402">
        <v>0.90</v>
      </c>
      <c r="BV402">
        <v>0.8875</v>
      </c>
      <c r="BW402">
        <v>0.875000000000001</v>
      </c>
      <c r="BX402">
        <v>0.86250000000000104</v>
      </c>
      <c r="BY402">
        <v>0.85000000000000098</v>
      </c>
      <c r="BZ402">
        <v>0.8375</v>
      </c>
      <c r="CA402">
        <v>0.82500000000000095</v>
      </c>
      <c r="CB402">
        <v>0.812500000000001</v>
      </c>
      <c r="CC402">
        <v>0.80000000000000104</v>
      </c>
      <c r="CD402" t="e">
        <v>#VALUE!</v>
      </c>
      <c r="CE402" t="e">
        <v>#VALUE!</v>
      </c>
      <c r="CF402" t="e">
        <v>#VALUE!</v>
      </c>
      <c r="CG402" t="e">
        <v>#VALUE!</v>
      </c>
      <c r="CH402" t="e">
        <v>#VALUE!</v>
      </c>
      <c r="CI402" t="e">
        <v>#VALUE!</v>
      </c>
      <c r="CJ402" t="e">
        <v>#VALUE!</v>
      </c>
      <c r="CK402" t="e">
        <v>#VALUE!</v>
      </c>
    </row>
    <row r="403" spans="1:89" ht="12.5">
      <c r="A403" t="s">
        <v>37</v>
      </c>
      <c r="B403" t="s">
        <v>348</v>
      </c>
      <c r="C403" t="s">
        <v>348</v>
      </c>
      <c r="E403" s="2">
        <v>5.7159061624232299</v>
      </c>
      <c r="F403" s="2">
        <f>E403</f>
        <v>5.7159061624232299</v>
      </c>
      <c r="I403" s="2">
        <f>F403</f>
        <v>5.7159061624232299</v>
      </c>
      <c r="J403" s="2">
        <f>I403</f>
        <v>5.7159061624232299</v>
      </c>
      <c r="L403" s="2">
        <f>J403</f>
        <v>5.7159061624232299</v>
      </c>
      <c r="V403" s="2">
        <f>L403</f>
        <v>5.7159061624232299</v>
      </c>
      <c r="W403">
        <v>5</v>
      </c>
      <c r="AG403" s="130" t="s">
        <v>342</v>
      </c>
      <c r="AI403">
        <v>1</v>
      </c>
      <c r="AJ403">
        <v>1.0145966444184</v>
      </c>
      <c r="AK403">
        <v>0.85676947805621495</v>
      </c>
      <c r="AL403">
        <v>1.0709615244502</v>
      </c>
      <c r="AM403">
        <v>1.29734461405191</v>
      </c>
      <c r="AN403">
        <v>1.5202320984373701</v>
      </c>
      <c r="AO403">
        <v>1.73249613354527</v>
      </c>
      <c r="AP403">
        <v>1.9425108836994101</v>
      </c>
      <c r="AQ403">
        <v>2.1575823705986301</v>
      </c>
      <c r="AR403">
        <v>2.38360559676455</v>
      </c>
      <c r="AS403">
        <v>2.61479338945824</v>
      </c>
      <c r="AT403">
        <v>2.84483862959129</v>
      </c>
      <c r="AU403">
        <v>3.0697717409676</v>
      </c>
      <c r="AV403">
        <v>3.2917293781172101</v>
      </c>
      <c r="AW403">
        <v>3.5180186705791598</v>
      </c>
      <c r="AX403">
        <v>3.75378553623732</v>
      </c>
      <c r="AY403">
        <v>3.9973959107475201</v>
      </c>
      <c r="AZ403">
        <v>4.2433733705562702</v>
      </c>
      <c r="BA403">
        <v>0</v>
      </c>
      <c r="BB403">
        <v>0</v>
      </c>
      <c r="BC403">
        <v>0</v>
      </c>
      <c r="BD403">
        <v>0</v>
      </c>
      <c r="BE403">
        <v>0</v>
      </c>
      <c r="BF403">
        <v>0</v>
      </c>
      <c r="BG403">
        <v>0</v>
      </c>
      <c r="BH403">
        <v>0</v>
      </c>
      <c r="BJ403" t="s">
        <v>343</v>
      </c>
      <c r="BL403">
        <v>1</v>
      </c>
      <c r="BM403">
        <v>0.99756097560975698</v>
      </c>
      <c r="BN403">
        <v>0.98536585365853702</v>
      </c>
      <c r="BO403">
        <v>0.97317073170731705</v>
      </c>
      <c r="BP403">
        <v>0.96097560975609797</v>
      </c>
      <c r="BQ403">
        <v>0.948780487804878</v>
      </c>
      <c r="BR403">
        <v>0.93658536585365804</v>
      </c>
      <c r="BS403">
        <v>0.92439024390243896</v>
      </c>
      <c r="BT403">
        <v>0.91219512195121999</v>
      </c>
      <c r="BU403">
        <v>0.90</v>
      </c>
      <c r="BV403">
        <v>0.8875</v>
      </c>
      <c r="BW403">
        <v>0.875000000000001</v>
      </c>
      <c r="BX403">
        <v>0.86250000000000104</v>
      </c>
      <c r="BY403">
        <v>0.85000000000000098</v>
      </c>
      <c r="BZ403">
        <v>0.8375</v>
      </c>
      <c r="CA403">
        <v>0.82500000000000095</v>
      </c>
      <c r="CB403">
        <v>0.812500000000001</v>
      </c>
      <c r="CC403">
        <v>0.80000000000000104</v>
      </c>
      <c r="CD403" t="e">
        <v>#VALUE!</v>
      </c>
      <c r="CE403" t="e">
        <v>#VALUE!</v>
      </c>
      <c r="CF403" t="e">
        <v>#VALUE!</v>
      </c>
      <c r="CG403" t="e">
        <v>#VALUE!</v>
      </c>
      <c r="CH403" t="e">
        <v>#VALUE!</v>
      </c>
      <c r="CI403" t="e">
        <v>#VALUE!</v>
      </c>
      <c r="CJ403" t="e">
        <v>#VALUE!</v>
      </c>
      <c r="CK403" t="e">
        <v>#VALUE!</v>
      </c>
    </row>
    <row r="404" spans="1:89" ht="12.5">
      <c r="A404" t="s">
        <v>37</v>
      </c>
      <c r="B404" t="s">
        <v>349</v>
      </c>
      <c r="C404" t="s">
        <v>349</v>
      </c>
      <c r="E404" s="2">
        <v>0</v>
      </c>
      <c r="F404" s="2">
        <f>E404</f>
        <v>0</v>
      </c>
      <c r="I404" s="2">
        <f>F404</f>
        <v>0</v>
      </c>
      <c r="J404" s="2">
        <f>I404</f>
        <v>0</v>
      </c>
      <c r="L404" s="2">
        <f>J404</f>
        <v>0</v>
      </c>
      <c r="V404" s="2">
        <f>L404</f>
        <v>0</v>
      </c>
      <c r="W404">
        <v>5</v>
      </c>
      <c r="AG404" s="130" t="s">
        <v>342</v>
      </c>
      <c r="AI404">
        <v>1</v>
      </c>
      <c r="AJ404">
        <v>1.0145966444184</v>
      </c>
      <c r="AK404">
        <v>0.85676947805621495</v>
      </c>
      <c r="AL404">
        <v>1.0709615244502</v>
      </c>
      <c r="AM404">
        <v>1.29734461405191</v>
      </c>
      <c r="AN404">
        <v>1.5202320984373701</v>
      </c>
      <c r="AO404">
        <v>1.73249613354527</v>
      </c>
      <c r="AP404">
        <v>1.9425108836994101</v>
      </c>
      <c r="AQ404">
        <v>2.1575823705986301</v>
      </c>
      <c r="AR404">
        <v>2.38360559676455</v>
      </c>
      <c r="AS404">
        <v>2.61479338945824</v>
      </c>
      <c r="AT404">
        <v>2.84483862959129</v>
      </c>
      <c r="AU404">
        <v>3.0697717409676</v>
      </c>
      <c r="AV404">
        <v>3.2917293781172101</v>
      </c>
      <c r="AW404">
        <v>3.5180186705791598</v>
      </c>
      <c r="AX404">
        <v>3.75378553623732</v>
      </c>
      <c r="AY404">
        <v>3.9973959107475201</v>
      </c>
      <c r="AZ404">
        <v>4.2433733705562702</v>
      </c>
      <c r="BA404">
        <v>0</v>
      </c>
      <c r="BB404">
        <v>0</v>
      </c>
      <c r="BC404">
        <v>0</v>
      </c>
      <c r="BD404">
        <v>0</v>
      </c>
      <c r="BE404">
        <v>0</v>
      </c>
      <c r="BF404">
        <v>0</v>
      </c>
      <c r="BG404">
        <v>0</v>
      </c>
      <c r="BH404">
        <v>0</v>
      </c>
      <c r="BJ404" t="s">
        <v>343</v>
      </c>
      <c r="BL404">
        <v>1</v>
      </c>
      <c r="BM404">
        <v>0.99756097560975698</v>
      </c>
      <c r="BN404">
        <v>0.98536585365853702</v>
      </c>
      <c r="BO404">
        <v>0.97317073170731705</v>
      </c>
      <c r="BP404">
        <v>0.96097560975609797</v>
      </c>
      <c r="BQ404">
        <v>0.948780487804878</v>
      </c>
      <c r="BR404">
        <v>0.93658536585365804</v>
      </c>
      <c r="BS404">
        <v>0.92439024390243896</v>
      </c>
      <c r="BT404">
        <v>0.91219512195121999</v>
      </c>
      <c r="BU404">
        <v>0.90</v>
      </c>
      <c r="BV404">
        <v>0.8875</v>
      </c>
      <c r="BW404">
        <v>0.875000000000001</v>
      </c>
      <c r="BX404">
        <v>0.86250000000000104</v>
      </c>
      <c r="BY404">
        <v>0.85000000000000098</v>
      </c>
      <c r="BZ404">
        <v>0.8375</v>
      </c>
      <c r="CA404">
        <v>0.82500000000000095</v>
      </c>
      <c r="CB404">
        <v>0.812500000000001</v>
      </c>
      <c r="CC404">
        <v>0.80000000000000104</v>
      </c>
      <c r="CD404" t="e">
        <v>#VALUE!</v>
      </c>
      <c r="CE404" t="e">
        <v>#VALUE!</v>
      </c>
      <c r="CF404" t="e">
        <v>#VALUE!</v>
      </c>
      <c r="CG404" t="e">
        <v>#VALUE!</v>
      </c>
      <c r="CH404" t="e">
        <v>#VALUE!</v>
      </c>
      <c r="CI404" t="e">
        <v>#VALUE!</v>
      </c>
      <c r="CJ404" t="e">
        <v>#VALUE!</v>
      </c>
      <c r="CK404" t="e">
        <v>#VALUE!</v>
      </c>
    </row>
    <row r="405" spans="1:89" ht="12.5">
      <c r="A405" t="s">
        <v>37</v>
      </c>
      <c r="B405" t="s">
        <v>350</v>
      </c>
      <c r="C405" t="s">
        <v>350</v>
      </c>
      <c r="D405">
        <v>0.80</v>
      </c>
      <c r="E405">
        <v>0.77463453576282104</v>
      </c>
      <c r="F405"/>
      <c r="G405">
        <v>0.64934764019408697</v>
      </c>
      <c r="H405">
        <v>0.65607623406286697</v>
      </c>
      <c r="I405">
        <v>0.65394047441356395</v>
      </c>
      <c r="J405">
        <v>0.64534619006952698</v>
      </c>
      <c r="K405">
        <v>0.632781014727966</v>
      </c>
      <c r="L405">
        <v>0.61902461359936001</v>
      </c>
      <c r="M405">
        <v>0.60469974300044704</v>
      </c>
      <c r="N405">
        <v>0.59068601153705802</v>
      </c>
      <c r="O405">
        <v>0.57683600650287603</v>
      </c>
      <c r="P405">
        <v>0.56343566187257998</v>
      </c>
      <c r="Q405">
        <v>0.55074055125142096</v>
      </c>
      <c r="R405">
        <v>0.53887309724235</v>
      </c>
      <c r="S405">
        <v>0.52778339581463396</v>
      </c>
      <c r="T405">
        <v>0.51739434713295696</v>
      </c>
      <c r="U405">
        <v>0.50735721650836296</v>
      </c>
      <c r="V405">
        <v>0.49709078796032702</v>
      </c>
      <c r="W405">
        <v>5</v>
      </c>
      <c r="AG405" s="130" t="s">
        <v>347</v>
      </c>
      <c r="AI405">
        <v>1</v>
      </c>
      <c r="AJ405">
        <v>0.96821564689106598</v>
      </c>
      <c r="AK405">
        <v>0.80929388134639502</v>
      </c>
      <c r="AL405">
        <v>0.81791104352999899</v>
      </c>
      <c r="AM405">
        <v>0.81514032902570199</v>
      </c>
      <c r="AN405">
        <v>0.80384918008847295</v>
      </c>
      <c r="AO405">
        <v>0.78713815818740596</v>
      </c>
      <c r="AP405">
        <v>0.76862642834918704</v>
      </c>
      <c r="AQ405">
        <v>0.749127517330478</v>
      </c>
      <c r="AR405">
        <v>0.72983773852111</v>
      </c>
      <c r="AS405">
        <v>0.71055577754649601</v>
      </c>
      <c r="AT405">
        <v>0.69169091139324401</v>
      </c>
      <c r="AU405">
        <v>0.67362145349774605</v>
      </c>
      <c r="AV405">
        <v>0.65654461438433698</v>
      </c>
      <c r="AW405">
        <v>0.64041170186965801</v>
      </c>
      <c r="AX405">
        <v>0.62513163099714897</v>
      </c>
      <c r="AY405">
        <v>0.61020588655624897</v>
      </c>
      <c r="AZ405">
        <v>0.59477140831763797</v>
      </c>
      <c r="BA405">
        <v>0</v>
      </c>
      <c r="BB405">
        <v>0</v>
      </c>
      <c r="BC405">
        <v>0</v>
      </c>
      <c r="BD405">
        <v>0</v>
      </c>
      <c r="BE405">
        <v>0</v>
      </c>
      <c r="BF405">
        <v>0</v>
      </c>
      <c r="BG405">
        <v>0</v>
      </c>
      <c r="BH405">
        <v>0</v>
      </c>
      <c r="BJ405" t="s">
        <v>343</v>
      </c>
      <c r="BL405">
        <v>1</v>
      </c>
      <c r="BM405">
        <v>0.99756097560975698</v>
      </c>
      <c r="BN405">
        <v>0.98536585365853702</v>
      </c>
      <c r="BO405">
        <v>0.97317073170731705</v>
      </c>
      <c r="BP405">
        <v>0.96097560975609797</v>
      </c>
      <c r="BQ405">
        <v>0.948780487804878</v>
      </c>
      <c r="BR405">
        <v>0.93658536585365804</v>
      </c>
      <c r="BS405">
        <v>0.92439024390243896</v>
      </c>
      <c r="BT405">
        <v>0.91219512195121999</v>
      </c>
      <c r="BU405">
        <v>0.90</v>
      </c>
      <c r="BV405">
        <v>0.8875</v>
      </c>
      <c r="BW405">
        <v>0.875000000000001</v>
      </c>
      <c r="BX405">
        <v>0.86250000000000104</v>
      </c>
      <c r="BY405">
        <v>0.85000000000000098</v>
      </c>
      <c r="BZ405">
        <v>0.8375</v>
      </c>
      <c r="CA405">
        <v>0.82500000000000095</v>
      </c>
      <c r="CB405">
        <v>0.812500000000001</v>
      </c>
      <c r="CC405">
        <v>0.80000000000000104</v>
      </c>
      <c r="CD405" t="e">
        <v>#VALUE!</v>
      </c>
      <c r="CE405" t="e">
        <v>#VALUE!</v>
      </c>
      <c r="CF405" t="e">
        <v>#VALUE!</v>
      </c>
      <c r="CG405" t="e">
        <v>#VALUE!</v>
      </c>
      <c r="CH405" t="e">
        <v>#VALUE!</v>
      </c>
      <c r="CI405" t="e">
        <v>#VALUE!</v>
      </c>
      <c r="CJ405" t="e">
        <v>#VALUE!</v>
      </c>
      <c r="CK405" t="e">
        <v>#VALUE!</v>
      </c>
    </row>
    <row r="406" spans="1:89" ht="12.5">
      <c r="A406" t="s">
        <v>37</v>
      </c>
      <c r="B406" t="s">
        <v>351</v>
      </c>
      <c r="C406" t="s">
        <v>351</v>
      </c>
      <c r="D406">
        <v>0.165</v>
      </c>
      <c r="E406">
        <v>0.15976837300108199</v>
      </c>
      <c r="F406"/>
      <c r="G406">
        <v>0.13392795079003</v>
      </c>
      <c r="H406">
        <v>0.13531572327546601</v>
      </c>
      <c r="I406">
        <v>0.13487522284779799</v>
      </c>
      <c r="J406">
        <v>0.13310265170183999</v>
      </c>
      <c r="K406">
        <v>0.13051108428764299</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347</v>
      </c>
      <c r="AI406">
        <v>1</v>
      </c>
      <c r="AJ406">
        <v>0.96821564689106598</v>
      </c>
      <c r="AK406">
        <v>0.80929388134639502</v>
      </c>
      <c r="AL406">
        <v>0.81791104352999899</v>
      </c>
      <c r="AM406">
        <v>0.81514032902570199</v>
      </c>
      <c r="AN406">
        <v>0.80384918008847295</v>
      </c>
      <c r="AO406">
        <v>0.78713815818740596</v>
      </c>
      <c r="AP406">
        <v>0.76862642834918704</v>
      </c>
      <c r="AQ406">
        <v>0.749127517330478</v>
      </c>
      <c r="AR406">
        <v>0.72983773852111</v>
      </c>
      <c r="AS406">
        <v>0.71055577754649601</v>
      </c>
      <c r="AT406">
        <v>0.69169091139324401</v>
      </c>
      <c r="AU406">
        <v>0.67362145349774605</v>
      </c>
      <c r="AV406">
        <v>0.65654461438433698</v>
      </c>
      <c r="AW406">
        <v>0.64041170186965801</v>
      </c>
      <c r="AX406">
        <v>0.62513163099714897</v>
      </c>
      <c r="AY406">
        <v>0.61020588655624897</v>
      </c>
      <c r="AZ406">
        <v>0.59477140831763797</v>
      </c>
      <c r="BA406">
        <v>0</v>
      </c>
      <c r="BB406">
        <v>0</v>
      </c>
      <c r="BC406">
        <v>0</v>
      </c>
      <c r="BD406">
        <v>0</v>
      </c>
      <c r="BE406">
        <v>0</v>
      </c>
      <c r="BF406">
        <v>0</v>
      </c>
      <c r="BG406">
        <v>0</v>
      </c>
      <c r="BH406">
        <v>0</v>
      </c>
      <c r="BJ406" t="s">
        <v>343</v>
      </c>
      <c r="BL406">
        <v>1</v>
      </c>
      <c r="BM406">
        <v>0.99756097560975698</v>
      </c>
      <c r="BN406">
        <v>0.98536585365853702</v>
      </c>
      <c r="BO406">
        <v>0.97317073170731705</v>
      </c>
      <c r="BP406">
        <v>0.96097560975609797</v>
      </c>
      <c r="BQ406">
        <v>0.948780487804878</v>
      </c>
      <c r="BR406">
        <v>0.93658536585365804</v>
      </c>
      <c r="BS406">
        <v>0.92439024390243896</v>
      </c>
      <c r="BT406">
        <v>0.91219512195121999</v>
      </c>
      <c r="BU406">
        <v>0.90</v>
      </c>
      <c r="BV406">
        <v>0.8875</v>
      </c>
      <c r="BW406">
        <v>0.875000000000001</v>
      </c>
      <c r="BX406">
        <v>0.86250000000000104</v>
      </c>
      <c r="BY406">
        <v>0.85000000000000098</v>
      </c>
      <c r="BZ406">
        <v>0.8375</v>
      </c>
      <c r="CA406">
        <v>0.82500000000000095</v>
      </c>
      <c r="CB406">
        <v>0.812500000000001</v>
      </c>
      <c r="CC406">
        <v>0.80000000000000104</v>
      </c>
      <c r="CD406" t="e">
        <v>#VALUE!</v>
      </c>
      <c r="CE406" t="e">
        <v>#VALUE!</v>
      </c>
      <c r="CF406" t="e">
        <v>#VALUE!</v>
      </c>
      <c r="CG406" t="e">
        <v>#VALUE!</v>
      </c>
      <c r="CH406" t="e">
        <v>#VALUE!</v>
      </c>
      <c r="CI406" t="e">
        <v>#VALUE!</v>
      </c>
      <c r="CJ406" t="e">
        <v>#VALUE!</v>
      </c>
      <c r="CK406" t="e">
        <v>#VALUE!</v>
      </c>
    </row>
    <row r="407" spans="1:89" ht="12.5">
      <c r="A407" t="s">
        <v>37</v>
      </c>
      <c r="B407" t="s">
        <v>352</v>
      </c>
      <c r="C407" t="s">
        <v>352</v>
      </c>
      <c r="D407">
        <v>1.365</v>
      </c>
      <c r="E407">
        <v>1.3217201766453099</v>
      </c>
      <c r="F407"/>
      <c r="G407">
        <v>1.1079494110811601</v>
      </c>
      <c r="H407">
        <v>1.11943007436977</v>
      </c>
      <c r="I407">
        <v>1.11578593446814</v>
      </c>
      <c r="J407">
        <v>1.10112193680613</v>
      </c>
      <c r="K407">
        <v>1.0796826063795899</v>
      </c>
      <c r="L407">
        <v>1.0562107469539099</v>
      </c>
      <c r="M407">
        <v>1.03176893649451</v>
      </c>
      <c r="N407">
        <v>1.00785800718511</v>
      </c>
      <c r="O407">
        <v>0.98422643609553295</v>
      </c>
      <c r="P407">
        <v>0.96136209807008999</v>
      </c>
      <c r="Q407">
        <v>0.93970106557273803</v>
      </c>
      <c r="R407">
        <v>0.91945222216975997</v>
      </c>
      <c r="S407">
        <v>0.90053041910872</v>
      </c>
      <c r="T407">
        <v>0.882804104795609</v>
      </c>
      <c r="U407">
        <v>0.86567825066739401</v>
      </c>
      <c r="V407">
        <v>0.84816115695730898</v>
      </c>
      <c r="W407">
        <v>5</v>
      </c>
      <c r="AG407" s="130" t="s">
        <v>347</v>
      </c>
      <c r="AI407">
        <v>1</v>
      </c>
      <c r="AJ407">
        <v>0.96821564689106598</v>
      </c>
      <c r="AK407">
        <v>0.80929388134639502</v>
      </c>
      <c r="AL407">
        <v>0.81791104352999899</v>
      </c>
      <c r="AM407">
        <v>0.81514032902570199</v>
      </c>
      <c r="AN407">
        <v>0.80384918008847295</v>
      </c>
      <c r="AO407">
        <v>0.78713815818740596</v>
      </c>
      <c r="AP407">
        <v>0.76862642834918704</v>
      </c>
      <c r="AQ407">
        <v>0.749127517330478</v>
      </c>
      <c r="AR407">
        <v>0.72983773852111</v>
      </c>
      <c r="AS407">
        <v>0.71055577754649601</v>
      </c>
      <c r="AT407">
        <v>0.69169091139324401</v>
      </c>
      <c r="AU407">
        <v>0.67362145349774605</v>
      </c>
      <c r="AV407">
        <v>0.65654461438433698</v>
      </c>
      <c r="AW407">
        <v>0.64041170186965801</v>
      </c>
      <c r="AX407">
        <v>0.62513163099714897</v>
      </c>
      <c r="AY407">
        <v>0.61020588655624897</v>
      </c>
      <c r="AZ407">
        <v>0.59477140831763797</v>
      </c>
      <c r="BA407">
        <v>0</v>
      </c>
      <c r="BB407">
        <v>0</v>
      </c>
      <c r="BC407">
        <v>0</v>
      </c>
      <c r="BD407">
        <v>0</v>
      </c>
      <c r="BE407">
        <v>0</v>
      </c>
      <c r="BF407">
        <v>0</v>
      </c>
      <c r="BG407">
        <v>0</v>
      </c>
      <c r="BH407">
        <v>0</v>
      </c>
      <c r="BJ407" t="s">
        <v>343</v>
      </c>
      <c r="BL407">
        <v>1</v>
      </c>
      <c r="BM407">
        <v>0.99756097560975698</v>
      </c>
      <c r="BN407">
        <v>0.98536585365853702</v>
      </c>
      <c r="BO407">
        <v>0.97317073170731705</v>
      </c>
      <c r="BP407">
        <v>0.96097560975609797</v>
      </c>
      <c r="BQ407">
        <v>0.948780487804878</v>
      </c>
      <c r="BR407">
        <v>0.93658536585365804</v>
      </c>
      <c r="BS407">
        <v>0.92439024390243896</v>
      </c>
      <c r="BT407">
        <v>0.91219512195121999</v>
      </c>
      <c r="BU407">
        <v>0.90</v>
      </c>
      <c r="BV407">
        <v>0.8875</v>
      </c>
      <c r="BW407">
        <v>0.875000000000001</v>
      </c>
      <c r="BX407">
        <v>0.86250000000000104</v>
      </c>
      <c r="BY407">
        <v>0.85000000000000098</v>
      </c>
      <c r="BZ407">
        <v>0.8375</v>
      </c>
      <c r="CA407">
        <v>0.82500000000000095</v>
      </c>
      <c r="CB407">
        <v>0.812500000000001</v>
      </c>
      <c r="CC407">
        <v>0.80000000000000104</v>
      </c>
      <c r="CD407" t="e">
        <v>#VALUE!</v>
      </c>
      <c r="CE407" t="e">
        <v>#VALUE!</v>
      </c>
      <c r="CF407" t="e">
        <v>#VALUE!</v>
      </c>
      <c r="CG407" t="e">
        <v>#VALUE!</v>
      </c>
      <c r="CH407" t="e">
        <v>#VALUE!</v>
      </c>
      <c r="CI407" t="e">
        <v>#VALUE!</v>
      </c>
      <c r="CJ407" t="e">
        <v>#VALUE!</v>
      </c>
      <c r="CK407" t="e">
        <v>#VALUE!</v>
      </c>
    </row>
    <row r="408" spans="1:89" ht="12.5">
      <c r="A408" t="s">
        <v>37</v>
      </c>
      <c r="B408" t="s">
        <v>353</v>
      </c>
      <c r="C408" t="s">
        <v>353</v>
      </c>
      <c r="D408">
        <v>52.451999999999998</v>
      </c>
      <c r="E408">
        <v>54.958510290239303</v>
      </c>
      <c r="F408"/>
      <c r="G408">
        <v>55.514541807200402</v>
      </c>
      <c r="H408">
        <v>68.309321318535098</v>
      </c>
      <c r="I408">
        <v>82.455554499585006</v>
      </c>
      <c r="J408">
        <v>97.183739599583603</v>
      </c>
      <c r="K408">
        <v>112.094818905688</v>
      </c>
      <c r="L408">
        <v>127.453754661499</v>
      </c>
      <c r="M408">
        <v>143.687396724801</v>
      </c>
      <c r="N408">
        <v>161.01048854507101</v>
      </c>
      <c r="O408">
        <v>179.12397745450701</v>
      </c>
      <c r="P408">
        <v>197.56388985777099</v>
      </c>
      <c r="Q408">
        <v>215.96907292425601</v>
      </c>
      <c r="R408">
        <v>234.362259457899</v>
      </c>
      <c r="S408">
        <v>253.13983202014501</v>
      </c>
      <c r="T408">
        <v>272.582452801751</v>
      </c>
      <c r="U408">
        <v>292.72429931664101</v>
      </c>
      <c r="V408">
        <v>313.58536195575101</v>
      </c>
      <c r="W408">
        <v>5</v>
      </c>
      <c r="AG408" s="130" t="s">
        <v>354</v>
      </c>
      <c r="AI408">
        <v>1</v>
      </c>
      <c r="AJ408">
        <v>1.0479035818892899</v>
      </c>
      <c r="AK408">
        <v>1.0586629873326501</v>
      </c>
      <c r="AL408">
        <v>1.3093863115334201</v>
      </c>
      <c r="AM408">
        <v>1.5915598429568101</v>
      </c>
      <c r="AN408">
        <v>1.89119070603524</v>
      </c>
      <c r="AO408">
        <v>2.2010064123111399</v>
      </c>
      <c r="AP408">
        <v>2.5272496651870502</v>
      </c>
      <c r="AQ408">
        <v>2.8801269752941301</v>
      </c>
      <c r="AR408">
        <v>3.2659390861241402</v>
      </c>
      <c r="AS408">
        <v>3.6799269981126002</v>
      </c>
      <c r="AT408">
        <v>4.1128755383832498</v>
      </c>
      <c r="AU408">
        <v>4.55711694606513</v>
      </c>
      <c r="AV408">
        <v>5.0137177367663996</v>
      </c>
      <c r="AW408">
        <v>5.4933703745706604</v>
      </c>
      <c r="AX408">
        <v>6.0047921911256399</v>
      </c>
      <c r="AY408">
        <v>6.5508969985641503</v>
      </c>
      <c r="AZ408">
        <v>7.1344609226576896</v>
      </c>
      <c r="BA408">
        <v>0</v>
      </c>
      <c r="BB408">
        <v>0</v>
      </c>
      <c r="BC408">
        <v>0</v>
      </c>
      <c r="BD408">
        <v>0</v>
      </c>
      <c r="BE408">
        <v>0</v>
      </c>
      <c r="BF408">
        <v>0</v>
      </c>
      <c r="BG408">
        <v>0</v>
      </c>
      <c r="BH408">
        <v>0</v>
      </c>
      <c r="BJ408" t="s">
        <v>343</v>
      </c>
      <c r="BL408">
        <v>1</v>
      </c>
      <c r="BM408">
        <v>0.99756097560975698</v>
      </c>
      <c r="BN408">
        <v>0.98536585365853702</v>
      </c>
      <c r="BO408">
        <v>0.97317073170731705</v>
      </c>
      <c r="BP408">
        <v>0.96097560975609797</v>
      </c>
      <c r="BQ408">
        <v>0.948780487804878</v>
      </c>
      <c r="BR408">
        <v>0.93658536585365804</v>
      </c>
      <c r="BS408">
        <v>0.92439024390243896</v>
      </c>
      <c r="BT408">
        <v>0.91219512195121999</v>
      </c>
      <c r="BU408">
        <v>0.90</v>
      </c>
      <c r="BV408">
        <v>0.8875</v>
      </c>
      <c r="BW408">
        <v>0.875000000000001</v>
      </c>
      <c r="BX408">
        <v>0.86250000000000104</v>
      </c>
      <c r="BY408">
        <v>0.85000000000000098</v>
      </c>
      <c r="BZ408">
        <v>0.8375</v>
      </c>
      <c r="CA408">
        <v>0.82500000000000095</v>
      </c>
      <c r="CB408">
        <v>0.812500000000001</v>
      </c>
      <c r="CC408">
        <v>0.80000000000000104</v>
      </c>
      <c r="CD408" t="e">
        <v>#VALUE!</v>
      </c>
      <c r="CE408" t="e">
        <v>#VALUE!</v>
      </c>
      <c r="CF408" t="e">
        <v>#VALUE!</v>
      </c>
      <c r="CG408" t="e">
        <v>#VALUE!</v>
      </c>
      <c r="CH408" t="e">
        <v>#VALUE!</v>
      </c>
      <c r="CI408" t="e">
        <v>#VALUE!</v>
      </c>
      <c r="CJ408" t="e">
        <v>#VALUE!</v>
      </c>
      <c r="CK408" t="e">
        <v>#VALUE!</v>
      </c>
    </row>
    <row r="409" spans="1:89" ht="12.5">
      <c r="A409" t="s">
        <v>37</v>
      </c>
      <c r="B409" t="s">
        <v>355</v>
      </c>
      <c r="C409" t="s">
        <v>355</v>
      </c>
      <c r="D409">
        <v>20.60</v>
      </c>
      <c r="E409">
        <v>20.8999574826409</v>
      </c>
      <c r="F409"/>
      <c r="G409">
        <v>17.6964093865489</v>
      </c>
      <c r="H409">
        <v>22.001809809448901</v>
      </c>
      <c r="I409">
        <v>26.471123990017102</v>
      </c>
      <c r="J409">
        <v>30.786001348254</v>
      </c>
      <c r="K409">
        <v>34.811940155518499</v>
      </c>
      <c r="L409">
        <v>38.712806815561201</v>
      </c>
      <c r="M409">
        <v>42.622671998683998</v>
      </c>
      <c r="N409">
        <v>46.641217277793501</v>
      </c>
      <c r="O409">
        <v>50.656061879602703</v>
      </c>
      <c r="P409">
        <v>54.555619573332997</v>
      </c>
      <c r="Q409">
        <v>58.276059960079998</v>
      </c>
      <c r="R409">
        <v>61.857627259931903</v>
      </c>
      <c r="S409">
        <v>65.419004296036107</v>
      </c>
      <c r="T409">
        <v>69.035954320841498</v>
      </c>
      <c r="U409">
        <v>72.676152475767694</v>
      </c>
      <c r="V409">
        <v>76.253820692538298</v>
      </c>
      <c r="W409">
        <v>5</v>
      </c>
      <c r="AG409" s="130" t="s">
        <v>342</v>
      </c>
      <c r="AI409">
        <v>1</v>
      </c>
      <c r="AJ409">
        <v>1.0145966444184</v>
      </c>
      <c r="AK409">
        <v>0.85676947805621495</v>
      </c>
      <c r="AL409">
        <v>1.0709615244502</v>
      </c>
      <c r="AM409">
        <v>1.29734461405191</v>
      </c>
      <c r="AN409">
        <v>1.5202320984373701</v>
      </c>
      <c r="AO409">
        <v>1.73249613354527</v>
      </c>
      <c r="AP409">
        <v>1.9425108836994101</v>
      </c>
      <c r="AQ409">
        <v>2.1575823705986301</v>
      </c>
      <c r="AR409">
        <v>2.38360559676455</v>
      </c>
      <c r="AS409">
        <v>2.61479338945824</v>
      </c>
      <c r="AT409">
        <v>2.84483862959129</v>
      </c>
      <c r="AU409">
        <v>3.0697717409676</v>
      </c>
      <c r="AV409">
        <v>3.2917293781172101</v>
      </c>
      <c r="AW409">
        <v>3.5180186705791598</v>
      </c>
      <c r="AX409">
        <v>3.75378553623732</v>
      </c>
      <c r="AY409">
        <v>3.9973959107475201</v>
      </c>
      <c r="AZ409">
        <v>4.2433733705562702</v>
      </c>
      <c r="BA409">
        <v>0</v>
      </c>
      <c r="BB409">
        <v>0</v>
      </c>
      <c r="BC409">
        <v>0</v>
      </c>
      <c r="BD409">
        <v>0</v>
      </c>
      <c r="BE409">
        <v>0</v>
      </c>
      <c r="BF409">
        <v>0</v>
      </c>
      <c r="BG409">
        <v>0</v>
      </c>
      <c r="BH409">
        <v>0</v>
      </c>
      <c r="BJ409" t="s">
        <v>343</v>
      </c>
      <c r="BL409">
        <v>1</v>
      </c>
      <c r="BM409">
        <v>0.99756097560975698</v>
      </c>
      <c r="BN409">
        <v>0.98536585365853702</v>
      </c>
      <c r="BO409">
        <v>0.97317073170731705</v>
      </c>
      <c r="BP409">
        <v>0.96097560975609797</v>
      </c>
      <c r="BQ409">
        <v>0.948780487804878</v>
      </c>
      <c r="BR409">
        <v>0.93658536585365804</v>
      </c>
      <c r="BS409">
        <v>0.92439024390243896</v>
      </c>
      <c r="BT409">
        <v>0.91219512195121999</v>
      </c>
      <c r="BU409">
        <v>0.90</v>
      </c>
      <c r="BV409">
        <v>0.8875</v>
      </c>
      <c r="BW409">
        <v>0.875000000000001</v>
      </c>
      <c r="BX409">
        <v>0.86250000000000104</v>
      </c>
      <c r="BY409">
        <v>0.85000000000000098</v>
      </c>
      <c r="BZ409">
        <v>0.8375</v>
      </c>
      <c r="CA409">
        <v>0.82500000000000095</v>
      </c>
      <c r="CB409">
        <v>0.812500000000001</v>
      </c>
      <c r="CC409">
        <v>0.80000000000000104</v>
      </c>
      <c r="CD409" t="e">
        <v>#VALUE!</v>
      </c>
      <c r="CE409" t="e">
        <v>#VALUE!</v>
      </c>
      <c r="CF409" t="e">
        <v>#VALUE!</v>
      </c>
      <c r="CG409" t="e">
        <v>#VALUE!</v>
      </c>
      <c r="CH409" t="e">
        <v>#VALUE!</v>
      </c>
      <c r="CI409" t="e">
        <v>#VALUE!</v>
      </c>
      <c r="CJ409" t="e">
        <v>#VALUE!</v>
      </c>
      <c r="CK409" t="e">
        <v>#VALUE!</v>
      </c>
    </row>
    <row r="410" spans="1:89" ht="12.5">
      <c r="A410" t="s">
        <v>37</v>
      </c>
      <c r="B410" t="s">
        <v>356</v>
      </c>
      <c r="C410" t="s">
        <v>356</v>
      </c>
      <c r="D410">
        <v>27.24</v>
      </c>
      <c r="E410">
        <v>27.636642807142699</v>
      </c>
      <c r="F410"/>
      <c r="G410">
        <v>23.400494742213201</v>
      </c>
      <c r="H410">
        <v>29.093655301426601</v>
      </c>
      <c r="I410">
        <v>35.003563955731302</v>
      </c>
      <c r="J410">
        <v>40.709256151768898</v>
      </c>
      <c r="K410">
        <v>46.032876205646801</v>
      </c>
      <c r="L410">
        <v>51.191109594945999</v>
      </c>
      <c r="M410">
        <v>56.361242002143399</v>
      </c>
      <c r="N410">
        <v>61.675085371218202</v>
      </c>
      <c r="O410">
        <v>66.984035223319395</v>
      </c>
      <c r="P410">
        <v>72.140537727067496</v>
      </c>
      <c r="Q410">
        <v>77.060188024882507</v>
      </c>
      <c r="R410">
        <v>81.796202260220696</v>
      </c>
      <c r="S410">
        <v>86.505518302137006</v>
      </c>
      <c r="T410">
        <v>91.288320179598102</v>
      </c>
      <c r="U410">
        <v>96.1018637592191</v>
      </c>
      <c r="V410">
        <v>100.832722119648</v>
      </c>
      <c r="W410">
        <v>5</v>
      </c>
      <c r="AG410" s="130" t="s">
        <v>342</v>
      </c>
      <c r="AI410">
        <v>1</v>
      </c>
      <c r="AJ410">
        <v>1.0145966444184</v>
      </c>
      <c r="AK410">
        <v>0.85676947805621495</v>
      </c>
      <c r="AL410">
        <v>1.0709615244502</v>
      </c>
      <c r="AM410">
        <v>1.29734461405191</v>
      </c>
      <c r="AN410">
        <v>1.5202320984373701</v>
      </c>
      <c r="AO410">
        <v>1.73249613354527</v>
      </c>
      <c r="AP410">
        <v>1.9425108836994101</v>
      </c>
      <c r="AQ410">
        <v>2.1575823705986301</v>
      </c>
      <c r="AR410">
        <v>2.38360559676455</v>
      </c>
      <c r="AS410">
        <v>2.61479338945824</v>
      </c>
      <c r="AT410">
        <v>2.84483862959129</v>
      </c>
      <c r="AU410">
        <v>3.0697717409676</v>
      </c>
      <c r="AV410">
        <v>3.2917293781172101</v>
      </c>
      <c r="AW410">
        <v>3.5180186705791598</v>
      </c>
      <c r="AX410">
        <v>3.75378553623732</v>
      </c>
      <c r="AY410">
        <v>3.9973959107475201</v>
      </c>
      <c r="AZ410">
        <v>4.2433733705562702</v>
      </c>
      <c r="BA410">
        <v>0</v>
      </c>
      <c r="BB410">
        <v>0</v>
      </c>
      <c r="BC410">
        <v>0</v>
      </c>
      <c r="BD410">
        <v>0</v>
      </c>
      <c r="BE410">
        <v>0</v>
      </c>
      <c r="BF410">
        <v>0</v>
      </c>
      <c r="BG410">
        <v>0</v>
      </c>
      <c r="BH410">
        <v>0</v>
      </c>
      <c r="BJ410" t="s">
        <v>343</v>
      </c>
      <c r="BL410">
        <v>1</v>
      </c>
      <c r="BM410">
        <v>0.99756097560975698</v>
      </c>
      <c r="BN410">
        <v>0.98536585365853702</v>
      </c>
      <c r="BO410">
        <v>0.97317073170731705</v>
      </c>
      <c r="BP410">
        <v>0.96097560975609797</v>
      </c>
      <c r="BQ410">
        <v>0.948780487804878</v>
      </c>
      <c r="BR410">
        <v>0.93658536585365804</v>
      </c>
      <c r="BS410">
        <v>0.92439024390243896</v>
      </c>
      <c r="BT410">
        <v>0.91219512195121999</v>
      </c>
      <c r="BU410">
        <v>0.90</v>
      </c>
      <c r="BV410">
        <v>0.8875</v>
      </c>
      <c r="BW410">
        <v>0.875000000000001</v>
      </c>
      <c r="BX410">
        <v>0.86250000000000104</v>
      </c>
      <c r="BY410">
        <v>0.85000000000000098</v>
      </c>
      <c r="BZ410">
        <v>0.8375</v>
      </c>
      <c r="CA410">
        <v>0.82500000000000095</v>
      </c>
      <c r="CB410">
        <v>0.812500000000001</v>
      </c>
      <c r="CC410">
        <v>0.80000000000000104</v>
      </c>
      <c r="CD410" t="e">
        <v>#VALUE!</v>
      </c>
      <c r="CE410" t="e">
        <v>#VALUE!</v>
      </c>
      <c r="CF410" t="e">
        <v>#VALUE!</v>
      </c>
      <c r="CG410" t="e">
        <v>#VALUE!</v>
      </c>
      <c r="CH410" t="e">
        <v>#VALUE!</v>
      </c>
      <c r="CI410" t="e">
        <v>#VALUE!</v>
      </c>
      <c r="CJ410" t="e">
        <v>#VALUE!</v>
      </c>
      <c r="CK410" t="e">
        <v>#VALUE!</v>
      </c>
    </row>
    <row r="411" spans="1:89" ht="12.5">
      <c r="A411" t="s">
        <v>38</v>
      </c>
      <c r="B411" t="s">
        <v>341</v>
      </c>
      <c r="C411" t="s">
        <v>341</v>
      </c>
      <c r="E411" s="2">
        <v>0</v>
      </c>
      <c r="F411" s="2">
        <f>E411</f>
        <v>0</v>
      </c>
      <c r="I411" s="2">
        <f>F411</f>
        <v>0</v>
      </c>
      <c r="J411" s="2">
        <f>I411</f>
        <v>0</v>
      </c>
      <c r="L411" s="2">
        <f>J411</f>
        <v>0</v>
      </c>
      <c r="V411" s="2">
        <f>L411</f>
        <v>0</v>
      </c>
      <c r="W411">
        <v>5</v>
      </c>
      <c r="AG411" s="130" t="s">
        <v>342</v>
      </c>
      <c r="AI411">
        <v>1</v>
      </c>
      <c r="AJ411">
        <v>1.01913375531275</v>
      </c>
      <c r="AK411">
        <v>1.2331516162215299</v>
      </c>
      <c r="AL411">
        <v>1.4709778098575901</v>
      </c>
      <c r="AM411">
        <v>1.69213690943865</v>
      </c>
      <c r="AN411">
        <v>1.8865436012469601</v>
      </c>
      <c r="AO411">
        <v>2.0633772758603901</v>
      </c>
      <c r="AP411">
        <v>2.2279477078463001</v>
      </c>
      <c r="AQ411">
        <v>2.3867277285487098</v>
      </c>
      <c r="AR411">
        <v>2.5440427180945102</v>
      </c>
      <c r="AS411">
        <v>2.70927350008765</v>
      </c>
      <c r="AT411">
        <v>2.88070561673748</v>
      </c>
      <c r="AU411">
        <v>3.0515439438582699</v>
      </c>
      <c r="AV411">
        <v>3.2191603935167601</v>
      </c>
      <c r="AW411">
        <v>3.3832172588657499</v>
      </c>
      <c r="AX411">
        <v>3.54684848747269</v>
      </c>
      <c r="AY411">
        <v>3.7120522949562398</v>
      </c>
      <c r="AZ411">
        <v>3.8796845089385101</v>
      </c>
      <c r="BA411">
        <v>0</v>
      </c>
      <c r="BB411">
        <v>0</v>
      </c>
      <c r="BC411">
        <v>0</v>
      </c>
      <c r="BD411">
        <v>0</v>
      </c>
      <c r="BE411">
        <v>0</v>
      </c>
      <c r="BF411">
        <v>0</v>
      </c>
      <c r="BG411">
        <v>0</v>
      </c>
      <c r="BH411">
        <v>0</v>
      </c>
      <c r="BJ411" t="s">
        <v>343</v>
      </c>
      <c r="BL411">
        <v>1</v>
      </c>
      <c r="BM411">
        <v>0.99756097560975698</v>
      </c>
      <c r="BN411">
        <v>0.98536585365853702</v>
      </c>
      <c r="BO411">
        <v>0.97317073170731705</v>
      </c>
      <c r="BP411">
        <v>0.96097560975609797</v>
      </c>
      <c r="BQ411">
        <v>0.948780487804878</v>
      </c>
      <c r="BR411">
        <v>0.93658536585365804</v>
      </c>
      <c r="BS411">
        <v>0.92439024390243896</v>
      </c>
      <c r="BT411">
        <v>0.91219512195121999</v>
      </c>
      <c r="BU411">
        <v>0.90</v>
      </c>
      <c r="BV411">
        <v>0.8875</v>
      </c>
      <c r="BW411">
        <v>0.875000000000001</v>
      </c>
      <c r="BX411">
        <v>0.86250000000000104</v>
      </c>
      <c r="BY411">
        <v>0.85000000000000098</v>
      </c>
      <c r="BZ411">
        <v>0.8375</v>
      </c>
      <c r="CA411">
        <v>0.82500000000000095</v>
      </c>
      <c r="CB411">
        <v>0.812500000000001</v>
      </c>
      <c r="CC411">
        <v>0.80000000000000104</v>
      </c>
      <c r="CD411" t="e">
        <v>#VALUE!</v>
      </c>
      <c r="CE411" t="e">
        <v>#VALUE!</v>
      </c>
      <c r="CF411" t="e">
        <v>#VALUE!</v>
      </c>
      <c r="CG411" t="e">
        <v>#VALUE!</v>
      </c>
      <c r="CH411" t="e">
        <v>#VALUE!</v>
      </c>
      <c r="CI411" t="e">
        <v>#VALUE!</v>
      </c>
      <c r="CJ411" t="e">
        <v>#VALUE!</v>
      </c>
      <c r="CK411" t="e">
        <v>#VALUE!</v>
      </c>
    </row>
    <row r="412" spans="1:89" ht="12.5">
      <c r="A412" t="s">
        <v>38</v>
      </c>
      <c r="B412" t="s">
        <v>344</v>
      </c>
      <c r="C412" t="s">
        <v>344</v>
      </c>
      <c r="E412" s="2">
        <v>9.7542496615957308</v>
      </c>
      <c r="F412" s="2">
        <f>E412</f>
        <v>9.7542496615957308</v>
      </c>
      <c r="I412" s="2">
        <f>F412</f>
        <v>9.7542496615957308</v>
      </c>
      <c r="J412" s="2">
        <f>I412</f>
        <v>9.7542496615957308</v>
      </c>
      <c r="L412" s="2">
        <f>J412</f>
        <v>9.7542496615957308</v>
      </c>
      <c r="V412" s="2">
        <f>L412</f>
        <v>9.7542496615957308</v>
      </c>
      <c r="W412">
        <v>5</v>
      </c>
      <c r="AG412" s="130" t="s">
        <v>342</v>
      </c>
      <c r="AI412">
        <v>1</v>
      </c>
      <c r="AJ412">
        <v>1.01913375531275</v>
      </c>
      <c r="AK412">
        <v>1.2331516162215299</v>
      </c>
      <c r="AL412">
        <v>1.4709778098575901</v>
      </c>
      <c r="AM412">
        <v>1.69213690943865</v>
      </c>
      <c r="AN412">
        <v>1.8865436012469601</v>
      </c>
      <c r="AO412">
        <v>2.0633772758603901</v>
      </c>
      <c r="AP412">
        <v>2.2279477078463001</v>
      </c>
      <c r="AQ412">
        <v>2.3867277285487098</v>
      </c>
      <c r="AR412">
        <v>2.5440427180945102</v>
      </c>
      <c r="AS412">
        <v>2.70927350008765</v>
      </c>
      <c r="AT412">
        <v>2.88070561673748</v>
      </c>
      <c r="AU412">
        <v>3.0515439438582699</v>
      </c>
      <c r="AV412">
        <v>3.2191603935167601</v>
      </c>
      <c r="AW412">
        <v>3.3832172588657499</v>
      </c>
      <c r="AX412">
        <v>3.54684848747269</v>
      </c>
      <c r="AY412">
        <v>3.7120522949562398</v>
      </c>
      <c r="AZ412">
        <v>3.8796845089385101</v>
      </c>
      <c r="BA412">
        <v>0</v>
      </c>
      <c r="BB412">
        <v>0</v>
      </c>
      <c r="BC412">
        <v>0</v>
      </c>
      <c r="BD412">
        <v>0</v>
      </c>
      <c r="BE412">
        <v>0</v>
      </c>
      <c r="BF412">
        <v>0</v>
      </c>
      <c r="BG412">
        <v>0</v>
      </c>
      <c r="BH412">
        <v>0</v>
      </c>
      <c r="BJ412" t="s">
        <v>343</v>
      </c>
      <c r="BL412">
        <v>1</v>
      </c>
      <c r="BM412">
        <v>0.99756097560975698</v>
      </c>
      <c r="BN412">
        <v>0.98536585365853702</v>
      </c>
      <c r="BO412">
        <v>0.97317073170731705</v>
      </c>
      <c r="BP412">
        <v>0.96097560975609797</v>
      </c>
      <c r="BQ412">
        <v>0.948780487804878</v>
      </c>
      <c r="BR412">
        <v>0.93658536585365804</v>
      </c>
      <c r="BS412">
        <v>0.92439024390243896</v>
      </c>
      <c r="BT412">
        <v>0.91219512195121999</v>
      </c>
      <c r="BU412">
        <v>0.90</v>
      </c>
      <c r="BV412">
        <v>0.8875</v>
      </c>
      <c r="BW412">
        <v>0.875000000000001</v>
      </c>
      <c r="BX412">
        <v>0.86250000000000104</v>
      </c>
      <c r="BY412">
        <v>0.85000000000000098</v>
      </c>
      <c r="BZ412">
        <v>0.8375</v>
      </c>
      <c r="CA412">
        <v>0.82500000000000095</v>
      </c>
      <c r="CB412">
        <v>0.812500000000001</v>
      </c>
      <c r="CC412">
        <v>0.80000000000000104</v>
      </c>
      <c r="CD412" t="e">
        <v>#VALUE!</v>
      </c>
      <c r="CE412" t="e">
        <v>#VALUE!</v>
      </c>
      <c r="CF412" t="e">
        <v>#VALUE!</v>
      </c>
      <c r="CG412" t="e">
        <v>#VALUE!</v>
      </c>
      <c r="CH412" t="e">
        <v>#VALUE!</v>
      </c>
      <c r="CI412" t="e">
        <v>#VALUE!</v>
      </c>
      <c r="CJ412" t="e">
        <v>#VALUE!</v>
      </c>
      <c r="CK412" t="e">
        <v>#VALUE!</v>
      </c>
    </row>
    <row r="413" spans="1:89" ht="12.5">
      <c r="A413" t="s">
        <v>38</v>
      </c>
      <c r="B413" t="s">
        <v>345</v>
      </c>
      <c r="C413" t="s">
        <v>345</v>
      </c>
      <c r="E413" s="2">
        <v>0.89024685151664196</v>
      </c>
      <c r="I413" s="2">
        <v>1.4605002360989101</v>
      </c>
      <c r="J413" s="2">
        <v>1.6197002449621201</v>
      </c>
      <c r="L413" s="2">
        <v>1.8917936095346399</v>
      </c>
      <c r="V413" s="2">
        <v>3.0561047695036798</v>
      </c>
      <c r="W413">
        <v>5</v>
      </c>
      <c r="AG413" s="130" t="s">
        <v>342</v>
      </c>
      <c r="AI413">
        <v>1</v>
      </c>
      <c r="AJ413">
        <v>1.01913375531275</v>
      </c>
      <c r="AK413">
        <v>1.2331516162215299</v>
      </c>
      <c r="AL413">
        <v>1.4709778098575901</v>
      </c>
      <c r="AM413">
        <v>1.69213690943865</v>
      </c>
      <c r="AN413">
        <v>1.8865436012469601</v>
      </c>
      <c r="AO413">
        <v>2.0633772758603901</v>
      </c>
      <c r="AP413">
        <v>2.2279477078463001</v>
      </c>
      <c r="AQ413">
        <v>2.3867277285487098</v>
      </c>
      <c r="AR413">
        <v>2.5440427180945102</v>
      </c>
      <c r="AS413">
        <v>2.70927350008765</v>
      </c>
      <c r="AT413">
        <v>2.88070561673748</v>
      </c>
      <c r="AU413">
        <v>3.0515439438582699</v>
      </c>
      <c r="AV413">
        <v>3.2191603935167601</v>
      </c>
      <c r="AW413">
        <v>3.3832172588657499</v>
      </c>
      <c r="AX413">
        <v>3.54684848747269</v>
      </c>
      <c r="AY413">
        <v>3.7120522949562398</v>
      </c>
      <c r="AZ413">
        <v>3.8796845089385101</v>
      </c>
      <c r="BA413">
        <v>0</v>
      </c>
      <c r="BB413">
        <v>0</v>
      </c>
      <c r="BC413">
        <v>0</v>
      </c>
      <c r="BD413">
        <v>0</v>
      </c>
      <c r="BE413">
        <v>0</v>
      </c>
      <c r="BF413">
        <v>0</v>
      </c>
      <c r="BG413">
        <v>0</v>
      </c>
      <c r="BH413">
        <v>0</v>
      </c>
      <c r="BJ413" t="s">
        <v>343</v>
      </c>
      <c r="BL413">
        <v>1</v>
      </c>
      <c r="BM413">
        <v>0.99756097560975698</v>
      </c>
      <c r="BN413">
        <v>0.98536585365853702</v>
      </c>
      <c r="BO413">
        <v>0.97317073170731705</v>
      </c>
      <c r="BP413">
        <v>0.96097560975609797</v>
      </c>
      <c r="BQ413">
        <v>0.948780487804878</v>
      </c>
      <c r="BR413">
        <v>0.93658536585365804</v>
      </c>
      <c r="BS413">
        <v>0.92439024390243896</v>
      </c>
      <c r="BT413">
        <v>0.91219512195121999</v>
      </c>
      <c r="BU413">
        <v>0.90</v>
      </c>
      <c r="BV413">
        <v>0.8875</v>
      </c>
      <c r="BW413">
        <v>0.875000000000001</v>
      </c>
      <c r="BX413">
        <v>0.86250000000000104</v>
      </c>
      <c r="BY413">
        <v>0.85000000000000098</v>
      </c>
      <c r="BZ413">
        <v>0.8375</v>
      </c>
      <c r="CA413">
        <v>0.82500000000000095</v>
      </c>
      <c r="CB413">
        <v>0.812500000000001</v>
      </c>
      <c r="CC413">
        <v>0.80000000000000104</v>
      </c>
      <c r="CD413" t="e">
        <v>#VALUE!</v>
      </c>
      <c r="CE413" t="e">
        <v>#VALUE!</v>
      </c>
      <c r="CF413" t="e">
        <v>#VALUE!</v>
      </c>
      <c r="CG413" t="e">
        <v>#VALUE!</v>
      </c>
      <c r="CH413" t="e">
        <v>#VALUE!</v>
      </c>
      <c r="CI413" t="e">
        <v>#VALUE!</v>
      </c>
      <c r="CJ413" t="e">
        <v>#VALUE!</v>
      </c>
      <c r="CK413" t="e">
        <v>#VALUE!</v>
      </c>
    </row>
    <row r="414" spans="1:89" ht="12.5">
      <c r="A414" t="s">
        <v>38</v>
      </c>
      <c r="B414" t="s">
        <v>346</v>
      </c>
      <c r="C414" t="s">
        <v>346</v>
      </c>
      <c r="E414" s="2">
        <v>1.5881045043633399</v>
      </c>
      <c r="I414" s="2">
        <v>1.4926761100885899</v>
      </c>
      <c r="J414" s="2">
        <v>1.4606967774736599</v>
      </c>
      <c r="L414" s="2">
        <v>1.39716477220475</v>
      </c>
      <c r="V414" s="2">
        <v>1.13898479048603</v>
      </c>
      <c r="W414">
        <v>5</v>
      </c>
      <c r="AG414" s="130" t="s">
        <v>347</v>
      </c>
      <c r="AI414">
        <v>1</v>
      </c>
      <c r="AJ414">
        <v>0.99473309349206396</v>
      </c>
      <c r="AK414">
        <v>0.96839856095238497</v>
      </c>
      <c r="AL414">
        <v>0.95230133673436101</v>
      </c>
      <c r="AM414">
        <v>0.93342798558020201</v>
      </c>
      <c r="AN414">
        <v>0.91235049582203798</v>
      </c>
      <c r="AO414">
        <v>0.89072936920768797</v>
      </c>
      <c r="AP414">
        <v>0.86974022178615795</v>
      </c>
      <c r="AQ414">
        <v>0.84971410824421001</v>
      </c>
      <c r="AR414">
        <v>0.83038018035635097</v>
      </c>
      <c r="AS414">
        <v>0.81137396534630402</v>
      </c>
      <c r="AT414">
        <v>0.79241890157327</v>
      </c>
      <c r="AU414">
        <v>0.77348577515899697</v>
      </c>
      <c r="AV414">
        <v>0.75476544651472499</v>
      </c>
      <c r="AW414">
        <v>0.73649216566791498</v>
      </c>
      <c r="AX414">
        <v>0.71877642791453999</v>
      </c>
      <c r="AY414">
        <v>0.70160023060637799</v>
      </c>
      <c r="AZ414">
        <v>0.68469175531533599</v>
      </c>
      <c r="BA414">
        <v>0</v>
      </c>
      <c r="BB414">
        <v>0</v>
      </c>
      <c r="BC414">
        <v>0</v>
      </c>
      <c r="BD414">
        <v>0</v>
      </c>
      <c r="BE414">
        <v>0</v>
      </c>
      <c r="BF414">
        <v>0</v>
      </c>
      <c r="BG414">
        <v>0</v>
      </c>
      <c r="BH414">
        <v>0</v>
      </c>
      <c r="BJ414" t="s">
        <v>343</v>
      </c>
      <c r="BL414">
        <v>1</v>
      </c>
      <c r="BM414">
        <v>0.99756097560975698</v>
      </c>
      <c r="BN414">
        <v>0.98536585365853702</v>
      </c>
      <c r="BO414">
        <v>0.97317073170731705</v>
      </c>
      <c r="BP414">
        <v>0.96097560975609797</v>
      </c>
      <c r="BQ414">
        <v>0.948780487804878</v>
      </c>
      <c r="BR414">
        <v>0.93658536585365804</v>
      </c>
      <c r="BS414">
        <v>0.92439024390243896</v>
      </c>
      <c r="BT414">
        <v>0.91219512195121999</v>
      </c>
      <c r="BU414">
        <v>0.90</v>
      </c>
      <c r="BV414">
        <v>0.8875</v>
      </c>
      <c r="BW414">
        <v>0.875000000000001</v>
      </c>
      <c r="BX414">
        <v>0.86250000000000104</v>
      </c>
      <c r="BY414">
        <v>0.85000000000000098</v>
      </c>
      <c r="BZ414">
        <v>0.8375</v>
      </c>
      <c r="CA414">
        <v>0.82500000000000095</v>
      </c>
      <c r="CB414">
        <v>0.812500000000001</v>
      </c>
      <c r="CC414">
        <v>0.80000000000000104</v>
      </c>
      <c r="CD414" t="e">
        <v>#VALUE!</v>
      </c>
      <c r="CE414" t="e">
        <v>#VALUE!</v>
      </c>
      <c r="CF414" t="e">
        <v>#VALUE!</v>
      </c>
      <c r="CG414" t="e">
        <v>#VALUE!</v>
      </c>
      <c r="CH414" t="e">
        <v>#VALUE!</v>
      </c>
      <c r="CI414" t="e">
        <v>#VALUE!</v>
      </c>
      <c r="CJ414" t="e">
        <v>#VALUE!</v>
      </c>
      <c r="CK414" t="e">
        <v>#VALUE!</v>
      </c>
    </row>
    <row r="415" spans="1:89" ht="12.5">
      <c r="A415" t="s">
        <v>38</v>
      </c>
      <c r="B415" t="s">
        <v>348</v>
      </c>
      <c r="C415" t="s">
        <v>348</v>
      </c>
      <c r="E415" s="2">
        <v>1.8565197165356699</v>
      </c>
      <c r="F415" s="2">
        <f>E415</f>
        <v>1.8565197165356699</v>
      </c>
      <c r="I415" s="2">
        <f>F415</f>
        <v>1.8565197165356699</v>
      </c>
      <c r="J415" s="2">
        <f>I415</f>
        <v>1.8565197165356699</v>
      </c>
      <c r="L415" s="2">
        <f>J415</f>
        <v>1.8565197165356699</v>
      </c>
      <c r="V415" s="2">
        <f>L415</f>
        <v>1.8565197165356699</v>
      </c>
      <c r="W415">
        <v>5</v>
      </c>
      <c r="AG415" s="130" t="s">
        <v>342</v>
      </c>
      <c r="AI415">
        <v>1</v>
      </c>
      <c r="AJ415">
        <v>1.01913375531275</v>
      </c>
      <c r="AK415">
        <v>1.2331516162215299</v>
      </c>
      <c r="AL415">
        <v>1.4709778098575901</v>
      </c>
      <c r="AM415">
        <v>1.69213690943865</v>
      </c>
      <c r="AN415">
        <v>1.8865436012469601</v>
      </c>
      <c r="AO415">
        <v>2.0633772758603901</v>
      </c>
      <c r="AP415">
        <v>2.2279477078463001</v>
      </c>
      <c r="AQ415">
        <v>2.3867277285487098</v>
      </c>
      <c r="AR415">
        <v>2.5440427180945102</v>
      </c>
      <c r="AS415">
        <v>2.70927350008765</v>
      </c>
      <c r="AT415">
        <v>2.88070561673748</v>
      </c>
      <c r="AU415">
        <v>3.0515439438582699</v>
      </c>
      <c r="AV415">
        <v>3.2191603935167601</v>
      </c>
      <c r="AW415">
        <v>3.3832172588657499</v>
      </c>
      <c r="AX415">
        <v>3.54684848747269</v>
      </c>
      <c r="AY415">
        <v>3.7120522949562398</v>
      </c>
      <c r="AZ415">
        <v>3.8796845089385101</v>
      </c>
      <c r="BA415">
        <v>0</v>
      </c>
      <c r="BB415">
        <v>0</v>
      </c>
      <c r="BC415">
        <v>0</v>
      </c>
      <c r="BD415">
        <v>0</v>
      </c>
      <c r="BE415">
        <v>0</v>
      </c>
      <c r="BF415">
        <v>0</v>
      </c>
      <c r="BG415">
        <v>0</v>
      </c>
      <c r="BH415">
        <v>0</v>
      </c>
      <c r="BJ415" t="s">
        <v>343</v>
      </c>
      <c r="BL415">
        <v>1</v>
      </c>
      <c r="BM415">
        <v>0.99756097560975698</v>
      </c>
      <c r="BN415">
        <v>0.98536585365853702</v>
      </c>
      <c r="BO415">
        <v>0.97317073170731705</v>
      </c>
      <c r="BP415">
        <v>0.96097560975609797</v>
      </c>
      <c r="BQ415">
        <v>0.948780487804878</v>
      </c>
      <c r="BR415">
        <v>0.93658536585365804</v>
      </c>
      <c r="BS415">
        <v>0.92439024390243896</v>
      </c>
      <c r="BT415">
        <v>0.91219512195121999</v>
      </c>
      <c r="BU415">
        <v>0.90</v>
      </c>
      <c r="BV415">
        <v>0.8875</v>
      </c>
      <c r="BW415">
        <v>0.875000000000001</v>
      </c>
      <c r="BX415">
        <v>0.86250000000000104</v>
      </c>
      <c r="BY415">
        <v>0.85000000000000098</v>
      </c>
      <c r="BZ415">
        <v>0.8375</v>
      </c>
      <c r="CA415">
        <v>0.82500000000000095</v>
      </c>
      <c r="CB415">
        <v>0.812500000000001</v>
      </c>
      <c r="CC415">
        <v>0.80000000000000104</v>
      </c>
      <c r="CD415" t="e">
        <v>#VALUE!</v>
      </c>
      <c r="CE415" t="e">
        <v>#VALUE!</v>
      </c>
      <c r="CF415" t="e">
        <v>#VALUE!</v>
      </c>
      <c r="CG415" t="e">
        <v>#VALUE!</v>
      </c>
      <c r="CH415" t="e">
        <v>#VALUE!</v>
      </c>
      <c r="CI415" t="e">
        <v>#VALUE!</v>
      </c>
      <c r="CJ415" t="e">
        <v>#VALUE!</v>
      </c>
      <c r="CK415" t="e">
        <v>#VALUE!</v>
      </c>
    </row>
    <row r="416" spans="1:89" ht="12.5">
      <c r="A416" t="s">
        <v>38</v>
      </c>
      <c r="B416" t="s">
        <v>349</v>
      </c>
      <c r="C416" t="s">
        <v>349</v>
      </c>
      <c r="E416" s="2">
        <v>2.05021145703732</v>
      </c>
      <c r="F416" s="2">
        <f>E416</f>
        <v>2.05021145703732</v>
      </c>
      <c r="I416" s="2">
        <f>F416</f>
        <v>2.05021145703732</v>
      </c>
      <c r="J416" s="2">
        <f>I416</f>
        <v>2.05021145703732</v>
      </c>
      <c r="L416" s="2">
        <f>J416</f>
        <v>2.05021145703732</v>
      </c>
      <c r="V416" s="2">
        <f>L416</f>
        <v>2.05021145703732</v>
      </c>
      <c r="W416">
        <v>5</v>
      </c>
      <c r="AG416" s="130" t="s">
        <v>342</v>
      </c>
      <c r="AI416">
        <v>1</v>
      </c>
      <c r="AJ416">
        <v>1.01913375531275</v>
      </c>
      <c r="AK416">
        <v>1.2331516162215299</v>
      </c>
      <c r="AL416">
        <v>1.4709778098575901</v>
      </c>
      <c r="AM416">
        <v>1.69213690943865</v>
      </c>
      <c r="AN416">
        <v>1.8865436012469601</v>
      </c>
      <c r="AO416">
        <v>2.0633772758603901</v>
      </c>
      <c r="AP416">
        <v>2.2279477078463001</v>
      </c>
      <c r="AQ416">
        <v>2.3867277285487098</v>
      </c>
      <c r="AR416">
        <v>2.5440427180945102</v>
      </c>
      <c r="AS416">
        <v>2.70927350008765</v>
      </c>
      <c r="AT416">
        <v>2.88070561673748</v>
      </c>
      <c r="AU416">
        <v>3.0515439438582699</v>
      </c>
      <c r="AV416">
        <v>3.2191603935167601</v>
      </c>
      <c r="AW416">
        <v>3.3832172588657499</v>
      </c>
      <c r="AX416">
        <v>3.54684848747269</v>
      </c>
      <c r="AY416">
        <v>3.7120522949562398</v>
      </c>
      <c r="AZ416">
        <v>3.8796845089385101</v>
      </c>
      <c r="BA416">
        <v>0</v>
      </c>
      <c r="BB416">
        <v>0</v>
      </c>
      <c r="BC416">
        <v>0</v>
      </c>
      <c r="BD416">
        <v>0</v>
      </c>
      <c r="BE416">
        <v>0</v>
      </c>
      <c r="BF416">
        <v>0</v>
      </c>
      <c r="BG416">
        <v>0</v>
      </c>
      <c r="BH416">
        <v>0</v>
      </c>
      <c r="BJ416" t="s">
        <v>343</v>
      </c>
      <c r="BL416">
        <v>1</v>
      </c>
      <c r="BM416">
        <v>0.99756097560975698</v>
      </c>
      <c r="BN416">
        <v>0.98536585365853702</v>
      </c>
      <c r="BO416">
        <v>0.97317073170731705</v>
      </c>
      <c r="BP416">
        <v>0.96097560975609797</v>
      </c>
      <c r="BQ416">
        <v>0.948780487804878</v>
      </c>
      <c r="BR416">
        <v>0.93658536585365804</v>
      </c>
      <c r="BS416">
        <v>0.92439024390243896</v>
      </c>
      <c r="BT416">
        <v>0.91219512195121999</v>
      </c>
      <c r="BU416">
        <v>0.90</v>
      </c>
      <c r="BV416">
        <v>0.8875</v>
      </c>
      <c r="BW416">
        <v>0.875000000000001</v>
      </c>
      <c r="BX416">
        <v>0.86250000000000104</v>
      </c>
      <c r="BY416">
        <v>0.85000000000000098</v>
      </c>
      <c r="BZ416">
        <v>0.8375</v>
      </c>
      <c r="CA416">
        <v>0.82500000000000095</v>
      </c>
      <c r="CB416">
        <v>0.812500000000001</v>
      </c>
      <c r="CC416">
        <v>0.80000000000000104</v>
      </c>
      <c r="CD416" t="e">
        <v>#VALUE!</v>
      </c>
      <c r="CE416" t="e">
        <v>#VALUE!</v>
      </c>
      <c r="CF416" t="e">
        <v>#VALUE!</v>
      </c>
      <c r="CG416" t="e">
        <v>#VALUE!</v>
      </c>
      <c r="CH416" t="e">
        <v>#VALUE!</v>
      </c>
      <c r="CI416" t="e">
        <v>#VALUE!</v>
      </c>
      <c r="CJ416" t="e">
        <v>#VALUE!</v>
      </c>
      <c r="CK416" t="e">
        <v>#VALUE!</v>
      </c>
    </row>
    <row r="417" spans="1:89" ht="12.5">
      <c r="A417" t="s">
        <v>38</v>
      </c>
      <c r="B417" t="s">
        <v>350</v>
      </c>
      <c r="C417" t="s">
        <v>350</v>
      </c>
      <c r="D417">
        <v>0.52400000000000002</v>
      </c>
      <c r="E417">
        <v>0.52124687235328104</v>
      </c>
      <c r="F417"/>
      <c r="G417">
        <v>0.50764934260765904</v>
      </c>
      <c r="H417">
        <v>0.49943732777628003</v>
      </c>
      <c r="I417">
        <v>0.48992541213907798</v>
      </c>
      <c r="J417">
        <v>0.47942917145738601</v>
      </c>
      <c r="K417">
        <v>0.46878802474520798</v>
      </c>
      <c r="L417">
        <v>0.458576728214662</v>
      </c>
      <c r="M417">
        <v>0.44894494107382399</v>
      </c>
      <c r="N417">
        <v>0.43975139923556</v>
      </c>
      <c r="O417">
        <v>0.430818462569595</v>
      </c>
      <c r="P417">
        <v>0.422011897645514</v>
      </c>
      <c r="Q417">
        <v>0.413315261359604</v>
      </c>
      <c r="R417">
        <v>0.40481247034700801</v>
      </c>
      <c r="S417">
        <v>0.39660435940883898</v>
      </c>
      <c r="T417">
        <v>0.38873385541803701</v>
      </c>
      <c r="U417">
        <v>0.381186254484502</v>
      </c>
      <c r="V417">
        <v>0.37383702273220798</v>
      </c>
      <c r="W417">
        <v>5</v>
      </c>
      <c r="AG417" s="130" t="s">
        <v>347</v>
      </c>
      <c r="AI417">
        <v>1</v>
      </c>
      <c r="AJ417">
        <v>0.99473309349206396</v>
      </c>
      <c r="AK417">
        <v>0.96839856095238497</v>
      </c>
      <c r="AL417">
        <v>0.95230133673436101</v>
      </c>
      <c r="AM417">
        <v>0.93342798558020201</v>
      </c>
      <c r="AN417">
        <v>0.91235049582203798</v>
      </c>
      <c r="AO417">
        <v>0.89072936920768797</v>
      </c>
      <c r="AP417">
        <v>0.86974022178615795</v>
      </c>
      <c r="AQ417">
        <v>0.84971410824421001</v>
      </c>
      <c r="AR417">
        <v>0.83038018035635097</v>
      </c>
      <c r="AS417">
        <v>0.81137396534630402</v>
      </c>
      <c r="AT417">
        <v>0.79241890157327</v>
      </c>
      <c r="AU417">
        <v>0.77348577515899697</v>
      </c>
      <c r="AV417">
        <v>0.75476544651472499</v>
      </c>
      <c r="AW417">
        <v>0.73649216566791498</v>
      </c>
      <c r="AX417">
        <v>0.71877642791453999</v>
      </c>
      <c r="AY417">
        <v>0.70160023060637799</v>
      </c>
      <c r="AZ417">
        <v>0.68469175531533599</v>
      </c>
      <c r="BA417">
        <v>0</v>
      </c>
      <c r="BB417">
        <v>0</v>
      </c>
      <c r="BC417">
        <v>0</v>
      </c>
      <c r="BD417">
        <v>0</v>
      </c>
      <c r="BE417">
        <v>0</v>
      </c>
      <c r="BF417">
        <v>0</v>
      </c>
      <c r="BG417">
        <v>0</v>
      </c>
      <c r="BH417">
        <v>0</v>
      </c>
      <c r="BJ417" t="s">
        <v>343</v>
      </c>
      <c r="BL417">
        <v>1</v>
      </c>
      <c r="BM417">
        <v>0.99756097560975698</v>
      </c>
      <c r="BN417">
        <v>0.98536585365853702</v>
      </c>
      <c r="BO417">
        <v>0.97317073170731705</v>
      </c>
      <c r="BP417">
        <v>0.96097560975609797</v>
      </c>
      <c r="BQ417">
        <v>0.948780487804878</v>
      </c>
      <c r="BR417">
        <v>0.93658536585365804</v>
      </c>
      <c r="BS417">
        <v>0.92439024390243896</v>
      </c>
      <c r="BT417">
        <v>0.91219512195121999</v>
      </c>
      <c r="BU417">
        <v>0.90</v>
      </c>
      <c r="BV417">
        <v>0.8875</v>
      </c>
      <c r="BW417">
        <v>0.875000000000001</v>
      </c>
      <c r="BX417">
        <v>0.86250000000000104</v>
      </c>
      <c r="BY417">
        <v>0.85000000000000098</v>
      </c>
      <c r="BZ417">
        <v>0.8375</v>
      </c>
      <c r="CA417">
        <v>0.82500000000000095</v>
      </c>
      <c r="CB417">
        <v>0.812500000000001</v>
      </c>
      <c r="CC417">
        <v>0.80000000000000104</v>
      </c>
      <c r="CD417" t="e">
        <v>#VALUE!</v>
      </c>
      <c r="CE417" t="e">
        <v>#VALUE!</v>
      </c>
      <c r="CF417" t="e">
        <v>#VALUE!</v>
      </c>
      <c r="CG417" t="e">
        <v>#VALUE!</v>
      </c>
      <c r="CH417" t="e">
        <v>#VALUE!</v>
      </c>
      <c r="CI417" t="e">
        <v>#VALUE!</v>
      </c>
      <c r="CJ417" t="e">
        <v>#VALUE!</v>
      </c>
      <c r="CK417" t="e">
        <v>#VALUE!</v>
      </c>
    </row>
    <row r="418" spans="1:89" ht="12.5">
      <c r="A418" t="s">
        <v>38</v>
      </c>
      <c r="B418" t="s">
        <v>351</v>
      </c>
      <c r="C418" t="s">
        <v>351</v>
      </c>
      <c r="D418">
        <v>0.105</v>
      </c>
      <c r="E418">
        <v>0.10444832365857699</v>
      </c>
      <c r="F418"/>
      <c r="G418">
        <v>0.101723627812603</v>
      </c>
      <c r="H418">
        <v>0.100078090489522</v>
      </c>
      <c r="I418">
        <v>0.098172076859929805</v>
      </c>
      <c r="J418">
        <v>0.096068822524858002</v>
      </c>
      <c r="K418">
        <v>0.0939365316760436</v>
      </c>
      <c r="L418">
        <v>0.091890374928510599</v>
      </c>
      <c r="M418">
        <v>0.089960341245708897</v>
      </c>
      <c r="N418">
        <v>0.088118123892621594</v>
      </c>
      <c r="O418">
        <v>0.086328127041617297</v>
      </c>
      <c r="P418">
        <v>0.084563452772478898</v>
      </c>
      <c r="Q418">
        <v>0.082820806188470306</v>
      </c>
      <c r="R418">
        <v>0.081117002645869796</v>
      </c>
      <c r="S418">
        <v>0.0794722475914659</v>
      </c>
      <c r="T418">
        <v>0.077895142784148594</v>
      </c>
      <c r="U418">
        <v>0.076382741833726495</v>
      </c>
      <c r="V418">
        <v>0.074910090432980594</v>
      </c>
      <c r="W418">
        <v>5</v>
      </c>
      <c r="AG418" s="130" t="s">
        <v>347</v>
      </c>
      <c r="AI418">
        <v>1</v>
      </c>
      <c r="AJ418">
        <v>0.99473309349206396</v>
      </c>
      <c r="AK418">
        <v>0.96839856095238497</v>
      </c>
      <c r="AL418">
        <v>0.95230133673436101</v>
      </c>
      <c r="AM418">
        <v>0.93342798558020201</v>
      </c>
      <c r="AN418">
        <v>0.91235049582203798</v>
      </c>
      <c r="AO418">
        <v>0.89072936920768797</v>
      </c>
      <c r="AP418">
        <v>0.86974022178615795</v>
      </c>
      <c r="AQ418">
        <v>0.84971410824421001</v>
      </c>
      <c r="AR418">
        <v>0.83038018035635097</v>
      </c>
      <c r="AS418">
        <v>0.81137396534630402</v>
      </c>
      <c r="AT418">
        <v>0.79241890157327</v>
      </c>
      <c r="AU418">
        <v>0.77348577515899697</v>
      </c>
      <c r="AV418">
        <v>0.75476544651472499</v>
      </c>
      <c r="AW418">
        <v>0.73649216566791498</v>
      </c>
      <c r="AX418">
        <v>0.71877642791453999</v>
      </c>
      <c r="AY418">
        <v>0.70160023060637799</v>
      </c>
      <c r="AZ418">
        <v>0.68469175531533599</v>
      </c>
      <c r="BA418">
        <v>0</v>
      </c>
      <c r="BB418">
        <v>0</v>
      </c>
      <c r="BC418">
        <v>0</v>
      </c>
      <c r="BD418">
        <v>0</v>
      </c>
      <c r="BE418">
        <v>0</v>
      </c>
      <c r="BF418">
        <v>0</v>
      </c>
      <c r="BG418">
        <v>0</v>
      </c>
      <c r="BH418">
        <v>0</v>
      </c>
      <c r="BJ418" t="s">
        <v>343</v>
      </c>
      <c r="BL418">
        <v>1</v>
      </c>
      <c r="BM418">
        <v>0.99756097560975698</v>
      </c>
      <c r="BN418">
        <v>0.98536585365853702</v>
      </c>
      <c r="BO418">
        <v>0.97317073170731705</v>
      </c>
      <c r="BP418">
        <v>0.96097560975609797</v>
      </c>
      <c r="BQ418">
        <v>0.948780487804878</v>
      </c>
      <c r="BR418">
        <v>0.93658536585365804</v>
      </c>
      <c r="BS418">
        <v>0.92439024390243896</v>
      </c>
      <c r="BT418">
        <v>0.91219512195121999</v>
      </c>
      <c r="BU418">
        <v>0.90</v>
      </c>
      <c r="BV418">
        <v>0.8875</v>
      </c>
      <c r="BW418">
        <v>0.875000000000001</v>
      </c>
      <c r="BX418">
        <v>0.86250000000000104</v>
      </c>
      <c r="BY418">
        <v>0.85000000000000098</v>
      </c>
      <c r="BZ418">
        <v>0.8375</v>
      </c>
      <c r="CA418">
        <v>0.82500000000000095</v>
      </c>
      <c r="CB418">
        <v>0.812500000000001</v>
      </c>
      <c r="CC418">
        <v>0.80000000000000104</v>
      </c>
      <c r="CD418" t="e">
        <v>#VALUE!</v>
      </c>
      <c r="CE418" t="e">
        <v>#VALUE!</v>
      </c>
      <c r="CF418" t="e">
        <v>#VALUE!</v>
      </c>
      <c r="CG418" t="e">
        <v>#VALUE!</v>
      </c>
      <c r="CH418" t="e">
        <v>#VALUE!</v>
      </c>
      <c r="CI418" t="e">
        <v>#VALUE!</v>
      </c>
      <c r="CJ418" t="e">
        <v>#VALUE!</v>
      </c>
      <c r="CK418" t="e">
        <v>#VALUE!</v>
      </c>
    </row>
    <row r="419" spans="1:89" ht="12.5">
      <c r="A419" t="s">
        <v>38</v>
      </c>
      <c r="B419" t="s">
        <v>352</v>
      </c>
      <c r="C419" t="s">
        <v>352</v>
      </c>
      <c r="D419">
        <v>1.18</v>
      </c>
      <c r="E419">
        <v>1.1738002087344901</v>
      </c>
      <c r="F419"/>
      <c r="G419">
        <v>1.14317981732259</v>
      </c>
      <c r="H419">
        <v>1.12468711216796</v>
      </c>
      <c r="I419">
        <v>1.1032671494735</v>
      </c>
      <c r="J419">
        <v>1.0796305769460199</v>
      </c>
      <c r="K419">
        <v>1.0556676893117301</v>
      </c>
      <c r="L419">
        <v>1.0326727849108801</v>
      </c>
      <c r="M419">
        <v>1.01098288257082</v>
      </c>
      <c r="N419">
        <v>0.990279868507557</v>
      </c>
      <c r="O419">
        <v>0.97016371342008001</v>
      </c>
      <c r="P419">
        <v>0.950332135919287</v>
      </c>
      <c r="Q419">
        <v>0.930748107641856</v>
      </c>
      <c r="R419">
        <v>0.91160060116310804</v>
      </c>
      <c r="S419">
        <v>0.893116687218379</v>
      </c>
      <c r="T419">
        <v>0.87539303319328898</v>
      </c>
      <c r="U419">
        <v>0.85839652727425897</v>
      </c>
      <c r="V419">
        <v>0.84184673058016302</v>
      </c>
      <c r="W419">
        <v>5</v>
      </c>
      <c r="AG419" s="130" t="s">
        <v>347</v>
      </c>
      <c r="AI419">
        <v>1</v>
      </c>
      <c r="AJ419">
        <v>0.99473309349206396</v>
      </c>
      <c r="AK419">
        <v>0.96839856095238497</v>
      </c>
      <c r="AL419">
        <v>0.95230133673436101</v>
      </c>
      <c r="AM419">
        <v>0.93342798558020201</v>
      </c>
      <c r="AN419">
        <v>0.91235049582203798</v>
      </c>
      <c r="AO419">
        <v>0.89072936920768797</v>
      </c>
      <c r="AP419">
        <v>0.86974022178615795</v>
      </c>
      <c r="AQ419">
        <v>0.84971410824421001</v>
      </c>
      <c r="AR419">
        <v>0.83038018035635097</v>
      </c>
      <c r="AS419">
        <v>0.81137396534630402</v>
      </c>
      <c r="AT419">
        <v>0.79241890157327</v>
      </c>
      <c r="AU419">
        <v>0.77348577515899697</v>
      </c>
      <c r="AV419">
        <v>0.75476544651472499</v>
      </c>
      <c r="AW419">
        <v>0.73649216566791498</v>
      </c>
      <c r="AX419">
        <v>0.71877642791453999</v>
      </c>
      <c r="AY419">
        <v>0.70160023060637799</v>
      </c>
      <c r="AZ419">
        <v>0.68469175531533599</v>
      </c>
      <c r="BA419">
        <v>0</v>
      </c>
      <c r="BB419">
        <v>0</v>
      </c>
      <c r="BC419">
        <v>0</v>
      </c>
      <c r="BD419">
        <v>0</v>
      </c>
      <c r="BE419">
        <v>0</v>
      </c>
      <c r="BF419">
        <v>0</v>
      </c>
      <c r="BG419">
        <v>0</v>
      </c>
      <c r="BH419">
        <v>0</v>
      </c>
      <c r="BJ419" t="s">
        <v>343</v>
      </c>
      <c r="BL419">
        <v>1</v>
      </c>
      <c r="BM419">
        <v>0.99756097560975698</v>
      </c>
      <c r="BN419">
        <v>0.98536585365853702</v>
      </c>
      <c r="BO419">
        <v>0.97317073170731705</v>
      </c>
      <c r="BP419">
        <v>0.96097560975609797</v>
      </c>
      <c r="BQ419">
        <v>0.948780487804878</v>
      </c>
      <c r="BR419">
        <v>0.93658536585365804</v>
      </c>
      <c r="BS419">
        <v>0.92439024390243896</v>
      </c>
      <c r="BT419">
        <v>0.91219512195121999</v>
      </c>
      <c r="BU419">
        <v>0.90</v>
      </c>
      <c r="BV419">
        <v>0.8875</v>
      </c>
      <c r="BW419">
        <v>0.875000000000001</v>
      </c>
      <c r="BX419">
        <v>0.86250000000000104</v>
      </c>
      <c r="BY419">
        <v>0.85000000000000098</v>
      </c>
      <c r="BZ419">
        <v>0.8375</v>
      </c>
      <c r="CA419">
        <v>0.82500000000000095</v>
      </c>
      <c r="CB419">
        <v>0.812500000000001</v>
      </c>
      <c r="CC419">
        <v>0.80000000000000104</v>
      </c>
      <c r="CD419" t="e">
        <v>#VALUE!</v>
      </c>
      <c r="CE419" t="e">
        <v>#VALUE!</v>
      </c>
      <c r="CF419" t="e">
        <v>#VALUE!</v>
      </c>
      <c r="CG419" t="e">
        <v>#VALUE!</v>
      </c>
      <c r="CH419" t="e">
        <v>#VALUE!</v>
      </c>
      <c r="CI419" t="e">
        <v>#VALUE!</v>
      </c>
      <c r="CJ419" t="e">
        <v>#VALUE!</v>
      </c>
      <c r="CK419" t="e">
        <v>#VALUE!</v>
      </c>
    </row>
    <row r="420" spans="1:89" ht="12.5">
      <c r="A420" t="s">
        <v>38</v>
      </c>
      <c r="B420" t="s">
        <v>353</v>
      </c>
      <c r="C420" t="s">
        <v>353</v>
      </c>
      <c r="D420">
        <v>39.264000000000003</v>
      </c>
      <c r="E420">
        <v>40.224791233116903</v>
      </c>
      <c r="F420"/>
      <c r="G420">
        <v>49.852582535869601</v>
      </c>
      <c r="H420">
        <v>60.187456721668298</v>
      </c>
      <c r="I420">
        <v>70.2286970965134</v>
      </c>
      <c r="J420">
        <v>79.600092615863602</v>
      </c>
      <c r="K420">
        <v>88.567462987635906</v>
      </c>
      <c r="L420">
        <v>97.230651026469801</v>
      </c>
      <c r="M420">
        <v>105.790894958278</v>
      </c>
      <c r="N420">
        <v>114.42948997826301</v>
      </c>
      <c r="O420">
        <v>123.558804591252</v>
      </c>
      <c r="P420">
        <v>133.14960982128801</v>
      </c>
      <c r="Q420">
        <v>142.937971167694</v>
      </c>
      <c r="R420">
        <v>152.79062639227999</v>
      </c>
      <c r="S420">
        <v>162.64861376246901</v>
      </c>
      <c r="T420">
        <v>172.605781450367</v>
      </c>
      <c r="U420">
        <v>182.73118123156101</v>
      </c>
      <c r="V420">
        <v>193.10579846479001</v>
      </c>
      <c r="W420">
        <v>5</v>
      </c>
      <c r="AG420" s="130" t="s">
        <v>354</v>
      </c>
      <c r="AI420">
        <v>1</v>
      </c>
      <c r="AJ420">
        <v>1.0245298582909601</v>
      </c>
      <c r="AK420">
        <v>1.27339265664415</v>
      </c>
      <c r="AL420">
        <v>1.5446558280616101</v>
      </c>
      <c r="AM420">
        <v>1.81281998780747</v>
      </c>
      <c r="AN420">
        <v>2.0677838285681802</v>
      </c>
      <c r="AO420">
        <v>2.3165030223442402</v>
      </c>
      <c r="AP420">
        <v>2.5616243241813499</v>
      </c>
      <c r="AQ420">
        <v>2.80885971574661</v>
      </c>
      <c r="AR420">
        <v>3.0637083811450898</v>
      </c>
      <c r="AS420">
        <v>3.3391181080493499</v>
      </c>
      <c r="AT420">
        <v>3.6353317809786301</v>
      </c>
      <c r="AU420">
        <v>3.9451843096028498</v>
      </c>
      <c r="AV420">
        <v>4.2651136301772299</v>
      </c>
      <c r="AW420">
        <v>4.5936907635637398</v>
      </c>
      <c r="AX420">
        <v>4.9345642813628796</v>
      </c>
      <c r="AY420">
        <v>5.2908367657576196</v>
      </c>
      <c r="AZ420">
        <v>5.6663228070443497</v>
      </c>
      <c r="BA420">
        <v>0</v>
      </c>
      <c r="BB420">
        <v>0</v>
      </c>
      <c r="BC420">
        <v>0</v>
      </c>
      <c r="BD420">
        <v>0</v>
      </c>
      <c r="BE420">
        <v>0</v>
      </c>
      <c r="BF420">
        <v>0</v>
      </c>
      <c r="BG420">
        <v>0</v>
      </c>
      <c r="BH420">
        <v>0</v>
      </c>
      <c r="BJ420" t="s">
        <v>343</v>
      </c>
      <c r="BL420">
        <v>1</v>
      </c>
      <c r="BM420">
        <v>0.99756097560975698</v>
      </c>
      <c r="BN420">
        <v>0.98536585365853702</v>
      </c>
      <c r="BO420">
        <v>0.97317073170731705</v>
      </c>
      <c r="BP420">
        <v>0.96097560975609797</v>
      </c>
      <c r="BQ420">
        <v>0.948780487804878</v>
      </c>
      <c r="BR420">
        <v>0.93658536585365804</v>
      </c>
      <c r="BS420">
        <v>0.92439024390243896</v>
      </c>
      <c r="BT420">
        <v>0.91219512195121999</v>
      </c>
      <c r="BU420">
        <v>0.90</v>
      </c>
      <c r="BV420">
        <v>0.8875</v>
      </c>
      <c r="BW420">
        <v>0.875000000000001</v>
      </c>
      <c r="BX420">
        <v>0.86250000000000104</v>
      </c>
      <c r="BY420">
        <v>0.85000000000000098</v>
      </c>
      <c r="BZ420">
        <v>0.8375</v>
      </c>
      <c r="CA420">
        <v>0.82500000000000095</v>
      </c>
      <c r="CB420">
        <v>0.812500000000001</v>
      </c>
      <c r="CC420">
        <v>0.80000000000000104</v>
      </c>
      <c r="CD420" t="e">
        <v>#VALUE!</v>
      </c>
      <c r="CE420" t="e">
        <v>#VALUE!</v>
      </c>
      <c r="CF420" t="e">
        <v>#VALUE!</v>
      </c>
      <c r="CG420" t="e">
        <v>#VALUE!</v>
      </c>
      <c r="CH420" t="e">
        <v>#VALUE!</v>
      </c>
      <c r="CI420" t="e">
        <v>#VALUE!</v>
      </c>
      <c r="CJ420" t="e">
        <v>#VALUE!</v>
      </c>
      <c r="CK420" t="e">
        <v>#VALUE!</v>
      </c>
    </row>
    <row r="421" spans="1:89" ht="12.5">
      <c r="A421" t="s">
        <v>38</v>
      </c>
      <c r="B421" t="s">
        <v>355</v>
      </c>
      <c r="C421" t="s">
        <v>355</v>
      </c>
      <c r="D421">
        <v>16.31</v>
      </c>
      <c r="E421">
        <v>16.621310399031099</v>
      </c>
      <c r="F421"/>
      <c r="G421">
        <v>20.060701798804502</v>
      </c>
      <c r="H421">
        <v>23.825817875485601</v>
      </c>
      <c r="I421">
        <v>27.2681983886852</v>
      </c>
      <c r="J421">
        <v>30.2405343855336</v>
      </c>
      <c r="K421">
        <v>32.8953536095175</v>
      </c>
      <c r="L421">
        <v>35.320640271189802</v>
      </c>
      <c r="M421">
        <v>37.616826849225703</v>
      </c>
      <c r="N421">
        <v>39.848301175590301</v>
      </c>
      <c r="O421">
        <v>42.145215158909501</v>
      </c>
      <c r="P421">
        <v>44.478649938004502</v>
      </c>
      <c r="Q421">
        <v>46.753732339542097</v>
      </c>
      <c r="R421">
        <v>48.936624197609</v>
      </c>
      <c r="S421">
        <v>51.025297983664103</v>
      </c>
      <c r="T421">
        <v>53.061288739566301</v>
      </c>
      <c r="U421">
        <v>55.069357495699002</v>
      </c>
      <c r="V421">
        <v>57.058854967408301</v>
      </c>
      <c r="W421">
        <v>5</v>
      </c>
      <c r="AG421" s="130" t="s">
        <v>342</v>
      </c>
      <c r="AI421">
        <v>1</v>
      </c>
      <c r="AJ421">
        <v>1.01913375531275</v>
      </c>
      <c r="AK421">
        <v>1.2331516162215299</v>
      </c>
      <c r="AL421">
        <v>1.4709778098575901</v>
      </c>
      <c r="AM421">
        <v>1.69213690943865</v>
      </c>
      <c r="AN421">
        <v>1.8865436012469601</v>
      </c>
      <c r="AO421">
        <v>2.0633772758603901</v>
      </c>
      <c r="AP421">
        <v>2.2279477078463001</v>
      </c>
      <c r="AQ421">
        <v>2.3867277285487098</v>
      </c>
      <c r="AR421">
        <v>2.5440427180945102</v>
      </c>
      <c r="AS421">
        <v>2.70927350008765</v>
      </c>
      <c r="AT421">
        <v>2.88070561673748</v>
      </c>
      <c r="AU421">
        <v>3.0515439438582699</v>
      </c>
      <c r="AV421">
        <v>3.2191603935167601</v>
      </c>
      <c r="AW421">
        <v>3.3832172588657499</v>
      </c>
      <c r="AX421">
        <v>3.54684848747269</v>
      </c>
      <c r="AY421">
        <v>3.7120522949562398</v>
      </c>
      <c r="AZ421">
        <v>3.8796845089385101</v>
      </c>
      <c r="BA421">
        <v>0</v>
      </c>
      <c r="BB421">
        <v>0</v>
      </c>
      <c r="BC421">
        <v>0</v>
      </c>
      <c r="BD421">
        <v>0</v>
      </c>
      <c r="BE421">
        <v>0</v>
      </c>
      <c r="BF421">
        <v>0</v>
      </c>
      <c r="BG421">
        <v>0</v>
      </c>
      <c r="BH421">
        <v>0</v>
      </c>
      <c r="BJ421" t="s">
        <v>343</v>
      </c>
      <c r="BL421">
        <v>1</v>
      </c>
      <c r="BM421">
        <v>0.99756097560975698</v>
      </c>
      <c r="BN421">
        <v>0.98536585365853702</v>
      </c>
      <c r="BO421">
        <v>0.97317073170731705</v>
      </c>
      <c r="BP421">
        <v>0.96097560975609797</v>
      </c>
      <c r="BQ421">
        <v>0.948780487804878</v>
      </c>
      <c r="BR421">
        <v>0.93658536585365804</v>
      </c>
      <c r="BS421">
        <v>0.92439024390243896</v>
      </c>
      <c r="BT421">
        <v>0.91219512195121999</v>
      </c>
      <c r="BU421">
        <v>0.90</v>
      </c>
      <c r="BV421">
        <v>0.8875</v>
      </c>
      <c r="BW421">
        <v>0.875000000000001</v>
      </c>
      <c r="BX421">
        <v>0.86250000000000104</v>
      </c>
      <c r="BY421">
        <v>0.85000000000000098</v>
      </c>
      <c r="BZ421">
        <v>0.8375</v>
      </c>
      <c r="CA421">
        <v>0.82500000000000095</v>
      </c>
      <c r="CB421">
        <v>0.812500000000001</v>
      </c>
      <c r="CC421">
        <v>0.80000000000000104</v>
      </c>
      <c r="CD421" t="e">
        <v>#VALUE!</v>
      </c>
      <c r="CE421" t="e">
        <v>#VALUE!</v>
      </c>
      <c r="CF421" t="e">
        <v>#VALUE!</v>
      </c>
      <c r="CG421" t="e">
        <v>#VALUE!</v>
      </c>
      <c r="CH421" t="e">
        <v>#VALUE!</v>
      </c>
      <c r="CI421" t="e">
        <v>#VALUE!</v>
      </c>
      <c r="CJ421" t="e">
        <v>#VALUE!</v>
      </c>
      <c r="CK421" t="e">
        <v>#VALUE!</v>
      </c>
    </row>
    <row r="422" spans="1:89" ht="12.5">
      <c r="A422" t="s">
        <v>38</v>
      </c>
      <c r="B422" t="s">
        <v>356</v>
      </c>
      <c r="C422" t="s">
        <v>356</v>
      </c>
      <c r="D422">
        <v>11.49</v>
      </c>
      <c r="E422">
        <v>11.709310636717801</v>
      </c>
      <c r="F422"/>
      <c r="G422">
        <v>14.132278581745201</v>
      </c>
      <c r="H422">
        <v>16.7847116731655</v>
      </c>
      <c r="I422">
        <v>19.209785376210501</v>
      </c>
      <c r="J422">
        <v>21.303724101151499</v>
      </c>
      <c r="K422">
        <v>23.173979949316699</v>
      </c>
      <c r="L422">
        <v>24.882535666215301</v>
      </c>
      <c r="M422">
        <v>26.500143500772701</v>
      </c>
      <c r="N422">
        <v>28.0721631212466</v>
      </c>
      <c r="O422">
        <v>29.690283395209701</v>
      </c>
      <c r="P422">
        <v>31.334131685326302</v>
      </c>
      <c r="Q422">
        <v>32.936872138647402</v>
      </c>
      <c r="R422">
        <v>34.474666586788999</v>
      </c>
      <c r="S422">
        <v>35.946086684996999</v>
      </c>
      <c r="T422">
        <v>37.380392864354199</v>
      </c>
      <c r="U422">
        <v>38.795028671096297</v>
      </c>
      <c r="V422">
        <v>40.196581457726602</v>
      </c>
      <c r="W422">
        <v>5</v>
      </c>
      <c r="AG422" s="130" t="s">
        <v>342</v>
      </c>
      <c r="AI422">
        <v>1</v>
      </c>
      <c r="AJ422">
        <v>1.01913375531275</v>
      </c>
      <c r="AK422">
        <v>1.2331516162215299</v>
      </c>
      <c r="AL422">
        <v>1.4709778098575901</v>
      </c>
      <c r="AM422">
        <v>1.69213690943865</v>
      </c>
      <c r="AN422">
        <v>1.8865436012469601</v>
      </c>
      <c r="AO422">
        <v>2.0633772758603901</v>
      </c>
      <c r="AP422">
        <v>2.2279477078463001</v>
      </c>
      <c r="AQ422">
        <v>2.3867277285487098</v>
      </c>
      <c r="AR422">
        <v>2.5440427180945102</v>
      </c>
      <c r="AS422">
        <v>2.70927350008765</v>
      </c>
      <c r="AT422">
        <v>2.88070561673748</v>
      </c>
      <c r="AU422">
        <v>3.0515439438582699</v>
      </c>
      <c r="AV422">
        <v>3.2191603935167601</v>
      </c>
      <c r="AW422">
        <v>3.3832172588657499</v>
      </c>
      <c r="AX422">
        <v>3.54684848747269</v>
      </c>
      <c r="AY422">
        <v>3.7120522949562398</v>
      </c>
      <c r="AZ422">
        <v>3.8796845089385101</v>
      </c>
      <c r="BA422">
        <v>0</v>
      </c>
      <c r="BB422">
        <v>0</v>
      </c>
      <c r="BC422">
        <v>0</v>
      </c>
      <c r="BD422">
        <v>0</v>
      </c>
      <c r="BE422">
        <v>0</v>
      </c>
      <c r="BF422">
        <v>0</v>
      </c>
      <c r="BG422">
        <v>0</v>
      </c>
      <c r="BH422">
        <v>0</v>
      </c>
      <c r="BJ422" t="s">
        <v>343</v>
      </c>
      <c r="BL422">
        <v>1</v>
      </c>
      <c r="BM422">
        <v>0.99756097560975698</v>
      </c>
      <c r="BN422">
        <v>0.98536585365853702</v>
      </c>
      <c r="BO422">
        <v>0.97317073170731705</v>
      </c>
      <c r="BP422">
        <v>0.96097560975609797</v>
      </c>
      <c r="BQ422">
        <v>0.948780487804878</v>
      </c>
      <c r="BR422">
        <v>0.93658536585365804</v>
      </c>
      <c r="BS422">
        <v>0.92439024390243896</v>
      </c>
      <c r="BT422">
        <v>0.91219512195121999</v>
      </c>
      <c r="BU422">
        <v>0.90</v>
      </c>
      <c r="BV422">
        <v>0.8875</v>
      </c>
      <c r="BW422">
        <v>0.875000000000001</v>
      </c>
      <c r="BX422">
        <v>0.86250000000000104</v>
      </c>
      <c r="BY422">
        <v>0.85000000000000098</v>
      </c>
      <c r="BZ422">
        <v>0.8375</v>
      </c>
      <c r="CA422">
        <v>0.82500000000000095</v>
      </c>
      <c r="CB422">
        <v>0.812500000000001</v>
      </c>
      <c r="CC422">
        <v>0.80000000000000104</v>
      </c>
      <c r="CD422" t="e">
        <v>#VALUE!</v>
      </c>
      <c r="CE422" t="e">
        <v>#VALUE!</v>
      </c>
      <c r="CF422" t="e">
        <v>#VALUE!</v>
      </c>
      <c r="CG422" t="e">
        <v>#VALUE!</v>
      </c>
      <c r="CH422" t="e">
        <v>#VALUE!</v>
      </c>
      <c r="CI422" t="e">
        <v>#VALUE!</v>
      </c>
      <c r="CJ422" t="e">
        <v>#VALUE!</v>
      </c>
      <c r="CK422" t="e">
        <v>#VALUE!</v>
      </c>
    </row>
    <row r="430" spans="5:10" ht="12.5">
      <c r="E430"/>
      <c r="F430"/>
      <c r="I430"/>
      <c r="J430"/>
    </row>
    <row r="431" spans="5:10" ht="12.5">
      <c r="E431"/>
      <c r="F431"/>
      <c r="I431"/>
      <c r="J431"/>
    </row>
    <row r="432" spans="5:10" ht="12.5">
      <c r="E432"/>
      <c r="F432"/>
      <c r="I432"/>
      <c r="J432"/>
    </row>
    <row r="433" spans="5:10" ht="12.5">
      <c r="E433"/>
      <c r="F433"/>
      <c r="I433"/>
      <c r="J433"/>
    </row>
    <row r="434" spans="5:10" ht="12.5">
      <c r="E434"/>
      <c r="F434"/>
      <c r="I434"/>
      <c r="J434"/>
    </row>
    <row r="435" spans="5:10" ht="12.5">
      <c r="E435"/>
      <c r="F435"/>
      <c r="I435"/>
      <c r="J435"/>
    </row>
    <row r="436" spans="5:10" ht="12.5">
      <c r="E436"/>
      <c r="F436"/>
      <c r="I436"/>
      <c r="J436"/>
    </row>
    <row r="437" spans="5:10" ht="12.5">
      <c r="E437"/>
      <c r="F437"/>
      <c r="I437"/>
      <c r="J437"/>
    </row>
    <row r="438" spans="5:10" ht="12.5">
      <c r="E438"/>
      <c r="F438"/>
      <c r="I438"/>
      <c r="J438"/>
    </row>
    <row r="439" spans="5:10" ht="12.5">
      <c r="E439"/>
      <c r="F439"/>
      <c r="I439"/>
      <c r="J439"/>
    </row>
    <row r="440" spans="5:10" ht="12.5">
      <c r="E440"/>
      <c r="F440"/>
      <c r="I440"/>
      <c r="J440"/>
    </row>
    <row r="441" spans="5:10" ht="12.5">
      <c r="E441"/>
      <c r="F441"/>
      <c r="I441"/>
      <c r="J441"/>
    </row>
    <row r="442" spans="5:10" ht="12.5">
      <c r="E442"/>
      <c r="F442"/>
      <c r="I442"/>
      <c r="J442"/>
    </row>
    <row r="443" spans="5:10" ht="12.5">
      <c r="E443"/>
      <c r="F443"/>
      <c r="I443"/>
      <c r="J443"/>
    </row>
    <row r="444" spans="5:10" ht="12.5">
      <c r="E444"/>
      <c r="F444"/>
      <c r="I444"/>
      <c r="J444"/>
    </row>
    <row r="445" spans="5:10" ht="12.5">
      <c r="E445"/>
      <c r="F445"/>
      <c r="I445"/>
      <c r="J445"/>
    </row>
    <row r="446" spans="5:10" ht="12.5">
      <c r="E446"/>
      <c r="F446"/>
      <c r="I446"/>
      <c r="J446"/>
    </row>
    <row r="447" spans="5:10" ht="12.5">
      <c r="E447"/>
      <c r="F447"/>
      <c r="I447"/>
      <c r="J447"/>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Template/>
  <Manager/>
  <Company>Dell Computer Corporation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李潇</cp:lastModifiedBy>
  <cp:lastPrinted>2001-09-28T20:39:00Z</cp:lastPrinted>
  <dcterms:created xsi:type="dcterms:W3CDTF">2001-09-28T18:48:00Z</dcterms:created>
  <dcterms:modified xsi:type="dcterms:W3CDTF">2026-06-22T20:25:56Z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