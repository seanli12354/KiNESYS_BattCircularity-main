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<sst xmlns="http://schemas.openxmlformats.org/spreadsheetml/2006/main" count="9889" uniqueCount="597">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</sst>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10"/>
      <name val="SimSun"/>
      <charset val="134"/>
    </font>
    <font>
      <sz val="9"/>
      <name val="Times New Roman"/>
      <charset val="0"/>
    </font>
    <font>
      <b/>
      <sz val="9"/>
      <name val="Times New Roman"/>
      <charset val="134"/>
    </font>
    <font>
      <sz val="9"/>
      <name val="Times New Roman"/>
      <charset val="134"/>
    </font>
    <font>
      <b/>
      <sz val="9"/>
      <name val="Tahoma"/>
      <charset val="1"/>
    </font>
    <font>
      <b/>
      <sz val="9"/>
      <name val="Times New Roman"/>
      <charset val="0"/>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7">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1" fillId="0" borderId="0" xfId="0" applyFont="1" applyFill="1" applyAlignment="1">
      <alignment vertical="center"/>
    </xf>
    <xf numFmtId="0" fontId="0" fillId="3" borderId="0" xfId="0" applyFill="1"/>
    <xf numFmtId="0" fontId="5" fillId="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6"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7" fillId="2" borderId="0" xfId="0" applyFont="1" applyFill="1"/>
    <xf numFmtId="0" fontId="18" fillId="0" borderId="0" xfId="0" applyFont="1"/>
    <xf numFmtId="0" fontId="17" fillId="0" borderId="0" xfId="0" applyFont="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7" fillId="2" borderId="0" xfId="49" applyFont="1" applyFill="1"/>
    <xf numFmtId="0" fontId="7" fillId="5" borderId="0" xfId="0" applyFont="1" applyFill="1"/>
    <xf numFmtId="0" fontId="5" fillId="5" borderId="0" xfId="0" applyFont="1" applyFill="1"/>
    <xf numFmtId="0" fontId="7" fillId="0" borderId="0" xfId="49" applyFont="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6" customWidth="1"/>
    <col min="2" max="2" width="8.85454545454546" style="166" customWidth="1"/>
    <col min="3" max="3" width="4.71818181818182" style="166" customWidth="1"/>
    <col min="4" max="4" width="8.85454545454546" style="166" customWidth="1"/>
    <col min="5" max="5" width="4.42727272727273" style="166" customWidth="1"/>
    <col min="6" max="6" width="4.28181818181818" style="166" customWidth="1"/>
    <col min="7" max="7" width="4.42727272727273" style="166" customWidth="1"/>
    <col min="8" max="8" width="4.57272727272727" style="166" customWidth="1"/>
    <col min="9" max="9" width="4" style="166" customWidth="1"/>
    <col min="10" max="10" width="4.42727272727273" style="166" customWidth="1"/>
    <col min="11" max="11" width="4.57272727272727" style="166" customWidth="1"/>
    <col min="12" max="12" width="4.42727272727273" style="166" customWidth="1"/>
    <col min="13" max="13" width="4" style="166" customWidth="1"/>
    <col min="14" max="14" width="4.28181818181818" style="166" customWidth="1"/>
    <col min="15" max="16" width="4.42727272727273" style="166" customWidth="1"/>
    <col min="17" max="18" width="4.57272727272727" style="166" customWidth="1"/>
    <col min="19" max="19" width="4.42727272727273" style="166" customWidth="1"/>
    <col min="20" max="20" width="5" style="166" customWidth="1"/>
    <col min="21" max="21" width="11.7181818181818" style="166" customWidth="1"/>
    <col min="22" max="22" width="10.7181818181818" style="166" customWidth="1"/>
    <col min="23" max="23" width="13.1454545454545" style="166" customWidth="1"/>
    <col min="24" max="259" width="11.4272727272727" style="166" customWidth="1"/>
    <col min="260" max="16384" width="9.14545454545454" style="166"/>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7"/>
      <c r="W3" s="87"/>
      <c r="X3" s="87"/>
      <c r="Y3" s="87"/>
      <c r="Z3" s="87"/>
      <c r="AA3" s="87"/>
    </row>
    <row r="4" ht="12.5" spans="1:27">
      <c r="A4" t="s">
        <v>1</v>
      </c>
      <c r="B4" t="s">
        <v>2</v>
      </c>
      <c r="C4"/>
      <c r="D4"/>
      <c r="E4"/>
      <c r="F4"/>
      <c r="G4"/>
      <c r="H4"/>
      <c r="I4"/>
      <c r="J4"/>
      <c r="K4"/>
      <c r="L4"/>
      <c r="M4"/>
      <c r="N4"/>
      <c r="O4"/>
      <c r="P4"/>
      <c r="Q4"/>
      <c r="R4"/>
      <c r="S4"/>
      <c r="T4"/>
      <c r="U4"/>
      <c r="V4" s="87"/>
      <c r="W4" s="87"/>
      <c r="X4" s="87"/>
      <c r="Y4" s="87"/>
      <c r="Z4" s="87"/>
      <c r="AA4" s="87"/>
    </row>
    <row r="5" ht="12.5" spans="1:27">
      <c r="A5" t="s">
        <v>3</v>
      </c>
      <c r="B5" t="s">
        <v>4</v>
      </c>
      <c r="C5"/>
      <c r="D5"/>
      <c r="E5"/>
      <c r="F5"/>
      <c r="G5"/>
      <c r="H5"/>
      <c r="I5"/>
      <c r="J5"/>
      <c r="K5"/>
      <c r="L5"/>
      <c r="M5"/>
      <c r="N5"/>
      <c r="O5"/>
      <c r="P5"/>
      <c r="Q5"/>
      <c r="R5"/>
      <c r="S5"/>
      <c r="T5"/>
      <c r="U5"/>
      <c r="V5" s="87"/>
      <c r="W5" s="87"/>
      <c r="X5" s="87"/>
      <c r="Y5" s="87"/>
      <c r="Z5" s="87"/>
      <c r="AA5" s="87"/>
    </row>
    <row r="6" ht="12.5" spans="1:27">
      <c r="A6" t="s">
        <v>5</v>
      </c>
      <c r="B6" t="s">
        <v>4</v>
      </c>
      <c r="C6"/>
      <c r="D6"/>
      <c r="E6"/>
      <c r="F6"/>
      <c r="G6"/>
      <c r="H6"/>
      <c r="I6"/>
      <c r="J6"/>
      <c r="K6"/>
      <c r="L6"/>
      <c r="M6"/>
      <c r="N6"/>
      <c r="O6"/>
      <c r="P6"/>
      <c r="Q6"/>
      <c r="R6"/>
      <c r="S6"/>
      <c r="T6"/>
      <c r="U6"/>
      <c r="V6" s="87"/>
      <c r="W6" s="87"/>
      <c r="X6" s="87"/>
      <c r="Y6" s="87"/>
      <c r="Z6" s="87"/>
      <c r="AA6" s="87"/>
    </row>
    <row r="7" ht="12.5" spans="1:27">
      <c r="A7" t="s">
        <v>6</v>
      </c>
      <c r="B7" t="s">
        <v>4</v>
      </c>
      <c r="C7"/>
      <c r="D7"/>
      <c r="E7"/>
      <c r="F7"/>
      <c r="G7"/>
      <c r="H7"/>
      <c r="I7"/>
      <c r="J7"/>
      <c r="K7"/>
      <c r="L7"/>
      <c r="M7"/>
      <c r="N7"/>
      <c r="O7"/>
      <c r="P7"/>
      <c r="Q7"/>
      <c r="R7"/>
      <c r="S7"/>
      <c r="T7"/>
      <c r="U7"/>
      <c r="V7" s="87"/>
      <c r="W7" s="87"/>
      <c r="X7" s="87"/>
      <c r="Y7" s="87"/>
      <c r="Z7" s="87"/>
      <c r="AA7" s="87"/>
    </row>
    <row r="8" ht="12.5" spans="1:27">
      <c r="A8" t="s">
        <v>7</v>
      </c>
      <c r="B8" t="s">
        <v>4</v>
      </c>
      <c r="C8"/>
      <c r="D8"/>
      <c r="E8"/>
      <c r="F8"/>
      <c r="G8"/>
      <c r="H8"/>
      <c r="I8"/>
      <c r="J8"/>
      <c r="K8"/>
      <c r="L8"/>
      <c r="M8"/>
      <c r="N8"/>
      <c r="O8"/>
      <c r="P8"/>
      <c r="Q8"/>
      <c r="R8"/>
      <c r="S8"/>
      <c r="T8"/>
      <c r="U8"/>
      <c r="V8" s="87"/>
      <c r="W8" s="87"/>
      <c r="X8" s="87"/>
      <c r="Y8" s="87"/>
      <c r="Z8" s="87"/>
      <c r="AA8" s="87"/>
    </row>
    <row r="9" ht="12.5" spans="1:27">
      <c r="A9" t="s">
        <v>8</v>
      </c>
      <c r="B9" t="s">
        <v>4</v>
      </c>
      <c r="C9"/>
      <c r="D9"/>
      <c r="E9"/>
      <c r="F9"/>
      <c r="G9"/>
      <c r="H9"/>
      <c r="I9"/>
      <c r="J9"/>
      <c r="K9"/>
      <c r="L9"/>
      <c r="M9"/>
      <c r="N9"/>
      <c r="O9"/>
      <c r="P9"/>
      <c r="Q9"/>
      <c r="R9"/>
      <c r="S9"/>
      <c r="T9"/>
      <c r="U9"/>
      <c r="V9" s="87"/>
      <c r="W9" s="87"/>
      <c r="X9" s="87"/>
      <c r="Y9" s="87"/>
      <c r="Z9" s="87"/>
      <c r="AA9" s="87"/>
    </row>
    <row r="10" ht="12.5" spans="1:27">
      <c r="A10" t="s">
        <v>9</v>
      </c>
      <c r="B10" t="s">
        <v>4</v>
      </c>
      <c r="C10"/>
      <c r="D10"/>
      <c r="E10"/>
      <c r="F10"/>
      <c r="G10"/>
      <c r="H10"/>
      <c r="I10"/>
      <c r="J10"/>
      <c r="K10"/>
      <c r="L10"/>
      <c r="M10"/>
      <c r="N10"/>
      <c r="O10"/>
      <c r="P10"/>
      <c r="Q10"/>
      <c r="R10"/>
      <c r="S10"/>
      <c r="T10"/>
      <c r="U10"/>
      <c r="V10" s="87"/>
      <c r="W10" s="87"/>
      <c r="X10" s="87"/>
      <c r="Y10" s="87"/>
      <c r="Z10" s="87"/>
      <c r="AA10" s="87"/>
    </row>
    <row r="11" ht="12.5" spans="1:27">
      <c r="A11" t="s">
        <v>10</v>
      </c>
      <c r="B11" t="s">
        <v>4</v>
      </c>
      <c r="C11"/>
      <c r="D11"/>
      <c r="E11"/>
      <c r="F11"/>
      <c r="G11"/>
      <c r="H11"/>
      <c r="I11"/>
      <c r="J11"/>
      <c r="K11"/>
      <c r="L11"/>
      <c r="M11"/>
      <c r="N11"/>
      <c r="O11"/>
      <c r="P11"/>
      <c r="Q11"/>
      <c r="R11"/>
      <c r="S11"/>
      <c r="T11"/>
      <c r="U11"/>
      <c r="V11" s="87"/>
      <c r="W11" s="87"/>
      <c r="X11" s="87"/>
      <c r="Y11" s="87"/>
      <c r="Z11" s="87"/>
      <c r="AA11" s="87"/>
    </row>
    <row r="12" ht="12.5" spans="1:27">
      <c r="A12" t="s">
        <v>11</v>
      </c>
      <c r="B12" t="s">
        <v>4</v>
      </c>
      <c r="C12"/>
      <c r="D12"/>
      <c r="E12"/>
      <c r="F12"/>
      <c r="G12"/>
      <c r="H12"/>
      <c r="I12"/>
      <c r="J12"/>
      <c r="K12"/>
      <c r="L12"/>
      <c r="M12"/>
      <c r="N12"/>
      <c r="O12"/>
      <c r="P12"/>
      <c r="Q12"/>
      <c r="R12"/>
      <c r="S12"/>
      <c r="T12"/>
      <c r="U12"/>
      <c r="V12" s="87"/>
      <c r="W12" s="87"/>
      <c r="X12" s="87"/>
      <c r="Y12" s="87"/>
      <c r="Z12" s="87"/>
      <c r="AA12" s="87"/>
    </row>
    <row r="13" ht="12.5" spans="1:27">
      <c r="A13" t="s">
        <v>12</v>
      </c>
      <c r="B13" t="s">
        <v>4</v>
      </c>
      <c r="C13"/>
      <c r="D13"/>
      <c r="E13"/>
      <c r="F13"/>
      <c r="G13"/>
      <c r="H13"/>
      <c r="I13"/>
      <c r="J13"/>
      <c r="K13"/>
      <c r="L13"/>
      <c r="M13"/>
      <c r="N13"/>
      <c r="O13"/>
      <c r="P13"/>
      <c r="Q13"/>
      <c r="R13"/>
      <c r="S13"/>
      <c r="T13"/>
      <c r="U13"/>
      <c r="V13" s="87"/>
      <c r="W13" s="87"/>
      <c r="X13" s="87"/>
      <c r="Y13" s="87"/>
      <c r="Z13" s="87"/>
      <c r="AA13" s="87"/>
    </row>
    <row r="14" ht="12.5" spans="1:27">
      <c r="A14" t="s">
        <v>13</v>
      </c>
      <c r="B14" t="s">
        <v>4</v>
      </c>
      <c r="C14"/>
      <c r="D14"/>
      <c r="E14"/>
      <c r="F14"/>
      <c r="G14"/>
      <c r="H14"/>
      <c r="I14"/>
      <c r="J14"/>
      <c r="K14"/>
      <c r="L14"/>
      <c r="M14"/>
      <c r="N14"/>
      <c r="O14"/>
      <c r="P14"/>
      <c r="Q14"/>
      <c r="R14"/>
      <c r="S14"/>
      <c r="T14"/>
      <c r="U14"/>
      <c r="V14" s="87"/>
      <c r="W14" s="87"/>
      <c r="X14" s="87"/>
      <c r="Y14" s="87"/>
      <c r="Z14" s="87"/>
      <c r="AA14" s="87"/>
    </row>
    <row r="15" ht="12.5" spans="1:27">
      <c r="A15" t="s">
        <v>14</v>
      </c>
      <c r="B15" t="s">
        <v>4</v>
      </c>
      <c r="C15"/>
      <c r="D15"/>
      <c r="E15"/>
      <c r="F15"/>
      <c r="G15"/>
      <c r="H15"/>
      <c r="I15"/>
      <c r="J15"/>
      <c r="K15"/>
      <c r="L15"/>
      <c r="M15"/>
      <c r="N15"/>
      <c r="O15"/>
      <c r="P15"/>
      <c r="Q15"/>
      <c r="R15"/>
      <c r="S15"/>
      <c r="T15"/>
      <c r="U15"/>
      <c r="V15" s="87"/>
      <c r="W15" s="87"/>
      <c r="X15" s="87"/>
      <c r="Y15" s="87"/>
      <c r="Z15" s="87"/>
      <c r="AA15" s="87"/>
    </row>
    <row r="16" ht="12.5" spans="1:27">
      <c r="A16" t="s">
        <v>15</v>
      </c>
      <c r="B16" t="s">
        <v>4</v>
      </c>
      <c r="C16"/>
      <c r="D16"/>
      <c r="E16"/>
      <c r="F16"/>
      <c r="G16"/>
      <c r="H16"/>
      <c r="I16"/>
      <c r="J16"/>
      <c r="K16"/>
      <c r="L16"/>
      <c r="M16"/>
      <c r="N16"/>
      <c r="O16"/>
      <c r="P16"/>
      <c r="Q16"/>
      <c r="R16"/>
      <c r="S16"/>
      <c r="T16"/>
      <c r="U16"/>
      <c r="V16" s="87"/>
      <c r="W16" s="87"/>
      <c r="X16" s="87"/>
      <c r="Y16" s="87"/>
      <c r="Z16" s="87"/>
      <c r="AA16" s="87"/>
    </row>
    <row r="17" ht="12.5" spans="1:27">
      <c r="A17" t="s">
        <v>16</v>
      </c>
      <c r="B17" t="s">
        <v>4</v>
      </c>
      <c r="C17"/>
      <c r="D17"/>
      <c r="E17"/>
      <c r="F17"/>
      <c r="G17"/>
      <c r="H17"/>
      <c r="I17"/>
      <c r="J17"/>
      <c r="K17"/>
      <c r="L17"/>
      <c r="M17"/>
      <c r="N17"/>
      <c r="O17"/>
      <c r="P17"/>
      <c r="Q17"/>
      <c r="R17"/>
      <c r="S17"/>
      <c r="T17"/>
      <c r="U17"/>
      <c r="V17" s="87"/>
      <c r="W17" s="87"/>
      <c r="X17" s="87"/>
      <c r="Y17" s="87"/>
      <c r="Z17" s="87"/>
      <c r="AA17" s="87"/>
    </row>
    <row r="18" ht="12.5" spans="1:27">
      <c r="A18" t="s">
        <v>17</v>
      </c>
      <c r="B18" t="s">
        <v>4</v>
      </c>
      <c r="C18"/>
      <c r="D18"/>
      <c r="E18"/>
      <c r="F18"/>
      <c r="G18"/>
      <c r="H18"/>
      <c r="I18"/>
      <c r="J18"/>
      <c r="K18"/>
      <c r="L18"/>
      <c r="M18"/>
      <c r="N18"/>
      <c r="O18"/>
      <c r="P18"/>
      <c r="Q18"/>
      <c r="R18"/>
      <c r="S18"/>
      <c r="T18"/>
      <c r="U18"/>
      <c r="V18" s="87"/>
      <c r="W18" s="87"/>
      <c r="X18" s="87"/>
      <c r="Y18" s="87"/>
      <c r="Z18" s="87"/>
      <c r="AA18" s="87"/>
    </row>
    <row r="19" ht="12.5" spans="1:27">
      <c r="A19" t="s">
        <v>18</v>
      </c>
      <c r="B19" t="s">
        <v>4</v>
      </c>
      <c r="C19"/>
      <c r="D19"/>
      <c r="E19"/>
      <c r="F19"/>
      <c r="G19"/>
      <c r="H19"/>
      <c r="I19"/>
      <c r="J19"/>
      <c r="K19"/>
      <c r="L19"/>
      <c r="M19"/>
      <c r="N19"/>
      <c r="O19"/>
      <c r="P19"/>
      <c r="Q19"/>
      <c r="R19"/>
      <c r="S19"/>
      <c r="T19"/>
      <c r="U19"/>
      <c r="V19" s="87"/>
      <c r="W19" s="87"/>
      <c r="X19" s="87"/>
      <c r="Y19" s="87"/>
      <c r="Z19" s="87"/>
      <c r="AA19" s="87"/>
    </row>
    <row r="20" ht="12.5" spans="1:27">
      <c r="A20" t="s">
        <v>19</v>
      </c>
      <c r="B20" t="s">
        <v>4</v>
      </c>
      <c r="C20"/>
      <c r="D20"/>
      <c r="E20"/>
      <c r="F20"/>
      <c r="G20"/>
      <c r="H20"/>
      <c r="I20"/>
      <c r="J20"/>
      <c r="K20"/>
      <c r="L20"/>
      <c r="M20"/>
      <c r="N20"/>
      <c r="O20"/>
      <c r="P20"/>
      <c r="Q20"/>
      <c r="R20"/>
      <c r="S20"/>
      <c r="T20"/>
      <c r="U20"/>
      <c r="V20" s="87"/>
      <c r="W20" s="87"/>
      <c r="X20" s="87"/>
      <c r="Y20" s="87"/>
      <c r="Z20" s="87"/>
      <c r="AA20" s="87"/>
    </row>
    <row r="21" ht="12.5" spans="1:27">
      <c r="A21" t="s">
        <v>20</v>
      </c>
      <c r="B21" t="s">
        <v>4</v>
      </c>
      <c r="C21"/>
      <c r="D21"/>
      <c r="E21"/>
      <c r="F21"/>
      <c r="G21"/>
      <c r="H21"/>
      <c r="I21"/>
      <c r="J21"/>
      <c r="K21"/>
      <c r="L21"/>
      <c r="M21"/>
      <c r="N21"/>
      <c r="O21"/>
      <c r="P21"/>
      <c r="Q21"/>
      <c r="R21"/>
      <c r="S21"/>
      <c r="T21"/>
      <c r="U21"/>
      <c r="V21" s="87"/>
      <c r="W21" s="87"/>
      <c r="X21" s="87"/>
      <c r="Y21" s="87"/>
      <c r="Z21" s="87"/>
      <c r="AA21" s="87"/>
    </row>
    <row r="22" ht="12.5" spans="1:27">
      <c r="A22" t="s">
        <v>21</v>
      </c>
      <c r="B22" t="s">
        <v>4</v>
      </c>
      <c r="C22"/>
      <c r="D22"/>
      <c r="E22"/>
      <c r="F22"/>
      <c r="G22"/>
      <c r="H22"/>
      <c r="I22"/>
      <c r="J22"/>
      <c r="K22"/>
      <c r="L22"/>
      <c r="M22"/>
      <c r="N22"/>
      <c r="O22"/>
      <c r="P22"/>
      <c r="Q22"/>
      <c r="R22"/>
      <c r="S22"/>
      <c r="T22"/>
      <c r="U22"/>
      <c r="V22" s="87"/>
      <c r="W22" s="87"/>
      <c r="X22" s="87"/>
      <c r="Y22" s="87"/>
      <c r="Z22" s="87"/>
      <c r="AA22" s="87"/>
    </row>
    <row r="23" ht="12.5" spans="1:27">
      <c r="A23" t="s">
        <v>22</v>
      </c>
      <c r="B23" t="s">
        <v>4</v>
      </c>
      <c r="C23"/>
      <c r="D23"/>
      <c r="E23"/>
      <c r="F23"/>
      <c r="G23"/>
      <c r="H23"/>
      <c r="I23"/>
      <c r="J23"/>
      <c r="K23"/>
      <c r="L23"/>
      <c r="M23"/>
      <c r="N23"/>
      <c r="O23"/>
      <c r="P23"/>
      <c r="Q23"/>
      <c r="R23"/>
      <c r="S23"/>
      <c r="T23"/>
      <c r="U23"/>
      <c r="V23" s="87"/>
      <c r="W23" s="87"/>
      <c r="X23" s="87"/>
      <c r="Y23" s="87"/>
      <c r="Z23" s="87"/>
      <c r="AA23" s="87"/>
    </row>
    <row r="24" ht="12.5" spans="1:27">
      <c r="A24" t="s">
        <v>23</v>
      </c>
      <c r="B24" t="s">
        <v>4</v>
      </c>
      <c r="C24"/>
      <c r="D24"/>
      <c r="E24"/>
      <c r="F24"/>
      <c r="G24"/>
      <c r="H24"/>
      <c r="I24"/>
      <c r="J24"/>
      <c r="K24"/>
      <c r="L24"/>
      <c r="M24"/>
      <c r="N24"/>
      <c r="O24"/>
      <c r="P24"/>
      <c r="Q24"/>
      <c r="R24"/>
      <c r="S24"/>
      <c r="T24"/>
      <c r="U24"/>
      <c r="V24" s="87"/>
      <c r="W24" s="87"/>
      <c r="X24" s="87"/>
      <c r="Y24" s="87"/>
      <c r="Z24" s="87"/>
      <c r="AA24" s="87"/>
    </row>
    <row r="25" ht="12.5" spans="1:27">
      <c r="A25" t="s">
        <v>24</v>
      </c>
      <c r="B25" t="s">
        <v>4</v>
      </c>
      <c r="C25"/>
      <c r="D25"/>
      <c r="E25"/>
      <c r="F25"/>
      <c r="G25"/>
      <c r="H25"/>
      <c r="I25"/>
      <c r="J25"/>
      <c r="K25"/>
      <c r="L25"/>
      <c r="M25"/>
      <c r="N25"/>
      <c r="O25"/>
      <c r="P25"/>
      <c r="Q25"/>
      <c r="R25"/>
      <c r="S25"/>
      <c r="T25"/>
      <c r="U25"/>
      <c r="V25" s="87"/>
      <c r="W25" s="87"/>
      <c r="X25" s="87"/>
      <c r="Y25" s="87"/>
      <c r="Z25" s="87"/>
      <c r="AA25" s="87"/>
    </row>
    <row r="26" ht="12.5" spans="1:27">
      <c r="A26" t="s">
        <v>25</v>
      </c>
      <c r="B26" t="s">
        <v>4</v>
      </c>
      <c r="C26"/>
      <c r="D26"/>
      <c r="E26"/>
      <c r="F26"/>
      <c r="G26"/>
      <c r="H26"/>
      <c r="I26"/>
      <c r="J26"/>
      <c r="K26"/>
      <c r="L26"/>
      <c r="M26"/>
      <c r="N26"/>
      <c r="O26"/>
      <c r="P26"/>
      <c r="Q26"/>
      <c r="R26"/>
      <c r="S26"/>
      <c r="T26"/>
      <c r="U26"/>
      <c r="V26" s="87"/>
      <c r="W26" s="87"/>
      <c r="X26" s="87"/>
      <c r="Y26" s="87"/>
      <c r="Z26" s="87"/>
      <c r="AA26" s="87"/>
    </row>
    <row r="27" ht="12.5" spans="1:27">
      <c r="A27" t="s">
        <v>26</v>
      </c>
      <c r="B27" t="s">
        <v>4</v>
      </c>
      <c r="C27"/>
      <c r="D27"/>
      <c r="E27"/>
      <c r="F27"/>
      <c r="G27"/>
      <c r="H27"/>
      <c r="I27"/>
      <c r="J27"/>
      <c r="K27"/>
      <c r="L27"/>
      <c r="M27"/>
      <c r="N27"/>
      <c r="O27"/>
      <c r="P27"/>
      <c r="Q27"/>
      <c r="R27"/>
      <c r="S27"/>
      <c r="T27"/>
      <c r="U27"/>
      <c r="V27" s="87"/>
      <c r="W27" s="87"/>
      <c r="X27" s="87"/>
      <c r="Y27" s="87"/>
      <c r="Z27" s="87"/>
      <c r="AA27" s="87"/>
    </row>
    <row r="28" ht="12.5" spans="1:27">
      <c r="A28" t="s">
        <v>27</v>
      </c>
      <c r="B28" t="s">
        <v>4</v>
      </c>
      <c r="C28"/>
      <c r="D28"/>
      <c r="E28"/>
      <c r="F28"/>
      <c r="G28"/>
      <c r="H28"/>
      <c r="I28"/>
      <c r="J28"/>
      <c r="K28"/>
      <c r="L28"/>
      <c r="M28"/>
      <c r="N28"/>
      <c r="O28"/>
      <c r="P28"/>
      <c r="Q28"/>
      <c r="R28"/>
      <c r="S28"/>
      <c r="T28"/>
      <c r="U28"/>
      <c r="V28" s="87"/>
      <c r="W28" s="87"/>
      <c r="X28" s="87"/>
      <c r="Y28" s="87"/>
      <c r="Z28" s="87"/>
      <c r="AA28" s="87"/>
    </row>
    <row r="29" ht="12.5" spans="1:27">
      <c r="A29" t="s">
        <v>28</v>
      </c>
      <c r="B29" t="s">
        <v>4</v>
      </c>
      <c r="C29"/>
      <c r="D29"/>
      <c r="E29"/>
      <c r="F29"/>
      <c r="G29"/>
      <c r="H29"/>
      <c r="I29"/>
      <c r="J29"/>
      <c r="K29"/>
      <c r="L29"/>
      <c r="M29"/>
      <c r="N29"/>
      <c r="O29"/>
      <c r="P29"/>
      <c r="Q29"/>
      <c r="R29"/>
      <c r="S29"/>
      <c r="T29"/>
      <c r="U29"/>
      <c r="V29" s="87"/>
      <c r="W29" s="87"/>
      <c r="X29" s="87"/>
      <c r="Y29" s="87"/>
      <c r="Z29" s="87"/>
      <c r="AA29" s="87"/>
    </row>
    <row r="30" ht="12.5" spans="1:27">
      <c r="A30" t="s">
        <v>29</v>
      </c>
      <c r="B30" t="s">
        <v>4</v>
      </c>
      <c r="H30" s="87"/>
      <c r="I30" s="87"/>
      <c r="J30" s="87"/>
      <c r="K30" s="87"/>
      <c r="L30" s="87"/>
      <c r="M30" s="87"/>
      <c r="N30" s="87"/>
      <c r="O30" s="87"/>
      <c r="P30" s="87"/>
      <c r="Q30" s="87"/>
      <c r="R30" s="87"/>
      <c r="S30" s="87"/>
      <c r="T30" s="87"/>
      <c r="U30" s="87"/>
      <c r="V30" s="87"/>
      <c r="W30" s="87"/>
      <c r="X30" s="87"/>
      <c r="Y30" s="87"/>
      <c r="Z30" s="87"/>
      <c r="AA30" s="87"/>
    </row>
    <row r="31" ht="12.5" spans="1:27">
      <c r="A31" t="s">
        <v>30</v>
      </c>
      <c r="B31" t="s">
        <v>4</v>
      </c>
      <c r="H31" s="87"/>
      <c r="I31" s="87"/>
      <c r="J31" s="87"/>
      <c r="K31" s="87"/>
      <c r="L31" s="87"/>
      <c r="M31" s="87"/>
      <c r="N31" s="87"/>
      <c r="O31" s="87"/>
      <c r="P31" s="87"/>
      <c r="Q31" s="87"/>
      <c r="R31" s="87"/>
      <c r="S31" s="87"/>
      <c r="T31" s="87"/>
      <c r="U31" s="87"/>
      <c r="V31" s="87"/>
      <c r="W31" s="87"/>
      <c r="X31" s="87"/>
      <c r="Y31" s="87"/>
      <c r="Z31" s="87"/>
      <c r="AA31" s="87"/>
    </row>
    <row r="32" ht="12.5" spans="1:27">
      <c r="A32" t="s">
        <v>31</v>
      </c>
      <c r="B32" t="s">
        <v>4</v>
      </c>
      <c r="H32" s="87"/>
      <c r="I32" s="87"/>
      <c r="J32" s="87"/>
      <c r="K32" s="87"/>
      <c r="L32" s="87"/>
      <c r="M32" s="87"/>
      <c r="N32" s="87"/>
      <c r="O32" s="87"/>
      <c r="P32" s="87"/>
      <c r="Q32" s="87"/>
      <c r="R32" s="87"/>
      <c r="S32" s="87"/>
      <c r="T32" s="87"/>
      <c r="U32" s="87"/>
      <c r="V32" s="87"/>
      <c r="W32" s="87"/>
      <c r="X32" s="87"/>
      <c r="Y32" s="87"/>
      <c r="Z32" s="87"/>
      <c r="AA32" s="87"/>
    </row>
    <row r="33" ht="12.5" spans="1:27">
      <c r="A33" t="s">
        <v>32</v>
      </c>
      <c r="B33" t="s">
        <v>4</v>
      </c>
      <c r="H33" s="87"/>
      <c r="I33" s="87"/>
      <c r="J33" s="87"/>
      <c r="K33" s="87"/>
      <c r="L33" s="87"/>
      <c r="M33" s="87"/>
      <c r="N33" s="87"/>
      <c r="O33" s="87"/>
      <c r="P33" s="87"/>
      <c r="Q33" s="87"/>
      <c r="R33" s="87"/>
      <c r="S33" s="87"/>
      <c r="T33" s="87"/>
      <c r="U33" s="87"/>
      <c r="V33" s="87"/>
      <c r="W33" s="87"/>
      <c r="X33" s="87"/>
      <c r="Y33" s="87"/>
      <c r="Z33" s="87"/>
      <c r="AA33" s="87"/>
    </row>
    <row r="34" ht="12.5" spans="1:27">
      <c r="A34" t="s">
        <v>33</v>
      </c>
      <c r="B34" t="s">
        <v>4</v>
      </c>
      <c r="H34" s="87"/>
      <c r="I34" s="87"/>
      <c r="J34" s="87"/>
      <c r="K34" s="87"/>
      <c r="L34" s="87"/>
      <c r="M34" s="87"/>
      <c r="N34" s="87"/>
      <c r="O34" s="87"/>
      <c r="P34" s="87"/>
      <c r="Q34" s="87"/>
      <c r="R34" s="87"/>
      <c r="S34" s="87"/>
      <c r="T34" s="87"/>
      <c r="U34" s="87"/>
      <c r="V34" s="87"/>
      <c r="W34" s="87"/>
      <c r="X34" s="87"/>
      <c r="Y34" s="87"/>
      <c r="Z34" s="87"/>
      <c r="AA34" s="87"/>
    </row>
    <row r="35" ht="12.5" spans="1:27">
      <c r="A35" s="166" t="s">
        <v>34</v>
      </c>
      <c r="B35" t="s">
        <v>4</v>
      </c>
      <c r="H35" s="87"/>
      <c r="I35" s="87"/>
      <c r="J35" s="87"/>
      <c r="K35" s="87"/>
      <c r="L35" s="87"/>
      <c r="M35" s="87"/>
      <c r="N35" s="87"/>
      <c r="O35" s="87"/>
      <c r="P35" s="87"/>
      <c r="Q35" s="87"/>
      <c r="R35" s="87"/>
      <c r="S35" s="87"/>
      <c r="T35" s="87"/>
      <c r="U35" s="87"/>
      <c r="V35" s="87"/>
      <c r="W35" s="87"/>
      <c r="X35" s="87"/>
      <c r="Y35" s="87"/>
      <c r="Z35" s="87"/>
      <c r="AA35" s="87"/>
    </row>
    <row r="36" ht="12.5" spans="1:27">
      <c r="A36" s="166" t="s">
        <v>35</v>
      </c>
      <c r="B36" t="s">
        <v>4</v>
      </c>
      <c r="H36" s="87"/>
      <c r="I36" s="87"/>
      <c r="J36" s="87"/>
      <c r="K36" s="87"/>
      <c r="L36" s="87"/>
      <c r="M36" s="87"/>
      <c r="N36" s="87"/>
      <c r="O36" s="87"/>
      <c r="P36" s="87"/>
      <c r="Q36" s="87"/>
      <c r="R36" s="87"/>
      <c r="S36" s="87"/>
      <c r="T36" s="87"/>
      <c r="U36" s="87"/>
      <c r="V36" s="87"/>
      <c r="W36" s="87"/>
      <c r="X36" s="87"/>
      <c r="Y36" s="87"/>
      <c r="Z36" s="87"/>
      <c r="AA36" s="87"/>
    </row>
    <row r="37" ht="12.5" spans="1:27">
      <c r="A37" s="166" t="s">
        <v>36</v>
      </c>
      <c r="B37" t="s">
        <v>4</v>
      </c>
      <c r="H37" s="87"/>
      <c r="I37" s="87"/>
      <c r="J37" s="87"/>
      <c r="K37" s="87"/>
      <c r="L37" s="87"/>
      <c r="M37" s="87"/>
      <c r="N37" s="87"/>
      <c r="O37" s="87"/>
      <c r="P37" s="87"/>
      <c r="Q37" s="87"/>
      <c r="R37" s="87"/>
      <c r="S37" s="87"/>
      <c r="T37" s="87"/>
      <c r="U37" s="87"/>
      <c r="V37" s="87"/>
      <c r="W37" s="87"/>
      <c r="X37" s="87"/>
      <c r="Y37" s="87"/>
      <c r="Z37" s="87"/>
      <c r="AA37" s="87"/>
    </row>
    <row r="38" ht="12.5" spans="1:27">
      <c r="A38" s="166" t="s">
        <v>37</v>
      </c>
      <c r="B38" t="s">
        <v>4</v>
      </c>
      <c r="H38" s="87"/>
      <c r="I38" s="87"/>
      <c r="J38" s="87"/>
      <c r="K38" s="87"/>
      <c r="L38" s="87"/>
      <c r="M38" s="87"/>
      <c r="N38" s="87"/>
      <c r="O38" s="87"/>
      <c r="P38" s="87"/>
      <c r="Q38" s="87"/>
      <c r="R38" s="87"/>
      <c r="S38" s="87"/>
      <c r="T38" s="87"/>
      <c r="U38" s="87"/>
      <c r="V38" s="87"/>
      <c r="W38" s="87"/>
      <c r="X38" s="87"/>
      <c r="Y38" s="87"/>
      <c r="Z38" s="87"/>
      <c r="AA38" s="87"/>
    </row>
    <row r="39" ht="12.5" spans="1:27">
      <c r="A39" s="166" t="s">
        <v>38</v>
      </c>
      <c r="B39" t="s">
        <v>4</v>
      </c>
      <c r="H39" s="87"/>
      <c r="I39" s="87"/>
      <c r="J39" s="87"/>
      <c r="K39" s="87"/>
      <c r="L39" s="87"/>
      <c r="M39" s="87"/>
      <c r="N39" s="87"/>
      <c r="O39" s="87"/>
      <c r="P39" s="87"/>
      <c r="Q39" s="87"/>
      <c r="R39" s="87"/>
      <c r="S39" s="87"/>
      <c r="T39" s="87"/>
      <c r="U39" s="87"/>
      <c r="V39" s="87"/>
      <c r="W39" s="87"/>
      <c r="X39" s="87"/>
      <c r="Y39" s="87"/>
      <c r="Z39" s="87"/>
      <c r="AA39" s="87"/>
    </row>
    <row r="40" spans="1:27">
      <c r="H40" s="87"/>
      <c r="I40" s="87"/>
      <c r="J40" s="87"/>
      <c r="K40" s="87"/>
      <c r="L40" s="87"/>
      <c r="M40" s="87"/>
      <c r="N40" s="87"/>
      <c r="O40" s="87"/>
      <c r="P40" s="87"/>
      <c r="Q40" s="87"/>
      <c r="R40" s="87"/>
      <c r="S40" s="87"/>
      <c r="T40" s="87"/>
      <c r="U40" s="87"/>
      <c r="V40" s="87"/>
      <c r="W40" s="87"/>
      <c r="X40" s="87"/>
      <c r="Y40" s="87"/>
      <c r="Z40" s="87"/>
      <c r="AA40" s="87"/>
    </row>
    <row r="41" spans="1:27">
      <c r="H41" s="87"/>
      <c r="I41" s="87"/>
      <c r="J41" s="87"/>
      <c r="K41" s="87"/>
      <c r="L41" s="87"/>
      <c r="M41" s="87"/>
      <c r="N41" s="87"/>
      <c r="O41" s="87"/>
      <c r="P41" s="87"/>
      <c r="Q41" s="87"/>
      <c r="R41" s="87"/>
      <c r="S41" s="87"/>
      <c r="T41" s="87"/>
      <c r="U41" s="87"/>
      <c r="V41" s="87"/>
      <c r="W41" s="87"/>
      <c r="X41" s="87"/>
      <c r="Y41" s="87"/>
      <c r="Z41" s="87"/>
      <c r="AA41" s="87"/>
    </row>
    <row r="42" spans="1:27">
      <c r="H42" s="87"/>
      <c r="I42" s="87"/>
      <c r="J42" s="87"/>
      <c r="K42" s="87"/>
      <c r="L42" s="87"/>
      <c r="M42" s="87"/>
      <c r="N42" s="87"/>
      <c r="O42" s="87"/>
      <c r="P42" s="87"/>
      <c r="Q42" s="87"/>
      <c r="R42" s="87"/>
      <c r="S42" s="87"/>
      <c r="T42" s="87"/>
      <c r="U42" s="87"/>
      <c r="V42" s="87"/>
      <c r="W42" s="87"/>
      <c r="X42" s="87"/>
      <c r="Y42" s="87"/>
      <c r="Z42" s="87"/>
      <c r="AA42" s="87"/>
    </row>
    <row r="43" spans="1:27">
      <c r="H43" s="87"/>
      <c r="I43" s="87"/>
      <c r="J43" s="87"/>
      <c r="K43" s="87"/>
      <c r="L43" s="87"/>
      <c r="M43" s="87"/>
      <c r="N43" s="87"/>
      <c r="O43" s="87"/>
      <c r="P43" s="87"/>
      <c r="Q43" s="87"/>
      <c r="R43" s="87"/>
      <c r="S43" s="87"/>
      <c r="T43" s="87"/>
      <c r="U43" s="87"/>
      <c r="V43" s="87"/>
      <c r="W43" s="87"/>
      <c r="X43" s="87"/>
      <c r="Y43" s="87"/>
      <c r="Z43" s="87"/>
      <c r="AA43" s="87"/>
    </row>
    <row r="44" spans="1:27">
      <c r="H44" s="87"/>
      <c r="I44" s="87"/>
      <c r="J44" s="87"/>
      <c r="K44" s="87"/>
      <c r="L44" s="87"/>
      <c r="M44" s="87"/>
      <c r="N44" s="87"/>
      <c r="O44" s="87"/>
      <c r="P44" s="87"/>
      <c r="Q44" s="87"/>
      <c r="R44" s="87"/>
      <c r="S44" s="87"/>
      <c r="T44" s="87"/>
      <c r="U44" s="87"/>
      <c r="V44" s="87"/>
      <c r="W44" s="87"/>
      <c r="X44" s="87"/>
      <c r="Y44" s="87"/>
      <c r="Z44" s="87"/>
      <c r="AA44" s="87"/>
    </row>
    <row r="45" spans="1:27">
      <c r="H45" s="87"/>
      <c r="I45" s="87"/>
      <c r="J45" s="87"/>
      <c r="K45" s="87"/>
      <c r="L45" s="87"/>
      <c r="M45" s="87"/>
      <c r="N45" s="87"/>
      <c r="O45" s="87"/>
      <c r="P45" s="87"/>
      <c r="Q45" s="87"/>
      <c r="R45" s="87"/>
      <c r="S45" s="87"/>
      <c r="T45" s="87"/>
      <c r="U45" s="87"/>
      <c r="V45" s="87"/>
      <c r="W45" s="87"/>
      <c r="X45" s="87"/>
      <c r="Y45" s="87"/>
      <c r="Z45" s="87"/>
      <c r="AA45" s="87"/>
    </row>
    <row r="46" spans="1:27">
      <c r="H46" s="87"/>
      <c r="I46" s="87"/>
      <c r="J46" s="87"/>
      <c r="K46" s="87"/>
      <c r="L46" s="87"/>
      <c r="M46" s="87"/>
      <c r="N46" s="87"/>
      <c r="O46" s="87"/>
      <c r="P46" s="87"/>
      <c r="Q46" s="87"/>
      <c r="R46" s="87"/>
      <c r="S46" s="87"/>
      <c r="T46" s="87"/>
      <c r="U46" s="87"/>
      <c r="V46" s="87"/>
      <c r="W46" s="87"/>
      <c r="X46" s="87"/>
      <c r="Y46" s="87"/>
      <c r="Z46" s="87"/>
      <c r="AA46" s="87"/>
    </row>
    <row r="47" spans="1:27">
      <c r="H47" s="87"/>
      <c r="I47" s="87"/>
      <c r="J47" s="87"/>
      <c r="K47" s="87"/>
      <c r="L47" s="87"/>
      <c r="M47" s="87"/>
      <c r="N47" s="87"/>
      <c r="O47" s="87"/>
      <c r="P47" s="87"/>
      <c r="Q47" s="87"/>
      <c r="R47" s="87"/>
      <c r="S47" s="87"/>
      <c r="T47" s="87"/>
      <c r="U47" s="87"/>
      <c r="V47" s="87"/>
      <c r="W47" s="87"/>
      <c r="X47" s="87"/>
      <c r="Y47" s="87"/>
      <c r="Z47" s="87"/>
      <c r="AA47" s="87"/>
    </row>
    <row r="48" spans="1:27">
      <c r="H48" s="87"/>
      <c r="I48" s="87"/>
      <c r="J48" s="87"/>
      <c r="K48" s="87"/>
      <c r="L48" s="87"/>
      <c r="M48" s="87"/>
      <c r="N48" s="87"/>
      <c r="O48" s="87"/>
      <c r="P48" s="87"/>
      <c r="Q48" s="87"/>
      <c r="R48" s="87"/>
      <c r="S48" s="87"/>
      <c r="T48" s="87"/>
      <c r="U48" s="87"/>
      <c r="V48" s="87"/>
      <c r="W48" s="87"/>
      <c r="X48" s="87"/>
      <c r="Y48" s="87"/>
      <c r="Z48" s="87"/>
      <c r="AA48" s="87"/>
    </row>
    <row r="49" spans="8:27">
      <c r="H49" s="87"/>
      <c r="I49" s="87"/>
      <c r="J49" s="87"/>
      <c r="K49" s="87"/>
      <c r="L49" s="87"/>
      <c r="M49" s="87"/>
      <c r="N49" s="87"/>
      <c r="O49" s="87"/>
      <c r="P49" s="87"/>
      <c r="Q49" s="87"/>
      <c r="R49" s="87"/>
      <c r="S49" s="87"/>
      <c r="T49" s="87"/>
      <c r="U49" s="87"/>
      <c r="V49" s="87"/>
      <c r="W49" s="87"/>
      <c r="X49" s="87"/>
      <c r="Y49" s="87"/>
      <c r="Z49" s="87"/>
      <c r="AA49" s="87"/>
    </row>
    <row r="50" spans="8:27">
      <c r="H50" s="87"/>
      <c r="I50" s="87"/>
      <c r="J50" s="87"/>
      <c r="K50" s="87"/>
      <c r="L50" s="87"/>
      <c r="M50" s="87"/>
      <c r="N50" s="87"/>
      <c r="O50" s="87"/>
      <c r="P50" s="87"/>
      <c r="Q50" s="87"/>
      <c r="R50" s="87"/>
      <c r="S50" s="87"/>
      <c r="T50" s="87"/>
      <c r="U50" s="87"/>
      <c r="V50" s="87"/>
      <c r="W50" s="87"/>
      <c r="X50" s="87"/>
      <c r="Y50" s="87"/>
      <c r="Z50" s="87"/>
      <c r="AA50" s="87"/>
    </row>
    <row r="51" spans="8:27">
      <c r="H51" s="87"/>
      <c r="I51" s="87"/>
      <c r="J51" s="87"/>
      <c r="K51" s="87"/>
      <c r="L51" s="87"/>
      <c r="M51" s="87"/>
      <c r="N51" s="87"/>
      <c r="O51" s="87"/>
      <c r="P51" s="87"/>
      <c r="Q51" s="87"/>
      <c r="R51" s="87"/>
      <c r="S51" s="87"/>
      <c r="T51" s="87"/>
      <c r="U51" s="87"/>
      <c r="V51" s="87"/>
      <c r="W51" s="87"/>
      <c r="X51" s="87"/>
      <c r="Y51" s="87"/>
      <c r="Z51" s="87"/>
      <c r="AA51" s="87"/>
    </row>
    <row r="52" spans="8:27">
      <c r="H52" s="87"/>
      <c r="I52" s="87"/>
      <c r="J52" s="87"/>
      <c r="K52" s="87"/>
      <c r="L52" s="87"/>
      <c r="M52" s="87"/>
      <c r="N52" s="87"/>
      <c r="O52" s="87"/>
      <c r="P52" s="87"/>
      <c r="Q52" s="87"/>
      <c r="R52" s="87"/>
      <c r="S52" s="87"/>
      <c r="T52" s="87"/>
      <c r="U52" s="87"/>
      <c r="V52" s="87"/>
      <c r="W52" s="87"/>
      <c r="X52" s="87"/>
      <c r="Y52" s="87"/>
      <c r="Z52" s="87"/>
      <c r="AA52" s="87"/>
    </row>
    <row r="53" spans="8:27">
      <c r="H53" s="87"/>
      <c r="I53" s="87"/>
      <c r="J53" s="87"/>
      <c r="K53" s="87"/>
      <c r="L53" s="87"/>
      <c r="M53" s="87"/>
      <c r="N53" s="87"/>
      <c r="O53" s="87"/>
      <c r="P53" s="87"/>
      <c r="Q53" s="87"/>
      <c r="R53" s="87"/>
      <c r="S53" s="87"/>
      <c r="T53" s="87"/>
      <c r="U53" s="87"/>
      <c r="V53" s="87"/>
      <c r="W53" s="87"/>
      <c r="X53" s="87"/>
      <c r="Y53" s="87"/>
      <c r="Z53" s="87"/>
      <c r="AA53" s="87"/>
    </row>
    <row r="54" spans="8:27">
      <c r="H54" s="87"/>
      <c r="I54" s="87"/>
      <c r="J54" s="87"/>
      <c r="K54" s="87"/>
      <c r="L54" s="87"/>
      <c r="M54" s="87"/>
      <c r="N54" s="87"/>
      <c r="O54" s="87"/>
      <c r="P54" s="87"/>
      <c r="Q54" s="87"/>
      <c r="R54" s="87"/>
      <c r="S54" s="87"/>
      <c r="T54" s="87"/>
      <c r="U54" s="87"/>
      <c r="V54" s="87"/>
      <c r="W54" s="87"/>
      <c r="X54" s="87"/>
      <c r="Y54" s="87"/>
      <c r="Z54" s="87"/>
      <c r="AA54" s="87"/>
    </row>
    <row r="55" spans="8:27">
      <c r="H55" s="87"/>
      <c r="I55" s="87"/>
      <c r="J55" s="87"/>
      <c r="K55" s="87"/>
      <c r="L55" s="87"/>
      <c r="M55" s="87"/>
      <c r="N55" s="87"/>
      <c r="O55" s="87"/>
      <c r="P55" s="87"/>
      <c r="Q55" s="87"/>
      <c r="R55" s="87"/>
      <c r="S55" s="87"/>
      <c r="T55" s="87"/>
      <c r="U55" s="87"/>
      <c r="V55" s="87"/>
      <c r="W55" s="87"/>
      <c r="X55" s="87"/>
      <c r="Y55" s="87"/>
      <c r="Z55" s="87"/>
      <c r="AA55" s="87"/>
    </row>
    <row r="56" spans="8:27">
      <c r="H56" s="87"/>
      <c r="I56" s="87"/>
      <c r="J56" s="87"/>
      <c r="K56" s="87"/>
      <c r="L56" s="87"/>
      <c r="M56" s="87"/>
      <c r="N56" s="87"/>
      <c r="O56" s="87"/>
      <c r="P56" s="87"/>
      <c r="Q56" s="87"/>
      <c r="R56" s="87"/>
      <c r="S56" s="87"/>
      <c r="T56" s="87"/>
      <c r="U56" s="87"/>
      <c r="V56" s="87"/>
      <c r="W56" s="87"/>
      <c r="X56" s="87"/>
      <c r="Y56" s="87"/>
      <c r="Z56" s="87"/>
      <c r="AA56" s="87"/>
    </row>
    <row r="57" spans="8:27">
      <c r="H57" s="87"/>
      <c r="I57" s="87"/>
      <c r="J57" s="87"/>
      <c r="K57" s="87"/>
      <c r="L57" s="87"/>
      <c r="M57" s="87"/>
      <c r="N57" s="87"/>
      <c r="O57" s="87"/>
      <c r="P57" s="87"/>
      <c r="Q57" s="87"/>
      <c r="R57" s="87"/>
      <c r="S57" s="87"/>
      <c r="T57" s="87"/>
      <c r="U57" s="87"/>
      <c r="V57" s="87"/>
      <c r="W57" s="87"/>
      <c r="X57" s="87"/>
      <c r="Y57" s="87"/>
      <c r="Z57" s="87"/>
      <c r="AA57" s="87"/>
    </row>
    <row r="58" spans="8:27">
      <c r="H58" s="87"/>
      <c r="I58" s="87"/>
      <c r="J58" s="87"/>
      <c r="K58" s="87"/>
      <c r="L58" s="87"/>
      <c r="M58" s="87"/>
      <c r="N58" s="87"/>
      <c r="O58" s="87"/>
      <c r="P58" s="87"/>
      <c r="Q58" s="87"/>
      <c r="R58" s="87"/>
      <c r="S58" s="87"/>
      <c r="T58" s="87"/>
      <c r="U58" s="87"/>
      <c r="V58" s="87"/>
      <c r="W58" s="87"/>
      <c r="X58" s="87"/>
      <c r="Y58" s="87"/>
      <c r="Z58" s="87"/>
      <c r="AA58" s="87"/>
    </row>
    <row r="59" spans="8:27">
      <c r="H59" s="87"/>
      <c r="I59" s="87"/>
      <c r="J59" s="87"/>
      <c r="K59" s="87"/>
      <c r="L59" s="87"/>
      <c r="M59" s="87"/>
      <c r="N59" s="87"/>
      <c r="O59" s="87"/>
      <c r="P59" s="87"/>
      <c r="Q59" s="87"/>
      <c r="R59" s="87"/>
      <c r="S59" s="87"/>
      <c r="T59" s="87"/>
      <c r="U59" s="87"/>
      <c r="V59" s="87"/>
      <c r="W59" s="87"/>
      <c r="X59" s="87"/>
      <c r="Y59" s="87"/>
      <c r="Z59" s="87"/>
      <c r="AA59" s="87"/>
    </row>
    <row r="60" spans="8:27">
      <c r="H60" s="87"/>
      <c r="I60" s="87"/>
      <c r="J60" s="87"/>
      <c r="K60" s="87"/>
      <c r="L60" s="87"/>
      <c r="M60" s="87"/>
      <c r="N60" s="87"/>
      <c r="O60" s="87"/>
      <c r="P60" s="87"/>
      <c r="Q60" s="87"/>
      <c r="R60" s="87"/>
      <c r="S60" s="87"/>
      <c r="T60" s="87"/>
      <c r="U60" s="87"/>
      <c r="V60" s="87"/>
      <c r="W60" s="87"/>
      <c r="X60" s="87"/>
      <c r="Y60" s="87"/>
      <c r="Z60" s="87"/>
      <c r="AA60" s="87"/>
    </row>
    <row r="61" spans="8:27">
      <c r="H61" s="87"/>
      <c r="I61" s="87"/>
      <c r="J61" s="87"/>
      <c r="K61" s="87"/>
      <c r="L61" s="87"/>
      <c r="M61" s="87"/>
      <c r="N61" s="87"/>
      <c r="O61" s="87"/>
      <c r="P61" s="87"/>
      <c r="Q61" s="87"/>
      <c r="R61" s="87"/>
      <c r="S61" s="87"/>
      <c r="T61" s="87"/>
      <c r="U61" s="87"/>
      <c r="V61" s="87"/>
      <c r="W61" s="87"/>
      <c r="X61" s="87"/>
      <c r="Y61" s="87"/>
      <c r="Z61" s="87"/>
      <c r="AA61" s="87"/>
    </row>
    <row r="62" spans="8:27">
      <c r="H62" s="87"/>
      <c r="I62" s="87"/>
      <c r="J62" s="87"/>
      <c r="K62" s="87"/>
      <c r="L62" s="87"/>
      <c r="M62" s="87"/>
      <c r="N62" s="87"/>
      <c r="O62" s="87"/>
      <c r="P62" s="87"/>
      <c r="Q62" s="87"/>
      <c r="R62" s="87"/>
      <c r="S62" s="87"/>
      <c r="T62" s="87"/>
      <c r="U62" s="87"/>
      <c r="V62" s="87"/>
      <c r="W62" s="87"/>
      <c r="X62" s="87"/>
      <c r="Y62" s="87"/>
      <c r="Z62" s="87"/>
      <c r="AA62" s="87"/>
    </row>
    <row r="63" spans="8:27">
      <c r="H63" s="87"/>
      <c r="I63" s="87"/>
      <c r="J63" s="87"/>
      <c r="K63" s="87"/>
      <c r="L63" s="87"/>
      <c r="M63" s="87"/>
      <c r="N63" s="87"/>
      <c r="O63" s="87"/>
      <c r="P63" s="87"/>
      <c r="Q63" s="87"/>
      <c r="R63" s="87"/>
      <c r="S63" s="87"/>
      <c r="T63" s="87"/>
      <c r="U63" s="87"/>
      <c r="V63" s="87"/>
      <c r="W63" s="87"/>
      <c r="X63" s="87"/>
      <c r="Y63" s="87"/>
      <c r="Z63" s="87"/>
      <c r="AA63" s="87"/>
    </row>
    <row r="64" spans="8:27">
      <c r="H64" s="87"/>
      <c r="I64" s="87"/>
      <c r="J64" s="87"/>
      <c r="K64" s="87"/>
      <c r="L64" s="87"/>
      <c r="M64" s="87"/>
      <c r="N64" s="87"/>
      <c r="O64" s="87"/>
      <c r="P64" s="87"/>
      <c r="Q64" s="87"/>
      <c r="R64" s="87"/>
      <c r="S64" s="87"/>
      <c r="T64" s="87"/>
      <c r="U64" s="87"/>
      <c r="V64" s="87"/>
      <c r="W64" s="87"/>
      <c r="X64" s="87"/>
      <c r="Y64" s="87"/>
      <c r="Z64" s="87"/>
      <c r="AA64" s="87"/>
    </row>
    <row r="65" spans="8:27">
      <c r="H65" s="87"/>
      <c r="I65" s="87"/>
      <c r="J65" s="87"/>
      <c r="K65" s="87"/>
      <c r="L65" s="87"/>
      <c r="M65" s="87"/>
      <c r="N65" s="87"/>
      <c r="O65" s="87"/>
      <c r="P65" s="87"/>
      <c r="Q65" s="87"/>
      <c r="R65" s="87"/>
      <c r="S65" s="87"/>
      <c r="T65" s="87"/>
      <c r="U65" s="87"/>
      <c r="V65" s="87"/>
      <c r="W65" s="87"/>
      <c r="X65" s="87"/>
      <c r="Y65" s="87"/>
      <c r="Z65" s="87"/>
      <c r="AA65" s="87"/>
    </row>
    <row r="66" spans="8:27">
      <c r="H66" s="87"/>
      <c r="I66" s="87"/>
      <c r="J66" s="87"/>
      <c r="K66" s="87"/>
      <c r="L66" s="87"/>
      <c r="M66" s="87"/>
      <c r="N66" s="87"/>
      <c r="O66" s="87"/>
      <c r="P66" s="87"/>
      <c r="Q66" s="87"/>
      <c r="R66" s="87"/>
      <c r="S66" s="87"/>
      <c r="T66" s="87"/>
      <c r="U66" s="87"/>
      <c r="V66" s="87"/>
      <c r="W66" s="87"/>
      <c r="X66" s="87"/>
      <c r="Y66" s="87"/>
      <c r="Z66" s="87"/>
      <c r="AA66" s="87"/>
    </row>
    <row r="67" spans="8:27">
      <c r="H67" s="87"/>
      <c r="I67" s="87"/>
      <c r="J67" s="87"/>
      <c r="K67" s="87"/>
      <c r="L67" s="87"/>
      <c r="M67" s="87"/>
      <c r="N67" s="87"/>
      <c r="O67" s="87"/>
      <c r="P67" s="87"/>
      <c r="Q67" s="87"/>
      <c r="R67" s="87"/>
      <c r="S67" s="87"/>
      <c r="T67" s="87"/>
      <c r="U67" s="87"/>
      <c r="V67" s="87"/>
      <c r="W67" s="87"/>
      <c r="X67" s="87"/>
      <c r="Y67" s="87"/>
      <c r="Z67" s="87"/>
      <c r="AA67" s="87"/>
    </row>
    <row r="68" spans="8:27">
      <c r="H68" s="87"/>
      <c r="I68" s="87"/>
      <c r="J68" s="87"/>
      <c r="K68" s="87"/>
      <c r="L68" s="87"/>
      <c r="M68" s="87"/>
      <c r="N68" s="87"/>
      <c r="O68" s="87"/>
      <c r="P68" s="87"/>
      <c r="Q68" s="87"/>
      <c r="R68" s="87"/>
      <c r="S68" s="87"/>
      <c r="T68" s="87"/>
      <c r="U68" s="87"/>
      <c r="V68" s="87"/>
      <c r="W68" s="87"/>
      <c r="X68" s="87"/>
      <c r="Y68" s="87"/>
      <c r="Z68" s="87"/>
      <c r="AA68" s="87"/>
    </row>
    <row r="69" spans="8:27">
      <c r="H69" s="87"/>
      <c r="I69" s="87"/>
      <c r="J69" s="87"/>
      <c r="K69" s="87"/>
      <c r="L69" s="87"/>
      <c r="M69" s="87"/>
      <c r="N69" s="87"/>
      <c r="O69" s="87"/>
      <c r="P69" s="87"/>
      <c r="Q69" s="87"/>
      <c r="R69" s="87"/>
      <c r="S69" s="87"/>
      <c r="T69" s="87"/>
      <c r="U69" s="87"/>
      <c r="V69" s="87"/>
      <c r="W69" s="87"/>
      <c r="X69" s="87"/>
      <c r="Y69" s="87"/>
      <c r="Z69" s="87"/>
      <c r="AA69" s="87"/>
    </row>
    <row r="70" spans="8:27">
      <c r="H70" s="87"/>
      <c r="I70" s="87"/>
      <c r="J70" s="87"/>
      <c r="K70" s="87"/>
      <c r="L70" s="87"/>
      <c r="M70" s="87"/>
      <c r="N70" s="87"/>
      <c r="O70" s="87"/>
      <c r="P70" s="87"/>
      <c r="Q70" s="87"/>
      <c r="R70" s="87"/>
      <c r="S70" s="87"/>
      <c r="T70" s="87"/>
      <c r="U70" s="87"/>
      <c r="V70" s="87"/>
      <c r="W70" s="87"/>
      <c r="X70" s="87"/>
      <c r="Y70" s="87"/>
      <c r="Z70" s="87"/>
      <c r="AA70" s="87"/>
    </row>
    <row r="71" spans="8:27">
      <c r="H71" s="87"/>
      <c r="I71" s="87"/>
      <c r="J71" s="87"/>
      <c r="K71" s="87"/>
      <c r="L71" s="87"/>
      <c r="M71" s="87"/>
      <c r="N71" s="87"/>
      <c r="O71" s="87"/>
      <c r="P71" s="87"/>
      <c r="Q71" s="87"/>
      <c r="R71" s="87"/>
      <c r="S71" s="87"/>
      <c r="T71" s="87"/>
      <c r="U71" s="87"/>
      <c r="V71" s="87"/>
      <c r="W71" s="87"/>
      <c r="X71" s="87"/>
      <c r="Y71" s="87"/>
      <c r="Z71" s="87"/>
      <c r="AA71" s="87"/>
    </row>
    <row r="72" spans="8:27">
      <c r="H72" s="87"/>
      <c r="I72" s="87"/>
      <c r="J72" s="87"/>
      <c r="K72" s="87"/>
      <c r="L72" s="87"/>
      <c r="M72" s="87"/>
      <c r="N72" s="87"/>
      <c r="O72" s="87"/>
      <c r="P72" s="87"/>
      <c r="Q72" s="87"/>
      <c r="R72" s="87"/>
      <c r="S72" s="87"/>
      <c r="T72" s="87"/>
      <c r="U72" s="87"/>
      <c r="V72" s="87"/>
      <c r="W72" s="87"/>
      <c r="X72" s="87"/>
      <c r="Y72" s="87"/>
      <c r="Z72" s="87"/>
      <c r="AA72" s="87"/>
    </row>
    <row r="73" spans="8:27">
      <c r="H73" s="87"/>
      <c r="I73" s="87"/>
      <c r="J73" s="87"/>
      <c r="K73" s="87"/>
      <c r="L73" s="87"/>
      <c r="M73" s="87"/>
      <c r="N73" s="87"/>
      <c r="O73" s="87"/>
      <c r="P73" s="87"/>
      <c r="Q73" s="87"/>
      <c r="R73" s="87"/>
      <c r="S73" s="87"/>
      <c r="T73" s="87"/>
      <c r="U73" s="87"/>
      <c r="V73" s="87"/>
      <c r="W73" s="87"/>
      <c r="X73" s="87"/>
      <c r="Y73" s="87"/>
      <c r="Z73" s="87"/>
      <c r="AA73" s="87"/>
    </row>
    <row r="74" spans="8:27">
      <c r="H74" s="87"/>
      <c r="I74" s="87"/>
      <c r="J74" s="87"/>
      <c r="K74" s="87"/>
      <c r="L74" s="87"/>
      <c r="M74" s="87"/>
      <c r="N74" s="87"/>
      <c r="O74" s="87"/>
      <c r="P74" s="87"/>
      <c r="Q74" s="87"/>
      <c r="R74" s="87"/>
      <c r="S74" s="87"/>
      <c r="T74" s="87"/>
      <c r="U74" s="87"/>
      <c r="V74" s="87"/>
      <c r="W74" s="87"/>
      <c r="X74" s="87"/>
      <c r="Y74" s="87"/>
      <c r="Z74" s="87"/>
      <c r="AA74" s="87"/>
    </row>
    <row r="75" spans="8:27">
      <c r="H75" s="87"/>
      <c r="I75" s="87"/>
      <c r="J75" s="87"/>
      <c r="K75" s="87"/>
      <c r="L75" s="87"/>
      <c r="M75" s="87"/>
      <c r="N75" s="87"/>
      <c r="O75" s="87"/>
      <c r="P75" s="87"/>
      <c r="Q75" s="87"/>
      <c r="R75" s="87"/>
      <c r="S75" s="87"/>
      <c r="T75" s="87"/>
      <c r="U75" s="87"/>
      <c r="V75" s="87"/>
      <c r="W75" s="87"/>
      <c r="X75" s="87"/>
      <c r="Y75" s="87"/>
      <c r="Z75" s="87"/>
      <c r="AA75" s="87"/>
    </row>
    <row r="76" spans="8:27">
      <c r="H76" s="87"/>
      <c r="I76" s="87"/>
      <c r="J76" s="87"/>
      <c r="K76" s="87"/>
      <c r="L76" s="87"/>
      <c r="M76" s="87"/>
      <c r="N76" s="87"/>
      <c r="O76" s="87"/>
      <c r="P76" s="87"/>
      <c r="Q76" s="87"/>
      <c r="R76" s="87"/>
      <c r="S76" s="87"/>
      <c r="T76" s="87"/>
      <c r="U76" s="87"/>
      <c r="V76" s="87"/>
      <c r="W76" s="87"/>
      <c r="X76" s="87"/>
      <c r="Y76" s="87"/>
      <c r="Z76" s="87"/>
      <c r="AA76" s="87"/>
    </row>
    <row r="77" spans="8:27">
      <c r="H77" s="87"/>
      <c r="I77" s="87"/>
      <c r="J77" s="87"/>
      <c r="K77" s="87"/>
      <c r="L77" s="87"/>
      <c r="M77" s="87"/>
      <c r="N77" s="87"/>
      <c r="O77" s="87"/>
      <c r="P77" s="87"/>
      <c r="Q77" s="87"/>
      <c r="R77" s="87"/>
      <c r="S77" s="87"/>
      <c r="T77" s="87"/>
      <c r="U77" s="87"/>
      <c r="V77" s="87"/>
      <c r="W77" s="87"/>
      <c r="X77" s="87"/>
      <c r="Y77" s="87"/>
      <c r="Z77" s="87"/>
      <c r="AA77" s="87"/>
    </row>
    <row r="78" spans="8:27">
      <c r="H78" s="87"/>
      <c r="I78" s="87"/>
      <c r="J78" s="87"/>
      <c r="K78" s="87"/>
      <c r="L78" s="87"/>
      <c r="M78" s="87"/>
      <c r="N78" s="87"/>
      <c r="O78" s="87"/>
      <c r="P78" s="87"/>
      <c r="Q78" s="87"/>
      <c r="R78" s="87"/>
      <c r="S78" s="87"/>
      <c r="T78" s="87"/>
      <c r="U78" s="87"/>
      <c r="V78" s="87"/>
      <c r="W78" s="87"/>
      <c r="X78" s="87"/>
      <c r="Y78" s="87"/>
      <c r="Z78" s="87"/>
      <c r="AA78" s="87"/>
    </row>
    <row r="79" spans="8:27">
      <c r="H79" s="87"/>
      <c r="I79" s="87"/>
      <c r="J79" s="87"/>
      <c r="K79" s="87"/>
      <c r="L79" s="87"/>
      <c r="M79" s="87"/>
      <c r="N79" s="87"/>
      <c r="O79" s="87"/>
      <c r="P79" s="87"/>
      <c r="Q79" s="87"/>
      <c r="R79" s="87"/>
      <c r="S79" s="87"/>
      <c r="T79" s="87"/>
      <c r="U79" s="87"/>
      <c r="V79" s="87"/>
      <c r="W79" s="87"/>
      <c r="X79" s="87"/>
      <c r="Y79" s="87"/>
      <c r="Z79" s="87"/>
      <c r="AA79" s="87"/>
    </row>
    <row r="80" spans="8:27">
      <c r="H80" s="87"/>
      <c r="I80" s="87"/>
      <c r="J80" s="87"/>
      <c r="K80" s="87"/>
      <c r="L80" s="87"/>
      <c r="M80" s="87"/>
      <c r="N80" s="87"/>
      <c r="O80" s="87"/>
      <c r="P80" s="87"/>
      <c r="Q80" s="87"/>
      <c r="R80" s="87"/>
      <c r="S80" s="87"/>
      <c r="T80" s="87"/>
      <c r="U80" s="87"/>
      <c r="V80" s="87"/>
      <c r="W80" s="87"/>
      <c r="X80" s="87"/>
      <c r="Y80" s="87"/>
      <c r="Z80" s="87"/>
      <c r="AA80" s="87"/>
    </row>
    <row r="81" spans="8:27">
      <c r="H81" s="87"/>
      <c r="I81" s="87"/>
      <c r="J81" s="87"/>
      <c r="K81" s="87"/>
      <c r="L81" s="87"/>
      <c r="M81" s="87"/>
      <c r="N81" s="87"/>
      <c r="O81" s="87"/>
      <c r="P81" s="87"/>
      <c r="Q81" s="87"/>
      <c r="R81" s="87"/>
      <c r="S81" s="87"/>
      <c r="T81" s="87"/>
      <c r="U81" s="87"/>
      <c r="V81" s="87"/>
      <c r="W81" s="87"/>
      <c r="X81" s="87"/>
      <c r="Y81" s="87"/>
      <c r="Z81" s="87"/>
      <c r="AA81" s="87"/>
    </row>
    <row r="82" spans="8:27">
      <c r="H82" s="87"/>
      <c r="I82" s="87"/>
      <c r="J82" s="87"/>
      <c r="K82" s="87"/>
      <c r="L82" s="87"/>
      <c r="M82" s="87"/>
      <c r="N82" s="87"/>
      <c r="O82" s="87"/>
      <c r="P82" s="87"/>
      <c r="Q82" s="87"/>
      <c r="R82" s="87"/>
      <c r="S82" s="87"/>
      <c r="T82" s="87"/>
      <c r="U82" s="87"/>
      <c r="V82" s="87"/>
      <c r="W82" s="87"/>
      <c r="X82" s="87"/>
      <c r="Y82" s="87"/>
      <c r="Z82" s="87"/>
      <c r="AA82" s="87"/>
    </row>
    <row r="83" spans="8:27">
      <c r="H83" s="87"/>
      <c r="I83" s="87"/>
      <c r="J83" s="87"/>
      <c r="K83" s="87"/>
      <c r="L83" s="87"/>
      <c r="M83" s="87"/>
      <c r="N83" s="87"/>
      <c r="O83" s="87"/>
      <c r="P83" s="87"/>
      <c r="Q83" s="87"/>
      <c r="R83" s="87"/>
      <c r="S83" s="87"/>
      <c r="T83" s="87"/>
      <c r="U83" s="87"/>
      <c r="V83" s="87"/>
      <c r="W83" s="87"/>
      <c r="X83" s="87"/>
      <c r="Y83" s="87"/>
      <c r="Z83" s="87"/>
      <c r="AA83" s="87"/>
    </row>
    <row r="84" spans="8:27">
      <c r="H84" s="87"/>
      <c r="I84" s="87"/>
      <c r="J84" s="87"/>
      <c r="K84" s="87"/>
      <c r="L84" s="87"/>
      <c r="M84" s="87"/>
      <c r="N84" s="87"/>
      <c r="O84" s="87"/>
      <c r="P84" s="87"/>
      <c r="Q84" s="87"/>
      <c r="R84" s="87"/>
      <c r="S84" s="87"/>
      <c r="T84" s="87"/>
      <c r="U84" s="87"/>
      <c r="V84" s="87"/>
      <c r="W84" s="87"/>
      <c r="X84" s="87"/>
      <c r="Y84" s="87"/>
      <c r="Z84" s="87"/>
      <c r="AA84" s="87"/>
    </row>
    <row r="85" spans="8:27">
      <c r="H85" s="87"/>
      <c r="I85" s="87"/>
      <c r="J85" s="87"/>
      <c r="K85" s="87"/>
      <c r="L85" s="87"/>
      <c r="M85" s="87"/>
      <c r="N85" s="87"/>
      <c r="O85" s="87"/>
      <c r="P85" s="87"/>
      <c r="Q85" s="87"/>
      <c r="R85" s="87"/>
      <c r="S85" s="87"/>
      <c r="T85" s="87"/>
      <c r="U85" s="87"/>
      <c r="V85" s="87"/>
      <c r="W85" s="87"/>
      <c r="X85" s="87"/>
      <c r="Y85" s="87"/>
      <c r="Z85" s="87"/>
      <c r="AA85" s="87"/>
    </row>
    <row r="86" spans="8:27">
      <c r="H86" s="87"/>
      <c r="I86" s="87"/>
      <c r="J86" s="87"/>
      <c r="K86" s="87"/>
      <c r="L86" s="87"/>
      <c r="M86" s="87"/>
      <c r="N86" s="87"/>
      <c r="O86" s="87"/>
      <c r="P86" s="87"/>
      <c r="Q86" s="87"/>
      <c r="R86" s="87"/>
      <c r="S86" s="87"/>
      <c r="T86" s="87"/>
      <c r="U86" s="87"/>
      <c r="V86" s="87"/>
      <c r="W86" s="87"/>
      <c r="X86" s="87"/>
      <c r="Y86" s="87"/>
      <c r="Z86" s="87"/>
      <c r="AA86" s="87"/>
    </row>
    <row r="87" spans="8:27">
      <c r="H87" s="87"/>
      <c r="I87" s="87"/>
      <c r="J87" s="87"/>
      <c r="K87" s="87"/>
      <c r="L87" s="87"/>
      <c r="M87" s="87"/>
      <c r="N87" s="87"/>
      <c r="O87" s="87"/>
      <c r="P87" s="87"/>
      <c r="Q87" s="87"/>
      <c r="R87" s="87"/>
      <c r="S87" s="87"/>
      <c r="T87" s="87"/>
      <c r="U87" s="87"/>
      <c r="V87" s="87"/>
      <c r="W87" s="87"/>
      <c r="X87" s="87"/>
      <c r="Y87" s="87"/>
      <c r="Z87" s="87"/>
      <c r="AA87" s="87"/>
    </row>
    <row r="88" spans="8:27">
      <c r="H88" s="87"/>
      <c r="I88" s="87"/>
      <c r="J88" s="87"/>
      <c r="K88" s="87"/>
      <c r="L88" s="87"/>
      <c r="M88" s="87"/>
      <c r="N88" s="87"/>
      <c r="O88" s="87"/>
      <c r="P88" s="87"/>
      <c r="Q88" s="87"/>
      <c r="R88" s="87"/>
      <c r="S88" s="87"/>
      <c r="T88" s="87"/>
      <c r="U88" s="87"/>
      <c r="V88" s="87"/>
      <c r="W88" s="87"/>
      <c r="X88" s="87"/>
      <c r="Y88" s="87"/>
      <c r="Z88" s="87"/>
      <c r="AA88" s="87"/>
    </row>
    <row r="89" spans="8:27">
      <c r="H89" s="87"/>
      <c r="I89" s="87"/>
      <c r="J89" s="87"/>
      <c r="K89" s="87"/>
      <c r="L89" s="87"/>
      <c r="M89" s="87"/>
      <c r="N89" s="87"/>
      <c r="O89" s="87"/>
      <c r="P89" s="87"/>
      <c r="Q89" s="87"/>
      <c r="R89" s="87"/>
      <c r="S89" s="87"/>
      <c r="T89" s="87"/>
      <c r="U89" s="87"/>
      <c r="V89" s="87"/>
      <c r="W89" s="87"/>
      <c r="X89" s="87"/>
      <c r="Y89" s="87"/>
      <c r="Z89" s="87"/>
      <c r="AA89" s="87"/>
    </row>
    <row r="90" spans="8:27">
      <c r="H90" s="87"/>
      <c r="I90" s="87"/>
      <c r="J90" s="87"/>
      <c r="K90" s="87"/>
      <c r="L90" s="87"/>
      <c r="M90" s="87"/>
      <c r="N90" s="87"/>
      <c r="O90" s="87"/>
      <c r="P90" s="87"/>
      <c r="Q90" s="87"/>
      <c r="R90" s="87"/>
      <c r="S90" s="87"/>
      <c r="T90" s="87"/>
      <c r="U90" s="87"/>
      <c r="V90" s="87"/>
      <c r="W90" s="87"/>
      <c r="X90" s="87"/>
      <c r="Y90" s="87"/>
      <c r="Z90" s="87"/>
      <c r="AA90" s="87"/>
    </row>
    <row r="91" spans="8:27">
      <c r="H91" s="87"/>
      <c r="I91" s="87"/>
      <c r="J91" s="87"/>
      <c r="K91" s="87"/>
      <c r="L91" s="87"/>
      <c r="M91" s="87"/>
      <c r="N91" s="87"/>
      <c r="O91" s="87"/>
      <c r="P91" s="87"/>
      <c r="Q91" s="87"/>
      <c r="R91" s="87"/>
      <c r="S91" s="87"/>
      <c r="T91" s="87"/>
      <c r="U91" s="87"/>
      <c r="V91" s="87"/>
      <c r="W91" s="87"/>
      <c r="X91" s="87"/>
      <c r="Y91" s="87"/>
      <c r="Z91" s="87"/>
      <c r="AA91" s="87"/>
    </row>
    <row r="92" spans="8:27">
      <c r="H92" s="87"/>
      <c r="I92" s="87"/>
      <c r="J92" s="87"/>
      <c r="K92" s="87"/>
      <c r="L92" s="87"/>
      <c r="M92" s="87"/>
      <c r="N92" s="87"/>
      <c r="O92" s="87"/>
      <c r="P92" s="87"/>
      <c r="Q92" s="87"/>
      <c r="R92" s="87"/>
      <c r="S92" s="87"/>
      <c r="T92" s="87"/>
      <c r="U92" s="87"/>
      <c r="V92" s="87"/>
      <c r="W92" s="87"/>
      <c r="X92" s="87"/>
      <c r="Y92" s="87"/>
      <c r="Z92" s="87"/>
      <c r="AA92" s="87"/>
    </row>
    <row r="93" spans="8:27">
      <c r="H93" s="87"/>
      <c r="I93" s="87"/>
      <c r="J93" s="87"/>
      <c r="K93" s="87"/>
      <c r="L93" s="87"/>
      <c r="M93" s="87"/>
      <c r="N93" s="87"/>
      <c r="O93" s="87"/>
      <c r="P93" s="87"/>
      <c r="Q93" s="87"/>
      <c r="R93" s="87"/>
      <c r="S93" s="87"/>
      <c r="T93" s="87"/>
      <c r="U93" s="87"/>
      <c r="V93" s="87"/>
      <c r="W93" s="87"/>
      <c r="X93" s="87"/>
      <c r="Y93" s="87"/>
      <c r="Z93" s="87"/>
      <c r="AA93" s="87"/>
    </row>
    <row r="94" spans="8:27">
      <c r="H94" s="87"/>
      <c r="I94" s="87"/>
      <c r="J94" s="87"/>
      <c r="K94" s="87"/>
      <c r="L94" s="87"/>
      <c r="M94" s="87"/>
      <c r="N94" s="87"/>
      <c r="O94" s="87"/>
      <c r="P94" s="87"/>
      <c r="Q94" s="87"/>
      <c r="R94" s="87"/>
      <c r="S94" s="87"/>
      <c r="T94" s="87"/>
      <c r="U94" s="87"/>
      <c r="V94" s="87"/>
      <c r="W94" s="87"/>
      <c r="X94" s="87"/>
      <c r="Y94" s="87"/>
      <c r="Z94" s="87"/>
      <c r="AA94" s="87"/>
    </row>
    <row r="95" spans="8:27">
      <c r="H95" s="87"/>
      <c r="I95" s="87"/>
      <c r="J95" s="87"/>
      <c r="K95" s="87"/>
      <c r="L95" s="87"/>
      <c r="M95" s="87"/>
      <c r="N95" s="87"/>
      <c r="O95" s="87"/>
      <c r="P95" s="87"/>
      <c r="Q95" s="87"/>
      <c r="R95" s="87"/>
      <c r="S95" s="87"/>
      <c r="T95" s="87"/>
      <c r="U95" s="87"/>
      <c r="V95" s="87"/>
      <c r="W95" s="87"/>
      <c r="X95" s="87"/>
      <c r="Y95" s="87"/>
      <c r="Z95" s="87"/>
      <c r="AA95" s="87"/>
    </row>
    <row r="96" spans="8:27">
      <c r="H96" s="87"/>
      <c r="I96" s="87"/>
      <c r="J96" s="87"/>
      <c r="K96" s="87"/>
      <c r="L96" s="87"/>
      <c r="M96" s="87"/>
      <c r="N96" s="87"/>
      <c r="O96" s="87"/>
      <c r="P96" s="87"/>
      <c r="Q96" s="87"/>
      <c r="R96" s="87"/>
      <c r="S96" s="87"/>
      <c r="T96" s="87"/>
      <c r="U96" s="87"/>
      <c r="V96" s="87"/>
      <c r="W96" s="87"/>
      <c r="X96" s="87"/>
      <c r="Y96" s="87"/>
      <c r="Z96" s="87"/>
      <c r="AA96" s="87"/>
    </row>
    <row r="97" spans="8:27">
      <c r="H97" s="87"/>
      <c r="I97" s="87"/>
      <c r="J97" s="87"/>
      <c r="K97" s="87"/>
      <c r="L97" s="87"/>
      <c r="M97" s="87"/>
      <c r="N97" s="87"/>
      <c r="O97" s="87"/>
      <c r="P97" s="87"/>
      <c r="Q97" s="87"/>
      <c r="R97" s="87"/>
      <c r="S97" s="87"/>
      <c r="T97" s="87"/>
      <c r="U97" s="87"/>
      <c r="V97" s="87"/>
      <c r="W97" s="87"/>
      <c r="X97" s="87"/>
      <c r="Y97" s="87"/>
      <c r="Z97" s="87"/>
      <c r="AA97" s="87"/>
    </row>
    <row r="98" spans="8:27">
      <c r="H98" s="87"/>
      <c r="I98" s="87"/>
      <c r="J98" s="87"/>
      <c r="K98" s="87"/>
      <c r="L98" s="87"/>
      <c r="M98" s="87"/>
      <c r="N98" s="87"/>
      <c r="O98" s="87"/>
      <c r="P98" s="87"/>
      <c r="Q98" s="87"/>
      <c r="R98" s="87"/>
      <c r="S98" s="87"/>
      <c r="T98" s="87"/>
      <c r="U98" s="87"/>
      <c r="V98" s="87"/>
      <c r="W98" s="87"/>
      <c r="X98" s="87"/>
      <c r="Y98" s="87"/>
      <c r="Z98" s="87"/>
      <c r="AA98" s="87"/>
    </row>
    <row r="99" spans="8:27">
      <c r="H99" s="87"/>
      <c r="I99" s="87"/>
      <c r="J99" s="87"/>
      <c r="K99" s="87"/>
      <c r="L99" s="87"/>
      <c r="M99" s="87"/>
      <c r="N99" s="87"/>
      <c r="O99" s="87"/>
      <c r="P99" s="87"/>
      <c r="Q99" s="87"/>
      <c r="R99" s="87"/>
      <c r="S99" s="87"/>
      <c r="T99" s="87"/>
      <c r="U99" s="87"/>
      <c r="V99" s="87"/>
      <c r="W99" s="87"/>
      <c r="X99" s="87"/>
      <c r="Y99" s="87"/>
      <c r="Z99" s="87"/>
      <c r="AA99" s="87"/>
    </row>
    <row r="100" spans="8:27">
      <c r="H100" s="87"/>
      <c r="I100" s="87"/>
      <c r="J100" s="87"/>
      <c r="K100" s="87"/>
      <c r="L100" s="87"/>
      <c r="M100" s="87"/>
      <c r="N100" s="87"/>
      <c r="O100" s="87"/>
      <c r="P100" s="87"/>
      <c r="Q100" s="87"/>
      <c r="R100" s="87"/>
      <c r="S100" s="87"/>
      <c r="T100" s="87"/>
      <c r="U100" s="87"/>
      <c r="V100" s="87"/>
      <c r="W100" s="87"/>
      <c r="X100" s="87"/>
      <c r="Y100" s="87"/>
      <c r="Z100" s="87"/>
      <c r="AA100" s="87"/>
    </row>
    <row r="101" spans="8:27">
      <c r="H101" s="87"/>
      <c r="I101" s="87"/>
      <c r="J101" s="87"/>
      <c r="K101" s="87"/>
      <c r="L101" s="87"/>
      <c r="M101" s="87"/>
      <c r="N101" s="87"/>
      <c r="O101" s="87"/>
      <c r="P101" s="87"/>
      <c r="Q101" s="87"/>
      <c r="R101" s="87"/>
      <c r="S101" s="87"/>
      <c r="T101" s="87"/>
      <c r="U101" s="87"/>
      <c r="V101" s="87"/>
      <c r="W101" s="87"/>
      <c r="X101" s="87"/>
      <c r="Y101" s="87"/>
      <c r="Z101" s="87"/>
      <c r="AA101" s="87"/>
    </row>
    <row r="102" spans="8:27">
      <c r="H102" s="87"/>
      <c r="I102" s="87"/>
      <c r="J102" s="87"/>
      <c r="K102" s="87"/>
      <c r="L102" s="87"/>
      <c r="M102" s="87"/>
      <c r="N102" s="87"/>
      <c r="O102" s="87"/>
      <c r="P102" s="87"/>
      <c r="Q102" s="87"/>
      <c r="R102" s="87"/>
      <c r="S102" s="87"/>
      <c r="T102" s="87"/>
      <c r="U102" s="87"/>
      <c r="V102" s="87"/>
      <c r="W102" s="87"/>
      <c r="X102" s="87"/>
      <c r="Y102" s="87"/>
      <c r="Z102" s="87"/>
      <c r="AA102" s="87"/>
    </row>
    <row r="103" spans="8:27">
      <c r="H103" s="87"/>
      <c r="I103" s="87"/>
      <c r="J103" s="87"/>
      <c r="K103" s="87"/>
      <c r="L103" s="87"/>
      <c r="M103" s="87"/>
      <c r="N103" s="87"/>
      <c r="O103" s="87"/>
      <c r="P103" s="87"/>
      <c r="Q103" s="87"/>
      <c r="R103" s="87"/>
      <c r="S103" s="87"/>
      <c r="T103" s="87"/>
      <c r="U103" s="87"/>
      <c r="V103" s="87"/>
      <c r="W103" s="87"/>
      <c r="X103" s="87"/>
      <c r="Y103" s="87"/>
      <c r="Z103" s="87"/>
      <c r="AA103" s="87"/>
    </row>
    <row r="104" spans="8:27">
      <c r="H104" s="87"/>
      <c r="I104" s="87"/>
      <c r="J104" s="87"/>
      <c r="K104" s="87"/>
      <c r="L104" s="87"/>
      <c r="M104" s="87"/>
      <c r="N104" s="87"/>
      <c r="O104" s="87"/>
      <c r="P104" s="87"/>
      <c r="Q104" s="87"/>
      <c r="R104" s="87"/>
      <c r="S104" s="87"/>
      <c r="T104" s="87"/>
      <c r="U104" s="87"/>
      <c r="V104" s="87"/>
      <c r="W104" s="87"/>
      <c r="X104" s="87"/>
      <c r="Y104" s="87"/>
      <c r="Z104" s="87"/>
      <c r="AA104" s="87"/>
    </row>
    <row r="105" spans="8:27">
      <c r="H105" s="87"/>
      <c r="I105" s="87"/>
      <c r="J105" s="87"/>
      <c r="K105" s="87"/>
      <c r="L105" s="87"/>
      <c r="M105" s="87"/>
      <c r="N105" s="87"/>
      <c r="O105" s="87"/>
      <c r="P105" s="87"/>
      <c r="Q105" s="87"/>
      <c r="R105" s="87"/>
      <c r="S105" s="87"/>
      <c r="T105" s="87"/>
      <c r="U105" s="87"/>
      <c r="V105" s="87"/>
      <c r="W105" s="87"/>
      <c r="X105" s="87"/>
      <c r="Y105" s="87"/>
      <c r="Z105" s="87"/>
      <c r="AA105" s="87"/>
    </row>
    <row r="106" spans="8:27">
      <c r="H106" s="87"/>
      <c r="I106" s="87"/>
      <c r="J106" s="87"/>
      <c r="K106" s="87"/>
      <c r="L106" s="87"/>
      <c r="M106" s="87"/>
      <c r="N106" s="87"/>
      <c r="O106" s="87"/>
      <c r="P106" s="87"/>
      <c r="Q106" s="87"/>
      <c r="R106" s="87"/>
      <c r="S106" s="87"/>
      <c r="T106" s="87"/>
      <c r="U106" s="87"/>
      <c r="V106" s="87"/>
      <c r="W106" s="87"/>
      <c r="X106" s="87"/>
      <c r="Y106" s="87"/>
      <c r="Z106" s="87"/>
      <c r="AA106" s="87"/>
    </row>
    <row r="107" spans="8:27">
      <c r="H107" s="87"/>
      <c r="I107" s="87"/>
      <c r="J107" s="87"/>
      <c r="K107" s="87"/>
      <c r="L107" s="87"/>
      <c r="M107" s="87"/>
      <c r="N107" s="87"/>
      <c r="O107" s="87"/>
      <c r="P107" s="87"/>
      <c r="Q107" s="87"/>
      <c r="R107" s="87"/>
      <c r="S107" s="87"/>
      <c r="T107" s="87"/>
      <c r="U107" s="87"/>
      <c r="V107" s="87"/>
      <c r="W107" s="87"/>
      <c r="X107" s="87"/>
      <c r="Y107" s="87"/>
      <c r="Z107" s="87"/>
      <c r="AA107" s="87"/>
    </row>
    <row r="108" spans="8:27">
      <c r="H108" s="87"/>
      <c r="I108" s="87"/>
      <c r="J108" s="87"/>
      <c r="K108" s="87"/>
      <c r="L108" s="87"/>
      <c r="M108" s="87"/>
      <c r="N108" s="87"/>
      <c r="O108" s="87"/>
      <c r="P108" s="87"/>
      <c r="Q108" s="87"/>
      <c r="R108" s="87"/>
      <c r="S108" s="87"/>
      <c r="T108" s="87"/>
      <c r="U108" s="87"/>
      <c r="V108" s="87"/>
      <c r="W108" s="87"/>
      <c r="X108" s="87"/>
      <c r="Y108" s="87"/>
      <c r="Z108" s="87"/>
      <c r="AA108" s="87"/>
    </row>
    <row r="109" spans="8:27">
      <c r="H109" s="87"/>
      <c r="I109" s="87"/>
      <c r="J109" s="87"/>
      <c r="K109" s="87"/>
      <c r="L109" s="87"/>
      <c r="M109" s="87"/>
      <c r="N109" s="87"/>
      <c r="O109" s="87"/>
      <c r="P109" s="87"/>
      <c r="Q109" s="87"/>
      <c r="R109" s="87"/>
      <c r="S109" s="87"/>
      <c r="T109" s="87"/>
      <c r="U109" s="87"/>
      <c r="V109" s="87"/>
      <c r="W109" s="87"/>
      <c r="X109" s="87"/>
      <c r="Y109" s="87"/>
      <c r="Z109" s="87"/>
      <c r="AA109" s="87"/>
    </row>
    <row r="110" spans="8:27">
      <c r="H110" s="87"/>
      <c r="I110" s="87"/>
      <c r="J110" s="87"/>
      <c r="K110" s="87"/>
      <c r="L110" s="87"/>
      <c r="M110" s="87"/>
      <c r="N110" s="87"/>
      <c r="O110" s="87"/>
      <c r="P110" s="87"/>
      <c r="Q110" s="87"/>
      <c r="R110" s="87"/>
      <c r="S110" s="87"/>
      <c r="T110" s="87"/>
      <c r="U110" s="87"/>
      <c r="V110" s="87"/>
      <c r="W110" s="87"/>
      <c r="X110" s="87"/>
      <c r="Y110" s="87"/>
      <c r="Z110" s="87"/>
      <c r="AA110" s="87"/>
    </row>
    <row r="111" spans="8:27">
      <c r="H111" s="87"/>
      <c r="I111" s="87"/>
      <c r="J111" s="87"/>
      <c r="K111" s="87"/>
      <c r="L111" s="87"/>
      <c r="M111" s="87"/>
      <c r="N111" s="87"/>
      <c r="O111" s="87"/>
      <c r="P111" s="87"/>
      <c r="Q111" s="87"/>
      <c r="R111" s="87"/>
      <c r="S111" s="87"/>
      <c r="T111" s="87"/>
      <c r="U111" s="87"/>
      <c r="V111" s="87"/>
      <c r="W111" s="87"/>
      <c r="X111" s="87"/>
      <c r="Y111" s="87"/>
      <c r="Z111" s="87"/>
      <c r="AA111" s="87"/>
    </row>
    <row r="112" spans="8:27">
      <c r="H112" s="87"/>
      <c r="I112" s="87"/>
      <c r="J112" s="87"/>
      <c r="K112" s="87"/>
      <c r="L112" s="87"/>
      <c r="M112" s="87"/>
      <c r="N112" s="87"/>
      <c r="O112" s="87"/>
      <c r="P112" s="87"/>
      <c r="Q112" s="87"/>
      <c r="R112" s="87"/>
      <c r="S112" s="87"/>
      <c r="T112" s="87"/>
      <c r="U112" s="87"/>
      <c r="V112" s="87"/>
      <c r="W112" s="87"/>
      <c r="X112" s="87"/>
      <c r="Y112" s="87"/>
      <c r="Z112" s="87"/>
      <c r="AA112" s="87"/>
    </row>
    <row r="113" spans="8:27">
      <c r="H113" s="87"/>
      <c r="I113" s="87"/>
      <c r="J113" s="87"/>
      <c r="K113" s="87"/>
      <c r="L113" s="87"/>
      <c r="M113" s="87"/>
      <c r="N113" s="87"/>
      <c r="O113" s="87"/>
      <c r="P113" s="87"/>
      <c r="Q113" s="87"/>
      <c r="R113" s="87"/>
      <c r="S113" s="87"/>
      <c r="T113" s="87"/>
      <c r="U113" s="87"/>
      <c r="V113" s="87"/>
      <c r="W113" s="87"/>
      <c r="X113" s="87"/>
      <c r="Y113" s="87"/>
      <c r="Z113" s="87"/>
      <c r="AA113" s="87"/>
    </row>
    <row r="114" spans="8:27">
      <c r="H114" s="87"/>
      <c r="I114" s="87"/>
      <c r="J114" s="87"/>
      <c r="K114" s="87"/>
      <c r="L114" s="87"/>
      <c r="M114" s="87"/>
      <c r="N114" s="87"/>
      <c r="O114" s="87"/>
      <c r="P114" s="87"/>
      <c r="Q114" s="87"/>
      <c r="R114" s="87"/>
      <c r="S114" s="87"/>
      <c r="T114" s="87"/>
      <c r="U114" s="87"/>
      <c r="V114" s="87"/>
      <c r="W114" s="87"/>
      <c r="X114" s="87"/>
      <c r="Y114" s="87"/>
      <c r="Z114" s="87"/>
      <c r="AA114" s="87"/>
    </row>
    <row r="115" spans="8:27">
      <c r="H115" s="87"/>
      <c r="I115" s="87"/>
      <c r="J115" s="87"/>
      <c r="K115" s="87"/>
      <c r="L115" s="87"/>
      <c r="M115" s="87"/>
      <c r="N115" s="87"/>
      <c r="O115" s="87"/>
      <c r="P115" s="87"/>
      <c r="Q115" s="87"/>
      <c r="R115" s="87"/>
      <c r="S115" s="87"/>
      <c r="T115" s="87"/>
      <c r="U115" s="87"/>
      <c r="V115" s="87"/>
      <c r="W115" s="87"/>
      <c r="X115" s="87"/>
      <c r="Y115" s="87"/>
      <c r="Z115" s="87"/>
      <c r="AA115" s="87"/>
    </row>
    <row r="116" spans="8:27">
      <c r="H116" s="87"/>
      <c r="I116" s="87"/>
      <c r="J116" s="87"/>
      <c r="K116" s="87"/>
      <c r="L116" s="87"/>
      <c r="M116" s="87"/>
      <c r="N116" s="87"/>
      <c r="O116" s="87"/>
      <c r="P116" s="87"/>
      <c r="Q116" s="87"/>
      <c r="R116" s="87"/>
      <c r="S116" s="87"/>
      <c r="T116" s="87"/>
      <c r="U116" s="87"/>
      <c r="V116" s="87"/>
      <c r="W116" s="87"/>
      <c r="X116" s="87"/>
      <c r="Y116" s="87"/>
      <c r="Z116" s="87"/>
      <c r="AA116" s="87"/>
    </row>
    <row r="117" spans="8:27">
      <c r="H117" s="87"/>
      <c r="I117" s="87"/>
      <c r="J117" s="87"/>
      <c r="K117" s="87"/>
      <c r="L117" s="87"/>
      <c r="M117" s="87"/>
      <c r="N117" s="87"/>
      <c r="O117" s="87"/>
      <c r="P117" s="87"/>
      <c r="Q117" s="87"/>
      <c r="R117" s="87"/>
      <c r="S117" s="87"/>
      <c r="T117" s="87"/>
      <c r="U117" s="87"/>
      <c r="V117" s="87"/>
      <c r="W117" s="87"/>
      <c r="X117" s="87"/>
      <c r="Y117" s="87"/>
      <c r="Z117" s="87"/>
      <c r="AA117" s="87"/>
    </row>
    <row r="118" spans="8:27">
      <c r="H118" s="87"/>
      <c r="I118" s="87"/>
      <c r="J118" s="87"/>
      <c r="K118" s="87"/>
      <c r="L118" s="87"/>
      <c r="M118" s="87"/>
      <c r="N118" s="87"/>
      <c r="O118" s="87"/>
      <c r="P118" s="87"/>
      <c r="Q118" s="87"/>
      <c r="R118" s="87"/>
      <c r="S118" s="87"/>
      <c r="T118" s="87"/>
      <c r="U118" s="87"/>
      <c r="V118" s="87"/>
      <c r="W118" s="87"/>
      <c r="X118" s="87"/>
      <c r="Y118" s="87"/>
      <c r="Z118" s="87"/>
      <c r="AA118" s="87"/>
    </row>
    <row r="119" spans="8:27">
      <c r="H119" s="87"/>
      <c r="I119" s="87"/>
      <c r="J119" s="87"/>
      <c r="K119" s="87"/>
      <c r="L119" s="87"/>
      <c r="M119" s="87"/>
      <c r="N119" s="87"/>
      <c r="O119" s="87"/>
      <c r="P119" s="87"/>
      <c r="Q119" s="87"/>
      <c r="R119" s="87"/>
      <c r="S119" s="87"/>
      <c r="T119" s="87"/>
      <c r="U119" s="87"/>
      <c r="V119" s="87"/>
      <c r="W119" s="87"/>
      <c r="X119" s="87"/>
      <c r="Y119" s="87"/>
      <c r="Z119" s="87"/>
      <c r="AA119" s="87"/>
    </row>
    <row r="120" spans="8:27">
      <c r="H120" s="87"/>
      <c r="I120" s="87"/>
      <c r="J120" s="87"/>
      <c r="K120" s="87"/>
      <c r="L120" s="87"/>
      <c r="M120" s="87"/>
      <c r="N120" s="87"/>
      <c r="O120" s="87"/>
      <c r="P120" s="87"/>
      <c r="Q120" s="87"/>
      <c r="R120" s="87"/>
      <c r="S120" s="87"/>
      <c r="T120" s="87"/>
      <c r="U120" s="87"/>
      <c r="V120" s="87"/>
      <c r="W120" s="87"/>
      <c r="X120" s="87"/>
      <c r="Y120" s="87"/>
      <c r="Z120" s="87"/>
      <c r="AA120" s="87"/>
    </row>
    <row r="121" spans="8:27">
      <c r="H121" s="87"/>
      <c r="I121" s="87"/>
      <c r="J121" s="87"/>
      <c r="K121" s="87"/>
      <c r="L121" s="87"/>
      <c r="M121" s="87"/>
      <c r="N121" s="87"/>
      <c r="O121" s="87"/>
      <c r="P121" s="87"/>
      <c r="Q121" s="87"/>
      <c r="R121" s="87"/>
      <c r="S121" s="87"/>
      <c r="T121" s="87"/>
      <c r="U121" s="87"/>
      <c r="V121" s="87"/>
      <c r="W121" s="87"/>
      <c r="X121" s="87"/>
      <c r="Y121" s="87"/>
      <c r="Z121" s="87"/>
      <c r="AA121" s="87"/>
    </row>
    <row r="122" spans="8:27">
      <c r="H122" s="87"/>
      <c r="I122" s="87"/>
      <c r="J122" s="87"/>
      <c r="K122" s="87"/>
      <c r="L122" s="87"/>
      <c r="M122" s="87"/>
      <c r="N122" s="87"/>
      <c r="O122" s="87"/>
      <c r="P122" s="87"/>
      <c r="Q122" s="87"/>
      <c r="R122" s="87"/>
      <c r="S122" s="87"/>
      <c r="T122" s="87"/>
      <c r="U122" s="87"/>
      <c r="V122" s="87"/>
      <c r="W122" s="87"/>
      <c r="X122" s="87"/>
      <c r="Y122" s="87"/>
      <c r="Z122" s="87"/>
      <c r="AA122" s="87"/>
    </row>
    <row r="123" spans="8:27">
      <c r="H123" s="87"/>
      <c r="I123" s="87"/>
      <c r="J123" s="87"/>
      <c r="K123" s="87"/>
      <c r="L123" s="87"/>
      <c r="M123" s="87"/>
      <c r="N123" s="87"/>
      <c r="O123" s="87"/>
      <c r="P123" s="87"/>
      <c r="Q123" s="87"/>
      <c r="R123" s="87"/>
      <c r="S123" s="87"/>
      <c r="T123" s="87"/>
      <c r="U123" s="87"/>
      <c r="V123" s="87"/>
      <c r="W123" s="87"/>
      <c r="X123" s="87"/>
      <c r="Y123" s="87"/>
      <c r="Z123" s="87"/>
      <c r="AA123" s="87"/>
    </row>
    <row r="124" spans="8:27">
      <c r="H124" s="87"/>
      <c r="I124" s="87"/>
      <c r="J124" s="87"/>
      <c r="K124" s="87"/>
      <c r="L124" s="87"/>
      <c r="M124" s="87"/>
      <c r="N124" s="87"/>
      <c r="O124" s="87"/>
      <c r="P124" s="87"/>
      <c r="Q124" s="87"/>
      <c r="R124" s="87"/>
      <c r="S124" s="87"/>
      <c r="T124" s="87"/>
      <c r="U124" s="87"/>
      <c r="V124" s="87"/>
      <c r="W124" s="87"/>
      <c r="X124" s="87"/>
      <c r="Y124" s="87"/>
      <c r="Z124" s="87"/>
      <c r="AA124" s="87"/>
    </row>
    <row r="125" spans="8:27">
      <c r="H125" s="87"/>
      <c r="I125" s="87"/>
      <c r="J125" s="87"/>
      <c r="K125" s="87"/>
      <c r="L125" s="87"/>
      <c r="M125" s="87"/>
      <c r="N125" s="87"/>
      <c r="O125" s="87"/>
      <c r="P125" s="87"/>
      <c r="Q125" s="87"/>
      <c r="R125" s="87"/>
      <c r="S125" s="87"/>
      <c r="T125" s="87"/>
      <c r="U125" s="87"/>
      <c r="V125" s="87"/>
      <c r="W125" s="87"/>
      <c r="X125" s="87"/>
      <c r="Y125" s="87"/>
      <c r="Z125" s="87"/>
      <c r="AA125" s="87"/>
    </row>
    <row r="126" spans="8:27">
      <c r="H126" s="87"/>
      <c r="I126" s="87"/>
      <c r="J126" s="87"/>
      <c r="K126" s="87"/>
      <c r="L126" s="87"/>
      <c r="M126" s="87"/>
      <c r="N126" s="87"/>
      <c r="O126" s="87"/>
      <c r="P126" s="87"/>
      <c r="Q126" s="87"/>
      <c r="R126" s="87"/>
      <c r="S126" s="87"/>
      <c r="T126" s="87"/>
      <c r="U126" s="87"/>
      <c r="V126" s="87"/>
      <c r="W126" s="87"/>
      <c r="X126" s="87"/>
      <c r="Y126" s="87"/>
      <c r="Z126" s="87"/>
      <c r="AA126" s="87"/>
    </row>
    <row r="127" spans="8:27">
      <c r="H127" s="87"/>
      <c r="I127" s="87"/>
      <c r="J127" s="87"/>
      <c r="K127" s="87"/>
      <c r="L127" s="87"/>
      <c r="M127" s="87"/>
      <c r="N127" s="87"/>
      <c r="O127" s="87"/>
      <c r="P127" s="87"/>
      <c r="Q127" s="87"/>
      <c r="R127" s="87"/>
      <c r="S127" s="87"/>
      <c r="T127" s="87"/>
      <c r="U127" s="87"/>
      <c r="V127" s="87"/>
      <c r="W127" s="87"/>
      <c r="X127" s="87"/>
      <c r="Y127" s="87"/>
      <c r="Z127" s="87"/>
      <c r="AA127" s="87"/>
    </row>
    <row r="128" spans="8:27">
      <c r="H128" s="87"/>
      <c r="I128" s="87"/>
      <c r="J128" s="87"/>
      <c r="K128" s="87"/>
      <c r="L128" s="87"/>
      <c r="M128" s="87"/>
      <c r="N128" s="87"/>
      <c r="O128" s="87"/>
      <c r="P128" s="87"/>
      <c r="Q128" s="87"/>
      <c r="R128" s="87"/>
      <c r="S128" s="87"/>
      <c r="T128" s="87"/>
      <c r="U128" s="87"/>
      <c r="V128" s="87"/>
      <c r="W128" s="87"/>
      <c r="X128" s="87"/>
      <c r="Y128" s="87"/>
      <c r="Z128" s="87"/>
      <c r="AA128" s="87"/>
    </row>
    <row r="129" spans="8:27">
      <c r="H129" s="87"/>
      <c r="I129" s="87"/>
      <c r="J129" s="87"/>
      <c r="K129" s="87"/>
      <c r="L129" s="87"/>
      <c r="M129" s="87"/>
      <c r="N129" s="87"/>
      <c r="O129" s="87"/>
      <c r="P129" s="87"/>
      <c r="Q129" s="87"/>
      <c r="R129" s="87"/>
      <c r="S129" s="87"/>
      <c r="T129" s="87"/>
      <c r="U129" s="87"/>
      <c r="V129" s="87"/>
      <c r="W129" s="87"/>
      <c r="X129" s="87"/>
      <c r="Y129" s="87"/>
      <c r="Z129" s="87"/>
      <c r="AA129" s="87"/>
    </row>
    <row r="130" spans="8:27">
      <c r="H130" s="87"/>
      <c r="I130" s="87"/>
      <c r="J130" s="87"/>
      <c r="K130" s="87"/>
      <c r="L130" s="87"/>
      <c r="M130" s="87"/>
      <c r="N130" s="87"/>
      <c r="O130" s="87"/>
      <c r="P130" s="87"/>
      <c r="Q130" s="87"/>
      <c r="R130" s="87"/>
      <c r="S130" s="87"/>
      <c r="T130" s="87"/>
      <c r="U130" s="87"/>
      <c r="V130" s="87"/>
      <c r="W130" s="87"/>
      <c r="X130" s="87"/>
      <c r="Y130" s="87"/>
      <c r="Z130" s="87"/>
      <c r="AA130" s="87"/>
    </row>
    <row r="131" spans="8:27">
      <c r="H131" s="87"/>
      <c r="I131" s="87"/>
      <c r="J131" s="87"/>
      <c r="K131" s="87"/>
      <c r="L131" s="87"/>
      <c r="M131" s="87"/>
      <c r="N131" s="87"/>
      <c r="O131" s="87"/>
      <c r="P131" s="87"/>
      <c r="Q131" s="87"/>
      <c r="R131" s="87"/>
      <c r="S131" s="87"/>
      <c r="T131" s="87"/>
      <c r="U131" s="87"/>
      <c r="V131" s="87"/>
      <c r="W131" s="87"/>
      <c r="X131" s="87"/>
      <c r="Y131" s="87"/>
      <c r="Z131" s="87"/>
      <c r="AA131" s="87"/>
    </row>
    <row r="132" spans="8:27">
      <c r="H132" s="87"/>
      <c r="I132" s="87"/>
      <c r="J132" s="87"/>
      <c r="K132" s="87"/>
      <c r="L132" s="87"/>
      <c r="M132" s="87"/>
      <c r="N132" s="87"/>
      <c r="O132" s="87"/>
      <c r="P132" s="87"/>
      <c r="Q132" s="87"/>
      <c r="R132" s="87"/>
      <c r="S132" s="87"/>
      <c r="T132" s="87"/>
      <c r="U132" s="87"/>
      <c r="V132" s="87"/>
      <c r="W132" s="87"/>
      <c r="X132" s="87"/>
      <c r="Y132" s="87"/>
      <c r="Z132" s="87"/>
      <c r="AA132" s="87"/>
    </row>
    <row r="133" spans="8:27">
      <c r="H133" s="87"/>
      <c r="I133" s="87"/>
      <c r="J133" s="87"/>
      <c r="K133" s="87"/>
      <c r="L133" s="87"/>
      <c r="M133" s="87"/>
      <c r="N133" s="87"/>
      <c r="O133" s="87"/>
      <c r="P133" s="87"/>
      <c r="Q133" s="87"/>
      <c r="R133" s="87"/>
      <c r="S133" s="87"/>
      <c r="T133" s="87"/>
      <c r="U133" s="87"/>
      <c r="V133" s="87"/>
      <c r="W133" s="87"/>
      <c r="X133" s="87"/>
      <c r="Y133" s="87"/>
      <c r="Z133" s="87"/>
      <c r="AA133" s="87"/>
    </row>
    <row r="134" spans="8:27">
      <c r="H134" s="87"/>
      <c r="I134" s="87"/>
      <c r="J134" s="87"/>
      <c r="K134" s="87"/>
      <c r="L134" s="87"/>
      <c r="M134" s="87"/>
      <c r="N134" s="87"/>
      <c r="O134" s="87"/>
      <c r="P134" s="87"/>
      <c r="Q134" s="87"/>
      <c r="R134" s="87"/>
      <c r="S134" s="87"/>
      <c r="T134" s="87"/>
      <c r="U134" s="87"/>
      <c r="V134" s="87"/>
      <c r="W134" s="87"/>
      <c r="X134" s="87"/>
      <c r="Y134" s="87"/>
      <c r="Z134" s="87"/>
      <c r="AA134" s="87"/>
    </row>
    <row r="135" spans="8:27">
      <c r="H135" s="87"/>
      <c r="I135" s="87"/>
      <c r="J135" s="87"/>
      <c r="K135" s="87"/>
      <c r="L135" s="87"/>
      <c r="M135" s="87"/>
      <c r="N135" s="87"/>
      <c r="O135" s="87"/>
      <c r="P135" s="87"/>
      <c r="Q135" s="87"/>
      <c r="R135" s="87"/>
      <c r="S135" s="87"/>
      <c r="T135" s="87"/>
      <c r="U135" s="87"/>
      <c r="V135" s="87"/>
      <c r="W135" s="87"/>
      <c r="X135" s="87"/>
      <c r="Y135" s="87"/>
      <c r="Z135" s="87"/>
      <c r="AA135" s="87"/>
    </row>
    <row r="136" spans="8:27">
      <c r="H136" s="87"/>
      <c r="I136" s="87"/>
      <c r="J136" s="87"/>
      <c r="K136" s="87"/>
      <c r="L136" s="87"/>
      <c r="M136" s="87"/>
      <c r="N136" s="87"/>
      <c r="O136" s="87"/>
      <c r="P136" s="87"/>
      <c r="Q136" s="87"/>
      <c r="R136" s="87"/>
      <c r="S136" s="87"/>
      <c r="T136" s="87"/>
      <c r="U136" s="87"/>
      <c r="V136" s="87"/>
      <c r="W136" s="87"/>
      <c r="X136" s="87"/>
      <c r="Y136" s="87"/>
      <c r="Z136" s="87"/>
      <c r="AA136" s="87"/>
    </row>
    <row r="137" spans="8:27">
      <c r="H137" s="87"/>
      <c r="I137" s="87"/>
      <c r="J137" s="87"/>
      <c r="K137" s="87"/>
      <c r="L137" s="87"/>
      <c r="M137" s="87"/>
      <c r="N137" s="87"/>
      <c r="O137" s="87"/>
      <c r="P137" s="87"/>
      <c r="Q137" s="87"/>
      <c r="R137" s="87"/>
      <c r="S137" s="87"/>
      <c r="T137" s="87"/>
      <c r="U137" s="87"/>
      <c r="V137" s="87"/>
      <c r="W137" s="87"/>
      <c r="X137" s="87"/>
      <c r="Y137" s="87"/>
      <c r="Z137" s="87"/>
      <c r="AA137" s="87"/>
    </row>
    <row r="138" spans="8:27">
      <c r="H138" s="87"/>
      <c r="I138" s="87"/>
      <c r="J138" s="87"/>
      <c r="K138" s="87"/>
      <c r="L138" s="87"/>
      <c r="M138" s="87"/>
      <c r="N138" s="87"/>
      <c r="O138" s="87"/>
      <c r="P138" s="87"/>
      <c r="Q138" s="87"/>
      <c r="R138" s="87"/>
      <c r="S138" s="87"/>
      <c r="T138" s="87"/>
      <c r="U138" s="87"/>
      <c r="V138" s="87"/>
      <c r="W138" s="87"/>
      <c r="X138" s="87"/>
      <c r="Y138" s="87"/>
      <c r="Z138" s="87"/>
      <c r="AA138" s="87"/>
    </row>
    <row r="139" spans="8:27">
      <c r="H139" s="87"/>
      <c r="I139" s="87"/>
      <c r="J139" s="87"/>
      <c r="K139" s="87"/>
      <c r="L139" s="87"/>
      <c r="M139" s="87"/>
      <c r="N139" s="87"/>
      <c r="O139" s="87"/>
      <c r="P139" s="87"/>
      <c r="Q139" s="87"/>
      <c r="R139" s="87"/>
      <c r="S139" s="87"/>
      <c r="T139" s="87"/>
      <c r="U139" s="87"/>
      <c r="V139" s="87"/>
      <c r="W139" s="87"/>
      <c r="X139" s="87"/>
      <c r="Y139" s="87"/>
      <c r="Z139" s="87"/>
      <c r="AA139" s="87"/>
    </row>
    <row r="140" spans="8:27">
      <c r="H140" s="87"/>
      <c r="I140" s="87"/>
      <c r="J140" s="87"/>
      <c r="K140" s="87"/>
      <c r="L140" s="87"/>
      <c r="M140" s="87"/>
      <c r="N140" s="87"/>
      <c r="O140" s="87"/>
      <c r="P140" s="87"/>
      <c r="Q140" s="87"/>
      <c r="R140" s="87"/>
      <c r="S140" s="87"/>
      <c r="T140" s="87"/>
      <c r="U140" s="87"/>
      <c r="V140" s="87"/>
      <c r="W140" s="87"/>
      <c r="X140" s="87"/>
      <c r="Y140" s="87"/>
      <c r="Z140" s="87"/>
      <c r="AA140" s="87"/>
    </row>
    <row r="141" spans="8:27">
      <c r="H141" s="87"/>
      <c r="I141" s="87"/>
      <c r="J141" s="87"/>
      <c r="K141" s="87"/>
      <c r="L141" s="87"/>
      <c r="M141" s="87"/>
      <c r="N141" s="87"/>
      <c r="O141" s="87"/>
      <c r="P141" s="87"/>
      <c r="Q141" s="87"/>
      <c r="R141" s="87"/>
      <c r="S141" s="87"/>
      <c r="T141" s="87"/>
      <c r="U141" s="87"/>
      <c r="V141" s="87"/>
      <c r="W141" s="87"/>
      <c r="X141" s="87"/>
      <c r="Y141" s="87"/>
      <c r="Z141" s="87"/>
      <c r="AA141" s="87"/>
    </row>
    <row r="142" spans="8:27">
      <c r="H142" s="87"/>
      <c r="I142" s="87"/>
      <c r="J142" s="87"/>
      <c r="K142" s="87"/>
      <c r="L142" s="87"/>
      <c r="M142" s="87"/>
      <c r="N142" s="87"/>
      <c r="O142" s="87"/>
      <c r="P142" s="87"/>
      <c r="Q142" s="87"/>
      <c r="R142" s="87"/>
      <c r="S142" s="87"/>
      <c r="T142" s="87"/>
      <c r="U142" s="87"/>
      <c r="V142" s="87"/>
      <c r="W142" s="87"/>
      <c r="X142" s="87"/>
      <c r="Y142" s="87"/>
      <c r="Z142" s="87"/>
      <c r="AA142" s="87"/>
    </row>
    <row r="143" spans="8:27">
      <c r="H143" s="87"/>
      <c r="I143" s="87"/>
      <c r="J143" s="87"/>
      <c r="K143" s="87"/>
      <c r="L143" s="87"/>
      <c r="M143" s="87"/>
      <c r="N143" s="87"/>
      <c r="O143" s="87"/>
      <c r="P143" s="87"/>
      <c r="Q143" s="87"/>
      <c r="R143" s="87"/>
      <c r="S143" s="87"/>
      <c r="T143" s="87"/>
      <c r="U143" s="87"/>
      <c r="V143" s="87"/>
      <c r="W143" s="87"/>
      <c r="X143" s="87"/>
      <c r="Y143" s="87"/>
      <c r="Z143" s="87"/>
      <c r="AA143" s="87"/>
    </row>
    <row r="144" spans="8:27">
      <c r="H144" s="87"/>
      <c r="I144" s="87"/>
      <c r="J144" s="87"/>
      <c r="K144" s="87"/>
      <c r="L144" s="87"/>
      <c r="M144" s="87"/>
      <c r="N144" s="87"/>
      <c r="O144" s="87"/>
      <c r="P144" s="87"/>
      <c r="Q144" s="87"/>
      <c r="R144" s="87"/>
      <c r="S144" s="87"/>
      <c r="T144" s="87"/>
      <c r="U144" s="87"/>
      <c r="V144" s="87"/>
      <c r="W144" s="87"/>
      <c r="X144" s="87"/>
      <c r="Y144" s="87"/>
      <c r="Z144" s="87"/>
      <c r="AA144" s="87"/>
    </row>
    <row r="145" spans="8:27">
      <c r="H145" s="87"/>
      <c r="I145" s="87"/>
      <c r="J145" s="87"/>
      <c r="K145" s="87"/>
      <c r="L145" s="87"/>
      <c r="M145" s="87"/>
      <c r="N145" s="87"/>
      <c r="O145" s="87"/>
      <c r="P145" s="87"/>
      <c r="Q145" s="87"/>
      <c r="R145" s="87"/>
      <c r="S145" s="87"/>
      <c r="T145" s="87"/>
      <c r="U145" s="87"/>
      <c r="V145" s="87"/>
      <c r="W145" s="87"/>
      <c r="X145" s="87"/>
      <c r="Y145" s="87"/>
      <c r="Z145" s="87"/>
      <c r="AA145" s="87"/>
    </row>
    <row r="146" spans="8:27">
      <c r="H146" s="87"/>
      <c r="I146" s="87"/>
      <c r="J146" s="87"/>
      <c r="K146" s="87"/>
      <c r="L146" s="87"/>
      <c r="M146" s="87"/>
      <c r="N146" s="87"/>
      <c r="O146" s="87"/>
      <c r="P146" s="87"/>
      <c r="Q146" s="87"/>
      <c r="R146" s="87"/>
      <c r="S146" s="87"/>
      <c r="T146" s="87"/>
      <c r="U146" s="87"/>
      <c r="V146" s="87"/>
      <c r="W146" s="87"/>
      <c r="X146" s="87"/>
      <c r="Y146" s="87"/>
      <c r="Z146" s="87"/>
      <c r="AA146" s="87"/>
    </row>
    <row r="147" spans="8:27">
      <c r="H147" s="87"/>
      <c r="I147" s="87"/>
      <c r="J147" s="87"/>
      <c r="K147" s="87"/>
      <c r="L147" s="87"/>
      <c r="M147" s="87"/>
      <c r="N147" s="87"/>
      <c r="O147" s="87"/>
      <c r="P147" s="87"/>
      <c r="Q147" s="87"/>
      <c r="R147" s="87"/>
      <c r="S147" s="87"/>
      <c r="T147" s="87"/>
      <c r="U147" s="87"/>
      <c r="V147" s="87"/>
      <c r="W147" s="87"/>
      <c r="X147" s="87"/>
      <c r="Y147" s="87"/>
      <c r="Z147" s="87"/>
      <c r="AA147" s="87"/>
    </row>
    <row r="148" spans="8:27">
      <c r="H148" s="87"/>
      <c r="I148" s="87"/>
      <c r="J148" s="87"/>
      <c r="K148" s="87"/>
      <c r="L148" s="87"/>
      <c r="M148" s="87"/>
      <c r="N148" s="87"/>
      <c r="O148" s="87"/>
      <c r="P148" s="87"/>
      <c r="Q148" s="87"/>
      <c r="R148" s="87"/>
      <c r="S148" s="87"/>
      <c r="T148" s="87"/>
      <c r="U148" s="87"/>
      <c r="V148" s="87"/>
      <c r="W148" s="87"/>
      <c r="X148" s="87"/>
      <c r="Y148" s="87"/>
      <c r="Z148" s="87"/>
      <c r="AA148" s="87"/>
    </row>
    <row r="149" spans="8:27">
      <c r="H149" s="87"/>
      <c r="I149" s="87"/>
      <c r="J149" s="87"/>
      <c r="K149" s="87"/>
      <c r="L149" s="87"/>
      <c r="M149" s="87"/>
      <c r="N149" s="87"/>
      <c r="O149" s="87"/>
      <c r="P149" s="87"/>
      <c r="Q149" s="87"/>
      <c r="R149" s="87"/>
      <c r="S149" s="87"/>
      <c r="T149" s="87"/>
      <c r="U149" s="87"/>
      <c r="V149" s="87"/>
      <c r="W149" s="87"/>
      <c r="X149" s="87"/>
      <c r="Y149" s="87"/>
      <c r="Z149" s="87"/>
      <c r="AA149" s="87"/>
    </row>
    <row r="150" spans="8:27">
      <c r="H150" s="87"/>
      <c r="I150" s="87"/>
      <c r="J150" s="87"/>
      <c r="K150" s="87"/>
      <c r="L150" s="87"/>
      <c r="M150" s="87"/>
      <c r="N150" s="87"/>
      <c r="O150" s="87"/>
      <c r="P150" s="87"/>
      <c r="Q150" s="87"/>
      <c r="R150" s="87"/>
      <c r="S150" s="87"/>
      <c r="T150" s="87"/>
      <c r="U150" s="87"/>
      <c r="V150" s="87"/>
      <c r="W150" s="87"/>
      <c r="X150" s="87"/>
      <c r="Y150" s="87"/>
      <c r="Z150" s="87"/>
      <c r="AA150" s="87"/>
    </row>
    <row r="151" spans="8:27">
      <c r="H151" s="87"/>
      <c r="I151" s="87"/>
      <c r="J151" s="87"/>
      <c r="K151" s="87"/>
      <c r="L151" s="87"/>
      <c r="M151" s="87"/>
      <c r="N151" s="87"/>
      <c r="O151" s="87"/>
      <c r="P151" s="87"/>
      <c r="Q151" s="87"/>
      <c r="R151" s="87"/>
      <c r="S151" s="87"/>
      <c r="T151" s="87"/>
      <c r="U151" s="87"/>
      <c r="V151" s="87"/>
      <c r="W151" s="87"/>
      <c r="X151" s="87"/>
      <c r="Y151" s="87"/>
      <c r="Z151" s="87"/>
      <c r="AA151" s="87"/>
    </row>
    <row r="152" spans="8:27">
      <c r="H152" s="87"/>
      <c r="I152" s="87"/>
      <c r="J152" s="87"/>
      <c r="K152" s="87"/>
      <c r="L152" s="87"/>
      <c r="M152" s="87"/>
      <c r="N152" s="87"/>
      <c r="O152" s="87"/>
      <c r="P152" s="87"/>
      <c r="Q152" s="87"/>
      <c r="R152" s="87"/>
      <c r="S152" s="87"/>
      <c r="T152" s="87"/>
      <c r="U152" s="87"/>
      <c r="V152" s="87"/>
      <c r="W152" s="87"/>
      <c r="X152" s="87"/>
      <c r="Y152" s="87"/>
      <c r="Z152" s="87"/>
      <c r="AA152" s="87"/>
    </row>
    <row r="153" spans="8:27">
      <c r="H153" s="87"/>
      <c r="I153" s="87"/>
      <c r="J153" s="87"/>
      <c r="K153" s="87"/>
      <c r="L153" s="87"/>
      <c r="M153" s="87"/>
      <c r="N153" s="87"/>
      <c r="O153" s="87"/>
      <c r="P153" s="87"/>
      <c r="Q153" s="87"/>
      <c r="R153" s="87"/>
      <c r="S153" s="87"/>
      <c r="T153" s="87"/>
      <c r="U153" s="87"/>
      <c r="V153" s="87"/>
      <c r="W153" s="87"/>
      <c r="X153" s="87"/>
      <c r="Y153" s="87"/>
      <c r="Z153" s="87"/>
      <c r="AA153" s="87"/>
    </row>
    <row r="154" spans="8:27">
      <c r="H154" s="87"/>
      <c r="I154" s="87"/>
      <c r="J154" s="87"/>
      <c r="K154" s="87"/>
      <c r="L154" s="87"/>
      <c r="M154" s="87"/>
      <c r="N154" s="87"/>
      <c r="O154" s="87"/>
      <c r="P154" s="87"/>
      <c r="Q154" s="87"/>
      <c r="R154" s="87"/>
      <c r="S154" s="87"/>
      <c r="T154" s="87"/>
      <c r="U154" s="87"/>
      <c r="V154" s="87"/>
      <c r="W154" s="87"/>
      <c r="X154" s="87"/>
      <c r="Y154" s="87"/>
      <c r="Z154" s="87"/>
      <c r="AA154" s="87"/>
    </row>
    <row r="155" spans="8:27">
      <c r="H155" s="87"/>
      <c r="I155" s="87"/>
      <c r="J155" s="87"/>
      <c r="K155" s="87"/>
      <c r="L155" s="87"/>
      <c r="M155" s="87"/>
      <c r="N155" s="87"/>
      <c r="O155" s="87"/>
      <c r="P155" s="87"/>
      <c r="Q155" s="87"/>
      <c r="R155" s="87"/>
      <c r="S155" s="87"/>
      <c r="T155" s="87"/>
      <c r="U155" s="87"/>
      <c r="V155" s="87"/>
      <c r="W155" s="87"/>
      <c r="X155" s="87"/>
      <c r="Y155" s="87"/>
      <c r="Z155" s="87"/>
      <c r="AA155" s="87"/>
    </row>
    <row r="156" spans="8:27">
      <c r="H156" s="87"/>
      <c r="I156" s="87"/>
      <c r="J156" s="87"/>
      <c r="K156" s="87"/>
      <c r="L156" s="87"/>
      <c r="M156" s="87"/>
      <c r="N156" s="87"/>
      <c r="O156" s="87"/>
      <c r="P156" s="87"/>
      <c r="Q156" s="87"/>
      <c r="R156" s="87"/>
      <c r="S156" s="87"/>
      <c r="T156" s="87"/>
      <c r="U156" s="87"/>
      <c r="V156" s="87"/>
      <c r="W156" s="87"/>
      <c r="X156" s="87"/>
      <c r="Y156" s="87"/>
      <c r="Z156" s="87"/>
      <c r="AA156" s="87"/>
    </row>
    <row r="157" spans="8:27">
      <c r="H157" s="87"/>
      <c r="I157" s="87"/>
      <c r="J157" s="87"/>
      <c r="K157" s="87"/>
      <c r="L157" s="87"/>
      <c r="M157" s="87"/>
      <c r="N157" s="87"/>
      <c r="O157" s="87"/>
      <c r="P157" s="87"/>
      <c r="Q157" s="87"/>
      <c r="R157" s="87"/>
      <c r="S157" s="87"/>
      <c r="T157" s="87"/>
      <c r="U157" s="87"/>
      <c r="V157" s="87"/>
      <c r="W157" s="87"/>
      <c r="X157" s="87"/>
      <c r="Y157" s="87"/>
      <c r="Z157" s="87"/>
      <c r="AA157" s="87"/>
    </row>
    <row r="158" spans="8:27">
      <c r="H158" s="87"/>
      <c r="I158" s="87"/>
      <c r="J158" s="87"/>
      <c r="K158" s="87"/>
      <c r="L158" s="87"/>
      <c r="M158" s="87"/>
      <c r="N158" s="87"/>
      <c r="O158" s="87"/>
      <c r="P158" s="87"/>
      <c r="Q158" s="87"/>
      <c r="R158" s="87"/>
      <c r="S158" s="87"/>
      <c r="T158" s="87"/>
      <c r="U158" s="87"/>
      <c r="V158" s="87"/>
      <c r="W158" s="87"/>
      <c r="X158" s="87"/>
      <c r="Y158" s="87"/>
      <c r="Z158" s="87"/>
      <c r="AA158" s="87"/>
    </row>
    <row r="159" spans="8:27">
      <c r="H159" s="87"/>
      <c r="I159" s="87"/>
      <c r="J159" s="87"/>
      <c r="K159" s="87"/>
      <c r="L159" s="87"/>
      <c r="M159" s="87"/>
      <c r="N159" s="87"/>
      <c r="O159" s="87"/>
      <c r="P159" s="87"/>
      <c r="Q159" s="87"/>
      <c r="R159" s="87"/>
      <c r="S159" s="87"/>
      <c r="T159" s="87"/>
      <c r="U159" s="87"/>
      <c r="V159" s="87"/>
      <c r="W159" s="87"/>
      <c r="X159" s="87"/>
      <c r="Y159" s="87"/>
      <c r="Z159" s="87"/>
      <c r="AA159" s="87"/>
    </row>
    <row r="160" spans="8:27">
      <c r="H160" s="87"/>
      <c r="I160" s="87"/>
      <c r="J160" s="87"/>
      <c r="K160" s="87"/>
      <c r="L160" s="87"/>
      <c r="M160" s="87"/>
      <c r="N160" s="87"/>
      <c r="O160" s="87"/>
      <c r="P160" s="87"/>
      <c r="Q160" s="87"/>
      <c r="R160" s="87"/>
      <c r="S160" s="87"/>
      <c r="T160" s="87"/>
      <c r="U160" s="87"/>
      <c r="V160" s="87"/>
      <c r="W160" s="87"/>
      <c r="X160" s="87"/>
      <c r="Y160" s="87"/>
      <c r="Z160" s="87"/>
      <c r="AA160" s="87"/>
    </row>
    <row r="161" spans="8:27">
      <c r="H161" s="87"/>
      <c r="I161" s="87"/>
      <c r="J161" s="87"/>
      <c r="K161" s="87"/>
      <c r="L161" s="87"/>
      <c r="M161" s="87"/>
      <c r="N161" s="87"/>
      <c r="O161" s="87"/>
      <c r="P161" s="87"/>
      <c r="Q161" s="87"/>
      <c r="R161" s="87"/>
      <c r="S161" s="87"/>
      <c r="T161" s="87"/>
      <c r="U161" s="87"/>
      <c r="V161" s="87"/>
      <c r="W161" s="87"/>
      <c r="X161" s="87"/>
      <c r="Y161" s="87"/>
      <c r="Z161" s="87"/>
      <c r="AA161" s="87"/>
    </row>
    <row r="162" spans="8:27">
      <c r="H162" s="87"/>
      <c r="I162" s="87"/>
      <c r="J162" s="87"/>
      <c r="K162" s="87"/>
      <c r="L162" s="87"/>
      <c r="M162" s="87"/>
      <c r="N162" s="87"/>
      <c r="O162" s="87"/>
      <c r="P162" s="87"/>
      <c r="Q162" s="87"/>
      <c r="R162" s="87"/>
      <c r="S162" s="87"/>
      <c r="T162" s="87"/>
      <c r="U162" s="87"/>
      <c r="V162" s="87"/>
      <c r="W162" s="87"/>
      <c r="X162" s="87"/>
      <c r="Y162" s="87"/>
      <c r="Z162" s="87"/>
      <c r="AA162" s="87"/>
    </row>
    <row r="163" spans="8:27">
      <c r="H163" s="87"/>
      <c r="I163" s="87"/>
      <c r="J163" s="87"/>
      <c r="K163" s="87"/>
      <c r="L163" s="87"/>
      <c r="M163" s="87"/>
      <c r="N163" s="87"/>
      <c r="O163" s="87"/>
      <c r="P163" s="87"/>
      <c r="Q163" s="87"/>
      <c r="R163" s="87"/>
      <c r="S163" s="87"/>
      <c r="T163" s="87"/>
      <c r="U163" s="87"/>
      <c r="V163" s="87"/>
      <c r="W163" s="87"/>
      <c r="X163" s="87"/>
      <c r="Y163" s="87"/>
      <c r="Z163" s="87"/>
      <c r="AA163" s="87"/>
    </row>
    <row r="164" spans="8:27">
      <c r="H164" s="87"/>
      <c r="I164" s="87"/>
      <c r="J164" s="87"/>
      <c r="K164" s="87"/>
      <c r="L164" s="87"/>
      <c r="M164" s="87"/>
      <c r="N164" s="87"/>
      <c r="O164" s="87"/>
      <c r="P164" s="87"/>
      <c r="Q164" s="87"/>
      <c r="R164" s="87"/>
      <c r="S164" s="87"/>
      <c r="T164" s="87"/>
      <c r="U164" s="87"/>
      <c r="V164" s="87"/>
      <c r="W164" s="87"/>
      <c r="X164" s="87"/>
      <c r="Y164" s="87"/>
      <c r="Z164" s="87"/>
      <c r="AA164" s="87"/>
    </row>
    <row r="165" spans="8:27">
      <c r="H165" s="87"/>
      <c r="I165" s="87"/>
      <c r="J165" s="87"/>
      <c r="K165" s="87"/>
      <c r="L165" s="87"/>
      <c r="M165" s="87"/>
      <c r="N165" s="87"/>
      <c r="O165" s="87"/>
      <c r="P165" s="87"/>
      <c r="Q165" s="87"/>
      <c r="R165" s="87"/>
      <c r="S165" s="87"/>
      <c r="T165" s="87"/>
      <c r="U165" s="87"/>
      <c r="V165" s="87"/>
      <c r="W165" s="87"/>
      <c r="X165" s="87"/>
      <c r="Y165" s="87"/>
      <c r="Z165" s="87"/>
      <c r="AA165" s="87"/>
    </row>
    <row r="166" spans="8:27">
      <c r="H166" s="87"/>
      <c r="I166" s="87"/>
      <c r="J166" s="87"/>
      <c r="K166" s="87"/>
      <c r="L166" s="87"/>
      <c r="M166" s="87"/>
      <c r="N166" s="87"/>
      <c r="O166" s="87"/>
      <c r="P166" s="87"/>
      <c r="Q166" s="87"/>
      <c r="R166" s="87"/>
      <c r="S166" s="87"/>
      <c r="T166" s="87"/>
      <c r="U166" s="87"/>
      <c r="V166" s="87"/>
      <c r="W166" s="87"/>
      <c r="X166" s="87"/>
      <c r="Y166" s="87"/>
      <c r="Z166" s="87"/>
      <c r="AA166" s="87"/>
    </row>
    <row r="167" spans="8:27">
      <c r="H167" s="87"/>
      <c r="I167" s="87"/>
      <c r="J167" s="87"/>
      <c r="K167" s="87"/>
      <c r="L167" s="87"/>
      <c r="M167" s="87"/>
      <c r="N167" s="87"/>
      <c r="O167" s="87"/>
      <c r="P167" s="87"/>
      <c r="Q167" s="87"/>
      <c r="R167" s="87"/>
      <c r="S167" s="87"/>
      <c r="T167" s="87"/>
      <c r="U167" s="87"/>
      <c r="V167" s="87"/>
      <c r="W167" s="87"/>
      <c r="X167" s="87"/>
      <c r="Y167" s="87"/>
      <c r="Z167" s="87"/>
      <c r="AA167" s="87"/>
    </row>
    <row r="168" spans="8:27">
      <c r="H168" s="87"/>
      <c r="I168" s="87"/>
      <c r="J168" s="87"/>
      <c r="K168" s="87"/>
      <c r="L168" s="87"/>
      <c r="M168" s="87"/>
      <c r="N168" s="87"/>
      <c r="O168" s="87"/>
      <c r="P168" s="87"/>
      <c r="Q168" s="87"/>
      <c r="R168" s="87"/>
      <c r="S168" s="87"/>
      <c r="T168" s="87"/>
      <c r="U168" s="87"/>
      <c r="V168" s="87"/>
      <c r="W168" s="87"/>
      <c r="X168" s="87"/>
      <c r="Y168" s="87"/>
      <c r="Z168" s="87"/>
      <c r="AA168" s="87"/>
    </row>
    <row r="169" spans="8:27">
      <c r="H169" s="87"/>
      <c r="I169" s="87"/>
      <c r="J169" s="87"/>
      <c r="K169" s="87"/>
      <c r="L169" s="87"/>
      <c r="M169" s="87"/>
      <c r="N169" s="87"/>
      <c r="O169" s="87"/>
      <c r="P169" s="87"/>
      <c r="Q169" s="87"/>
      <c r="R169" s="87"/>
      <c r="S169" s="87"/>
      <c r="T169" s="87"/>
      <c r="U169" s="87"/>
      <c r="V169" s="87"/>
      <c r="W169" s="87"/>
      <c r="X169" s="87"/>
      <c r="Y169" s="87"/>
      <c r="Z169" s="87"/>
      <c r="AA169" s="87"/>
    </row>
    <row r="170" spans="8:27">
      <c r="H170" s="87"/>
      <c r="I170" s="87"/>
      <c r="J170" s="87"/>
      <c r="K170" s="87"/>
      <c r="L170" s="87"/>
      <c r="M170" s="87"/>
      <c r="N170" s="87"/>
      <c r="O170" s="87"/>
      <c r="P170" s="87"/>
      <c r="Q170" s="87"/>
      <c r="R170" s="87"/>
      <c r="S170" s="87"/>
      <c r="T170" s="87"/>
      <c r="U170" s="87"/>
      <c r="V170" s="87"/>
      <c r="W170" s="87"/>
      <c r="X170" s="87"/>
      <c r="Y170" s="87"/>
      <c r="Z170" s="87"/>
      <c r="AA170" s="87"/>
    </row>
    <row r="171" spans="8:27">
      <c r="H171" s="87"/>
      <c r="I171" s="87"/>
      <c r="J171" s="87"/>
      <c r="K171" s="87"/>
      <c r="L171" s="87"/>
      <c r="M171" s="87"/>
      <c r="N171" s="87"/>
      <c r="O171" s="87"/>
      <c r="P171" s="87"/>
      <c r="Q171" s="87"/>
      <c r="R171" s="87"/>
      <c r="S171" s="87"/>
      <c r="T171" s="87"/>
      <c r="U171" s="87"/>
      <c r="V171" s="87"/>
      <c r="W171" s="87"/>
      <c r="X171" s="87"/>
      <c r="Y171" s="87"/>
      <c r="Z171" s="87"/>
      <c r="AA171" s="87"/>
    </row>
    <row r="172" spans="8:27">
      <c r="H172" s="87"/>
      <c r="I172" s="87"/>
      <c r="J172" s="87"/>
      <c r="K172" s="87"/>
      <c r="L172" s="87"/>
      <c r="M172" s="87"/>
      <c r="N172" s="87"/>
      <c r="O172" s="87"/>
      <c r="P172" s="87"/>
      <c r="Q172" s="87"/>
      <c r="R172" s="87"/>
      <c r="S172" s="87"/>
      <c r="T172" s="87"/>
      <c r="U172" s="87"/>
      <c r="V172" s="87"/>
      <c r="W172" s="87"/>
      <c r="X172" s="87"/>
      <c r="Y172" s="87"/>
      <c r="Z172" s="87"/>
      <c r="AA172" s="87"/>
    </row>
    <row r="173" spans="8:27">
      <c r="H173" s="87"/>
      <c r="I173" s="87"/>
      <c r="J173" s="87"/>
      <c r="K173" s="87"/>
      <c r="L173" s="87"/>
      <c r="M173" s="87"/>
      <c r="N173" s="87"/>
      <c r="O173" s="87"/>
      <c r="P173" s="87"/>
      <c r="Q173" s="87"/>
      <c r="R173" s="87"/>
      <c r="S173" s="87"/>
      <c r="T173" s="87"/>
      <c r="U173" s="87"/>
      <c r="V173" s="87"/>
      <c r="W173" s="87"/>
      <c r="X173" s="87"/>
      <c r="Y173" s="87"/>
      <c r="Z173" s="87"/>
      <c r="AA173" s="87"/>
    </row>
    <row r="174" spans="8:27">
      <c r="H174" s="87"/>
      <c r="I174" s="87"/>
      <c r="J174" s="87"/>
      <c r="K174" s="87"/>
      <c r="L174" s="87"/>
      <c r="M174" s="87"/>
      <c r="N174" s="87"/>
      <c r="O174" s="87"/>
      <c r="P174" s="87"/>
      <c r="Q174" s="87"/>
      <c r="R174" s="87"/>
      <c r="S174" s="87"/>
      <c r="T174" s="87"/>
      <c r="U174" s="87"/>
      <c r="V174" s="87"/>
      <c r="W174" s="87"/>
      <c r="X174" s="87"/>
      <c r="Y174" s="87"/>
      <c r="Z174" s="87"/>
      <c r="AA174" s="87"/>
    </row>
    <row r="175" spans="8:27">
      <c r="H175" s="87"/>
      <c r="I175" s="87"/>
      <c r="J175" s="87"/>
      <c r="K175" s="87"/>
      <c r="L175" s="87"/>
      <c r="M175" s="87"/>
      <c r="N175" s="87"/>
      <c r="O175" s="87"/>
      <c r="P175" s="87"/>
      <c r="Q175" s="87"/>
      <c r="R175" s="87"/>
      <c r="S175" s="87"/>
      <c r="T175" s="87"/>
      <c r="U175" s="87"/>
      <c r="V175" s="87"/>
      <c r="W175" s="87"/>
      <c r="X175" s="87"/>
      <c r="Y175" s="87"/>
      <c r="Z175" s="87"/>
      <c r="AA175" s="87"/>
    </row>
    <row r="176" spans="8:27">
      <c r="H176" s="87"/>
      <c r="I176" s="87"/>
      <c r="J176" s="87"/>
      <c r="K176" s="87"/>
      <c r="L176" s="87"/>
      <c r="M176" s="87"/>
      <c r="N176" s="87"/>
      <c r="O176" s="87"/>
      <c r="P176" s="87"/>
      <c r="Q176" s="87"/>
      <c r="R176" s="87"/>
      <c r="S176" s="87"/>
      <c r="T176" s="87"/>
      <c r="U176" s="87"/>
      <c r="V176" s="87"/>
      <c r="W176" s="87"/>
      <c r="X176" s="87"/>
      <c r="Y176" s="87"/>
      <c r="Z176" s="87"/>
      <c r="AA176" s="87"/>
    </row>
    <row r="177" spans="8:27">
      <c r="H177" s="87"/>
      <c r="I177" s="87"/>
      <c r="J177" s="87"/>
      <c r="K177" s="87"/>
      <c r="L177" s="87"/>
      <c r="M177" s="87"/>
      <c r="N177" s="87"/>
      <c r="O177" s="87"/>
      <c r="P177" s="87"/>
      <c r="Q177" s="87"/>
      <c r="R177" s="87"/>
      <c r="S177" s="87"/>
      <c r="T177" s="87"/>
      <c r="U177" s="87"/>
      <c r="V177" s="87"/>
      <c r="W177" s="87"/>
      <c r="X177" s="87"/>
      <c r="Y177" s="87"/>
      <c r="Z177" s="87"/>
      <c r="AA177" s="87"/>
    </row>
    <row r="178" spans="8:27">
      <c r="H178" s="87"/>
      <c r="I178" s="87"/>
      <c r="J178" s="87"/>
      <c r="K178" s="87"/>
      <c r="L178" s="87"/>
      <c r="M178" s="87"/>
      <c r="N178" s="87"/>
      <c r="O178" s="87"/>
      <c r="P178" s="87"/>
      <c r="Q178" s="87"/>
      <c r="R178" s="87"/>
      <c r="S178" s="87"/>
      <c r="T178" s="87"/>
      <c r="U178" s="87"/>
      <c r="V178" s="87"/>
      <c r="W178" s="87"/>
      <c r="X178" s="87"/>
      <c r="Y178" s="87"/>
      <c r="Z178" s="87"/>
      <c r="AA178" s="87"/>
    </row>
    <row r="179" spans="8:27">
      <c r="H179" s="87"/>
      <c r="I179" s="87"/>
      <c r="J179" s="87"/>
      <c r="K179" s="87"/>
      <c r="L179" s="87"/>
      <c r="M179" s="87"/>
      <c r="N179" s="87"/>
      <c r="O179" s="87"/>
      <c r="P179" s="87"/>
      <c r="Q179" s="87"/>
      <c r="R179" s="87"/>
      <c r="S179" s="87"/>
      <c r="T179" s="87"/>
      <c r="U179" s="87"/>
      <c r="V179" s="87"/>
      <c r="W179" s="87"/>
      <c r="X179" s="87"/>
      <c r="Y179" s="87"/>
      <c r="Z179" s="87"/>
      <c r="AA179" s="87"/>
    </row>
    <row r="180" spans="8:27">
      <c r="H180" s="87"/>
      <c r="I180" s="87"/>
      <c r="J180" s="87"/>
      <c r="K180" s="87"/>
      <c r="L180" s="87"/>
      <c r="M180" s="87"/>
      <c r="N180" s="87"/>
      <c r="O180" s="87"/>
      <c r="P180" s="87"/>
      <c r="Q180" s="87"/>
      <c r="R180" s="87"/>
      <c r="S180" s="87"/>
      <c r="T180" s="87"/>
      <c r="U180" s="87"/>
      <c r="V180" s="87"/>
      <c r="W180" s="87"/>
      <c r="X180" s="87"/>
      <c r="Y180" s="87"/>
      <c r="Z180" s="87"/>
      <c r="AA180" s="87"/>
    </row>
    <row r="181" spans="8:27">
      <c r="H181" s="87"/>
      <c r="I181" s="87"/>
      <c r="J181" s="87"/>
      <c r="K181" s="87"/>
      <c r="L181" s="87"/>
      <c r="M181" s="87"/>
      <c r="N181" s="87"/>
      <c r="O181" s="87"/>
      <c r="P181" s="87"/>
      <c r="Q181" s="87"/>
      <c r="R181" s="87"/>
      <c r="S181" s="87"/>
      <c r="T181" s="87"/>
      <c r="U181" s="87"/>
      <c r="V181" s="87"/>
      <c r="W181" s="87"/>
      <c r="X181" s="87"/>
      <c r="Y181" s="87"/>
      <c r="Z181" s="87"/>
      <c r="AA181" s="87"/>
    </row>
    <row r="182" spans="8:27">
      <c r="H182" s="87"/>
      <c r="I182" s="87"/>
      <c r="J182" s="87"/>
      <c r="K182" s="87"/>
      <c r="L182" s="87"/>
      <c r="M182" s="87"/>
      <c r="N182" s="87"/>
      <c r="O182" s="87"/>
      <c r="P182" s="87"/>
      <c r="Q182" s="87"/>
      <c r="R182" s="87"/>
      <c r="S182" s="87"/>
      <c r="T182" s="87"/>
      <c r="U182" s="87"/>
      <c r="V182" s="87"/>
      <c r="W182" s="87"/>
      <c r="X182" s="87"/>
      <c r="Y182" s="87"/>
      <c r="Z182" s="87"/>
      <c r="AA182" s="87"/>
    </row>
    <row r="183" spans="8:27">
      <c r="H183" s="87"/>
      <c r="I183" s="87"/>
      <c r="J183" s="87"/>
      <c r="K183" s="87"/>
      <c r="L183" s="87"/>
      <c r="M183" s="87"/>
      <c r="N183" s="87"/>
      <c r="O183" s="87"/>
      <c r="P183" s="87"/>
      <c r="Q183" s="87"/>
      <c r="R183" s="87"/>
      <c r="S183" s="87"/>
      <c r="T183" s="87"/>
      <c r="U183" s="87"/>
      <c r="V183" s="87"/>
      <c r="W183" s="87"/>
      <c r="X183" s="87"/>
      <c r="Y183" s="87"/>
      <c r="Z183" s="87"/>
      <c r="AA183" s="87"/>
    </row>
    <row r="184" spans="8:27">
      <c r="H184" s="87"/>
      <c r="I184" s="87"/>
      <c r="J184" s="87"/>
      <c r="K184" s="87"/>
      <c r="L184" s="87"/>
      <c r="M184" s="87"/>
      <c r="N184" s="87"/>
      <c r="O184" s="87"/>
      <c r="P184" s="87"/>
      <c r="Q184" s="87"/>
      <c r="R184" s="87"/>
      <c r="S184" s="87"/>
      <c r="T184" s="87"/>
      <c r="U184" s="87"/>
      <c r="V184" s="87"/>
      <c r="W184" s="87"/>
      <c r="X184" s="87"/>
      <c r="Y184" s="87"/>
      <c r="Z184" s="87"/>
      <c r="AA184" s="87"/>
    </row>
    <row r="185" spans="8:27">
      <c r="H185" s="87"/>
      <c r="I185" s="87"/>
      <c r="J185" s="87"/>
      <c r="K185" s="87"/>
      <c r="L185" s="87"/>
      <c r="M185" s="87"/>
      <c r="N185" s="87"/>
      <c r="O185" s="87"/>
      <c r="P185" s="87"/>
      <c r="Q185" s="87"/>
      <c r="R185" s="87"/>
      <c r="S185" s="87"/>
      <c r="T185" s="87"/>
      <c r="U185" s="87"/>
      <c r="V185" s="87"/>
      <c r="W185" s="87"/>
      <c r="X185" s="87"/>
      <c r="Y185" s="87"/>
      <c r="Z185" s="87"/>
      <c r="AA185" s="87"/>
    </row>
    <row r="186" spans="8:27">
      <c r="H186" s="87"/>
      <c r="I186" s="87"/>
      <c r="J186" s="87"/>
      <c r="K186" s="87"/>
      <c r="L186" s="87"/>
      <c r="M186" s="87"/>
      <c r="N186" s="87"/>
      <c r="O186" s="87"/>
      <c r="P186" s="87"/>
      <c r="Q186" s="87"/>
      <c r="R186" s="87"/>
      <c r="S186" s="87"/>
      <c r="T186" s="87"/>
      <c r="U186" s="87"/>
      <c r="V186" s="87"/>
      <c r="W186" s="87"/>
      <c r="X186" s="87"/>
      <c r="Y186" s="87"/>
      <c r="Z186" s="87"/>
      <c r="AA186" s="87"/>
    </row>
    <row r="187" spans="8:27">
      <c r="H187" s="87"/>
      <c r="I187" s="87"/>
      <c r="J187" s="87"/>
      <c r="K187" s="87"/>
      <c r="L187" s="87"/>
      <c r="M187" s="87"/>
      <c r="N187" s="87"/>
      <c r="O187" s="87"/>
      <c r="P187" s="87"/>
      <c r="Q187" s="87"/>
      <c r="R187" s="87"/>
      <c r="S187" s="87"/>
      <c r="T187" s="87"/>
      <c r="U187" s="87"/>
      <c r="V187" s="87"/>
      <c r="W187" s="87"/>
      <c r="X187" s="87"/>
      <c r="Y187" s="87"/>
      <c r="Z187" s="87"/>
      <c r="AA187" s="87"/>
    </row>
    <row r="188" spans="8:27">
      <c r="H188" s="87"/>
      <c r="I188" s="87"/>
      <c r="J188" s="87"/>
      <c r="K188" s="87"/>
      <c r="L188" s="87"/>
      <c r="M188" s="87"/>
      <c r="N188" s="87"/>
      <c r="O188" s="87"/>
      <c r="P188" s="87"/>
      <c r="Q188" s="87"/>
      <c r="R188" s="87"/>
      <c r="S188" s="87"/>
      <c r="T188" s="87"/>
      <c r="U188" s="87"/>
      <c r="V188" s="87"/>
      <c r="W188" s="87"/>
      <c r="X188" s="87"/>
      <c r="Y188" s="87"/>
      <c r="Z188" s="87"/>
      <c r="AA188" s="87"/>
    </row>
    <row r="189" spans="8:27">
      <c r="H189" s="87"/>
      <c r="I189" s="87"/>
      <c r="J189" s="87"/>
      <c r="K189" s="87"/>
      <c r="L189" s="87"/>
      <c r="M189" s="87"/>
      <c r="N189" s="87"/>
      <c r="O189" s="87"/>
      <c r="P189" s="87"/>
      <c r="Q189" s="87"/>
      <c r="R189" s="87"/>
      <c r="S189" s="87"/>
      <c r="T189" s="87"/>
      <c r="U189" s="87"/>
      <c r="V189" s="87"/>
      <c r="W189" s="87"/>
      <c r="X189" s="87"/>
      <c r="Y189" s="87"/>
      <c r="Z189" s="87"/>
      <c r="AA189" s="87"/>
    </row>
    <row r="190" spans="8:27">
      <c r="H190" s="87"/>
      <c r="I190" s="87"/>
      <c r="J190" s="87"/>
      <c r="K190" s="87"/>
      <c r="L190" s="87"/>
      <c r="M190" s="87"/>
      <c r="N190" s="87"/>
      <c r="O190" s="87"/>
      <c r="P190" s="87"/>
      <c r="Q190" s="87"/>
      <c r="R190" s="87"/>
      <c r="S190" s="87"/>
      <c r="T190" s="87"/>
      <c r="U190" s="87"/>
      <c r="V190" s="87"/>
      <c r="W190" s="87"/>
      <c r="X190" s="87"/>
      <c r="Y190" s="87"/>
      <c r="Z190" s="87"/>
      <c r="AA190" s="87"/>
    </row>
    <row r="191" spans="8:27">
      <c r="H191" s="87"/>
      <c r="I191" s="87"/>
      <c r="J191" s="87"/>
      <c r="K191" s="87"/>
      <c r="L191" s="87"/>
      <c r="M191" s="87"/>
      <c r="N191" s="87"/>
      <c r="O191" s="87"/>
      <c r="P191" s="87"/>
      <c r="Q191" s="87"/>
      <c r="R191" s="87"/>
      <c r="S191" s="87"/>
      <c r="T191" s="87"/>
      <c r="U191" s="87"/>
      <c r="V191" s="87"/>
      <c r="W191" s="87"/>
      <c r="X191" s="87"/>
      <c r="Y191" s="87"/>
      <c r="Z191" s="87"/>
      <c r="AA191" s="87"/>
    </row>
    <row r="192" spans="8:27">
      <c r="H192" s="87"/>
      <c r="I192" s="87"/>
      <c r="J192" s="87"/>
      <c r="K192" s="87"/>
      <c r="L192" s="87"/>
      <c r="M192" s="87"/>
      <c r="N192" s="87"/>
      <c r="O192" s="87"/>
      <c r="P192" s="87"/>
      <c r="Q192" s="87"/>
      <c r="R192" s="87"/>
      <c r="S192" s="87"/>
      <c r="T192" s="87"/>
      <c r="U192" s="87"/>
      <c r="V192" s="87"/>
      <c r="W192" s="87"/>
      <c r="X192" s="87"/>
      <c r="Y192" s="87"/>
      <c r="Z192" s="87"/>
      <c r="AA192" s="87"/>
    </row>
    <row r="193" spans="8:27">
      <c r="H193" s="87"/>
      <c r="I193" s="87"/>
      <c r="J193" s="87"/>
      <c r="K193" s="87"/>
      <c r="L193" s="87"/>
      <c r="M193" s="87"/>
      <c r="N193" s="87"/>
      <c r="O193" s="87"/>
      <c r="P193" s="87"/>
      <c r="Q193" s="87"/>
      <c r="R193" s="87"/>
      <c r="S193" s="87"/>
      <c r="T193" s="87"/>
      <c r="U193" s="87"/>
      <c r="V193" s="87"/>
      <c r="W193" s="87"/>
      <c r="X193" s="87"/>
      <c r="Y193" s="87"/>
      <c r="Z193" s="87"/>
      <c r="AA193" s="87"/>
    </row>
    <row r="194" spans="8:27">
      <c r="H194" s="87"/>
      <c r="I194" s="87"/>
      <c r="J194" s="87"/>
      <c r="K194" s="87"/>
      <c r="L194" s="87"/>
      <c r="M194" s="87"/>
      <c r="N194" s="87"/>
      <c r="O194" s="87"/>
      <c r="P194" s="87"/>
      <c r="Q194" s="87"/>
      <c r="R194" s="87"/>
      <c r="S194" s="87"/>
      <c r="T194" s="87"/>
      <c r="U194" s="87"/>
      <c r="V194" s="87"/>
      <c r="W194" s="87"/>
      <c r="X194" s="87"/>
      <c r="Y194" s="87"/>
      <c r="Z194" s="87"/>
      <c r="AA194" s="87"/>
    </row>
    <row r="195" spans="8:27">
      <c r="H195" s="87"/>
      <c r="I195" s="87"/>
      <c r="J195" s="87"/>
      <c r="K195" s="87"/>
      <c r="L195" s="87"/>
      <c r="M195" s="87"/>
      <c r="N195" s="87"/>
      <c r="O195" s="87"/>
      <c r="P195" s="87"/>
      <c r="Q195" s="87"/>
      <c r="R195" s="87"/>
      <c r="S195" s="87"/>
      <c r="T195" s="87"/>
      <c r="U195" s="87"/>
      <c r="V195" s="87"/>
      <c r="W195" s="87"/>
      <c r="X195" s="87"/>
      <c r="Y195" s="87"/>
      <c r="Z195" s="87"/>
      <c r="AA195" s="87"/>
    </row>
    <row r="196" spans="8:27">
      <c r="H196" s="87"/>
      <c r="I196" s="87"/>
      <c r="J196" s="87"/>
      <c r="K196" s="87"/>
      <c r="L196" s="87"/>
      <c r="M196" s="87"/>
      <c r="N196" s="87"/>
      <c r="O196" s="87"/>
      <c r="P196" s="87"/>
      <c r="Q196" s="87"/>
      <c r="R196" s="87"/>
      <c r="S196" s="87"/>
      <c r="T196" s="87"/>
      <c r="U196" s="87"/>
      <c r="V196" s="87"/>
      <c r="W196" s="87"/>
      <c r="X196" s="87"/>
      <c r="Y196" s="87"/>
      <c r="Z196" s="87"/>
      <c r="AA196" s="87"/>
    </row>
    <row r="197" spans="8:27">
      <c r="H197" s="87"/>
      <c r="I197" s="87"/>
      <c r="J197" s="87"/>
      <c r="K197" s="87"/>
      <c r="L197" s="87"/>
      <c r="M197" s="87"/>
      <c r="N197" s="87"/>
      <c r="O197" s="87"/>
      <c r="P197" s="87"/>
      <c r="Q197" s="87"/>
      <c r="R197" s="87"/>
      <c r="S197" s="87"/>
      <c r="T197" s="87"/>
      <c r="U197" s="87"/>
      <c r="V197" s="87"/>
      <c r="W197" s="87"/>
      <c r="X197" s="87"/>
      <c r="Y197" s="87"/>
      <c r="Z197" s="87"/>
      <c r="AA197" s="87"/>
    </row>
    <row r="198" spans="8:27">
      <c r="H198" s="87"/>
      <c r="I198" s="87"/>
      <c r="J198" s="87"/>
      <c r="K198" s="87"/>
      <c r="L198" s="87"/>
      <c r="M198" s="87"/>
      <c r="N198" s="87"/>
      <c r="O198" s="87"/>
      <c r="P198" s="87"/>
      <c r="Q198" s="87"/>
      <c r="R198" s="87"/>
      <c r="S198" s="87"/>
      <c r="T198" s="87"/>
      <c r="U198" s="87"/>
      <c r="V198" s="87"/>
      <c r="W198" s="87"/>
      <c r="X198" s="87"/>
      <c r="Y198" s="87"/>
      <c r="Z198" s="87"/>
      <c r="AA198" s="87"/>
    </row>
    <row r="199" spans="8:27">
      <c r="H199" s="87"/>
      <c r="I199" s="87"/>
      <c r="J199" s="87"/>
      <c r="K199" s="87"/>
      <c r="L199" s="87"/>
      <c r="M199" s="87"/>
      <c r="N199" s="87"/>
      <c r="O199" s="87"/>
      <c r="P199" s="87"/>
      <c r="Q199" s="87"/>
      <c r="R199" s="87"/>
      <c r="S199" s="87"/>
      <c r="T199" s="87"/>
      <c r="U199" s="87"/>
      <c r="V199" s="87"/>
      <c r="W199" s="87"/>
      <c r="X199" s="87"/>
      <c r="Y199" s="87"/>
      <c r="Z199" s="87"/>
      <c r="AA199" s="87"/>
    </row>
    <row r="200" spans="8:27">
      <c r="H200" s="87"/>
      <c r="I200" s="87"/>
      <c r="J200" s="87"/>
      <c r="K200" s="87"/>
      <c r="L200" s="87"/>
      <c r="M200" s="87"/>
      <c r="N200" s="87"/>
      <c r="O200" s="87"/>
      <c r="P200" s="87"/>
      <c r="Q200" s="87"/>
      <c r="R200" s="87"/>
      <c r="S200" s="87"/>
      <c r="T200" s="87"/>
      <c r="U200" s="87"/>
      <c r="V200" s="87"/>
      <c r="W200" s="87"/>
      <c r="X200" s="87"/>
      <c r="Y200" s="87"/>
      <c r="Z200" s="87"/>
      <c r="AA200" s="87"/>
    </row>
    <row r="201" spans="8:27">
      <c r="H201" s="87"/>
      <c r="I201" s="87"/>
      <c r="J201" s="87"/>
      <c r="K201" s="87"/>
      <c r="L201" s="87"/>
      <c r="M201" s="87"/>
      <c r="N201" s="87"/>
      <c r="O201" s="87"/>
      <c r="P201" s="87"/>
      <c r="Q201" s="87"/>
      <c r="R201" s="87"/>
      <c r="S201" s="87"/>
      <c r="T201" s="87"/>
      <c r="U201" s="87"/>
      <c r="V201" s="87"/>
      <c r="W201" s="87"/>
      <c r="X201" s="87"/>
      <c r="Y201" s="87"/>
      <c r="Z201" s="87"/>
      <c r="AA201" s="87"/>
    </row>
    <row r="202" spans="8:27">
      <c r="H202" s="87"/>
      <c r="I202" s="87"/>
      <c r="J202" s="87"/>
      <c r="K202" s="87"/>
      <c r="L202" s="87"/>
      <c r="M202" s="87"/>
      <c r="N202" s="87"/>
      <c r="O202" s="87"/>
      <c r="P202" s="87"/>
      <c r="Q202" s="87"/>
      <c r="R202" s="87"/>
      <c r="S202" s="87"/>
      <c r="T202" s="87"/>
      <c r="U202" s="87"/>
      <c r="V202" s="87"/>
      <c r="W202" s="87"/>
      <c r="X202" s="87"/>
      <c r="Y202" s="87"/>
      <c r="Z202" s="87"/>
      <c r="AA202" s="87"/>
    </row>
    <row r="203" spans="8:27">
      <c r="H203" s="87"/>
      <c r="I203" s="87"/>
      <c r="J203" s="87"/>
      <c r="K203" s="87"/>
      <c r="L203" s="87"/>
      <c r="M203" s="87"/>
      <c r="N203" s="87"/>
      <c r="O203" s="87"/>
      <c r="P203" s="87"/>
      <c r="Q203" s="87"/>
      <c r="R203" s="87"/>
      <c r="S203" s="87"/>
      <c r="T203" s="87"/>
      <c r="U203" s="87"/>
      <c r="V203" s="87"/>
      <c r="W203" s="87"/>
      <c r="X203" s="87"/>
      <c r="Y203" s="87"/>
      <c r="Z203" s="87"/>
      <c r="AA203" s="87"/>
    </row>
    <row r="204" spans="8:27">
      <c r="H204" s="87"/>
      <c r="I204" s="87"/>
      <c r="J204" s="87"/>
      <c r="K204" s="87"/>
      <c r="L204" s="87"/>
      <c r="M204" s="87"/>
      <c r="N204" s="87"/>
      <c r="O204" s="87"/>
      <c r="P204" s="87"/>
      <c r="Q204" s="87"/>
      <c r="R204" s="87"/>
      <c r="S204" s="87"/>
      <c r="T204" s="87"/>
      <c r="U204" s="87"/>
      <c r="V204" s="87"/>
      <c r="W204" s="87"/>
      <c r="X204" s="87"/>
      <c r="Y204" s="87"/>
      <c r="Z204" s="87"/>
      <c r="AA204" s="87"/>
    </row>
    <row r="205" spans="8:27">
      <c r="H205" s="87"/>
      <c r="I205" s="87"/>
      <c r="J205" s="87"/>
      <c r="K205" s="87"/>
      <c r="L205" s="87"/>
      <c r="M205" s="87"/>
      <c r="N205" s="87"/>
      <c r="O205" s="87"/>
      <c r="P205" s="87"/>
      <c r="Q205" s="87"/>
      <c r="R205" s="87"/>
      <c r="S205" s="87"/>
      <c r="T205" s="87"/>
      <c r="U205" s="87"/>
      <c r="V205" s="87"/>
      <c r="W205" s="87"/>
      <c r="X205" s="87"/>
      <c r="Y205" s="87"/>
      <c r="Z205" s="87"/>
      <c r="AA205" s="87"/>
    </row>
    <row r="206" spans="8:27">
      <c r="H206" s="87"/>
      <c r="I206" s="87"/>
      <c r="J206" s="87"/>
      <c r="K206" s="87"/>
      <c r="L206" s="87"/>
      <c r="M206" s="87"/>
      <c r="N206" s="87"/>
      <c r="O206" s="87"/>
      <c r="P206" s="87"/>
      <c r="Q206" s="87"/>
      <c r="R206" s="87"/>
      <c r="S206" s="87"/>
      <c r="T206" s="87"/>
      <c r="U206" s="87"/>
      <c r="V206" s="87"/>
      <c r="W206" s="87"/>
      <c r="X206" s="87"/>
      <c r="Y206" s="87"/>
      <c r="Z206" s="87"/>
      <c r="AA206" s="87"/>
    </row>
    <row r="207" spans="8:27">
      <c r="H207" s="87"/>
      <c r="I207" s="87"/>
      <c r="J207" s="87"/>
      <c r="K207" s="87"/>
      <c r="L207" s="87"/>
      <c r="M207" s="87"/>
      <c r="N207" s="87"/>
      <c r="O207" s="87"/>
      <c r="P207" s="87"/>
      <c r="Q207" s="87"/>
      <c r="R207" s="87"/>
      <c r="S207" s="87"/>
      <c r="T207" s="87"/>
      <c r="U207" s="87"/>
      <c r="V207" s="87"/>
      <c r="W207" s="87"/>
      <c r="X207" s="87"/>
      <c r="Y207" s="87"/>
      <c r="Z207" s="87"/>
      <c r="AA207" s="87"/>
    </row>
    <row r="208" spans="8:27">
      <c r="H208" s="87"/>
      <c r="I208" s="87"/>
      <c r="J208" s="87"/>
      <c r="K208" s="87"/>
      <c r="L208" s="87"/>
      <c r="M208" s="87"/>
      <c r="N208" s="87"/>
      <c r="O208" s="87"/>
      <c r="P208" s="87"/>
      <c r="Q208" s="87"/>
      <c r="R208" s="87"/>
      <c r="S208" s="87"/>
      <c r="T208" s="87"/>
      <c r="U208" s="87"/>
      <c r="V208" s="87"/>
      <c r="W208" s="87"/>
      <c r="X208" s="87"/>
      <c r="Y208" s="87"/>
      <c r="Z208" s="87"/>
      <c r="AA208" s="87"/>
    </row>
    <row r="209" spans="8:27">
      <c r="H209" s="87"/>
      <c r="I209" s="87"/>
      <c r="J209" s="87"/>
      <c r="K209" s="87"/>
      <c r="L209" s="87"/>
      <c r="M209" s="87"/>
      <c r="N209" s="87"/>
      <c r="O209" s="87"/>
      <c r="P209" s="87"/>
      <c r="Q209" s="87"/>
      <c r="R209" s="87"/>
      <c r="S209" s="87"/>
      <c r="T209" s="87"/>
      <c r="U209" s="87"/>
      <c r="V209" s="87"/>
      <c r="W209" s="87"/>
      <c r="X209" s="87"/>
      <c r="Y209" s="87"/>
      <c r="Z209" s="87"/>
      <c r="AA209" s="87"/>
    </row>
    <row r="210" spans="8:27">
      <c r="H210" s="87"/>
      <c r="I210" s="87"/>
      <c r="J210" s="87"/>
      <c r="K210" s="87"/>
      <c r="L210" s="87"/>
      <c r="M210" s="87"/>
      <c r="N210" s="87"/>
      <c r="O210" s="87"/>
      <c r="P210" s="87"/>
      <c r="Q210" s="87"/>
      <c r="R210" s="87"/>
      <c r="S210" s="87"/>
      <c r="T210" s="87"/>
      <c r="U210" s="87"/>
      <c r="V210" s="87"/>
      <c r="W210" s="87"/>
      <c r="X210" s="87"/>
      <c r="Y210" s="87"/>
      <c r="Z210" s="87"/>
      <c r="AA210" s="87"/>
    </row>
    <row r="211" spans="8:27">
      <c r="H211" s="87"/>
      <c r="I211" s="87"/>
      <c r="J211" s="87"/>
      <c r="K211" s="87"/>
      <c r="L211" s="87"/>
      <c r="M211" s="87"/>
      <c r="N211" s="87"/>
      <c r="O211" s="87"/>
      <c r="P211" s="87"/>
      <c r="Q211" s="87"/>
      <c r="R211" s="87"/>
      <c r="S211" s="87"/>
      <c r="T211" s="87"/>
      <c r="U211" s="87"/>
      <c r="V211" s="87"/>
      <c r="W211" s="87"/>
      <c r="X211" s="87"/>
      <c r="Y211" s="87"/>
      <c r="Z211" s="87"/>
      <c r="AA211" s="87"/>
    </row>
    <row r="212" spans="8:27">
      <c r="H212" s="87"/>
      <c r="I212" s="87"/>
      <c r="J212" s="87"/>
      <c r="K212" s="87"/>
      <c r="L212" s="87"/>
      <c r="M212" s="87"/>
      <c r="N212" s="87"/>
      <c r="O212" s="87"/>
      <c r="P212" s="87"/>
      <c r="Q212" s="87"/>
      <c r="R212" s="87"/>
      <c r="S212" s="87"/>
      <c r="T212" s="87"/>
      <c r="U212" s="87"/>
      <c r="V212" s="87"/>
      <c r="W212" s="87"/>
      <c r="X212" s="87"/>
      <c r="Y212" s="87"/>
      <c r="Z212" s="87"/>
      <c r="AA212" s="87"/>
    </row>
    <row r="213" spans="8:27">
      <c r="H213" s="87"/>
      <c r="I213" s="87"/>
      <c r="J213" s="87"/>
      <c r="K213" s="87"/>
      <c r="L213" s="87"/>
      <c r="M213" s="87"/>
      <c r="N213" s="87"/>
      <c r="O213" s="87"/>
      <c r="P213" s="87"/>
      <c r="Q213" s="87"/>
      <c r="R213" s="87"/>
      <c r="S213" s="87"/>
      <c r="T213" s="87"/>
      <c r="U213" s="87"/>
      <c r="V213" s="87"/>
      <c r="W213" s="87"/>
      <c r="X213" s="87"/>
      <c r="Y213" s="87"/>
      <c r="Z213" s="87"/>
      <c r="AA213" s="87"/>
    </row>
    <row r="214" spans="8:27">
      <c r="H214" s="87"/>
      <c r="I214" s="87"/>
      <c r="J214" s="87"/>
      <c r="K214" s="87"/>
      <c r="L214" s="87"/>
      <c r="M214" s="87"/>
      <c r="N214" s="87"/>
      <c r="O214" s="87"/>
      <c r="P214" s="87"/>
      <c r="Q214" s="87"/>
      <c r="R214" s="87"/>
      <c r="S214" s="87"/>
      <c r="T214" s="87"/>
      <c r="U214" s="87"/>
      <c r="V214" s="87"/>
      <c r="W214" s="87"/>
      <c r="X214" s="87"/>
      <c r="Y214" s="87"/>
      <c r="Z214" s="87"/>
      <c r="AA214" s="87"/>
    </row>
    <row r="215" spans="8:27">
      <c r="H215" s="87"/>
      <c r="I215" s="87"/>
      <c r="J215" s="87"/>
      <c r="K215" s="87"/>
      <c r="L215" s="87"/>
      <c r="M215" s="87"/>
      <c r="N215" s="87"/>
      <c r="O215" s="87"/>
      <c r="P215" s="87"/>
      <c r="Q215" s="87"/>
      <c r="R215" s="87"/>
      <c r="S215" s="87"/>
      <c r="T215" s="87"/>
      <c r="U215" s="87"/>
      <c r="V215" s="87"/>
      <c r="W215" s="87"/>
      <c r="X215" s="87"/>
      <c r="Y215" s="87"/>
      <c r="Z215" s="87"/>
      <c r="AA215" s="87"/>
    </row>
    <row r="216" spans="8:27">
      <c r="H216" s="87"/>
      <c r="I216" s="87"/>
      <c r="J216" s="87"/>
      <c r="K216" s="87"/>
      <c r="L216" s="87"/>
      <c r="M216" s="87"/>
      <c r="N216" s="87"/>
      <c r="O216" s="87"/>
      <c r="P216" s="87"/>
      <c r="Q216" s="87"/>
      <c r="R216" s="87"/>
      <c r="S216" s="87"/>
      <c r="T216" s="87"/>
      <c r="U216" s="87"/>
      <c r="V216" s="87"/>
      <c r="W216" s="87"/>
      <c r="X216" s="87"/>
      <c r="Y216" s="87"/>
      <c r="Z216" s="87"/>
      <c r="AA216" s="87"/>
    </row>
    <row r="217" spans="8:27">
      <c r="H217" s="87"/>
      <c r="I217" s="87"/>
      <c r="J217" s="87"/>
      <c r="K217" s="87"/>
      <c r="L217" s="87"/>
      <c r="M217" s="87"/>
      <c r="N217" s="87"/>
      <c r="O217" s="87"/>
      <c r="P217" s="87"/>
      <c r="Q217" s="87"/>
      <c r="R217" s="87"/>
      <c r="S217" s="87"/>
      <c r="T217" s="87"/>
      <c r="U217" s="87"/>
      <c r="V217" s="87"/>
      <c r="W217" s="87"/>
      <c r="X217" s="87"/>
      <c r="Y217" s="87"/>
      <c r="Z217" s="87"/>
      <c r="AA217" s="87"/>
    </row>
    <row r="218" spans="8:27">
      <c r="H218" s="87"/>
      <c r="I218" s="87"/>
      <c r="J218" s="87"/>
      <c r="K218" s="87"/>
      <c r="L218" s="87"/>
      <c r="M218" s="87"/>
      <c r="N218" s="87"/>
      <c r="O218" s="87"/>
      <c r="P218" s="87"/>
      <c r="Q218" s="87"/>
      <c r="R218" s="87"/>
      <c r="S218" s="87"/>
      <c r="T218" s="87"/>
      <c r="U218" s="87"/>
      <c r="V218" s="87"/>
      <c r="W218" s="87"/>
      <c r="X218" s="87"/>
      <c r="Y218" s="87"/>
      <c r="Z218" s="87"/>
      <c r="AA218" s="87"/>
    </row>
    <row r="219" spans="8:27">
      <c r="H219" s="87"/>
      <c r="I219" s="87"/>
      <c r="J219" s="87"/>
      <c r="K219" s="87"/>
      <c r="L219" s="87"/>
      <c r="M219" s="87"/>
      <c r="N219" s="87"/>
      <c r="O219" s="87"/>
      <c r="P219" s="87"/>
      <c r="Q219" s="87"/>
      <c r="R219" s="87"/>
      <c r="S219" s="87"/>
      <c r="T219" s="87"/>
      <c r="U219" s="87"/>
      <c r="V219" s="87"/>
      <c r="W219" s="87"/>
      <c r="X219" s="87"/>
      <c r="Y219" s="87"/>
      <c r="Z219" s="87"/>
      <c r="AA219" s="87"/>
    </row>
    <row r="220" spans="8:27">
      <c r="H220" s="87"/>
      <c r="I220" s="87"/>
      <c r="J220" s="87"/>
      <c r="K220" s="87"/>
      <c r="L220" s="87"/>
      <c r="M220" s="87"/>
      <c r="N220" s="87"/>
      <c r="O220" s="87"/>
      <c r="P220" s="87"/>
      <c r="Q220" s="87"/>
      <c r="R220" s="87"/>
      <c r="S220" s="87"/>
      <c r="T220" s="87"/>
      <c r="U220" s="87"/>
      <c r="V220" s="87"/>
      <c r="W220" s="87"/>
      <c r="X220" s="87"/>
      <c r="Y220" s="87"/>
      <c r="Z220" s="87"/>
      <c r="AA220" s="87"/>
    </row>
    <row r="221" spans="8:27">
      <c r="H221" s="87"/>
      <c r="I221" s="87"/>
      <c r="J221" s="87"/>
      <c r="K221" s="87"/>
      <c r="L221" s="87"/>
      <c r="M221" s="87"/>
      <c r="N221" s="87"/>
      <c r="O221" s="87"/>
      <c r="P221" s="87"/>
      <c r="Q221" s="87"/>
      <c r="R221" s="87"/>
      <c r="S221" s="87"/>
      <c r="T221" s="87"/>
      <c r="U221" s="87"/>
      <c r="V221" s="87"/>
      <c r="W221" s="87"/>
      <c r="X221" s="87"/>
      <c r="Y221" s="87"/>
      <c r="Z221" s="87"/>
      <c r="AA221" s="87"/>
    </row>
    <row r="222" spans="8:27">
      <c r="H222" s="87"/>
      <c r="I222" s="87"/>
      <c r="J222" s="87"/>
      <c r="K222" s="87"/>
      <c r="L222" s="87"/>
      <c r="M222" s="87"/>
      <c r="N222" s="87"/>
      <c r="O222" s="87"/>
      <c r="P222" s="87"/>
      <c r="Q222" s="87"/>
      <c r="R222" s="87"/>
      <c r="S222" s="87"/>
      <c r="T222" s="87"/>
      <c r="U222" s="87"/>
      <c r="V222" s="87"/>
      <c r="W222" s="87"/>
      <c r="X222" s="87"/>
      <c r="Y222" s="87"/>
      <c r="Z222" s="87"/>
      <c r="AA222" s="87"/>
    </row>
    <row r="223" spans="8:27">
      <c r="H223" s="87"/>
      <c r="I223" s="87"/>
      <c r="J223" s="87"/>
      <c r="K223" s="87"/>
      <c r="L223" s="87"/>
      <c r="M223" s="87"/>
      <c r="N223" s="87"/>
      <c r="O223" s="87"/>
      <c r="P223" s="87"/>
      <c r="Q223" s="87"/>
      <c r="R223" s="87"/>
      <c r="S223" s="87"/>
      <c r="T223" s="87"/>
      <c r="U223" s="87"/>
      <c r="V223" s="87"/>
      <c r="W223" s="87"/>
      <c r="X223" s="87"/>
      <c r="Y223" s="87"/>
      <c r="Z223" s="87"/>
      <c r="AA223" s="87"/>
    </row>
    <row r="224" spans="8:27">
      <c r="H224" s="87"/>
      <c r="I224" s="87"/>
      <c r="J224" s="87"/>
      <c r="K224" s="87"/>
      <c r="L224" s="87"/>
      <c r="M224" s="87"/>
      <c r="N224" s="87"/>
      <c r="O224" s="87"/>
      <c r="P224" s="87"/>
      <c r="Q224" s="87"/>
      <c r="R224" s="87"/>
      <c r="S224" s="87"/>
      <c r="T224" s="87"/>
      <c r="U224" s="87"/>
      <c r="V224" s="87"/>
      <c r="W224" s="87"/>
      <c r="X224" s="87"/>
      <c r="Y224" s="87"/>
      <c r="Z224" s="87"/>
      <c r="AA224" s="87"/>
    </row>
    <row r="225" spans="8:27">
      <c r="H225" s="87"/>
      <c r="I225" s="87"/>
      <c r="J225" s="87"/>
      <c r="K225" s="87"/>
      <c r="L225" s="87"/>
      <c r="M225" s="87"/>
      <c r="N225" s="87"/>
      <c r="O225" s="87"/>
      <c r="P225" s="87"/>
      <c r="Q225" s="87"/>
      <c r="R225" s="87"/>
      <c r="S225" s="87"/>
      <c r="T225" s="87"/>
      <c r="U225" s="87"/>
      <c r="V225" s="87"/>
      <c r="W225" s="87"/>
      <c r="X225" s="87"/>
      <c r="Y225" s="87"/>
      <c r="Z225" s="87"/>
      <c r="AA225" s="87"/>
    </row>
    <row r="226" spans="8:27">
      <c r="H226" s="87"/>
      <c r="I226" s="87"/>
      <c r="J226" s="87"/>
      <c r="K226" s="87"/>
      <c r="L226" s="87"/>
      <c r="M226" s="87"/>
      <c r="N226" s="87"/>
      <c r="O226" s="87"/>
      <c r="P226" s="87"/>
      <c r="Q226" s="87"/>
      <c r="R226" s="87"/>
      <c r="S226" s="87"/>
      <c r="T226" s="87"/>
      <c r="U226" s="87"/>
      <c r="V226" s="87"/>
      <c r="W226" s="87"/>
      <c r="X226" s="87"/>
      <c r="Y226" s="87"/>
      <c r="Z226" s="87"/>
      <c r="AA226" s="87"/>
    </row>
    <row r="227" spans="8:27">
      <c r="H227" s="87"/>
      <c r="I227" s="87"/>
      <c r="J227" s="87"/>
      <c r="K227" s="87"/>
      <c r="L227" s="87"/>
      <c r="M227" s="87"/>
      <c r="N227" s="87"/>
      <c r="O227" s="87"/>
      <c r="P227" s="87"/>
      <c r="Q227" s="87"/>
      <c r="R227" s="87"/>
      <c r="S227" s="87"/>
      <c r="T227" s="87"/>
      <c r="U227" s="87"/>
      <c r="V227" s="87"/>
      <c r="W227" s="87"/>
      <c r="X227" s="87"/>
      <c r="Y227" s="87"/>
      <c r="Z227" s="87"/>
      <c r="AA227" s="87"/>
    </row>
    <row r="228" spans="8:27">
      <c r="H228" s="87"/>
      <c r="I228" s="87"/>
      <c r="J228" s="87"/>
      <c r="K228" s="87"/>
      <c r="L228" s="87"/>
      <c r="M228" s="87"/>
      <c r="N228" s="87"/>
      <c r="O228" s="87"/>
      <c r="P228" s="87"/>
      <c r="Q228" s="87"/>
      <c r="R228" s="87"/>
      <c r="S228" s="87"/>
      <c r="T228" s="87"/>
      <c r="U228" s="87"/>
      <c r="V228" s="87"/>
      <c r="W228" s="87"/>
      <c r="X228" s="87"/>
      <c r="Y228" s="87"/>
      <c r="Z228" s="87"/>
      <c r="AA228" s="87"/>
    </row>
    <row r="229" spans="8:27">
      <c r="H229" s="87"/>
      <c r="I229" s="87"/>
      <c r="J229" s="87"/>
      <c r="K229" s="87"/>
      <c r="L229" s="87"/>
      <c r="M229" s="87"/>
      <c r="N229" s="87"/>
      <c r="O229" s="87"/>
      <c r="P229" s="87"/>
      <c r="Q229" s="87"/>
      <c r="R229" s="87"/>
      <c r="S229" s="87"/>
      <c r="T229" s="87"/>
      <c r="U229" s="87"/>
      <c r="V229" s="87"/>
      <c r="W229" s="87"/>
      <c r="X229" s="87"/>
      <c r="Y229" s="87"/>
      <c r="Z229" s="87"/>
      <c r="AA229" s="87"/>
    </row>
    <row r="230" spans="8:27">
      <c r="H230" s="87"/>
      <c r="I230" s="87"/>
      <c r="J230" s="87"/>
      <c r="K230" s="87"/>
      <c r="L230" s="87"/>
      <c r="M230" s="87"/>
      <c r="N230" s="87"/>
      <c r="O230" s="87"/>
      <c r="P230" s="87"/>
      <c r="Q230" s="87"/>
      <c r="R230" s="87"/>
      <c r="S230" s="87"/>
      <c r="T230" s="87"/>
      <c r="U230" s="87"/>
      <c r="V230" s="87"/>
      <c r="W230" s="87"/>
      <c r="X230" s="87"/>
      <c r="Y230" s="87"/>
      <c r="Z230" s="87"/>
      <c r="AA230" s="87"/>
    </row>
    <row r="231" spans="8:27">
      <c r="H231" s="87"/>
      <c r="I231" s="87"/>
      <c r="J231" s="87"/>
      <c r="K231" s="87"/>
      <c r="L231" s="87"/>
      <c r="M231" s="87"/>
      <c r="N231" s="87"/>
      <c r="O231" s="87"/>
      <c r="P231" s="87"/>
      <c r="Q231" s="87"/>
      <c r="R231" s="87"/>
      <c r="S231" s="87"/>
      <c r="T231" s="87"/>
      <c r="U231" s="87"/>
      <c r="V231" s="87"/>
      <c r="W231" s="87"/>
      <c r="X231" s="87"/>
      <c r="Y231" s="87"/>
      <c r="Z231" s="87"/>
      <c r="AA231" s="87"/>
    </row>
    <row r="232" spans="8:27">
      <c r="H232" s="87"/>
      <c r="I232" s="87"/>
      <c r="J232" s="87"/>
      <c r="K232" s="87"/>
      <c r="L232" s="87"/>
      <c r="M232" s="87"/>
      <c r="N232" s="87"/>
      <c r="O232" s="87"/>
      <c r="P232" s="87"/>
      <c r="Q232" s="87"/>
      <c r="R232" s="87"/>
      <c r="S232" s="87"/>
      <c r="T232" s="87"/>
      <c r="U232" s="87"/>
      <c r="V232" s="87"/>
      <c r="W232" s="87"/>
      <c r="X232" s="87"/>
      <c r="Y232" s="87"/>
      <c r="Z232" s="87"/>
      <c r="AA232" s="87"/>
    </row>
    <row r="233" spans="8:27">
      <c r="H233" s="87"/>
      <c r="I233" s="87"/>
      <c r="J233" s="87"/>
      <c r="K233" s="87"/>
      <c r="L233" s="87"/>
      <c r="M233" s="87"/>
      <c r="N233" s="87"/>
      <c r="O233" s="87"/>
      <c r="P233" s="87"/>
      <c r="Q233" s="87"/>
      <c r="R233" s="87"/>
      <c r="S233" s="87"/>
      <c r="T233" s="87"/>
      <c r="U233" s="87"/>
      <c r="V233" s="87"/>
      <c r="W233" s="87"/>
      <c r="X233" s="87"/>
      <c r="Y233" s="87"/>
      <c r="Z233" s="87"/>
      <c r="AA233" s="87"/>
    </row>
    <row r="234" spans="8:27">
      <c r="H234" s="87"/>
      <c r="I234" s="87"/>
      <c r="J234" s="87"/>
      <c r="K234" s="87"/>
      <c r="L234" s="87"/>
      <c r="M234" s="87"/>
      <c r="N234" s="87"/>
      <c r="O234" s="87"/>
      <c r="P234" s="87"/>
      <c r="Q234" s="87"/>
      <c r="R234" s="87"/>
      <c r="S234" s="87"/>
      <c r="T234" s="87"/>
      <c r="U234" s="87"/>
      <c r="V234" s="87"/>
      <c r="W234" s="87"/>
      <c r="X234" s="87"/>
      <c r="Y234" s="87"/>
      <c r="Z234" s="87"/>
      <c r="AA234" s="87"/>
    </row>
    <row r="235" spans="8:27">
      <c r="H235" s="87"/>
      <c r="I235" s="87"/>
      <c r="J235" s="87"/>
      <c r="K235" s="87"/>
      <c r="L235" s="87"/>
      <c r="M235" s="87"/>
      <c r="N235" s="87"/>
      <c r="O235" s="87"/>
      <c r="P235" s="87"/>
      <c r="Q235" s="87"/>
      <c r="R235" s="87"/>
      <c r="S235" s="87"/>
      <c r="T235" s="87"/>
      <c r="U235" s="87"/>
      <c r="V235" s="87"/>
      <c r="W235" s="87"/>
      <c r="X235" s="87"/>
      <c r="Y235" s="87"/>
      <c r="Z235" s="87"/>
      <c r="AA235" s="87"/>
    </row>
    <row r="236" spans="8:27">
      <c r="H236" s="87"/>
      <c r="I236" s="87"/>
      <c r="J236" s="87"/>
      <c r="K236" s="87"/>
      <c r="L236" s="87"/>
      <c r="M236" s="87"/>
      <c r="N236" s="87"/>
      <c r="O236" s="87"/>
      <c r="P236" s="87"/>
      <c r="Q236" s="87"/>
      <c r="R236" s="87"/>
      <c r="S236" s="87"/>
      <c r="T236" s="87"/>
      <c r="U236" s="87"/>
      <c r="V236" s="87"/>
      <c r="W236" s="87"/>
      <c r="X236" s="87"/>
      <c r="Y236" s="87"/>
      <c r="Z236" s="87"/>
      <c r="AA236" s="87"/>
    </row>
    <row r="237" spans="8:27">
      <c r="H237" s="87"/>
      <c r="I237" s="87"/>
      <c r="J237" s="87"/>
      <c r="K237" s="87"/>
      <c r="L237" s="87"/>
      <c r="M237" s="87"/>
      <c r="N237" s="87"/>
      <c r="O237" s="87"/>
      <c r="P237" s="87"/>
      <c r="Q237" s="87"/>
      <c r="R237" s="87"/>
      <c r="S237" s="87"/>
      <c r="T237" s="87"/>
      <c r="U237" s="87"/>
      <c r="V237" s="87"/>
      <c r="W237" s="87"/>
      <c r="X237" s="87"/>
      <c r="Y237" s="87"/>
      <c r="Z237" s="87"/>
      <c r="AA237" s="87"/>
    </row>
    <row r="238" spans="8:27">
      <c r="H238" s="87"/>
      <c r="I238" s="87"/>
      <c r="J238" s="87"/>
      <c r="K238" s="87"/>
      <c r="L238" s="87"/>
      <c r="M238" s="87"/>
      <c r="N238" s="87"/>
      <c r="O238" s="87"/>
      <c r="P238" s="87"/>
      <c r="Q238" s="87"/>
      <c r="R238" s="87"/>
      <c r="S238" s="87"/>
      <c r="T238" s="87"/>
      <c r="U238" s="87"/>
      <c r="V238" s="87"/>
      <c r="W238" s="87"/>
      <c r="X238" s="87"/>
      <c r="Y238" s="87"/>
      <c r="Z238" s="87"/>
      <c r="AA238" s="87"/>
    </row>
    <row r="239" spans="8:27">
      <c r="H239" s="87"/>
      <c r="I239" s="87"/>
      <c r="J239" s="87"/>
      <c r="K239" s="87"/>
      <c r="L239" s="87"/>
      <c r="M239" s="87"/>
      <c r="N239" s="87"/>
      <c r="O239" s="87"/>
      <c r="P239" s="87"/>
      <c r="Q239" s="87"/>
      <c r="R239" s="87"/>
      <c r="S239" s="87"/>
      <c r="T239" s="87"/>
      <c r="U239" s="87"/>
      <c r="V239" s="87"/>
      <c r="W239" s="87"/>
      <c r="X239" s="87"/>
      <c r="Y239" s="87"/>
      <c r="Z239" s="87"/>
      <c r="AA239" s="87"/>
    </row>
    <row r="240" spans="8:27">
      <c r="H240" s="87"/>
      <c r="I240" s="87"/>
      <c r="J240" s="87"/>
      <c r="K240" s="87"/>
      <c r="L240" s="87"/>
      <c r="M240" s="87"/>
      <c r="N240" s="87"/>
      <c r="O240" s="87"/>
      <c r="P240" s="87"/>
      <c r="Q240" s="87"/>
      <c r="R240" s="87"/>
      <c r="S240" s="87"/>
      <c r="T240" s="87"/>
      <c r="U240" s="87"/>
      <c r="V240" s="87"/>
      <c r="W240" s="87"/>
      <c r="X240" s="87"/>
      <c r="Y240" s="87"/>
      <c r="Z240" s="87"/>
      <c r="AA240" s="87"/>
    </row>
    <row r="241" spans="8:27">
      <c r="H241" s="87"/>
      <c r="I241" s="87"/>
      <c r="J241" s="87"/>
      <c r="K241" s="87"/>
      <c r="L241" s="87"/>
      <c r="M241" s="87"/>
      <c r="N241" s="87"/>
      <c r="O241" s="87"/>
      <c r="P241" s="87"/>
      <c r="Q241" s="87"/>
      <c r="R241" s="87"/>
      <c r="S241" s="87"/>
      <c r="T241" s="87"/>
      <c r="U241" s="87"/>
      <c r="V241" s="87"/>
      <c r="W241" s="87"/>
      <c r="X241" s="87"/>
      <c r="Y241" s="87"/>
      <c r="Z241" s="87"/>
      <c r="AA241" s="87"/>
    </row>
    <row r="242" spans="8:27">
      <c r="H242" s="87"/>
      <c r="I242" s="87"/>
      <c r="J242" s="87"/>
      <c r="K242" s="87"/>
      <c r="L242" s="87"/>
      <c r="M242" s="87"/>
      <c r="N242" s="87"/>
      <c r="O242" s="87"/>
      <c r="P242" s="87"/>
      <c r="Q242" s="87"/>
      <c r="R242" s="87"/>
      <c r="S242" s="87"/>
      <c r="T242" s="87"/>
      <c r="U242" s="87"/>
      <c r="V242" s="87"/>
      <c r="W242" s="87"/>
      <c r="X242" s="87"/>
      <c r="Y242" s="87"/>
      <c r="Z242" s="87"/>
      <c r="AA242" s="87"/>
    </row>
    <row r="243" spans="8:27">
      <c r="H243" s="87"/>
      <c r="I243" s="87"/>
      <c r="J243" s="87"/>
      <c r="K243" s="87"/>
      <c r="L243" s="87"/>
      <c r="M243" s="87"/>
      <c r="N243" s="87"/>
      <c r="O243" s="87"/>
      <c r="P243" s="87"/>
      <c r="Q243" s="87"/>
      <c r="R243" s="87"/>
      <c r="S243" s="87"/>
      <c r="T243" s="87"/>
      <c r="U243" s="87"/>
      <c r="V243" s="87"/>
      <c r="W243" s="87"/>
      <c r="X243" s="87"/>
      <c r="Y243" s="87"/>
      <c r="Z243" s="87"/>
      <c r="AA243" s="87"/>
    </row>
    <row r="244" spans="8:27">
      <c r="H244" s="87"/>
      <c r="I244" s="87"/>
      <c r="J244" s="87"/>
      <c r="K244" s="87"/>
      <c r="L244" s="87"/>
      <c r="M244" s="87"/>
      <c r="N244" s="87"/>
      <c r="O244" s="87"/>
      <c r="P244" s="87"/>
      <c r="Q244" s="87"/>
      <c r="R244" s="87"/>
      <c r="S244" s="87"/>
      <c r="T244" s="87"/>
      <c r="U244" s="87"/>
      <c r="V244" s="87"/>
      <c r="W244" s="87"/>
      <c r="X244" s="87"/>
      <c r="Y244" s="87"/>
      <c r="Z244" s="87"/>
      <c r="AA244" s="87"/>
    </row>
    <row r="245" spans="8:27">
      <c r="H245" s="87"/>
      <c r="I245" s="87"/>
      <c r="J245" s="87"/>
      <c r="K245" s="87"/>
      <c r="L245" s="87"/>
      <c r="M245" s="87"/>
      <c r="N245" s="87"/>
      <c r="O245" s="87"/>
      <c r="P245" s="87"/>
      <c r="Q245" s="87"/>
      <c r="R245" s="87"/>
      <c r="S245" s="87"/>
      <c r="T245" s="87"/>
      <c r="U245" s="87"/>
      <c r="V245" s="87"/>
      <c r="W245" s="87"/>
      <c r="X245" s="87"/>
      <c r="Y245" s="87"/>
      <c r="Z245" s="87"/>
      <c r="AA245" s="87"/>
    </row>
    <row r="246" spans="8:27">
      <c r="H246" s="87"/>
      <c r="I246" s="87"/>
      <c r="J246" s="87"/>
      <c r="K246" s="87"/>
      <c r="L246" s="87"/>
      <c r="M246" s="87"/>
      <c r="N246" s="87"/>
      <c r="O246" s="87"/>
      <c r="P246" s="87"/>
      <c r="Q246" s="87"/>
      <c r="R246" s="87"/>
      <c r="S246" s="87"/>
      <c r="T246" s="87"/>
      <c r="U246" s="87"/>
      <c r="V246" s="87"/>
      <c r="W246" s="87"/>
      <c r="X246" s="87"/>
      <c r="Y246" s="87"/>
      <c r="Z246" s="87"/>
      <c r="AA246" s="87"/>
    </row>
    <row r="247" spans="8:27">
      <c r="H247" s="87"/>
      <c r="I247" s="87"/>
      <c r="J247" s="87"/>
      <c r="K247" s="87"/>
      <c r="L247" s="87"/>
      <c r="M247" s="87"/>
      <c r="N247" s="87"/>
      <c r="O247" s="87"/>
      <c r="P247" s="87"/>
      <c r="Q247" s="87"/>
      <c r="R247" s="87"/>
      <c r="S247" s="87"/>
      <c r="T247" s="87"/>
      <c r="U247" s="87"/>
      <c r="V247" s="87"/>
      <c r="W247" s="87"/>
      <c r="X247" s="87"/>
      <c r="Y247" s="87"/>
      <c r="Z247" s="87"/>
      <c r="AA247" s="87"/>
    </row>
    <row r="248" spans="8:27">
      <c r="H248" s="87"/>
      <c r="I248" s="87"/>
      <c r="J248" s="87"/>
      <c r="K248" s="87"/>
      <c r="L248" s="87"/>
      <c r="M248" s="87"/>
      <c r="N248" s="87"/>
      <c r="O248" s="87"/>
      <c r="P248" s="87"/>
      <c r="Q248" s="87"/>
      <c r="R248" s="87"/>
      <c r="S248" s="87"/>
      <c r="T248" s="87"/>
      <c r="U248" s="87"/>
      <c r="V248" s="87"/>
      <c r="W248" s="87"/>
      <c r="X248" s="87"/>
      <c r="Y248" s="87"/>
      <c r="Z248" s="87"/>
      <c r="AA248" s="87"/>
    </row>
    <row r="249" spans="8:27">
      <c r="H249" s="87"/>
      <c r="I249" s="87"/>
      <c r="J249" s="87"/>
      <c r="K249" s="87"/>
      <c r="L249" s="87"/>
      <c r="M249" s="87"/>
      <c r="N249" s="87"/>
      <c r="O249" s="87"/>
      <c r="P249" s="87"/>
      <c r="Q249" s="87"/>
      <c r="R249" s="87"/>
      <c r="S249" s="87"/>
      <c r="T249" s="87"/>
      <c r="U249" s="87"/>
      <c r="V249" s="87"/>
      <c r="W249" s="87"/>
      <c r="X249" s="87"/>
      <c r="Y249" s="87"/>
      <c r="Z249" s="87"/>
      <c r="AA249" s="87"/>
    </row>
    <row r="250" spans="8:27">
      <c r="H250" s="87"/>
      <c r="I250" s="87"/>
      <c r="J250" s="87"/>
      <c r="K250" s="87"/>
      <c r="L250" s="87"/>
      <c r="M250" s="87"/>
      <c r="N250" s="87"/>
      <c r="O250" s="87"/>
      <c r="P250" s="87"/>
      <c r="Q250" s="87"/>
      <c r="R250" s="87"/>
      <c r="S250" s="87"/>
      <c r="T250" s="87"/>
      <c r="U250" s="87"/>
      <c r="V250" s="87"/>
      <c r="W250" s="87"/>
      <c r="X250" s="87"/>
      <c r="Y250" s="87"/>
      <c r="Z250" s="87"/>
      <c r="AA250" s="87"/>
    </row>
    <row r="251" spans="8:27">
      <c r="H251" s="87"/>
      <c r="I251" s="87"/>
      <c r="J251" s="87"/>
      <c r="K251" s="87"/>
      <c r="L251" s="87"/>
      <c r="M251" s="87"/>
      <c r="N251" s="87"/>
      <c r="O251" s="87"/>
      <c r="P251" s="87"/>
      <c r="Q251" s="87"/>
      <c r="R251" s="87"/>
      <c r="S251" s="87"/>
      <c r="T251" s="87"/>
      <c r="U251" s="87"/>
      <c r="V251" s="87"/>
      <c r="W251" s="87"/>
      <c r="X251" s="87"/>
      <c r="Y251" s="87"/>
      <c r="Z251" s="87"/>
      <c r="AA251" s="87"/>
    </row>
    <row r="252" spans="8:27">
      <c r="H252" s="87"/>
      <c r="I252" s="87"/>
      <c r="J252" s="87"/>
      <c r="K252" s="87"/>
      <c r="L252" s="87"/>
      <c r="M252" s="87"/>
      <c r="N252" s="87"/>
      <c r="O252" s="87"/>
      <c r="P252" s="87"/>
      <c r="Q252" s="87"/>
      <c r="R252" s="87"/>
      <c r="S252" s="87"/>
      <c r="T252" s="87"/>
      <c r="U252" s="87"/>
      <c r="V252" s="87"/>
      <c r="W252" s="87"/>
      <c r="X252" s="87"/>
      <c r="Y252" s="87"/>
      <c r="Z252" s="87"/>
      <c r="AA252" s="87"/>
    </row>
    <row r="253" spans="8:27">
      <c r="H253" s="87"/>
      <c r="I253" s="87"/>
      <c r="J253" s="87"/>
      <c r="K253" s="87"/>
      <c r="L253" s="87"/>
      <c r="M253" s="87"/>
      <c r="N253" s="87"/>
      <c r="O253" s="87"/>
      <c r="P253" s="87"/>
      <c r="Q253" s="87"/>
      <c r="R253" s="87"/>
      <c r="S253" s="87"/>
      <c r="T253" s="87"/>
      <c r="U253" s="87"/>
      <c r="V253" s="87"/>
      <c r="W253" s="87"/>
      <c r="X253" s="87"/>
      <c r="Y253" s="87"/>
      <c r="Z253" s="87"/>
      <c r="AA253" s="87"/>
    </row>
    <row r="254" spans="8:27">
      <c r="H254" s="87"/>
      <c r="I254" s="87"/>
      <c r="J254" s="87"/>
      <c r="K254" s="87"/>
      <c r="L254" s="87"/>
      <c r="M254" s="87"/>
      <c r="N254" s="87"/>
      <c r="O254" s="87"/>
      <c r="P254" s="87"/>
      <c r="Q254" s="87"/>
      <c r="R254" s="87"/>
      <c r="S254" s="87"/>
      <c r="T254" s="87"/>
      <c r="U254" s="87"/>
      <c r="V254" s="87"/>
      <c r="W254" s="87"/>
      <c r="X254" s="87"/>
      <c r="Y254" s="87"/>
      <c r="Z254" s="87"/>
      <c r="AA254" s="87"/>
    </row>
    <row r="255" spans="8:27">
      <c r="H255" s="87"/>
      <c r="I255" s="87"/>
      <c r="J255" s="87"/>
      <c r="K255" s="87"/>
      <c r="L255" s="87"/>
      <c r="M255" s="87"/>
      <c r="N255" s="87"/>
      <c r="O255" s="87"/>
      <c r="P255" s="87"/>
      <c r="Q255" s="87"/>
      <c r="R255" s="87"/>
      <c r="S255" s="87"/>
      <c r="T255" s="87"/>
      <c r="U255" s="87"/>
      <c r="V255" s="87"/>
      <c r="W255" s="87"/>
      <c r="X255" s="87"/>
      <c r="Y255" s="87"/>
      <c r="Z255" s="87"/>
      <c r="AA255" s="87"/>
    </row>
    <row r="256" spans="8:27">
      <c r="H256" s="87"/>
      <c r="I256" s="87"/>
      <c r="J256" s="87"/>
      <c r="K256" s="87"/>
      <c r="L256" s="87"/>
      <c r="M256" s="87"/>
      <c r="N256" s="87"/>
      <c r="O256" s="87"/>
      <c r="P256" s="87"/>
      <c r="Q256" s="87"/>
      <c r="R256" s="87"/>
      <c r="S256" s="87"/>
      <c r="T256" s="87"/>
      <c r="U256" s="87"/>
      <c r="V256" s="87"/>
      <c r="W256" s="87"/>
      <c r="X256" s="87"/>
      <c r="Y256" s="87"/>
      <c r="Z256" s="87"/>
      <c r="AA256" s="87"/>
    </row>
    <row r="257" spans="8:27">
      <c r="H257" s="87"/>
      <c r="I257" s="87"/>
      <c r="J257" s="87"/>
      <c r="K257" s="87"/>
      <c r="L257" s="87"/>
      <c r="M257" s="87"/>
      <c r="N257" s="87"/>
      <c r="O257" s="87"/>
      <c r="P257" s="87"/>
      <c r="Q257" s="87"/>
      <c r="R257" s="87"/>
      <c r="S257" s="87"/>
      <c r="T257" s="87"/>
      <c r="U257" s="87"/>
      <c r="V257" s="87"/>
      <c r="W257" s="87"/>
      <c r="X257" s="87"/>
      <c r="Y257" s="87"/>
      <c r="Z257" s="87"/>
      <c r="AA257" s="87"/>
    </row>
    <row r="258" spans="8:27">
      <c r="H258" s="87"/>
      <c r="I258" s="87"/>
      <c r="J258" s="87"/>
      <c r="K258" s="87"/>
      <c r="L258" s="87"/>
      <c r="M258" s="87"/>
      <c r="N258" s="87"/>
      <c r="O258" s="87"/>
      <c r="P258" s="87"/>
      <c r="Q258" s="87"/>
      <c r="R258" s="87"/>
      <c r="S258" s="87"/>
      <c r="T258" s="87"/>
      <c r="U258" s="87"/>
      <c r="V258" s="87"/>
      <c r="W258" s="87"/>
      <c r="X258" s="87"/>
      <c r="Y258" s="87"/>
      <c r="Z258" s="87"/>
      <c r="AA258" s="87"/>
    </row>
    <row r="259" spans="8:27">
      <c r="H259" s="87"/>
      <c r="I259" s="87"/>
      <c r="J259" s="87"/>
      <c r="K259" s="87"/>
      <c r="L259" s="87"/>
      <c r="M259" s="87"/>
      <c r="N259" s="87"/>
      <c r="O259" s="87"/>
      <c r="P259" s="87"/>
      <c r="Q259" s="87"/>
      <c r="R259" s="87"/>
      <c r="S259" s="87"/>
      <c r="T259" s="87"/>
      <c r="U259" s="87"/>
      <c r="V259" s="87"/>
      <c r="W259" s="87"/>
      <c r="X259" s="87"/>
      <c r="Y259" s="87"/>
      <c r="Z259" s="87"/>
      <c r="AA259" s="87"/>
    </row>
    <row r="260" spans="8:27">
      <c r="H260" s="87"/>
      <c r="I260" s="87"/>
      <c r="J260" s="87"/>
      <c r="K260" s="87"/>
      <c r="L260" s="87"/>
      <c r="M260" s="87"/>
      <c r="N260" s="87"/>
      <c r="O260" s="87"/>
      <c r="P260" s="87"/>
      <c r="Q260" s="87"/>
      <c r="R260" s="87"/>
      <c r="S260" s="87"/>
      <c r="T260" s="87"/>
      <c r="U260" s="87"/>
      <c r="V260" s="87"/>
      <c r="W260" s="87"/>
      <c r="X260" s="87"/>
      <c r="Y260" s="87"/>
      <c r="Z260" s="87"/>
      <c r="AA260" s="87"/>
    </row>
    <row r="261" spans="8:27">
      <c r="H261" s="87"/>
      <c r="I261" s="87"/>
      <c r="J261" s="87"/>
      <c r="K261" s="87"/>
      <c r="L261" s="87"/>
      <c r="M261" s="87"/>
      <c r="N261" s="87"/>
      <c r="O261" s="87"/>
      <c r="P261" s="87"/>
      <c r="Q261" s="87"/>
      <c r="R261" s="87"/>
      <c r="S261" s="87"/>
      <c r="T261" s="87"/>
      <c r="U261" s="87"/>
      <c r="V261" s="87"/>
      <c r="W261" s="87"/>
      <c r="X261" s="87"/>
      <c r="Y261" s="87"/>
      <c r="Z261" s="87"/>
      <c r="AA261" s="87"/>
    </row>
    <row r="262" spans="8:27">
      <c r="H262" s="87"/>
      <c r="I262" s="87"/>
      <c r="J262" s="87"/>
      <c r="K262" s="87"/>
      <c r="L262" s="87"/>
      <c r="M262" s="87"/>
      <c r="N262" s="87"/>
      <c r="O262" s="87"/>
      <c r="P262" s="87"/>
      <c r="Q262" s="87"/>
      <c r="R262" s="87"/>
      <c r="S262" s="87"/>
      <c r="T262" s="87"/>
      <c r="U262" s="87"/>
      <c r="V262" s="87"/>
      <c r="W262" s="87"/>
      <c r="X262" s="87"/>
      <c r="Y262" s="87"/>
      <c r="Z262" s="87"/>
      <c r="AA262" s="87"/>
    </row>
    <row r="263" spans="8:27">
      <c r="H263" s="87"/>
      <c r="I263" s="87"/>
      <c r="J263" s="87"/>
      <c r="K263" s="87"/>
      <c r="L263" s="87"/>
      <c r="M263" s="87"/>
      <c r="N263" s="87"/>
      <c r="O263" s="87"/>
      <c r="P263" s="87"/>
      <c r="Q263" s="87"/>
      <c r="R263" s="87"/>
      <c r="S263" s="87"/>
      <c r="T263" s="87"/>
      <c r="U263" s="87"/>
      <c r="V263" s="87"/>
      <c r="W263" s="87"/>
      <c r="X263" s="87"/>
      <c r="Y263" s="87"/>
      <c r="Z263" s="87"/>
      <c r="AA263" s="87"/>
    </row>
    <row r="264" spans="8:27">
      <c r="H264" s="87"/>
      <c r="I264" s="87"/>
      <c r="J264" s="87"/>
      <c r="K264" s="87"/>
      <c r="L264" s="87"/>
      <c r="M264" s="87"/>
      <c r="N264" s="87"/>
      <c r="O264" s="87"/>
      <c r="P264" s="87"/>
      <c r="Q264" s="87"/>
      <c r="R264" s="87"/>
      <c r="S264" s="87"/>
      <c r="T264" s="87"/>
      <c r="U264" s="87"/>
      <c r="V264" s="87"/>
      <c r="W264" s="87"/>
      <c r="X264" s="87"/>
      <c r="Y264" s="87"/>
      <c r="Z264" s="87"/>
      <c r="AA264" s="87"/>
    </row>
    <row r="265" spans="8:27">
      <c r="H265" s="87"/>
      <c r="I265" s="87"/>
      <c r="J265" s="87"/>
      <c r="K265" s="87"/>
      <c r="L265" s="87"/>
      <c r="M265" s="87"/>
      <c r="N265" s="87"/>
      <c r="O265" s="87"/>
      <c r="P265" s="87"/>
      <c r="Q265" s="87"/>
      <c r="R265" s="87"/>
      <c r="S265" s="87"/>
      <c r="T265" s="87"/>
      <c r="U265" s="87"/>
      <c r="V265" s="87"/>
      <c r="W265" s="87"/>
      <c r="X265" s="87"/>
      <c r="Y265" s="87"/>
      <c r="Z265" s="87"/>
      <c r="AA265" s="87"/>
    </row>
    <row r="266" spans="8:27">
      <c r="H266" s="87"/>
      <c r="I266" s="87"/>
      <c r="J266" s="87"/>
      <c r="K266" s="87"/>
      <c r="L266" s="87"/>
      <c r="M266" s="87"/>
      <c r="N266" s="87"/>
      <c r="O266" s="87"/>
      <c r="P266" s="87"/>
      <c r="Q266" s="87"/>
      <c r="R266" s="87"/>
      <c r="S266" s="87"/>
      <c r="T266" s="87"/>
      <c r="U266" s="87"/>
      <c r="V266" s="87"/>
      <c r="W266" s="87"/>
      <c r="X266" s="87"/>
      <c r="Y266" s="87"/>
      <c r="Z266" s="87"/>
      <c r="AA266" s="87"/>
    </row>
    <row r="267" spans="8:27">
      <c r="H267" s="87"/>
      <c r="I267" s="87"/>
      <c r="J267" s="87"/>
      <c r="K267" s="87"/>
      <c r="L267" s="87"/>
      <c r="M267" s="87"/>
      <c r="N267" s="87"/>
      <c r="O267" s="87"/>
      <c r="P267" s="87"/>
      <c r="Q267" s="87"/>
      <c r="R267" s="87"/>
      <c r="S267" s="87"/>
      <c r="T267" s="87"/>
      <c r="U267" s="87"/>
      <c r="V267" s="87"/>
      <c r="W267" s="87"/>
      <c r="X267" s="87"/>
      <c r="Y267" s="87"/>
      <c r="Z267" s="87"/>
      <c r="AA267" s="87"/>
    </row>
    <row r="268" spans="8:27">
      <c r="H268" s="87"/>
      <c r="I268" s="87"/>
      <c r="J268" s="87"/>
      <c r="K268" s="87"/>
      <c r="L268" s="87"/>
      <c r="M268" s="87"/>
      <c r="N268" s="87"/>
      <c r="O268" s="87"/>
      <c r="P268" s="87"/>
      <c r="Q268" s="87"/>
      <c r="R268" s="87"/>
      <c r="S268" s="87"/>
      <c r="T268" s="87"/>
      <c r="U268" s="87"/>
      <c r="V268" s="87"/>
      <c r="W268" s="87"/>
      <c r="X268" s="87"/>
      <c r="Y268" s="87"/>
      <c r="Z268" s="87"/>
      <c r="AA268" s="87"/>
    </row>
    <row r="269" spans="8:27">
      <c r="H269" s="87"/>
      <c r="I269" s="87"/>
      <c r="J269" s="87"/>
      <c r="K269" s="87"/>
      <c r="L269" s="87"/>
      <c r="M269" s="87"/>
      <c r="N269" s="87"/>
      <c r="O269" s="87"/>
      <c r="P269" s="87"/>
      <c r="Q269" s="87"/>
      <c r="R269" s="87"/>
      <c r="S269" s="87"/>
      <c r="T269" s="87"/>
      <c r="U269" s="87"/>
      <c r="V269" s="87"/>
      <c r="W269" s="87"/>
      <c r="X269" s="87"/>
      <c r="Y269" s="87"/>
      <c r="Z269" s="87"/>
      <c r="AA269" s="87"/>
    </row>
    <row r="270" spans="8:27">
      <c r="H270" s="87"/>
      <c r="I270" s="87"/>
      <c r="J270" s="87"/>
      <c r="K270" s="87"/>
      <c r="L270" s="87"/>
      <c r="M270" s="87"/>
      <c r="N270" s="87"/>
      <c r="O270" s="87"/>
      <c r="P270" s="87"/>
      <c r="Q270" s="87"/>
      <c r="R270" s="87"/>
      <c r="S270" s="87"/>
      <c r="T270" s="87"/>
      <c r="U270" s="87"/>
      <c r="V270" s="87"/>
      <c r="W270" s="87"/>
      <c r="X270" s="87"/>
      <c r="Y270" s="87"/>
      <c r="Z270" s="87"/>
      <c r="AA270" s="87"/>
    </row>
    <row r="271" spans="8:27">
      <c r="H271" s="87"/>
      <c r="I271" s="87"/>
      <c r="J271" s="87"/>
      <c r="K271" s="87"/>
      <c r="L271" s="87"/>
      <c r="M271" s="87"/>
      <c r="N271" s="87"/>
      <c r="O271" s="87"/>
      <c r="P271" s="87"/>
      <c r="Q271" s="87"/>
      <c r="R271" s="87"/>
      <c r="S271" s="87"/>
      <c r="T271" s="87"/>
      <c r="U271" s="87"/>
      <c r="V271" s="87"/>
      <c r="W271" s="87"/>
      <c r="X271" s="87"/>
      <c r="Y271" s="87"/>
      <c r="Z271" s="87"/>
      <c r="AA271" s="87"/>
    </row>
    <row r="272" spans="8:27">
      <c r="H272" s="87"/>
      <c r="I272" s="87"/>
      <c r="J272" s="87"/>
      <c r="K272" s="87"/>
      <c r="L272" s="87"/>
      <c r="M272" s="87"/>
      <c r="N272" s="87"/>
      <c r="O272" s="87"/>
      <c r="P272" s="87"/>
      <c r="Q272" s="87"/>
      <c r="R272" s="87"/>
      <c r="S272" s="87"/>
      <c r="T272" s="87"/>
      <c r="U272" s="87"/>
      <c r="V272" s="87"/>
      <c r="W272" s="87"/>
      <c r="X272" s="87"/>
      <c r="Y272" s="87"/>
      <c r="Z272" s="87"/>
      <c r="AA272" s="87"/>
    </row>
    <row r="273" spans="8:27">
      <c r="H273" s="87"/>
      <c r="I273" s="87"/>
      <c r="J273" s="87"/>
      <c r="K273" s="87"/>
      <c r="L273" s="87"/>
      <c r="M273" s="87"/>
      <c r="N273" s="87"/>
      <c r="O273" s="87"/>
      <c r="P273" s="87"/>
      <c r="Q273" s="87"/>
      <c r="R273" s="87"/>
      <c r="S273" s="87"/>
      <c r="T273" s="87"/>
      <c r="U273" s="87"/>
      <c r="V273" s="87"/>
      <c r="W273" s="87"/>
      <c r="X273" s="87"/>
      <c r="Y273" s="87"/>
      <c r="Z273" s="87"/>
      <c r="AA273" s="87"/>
    </row>
    <row r="274" spans="8:27">
      <c r="H274" s="87"/>
      <c r="I274" s="87"/>
      <c r="J274" s="87"/>
      <c r="K274" s="87"/>
      <c r="L274" s="87"/>
      <c r="M274" s="87"/>
      <c r="N274" s="87"/>
      <c r="O274" s="87"/>
      <c r="P274" s="87"/>
      <c r="Q274" s="87"/>
      <c r="R274" s="87"/>
      <c r="S274" s="87"/>
      <c r="T274" s="87"/>
      <c r="U274" s="87"/>
      <c r="V274" s="87"/>
      <c r="W274" s="87"/>
      <c r="X274" s="87"/>
      <c r="Y274" s="87"/>
      <c r="Z274" s="87"/>
      <c r="AA274" s="87"/>
    </row>
    <row r="275" spans="8:27">
      <c r="H275" s="87"/>
      <c r="I275" s="87"/>
      <c r="J275" s="87"/>
      <c r="K275" s="87"/>
      <c r="L275" s="87"/>
      <c r="M275" s="87"/>
      <c r="N275" s="87"/>
      <c r="O275" s="87"/>
      <c r="P275" s="87"/>
      <c r="Q275" s="87"/>
      <c r="R275" s="87"/>
      <c r="S275" s="87"/>
      <c r="T275" s="87"/>
      <c r="U275" s="87"/>
      <c r="V275" s="87"/>
      <c r="W275" s="87"/>
      <c r="X275" s="87"/>
      <c r="Y275" s="87"/>
      <c r="Z275" s="87"/>
      <c r="AA275" s="87"/>
    </row>
    <row r="276" spans="8:27">
      <c r="H276" s="87"/>
      <c r="I276" s="87"/>
      <c r="J276" s="87"/>
      <c r="K276" s="87"/>
      <c r="L276" s="87"/>
      <c r="M276" s="87"/>
      <c r="N276" s="87"/>
      <c r="O276" s="87"/>
      <c r="P276" s="87"/>
      <c r="Q276" s="87"/>
      <c r="R276" s="87"/>
      <c r="S276" s="87"/>
      <c r="T276" s="87"/>
      <c r="U276" s="87"/>
      <c r="V276" s="87"/>
      <c r="W276" s="87"/>
      <c r="X276" s="87"/>
      <c r="Y276" s="87"/>
      <c r="Z276" s="87"/>
      <c r="AA276" s="87"/>
    </row>
    <row r="277" spans="8:27">
      <c r="H277" s="87"/>
      <c r="I277" s="87"/>
      <c r="J277" s="87"/>
      <c r="K277" s="87"/>
      <c r="L277" s="87"/>
      <c r="M277" s="87"/>
      <c r="N277" s="87"/>
      <c r="O277" s="87"/>
      <c r="P277" s="87"/>
      <c r="Q277" s="87"/>
      <c r="R277" s="87"/>
      <c r="S277" s="87"/>
      <c r="T277" s="87"/>
      <c r="U277" s="87"/>
      <c r="V277" s="87"/>
      <c r="W277" s="87"/>
      <c r="X277" s="87"/>
      <c r="Y277" s="87"/>
      <c r="Z277" s="87"/>
      <c r="AA277" s="87"/>
    </row>
    <row r="278" spans="8:27">
      <c r="H278" s="87"/>
      <c r="I278" s="87"/>
      <c r="J278" s="87"/>
      <c r="K278" s="87"/>
      <c r="L278" s="87"/>
      <c r="M278" s="87"/>
      <c r="N278" s="87"/>
      <c r="O278" s="87"/>
      <c r="P278" s="87"/>
      <c r="Q278" s="87"/>
      <c r="R278" s="87"/>
      <c r="S278" s="87"/>
      <c r="T278" s="87"/>
      <c r="U278" s="87"/>
      <c r="V278" s="87"/>
      <c r="W278" s="87"/>
      <c r="X278" s="87"/>
      <c r="Y278" s="87"/>
      <c r="Z278" s="87"/>
      <c r="AA278" s="87"/>
    </row>
    <row r="279" spans="8:27">
      <c r="H279" s="87"/>
      <c r="I279" s="87"/>
      <c r="J279" s="87"/>
      <c r="K279" s="87"/>
      <c r="L279" s="87"/>
      <c r="M279" s="87"/>
      <c r="N279" s="87"/>
      <c r="O279" s="87"/>
      <c r="P279" s="87"/>
      <c r="Q279" s="87"/>
      <c r="R279" s="87"/>
      <c r="S279" s="87"/>
      <c r="T279" s="87"/>
      <c r="U279" s="87"/>
      <c r="V279" s="87"/>
      <c r="W279" s="87"/>
      <c r="X279" s="87"/>
      <c r="Y279" s="87"/>
      <c r="Z279" s="87"/>
      <c r="AA279" s="87"/>
    </row>
    <row r="280" spans="8:27">
      <c r="H280" s="87"/>
      <c r="I280" s="87"/>
      <c r="J280" s="87"/>
      <c r="K280" s="87"/>
      <c r="L280" s="87"/>
      <c r="M280" s="87"/>
      <c r="N280" s="87"/>
      <c r="O280" s="87"/>
      <c r="P280" s="87"/>
      <c r="Q280" s="87"/>
      <c r="R280" s="87"/>
      <c r="S280" s="87"/>
      <c r="T280" s="87"/>
      <c r="U280" s="87"/>
      <c r="V280" s="87"/>
      <c r="W280" s="87"/>
      <c r="X280" s="87"/>
      <c r="Y280" s="87"/>
      <c r="Z280" s="87"/>
      <c r="AA280" s="87"/>
    </row>
    <row r="281" spans="8:27">
      <c r="H281" s="87"/>
      <c r="I281" s="87"/>
      <c r="J281" s="87"/>
      <c r="K281" s="87"/>
      <c r="L281" s="87"/>
      <c r="M281" s="87"/>
      <c r="N281" s="87"/>
      <c r="O281" s="87"/>
      <c r="P281" s="87"/>
      <c r="Q281" s="87"/>
      <c r="R281" s="87"/>
      <c r="S281" s="87"/>
      <c r="T281" s="87"/>
      <c r="U281" s="87"/>
      <c r="V281" s="87"/>
      <c r="W281" s="87"/>
      <c r="X281" s="87"/>
      <c r="Y281" s="87"/>
      <c r="Z281" s="87"/>
      <c r="AA281" s="87"/>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8"/>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9">
        <v>2023</v>
      </c>
      <c r="AJ1" s="149">
        <v>2025</v>
      </c>
      <c r="AK1" s="149">
        <v>2030</v>
      </c>
      <c r="AL1" s="149">
        <v>2035</v>
      </c>
      <c r="AM1" s="149">
        <v>2040</v>
      </c>
      <c r="AN1" s="149">
        <v>2045</v>
      </c>
      <c r="AO1" s="149">
        <v>2050</v>
      </c>
      <c r="BS1" s="148"/>
      <c r="BT1" s="148"/>
      <c r="BU1" s="148"/>
    </row>
    <row r="2" s="1" customFormat="1" spans="2:73">
      <c r="B2" s="150" t="s">
        <v>52</v>
      </c>
      <c r="S2" s="151">
        <v>2023</v>
      </c>
      <c r="T2" s="151" t="s">
        <v>53</v>
      </c>
      <c r="U2" s="151" t="s">
        <v>54</v>
      </c>
      <c r="V2" s="151" t="s">
        <v>55</v>
      </c>
      <c r="W2" s="151" t="s">
        <v>56</v>
      </c>
      <c r="X2" s="151" t="s">
        <v>57</v>
      </c>
      <c r="Y2" s="151" t="s">
        <v>58</v>
      </c>
      <c r="Z2" s="151"/>
      <c r="AA2" s="151" t="s">
        <v>59</v>
      </c>
      <c r="AB2" s="152">
        <v>132.92732205738</v>
      </c>
      <c r="AC2" s="151" t="s">
        <v>60</v>
      </c>
      <c r="AH2" s="1" t="s">
        <v>61</v>
      </c>
      <c r="AI2" s="153">
        <v>132.92732205738</v>
      </c>
      <c r="AJ2" s="153">
        <v>120.58407072348</v>
      </c>
      <c r="AK2" s="153">
        <v>104.442895902227</v>
      </c>
      <c r="AL2" s="153">
        <v>94.9480871838431</v>
      </c>
      <c r="AM2" s="153">
        <v>92.1084750593323</v>
      </c>
      <c r="AN2" s="153">
        <v>88.9611647549709</v>
      </c>
      <c r="AO2" s="153">
        <v>85.4532784654588</v>
      </c>
      <c r="AX2" t="s">
        <v>62</v>
      </c>
      <c r="AY2"/>
      <c r="AZ2" s="154"/>
      <c r="BE2" s="58" t="s">
        <v>63</v>
      </c>
      <c r="BL2" s="155" t="s">
        <v>62</v>
      </c>
      <c r="BS2" s="148"/>
      <c r="BT2" s="148"/>
      <c r="BU2" s="148"/>
    </row>
    <row r="3" s="1" customFormat="1" spans="2:73">
      <c r="F3" s="156" t="s">
        <v>64</v>
      </c>
      <c r="G3" s="157"/>
      <c r="H3" s="157"/>
      <c r="I3" s="157"/>
      <c r="S3" s="151">
        <v>2025</v>
      </c>
      <c r="T3" s="151" t="s">
        <v>53</v>
      </c>
      <c r="U3" s="151" t="s">
        <v>54</v>
      </c>
      <c r="V3" s="151" t="s">
        <v>55</v>
      </c>
      <c r="W3" s="151" t="s">
        <v>56</v>
      </c>
      <c r="X3" s="151" t="s">
        <v>57</v>
      </c>
      <c r="Y3" s="151" t="s">
        <v>58</v>
      </c>
      <c r="Z3" s="151"/>
      <c r="AA3" s="151" t="s">
        <v>59</v>
      </c>
      <c r="AB3" s="152">
        <v>120.58407072348</v>
      </c>
      <c r="AC3" s="15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4" t="s">
        <v>65</v>
      </c>
      <c r="AY3" s="154" t="s">
        <v>41</v>
      </c>
      <c r="AZ3" s="158" t="s">
        <v>66</v>
      </c>
      <c r="BA3" s="158" t="s">
        <v>11</v>
      </c>
      <c r="BB3" s="158" t="s">
        <v>25</v>
      </c>
      <c r="BE3" s="1" t="s">
        <v>65</v>
      </c>
      <c r="BF3" s="1" t="s">
        <v>41</v>
      </c>
      <c r="BG3" s="1" t="s">
        <v>66</v>
      </c>
      <c r="BH3" s="1" t="s">
        <v>11</v>
      </c>
      <c r="BI3" s="1" t="s">
        <v>25</v>
      </c>
      <c r="BL3" s="1" t="s">
        <v>65</v>
      </c>
      <c r="BM3" s="1" t="s">
        <v>41</v>
      </c>
      <c r="BN3" s="1" t="s">
        <v>66</v>
      </c>
      <c r="BO3" s="1" t="s">
        <v>11</v>
      </c>
      <c r="BP3" s="1" t="s">
        <v>25</v>
      </c>
      <c r="BS3" s="148" t="s">
        <v>66</v>
      </c>
      <c r="BT3" s="148" t="s">
        <v>11</v>
      </c>
      <c r="BU3" s="148" t="s">
        <v>25</v>
      </c>
    </row>
    <row r="4" s="1" customFormat="1" spans="2:73">
      <c r="F4" s="156" t="s">
        <v>65</v>
      </c>
      <c r="G4" s="156" t="s">
        <v>66</v>
      </c>
      <c r="H4" s="156" t="s">
        <v>11</v>
      </c>
      <c r="I4" s="156" t="s">
        <v>25</v>
      </c>
      <c r="S4" s="151">
        <v>2030</v>
      </c>
      <c r="T4" s="151" t="s">
        <v>53</v>
      </c>
      <c r="U4" s="151" t="s">
        <v>54</v>
      </c>
      <c r="V4" s="151" t="s">
        <v>55</v>
      </c>
      <c r="W4" s="151" t="s">
        <v>56</v>
      </c>
      <c r="X4" s="151" t="s">
        <v>57</v>
      </c>
      <c r="Y4" s="151" t="s">
        <v>58</v>
      </c>
      <c r="Z4" s="151"/>
      <c r="AA4" s="151" t="s">
        <v>59</v>
      </c>
      <c r="AB4" s="152">
        <v>104.442895902227</v>
      </c>
      <c r="AC4" s="15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4" t="s">
        <v>67</v>
      </c>
      <c r="AY4" s="154">
        <v>2023</v>
      </c>
      <c r="AZ4" s="154">
        <f>G5</f>
        <v>80.3831766666667</v>
      </c>
      <c r="BA4" s="154">
        <f>H5</f>
        <v>55.48673</v>
      </c>
      <c r="BB4" s="154">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8">
        <v>80.3831766666667</v>
      </c>
      <c r="BT4" s="148">
        <v>55.48673</v>
      </c>
      <c r="BU4" s="148">
        <v>106.82505</v>
      </c>
    </row>
    <row r="5" s="1" customFormat="1" ht="152" customHeight="1" spans="2:73">
      <c r="B5" s="159" t="s">
        <v>70</v>
      </c>
      <c r="F5" s="156" t="s">
        <v>71</v>
      </c>
      <c r="G5" s="157">
        <f>[3]R_strategies_n_GridBattery!$D$131</f>
        <v>80.3831766666667</v>
      </c>
      <c r="H5" s="157">
        <f>[3]R_strategies_n_GridBattery!$E$131</f>
        <v>55.48673</v>
      </c>
      <c r="I5" s="157">
        <f>[3]R_strategies_n_GridBattery!$F$131</f>
        <v>106.82505</v>
      </c>
      <c r="S5" s="151">
        <v>2035</v>
      </c>
      <c r="T5" s="151" t="s">
        <v>53</v>
      </c>
      <c r="U5" s="151" t="s">
        <v>54</v>
      </c>
      <c r="V5" s="151" t="s">
        <v>55</v>
      </c>
      <c r="W5" s="151" t="s">
        <v>56</v>
      </c>
      <c r="X5" s="151" t="s">
        <v>57</v>
      </c>
      <c r="Y5" s="151" t="s">
        <v>58</v>
      </c>
      <c r="Z5" s="151"/>
      <c r="AA5" s="151" t="s">
        <v>59</v>
      </c>
      <c r="AB5" s="152">
        <v>94.9480871838431</v>
      </c>
      <c r="AC5" s="15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4" t="s">
        <v>72</v>
      </c>
      <c r="AY5" s="154">
        <f>AY4</f>
        <v>2023</v>
      </c>
      <c r="AZ5" s="154">
        <f t="shared" ref="AZ5:AZ10" si="14">G6</f>
        <v>95.4086</v>
      </c>
      <c r="BA5" s="154">
        <f t="shared" ref="BA5:BA10" si="15">H6</f>
        <v>66.32565</v>
      </c>
      <c r="BB5" s="154">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8">
        <v>95.4086</v>
      </c>
      <c r="BT5" s="148">
        <v>66.32565</v>
      </c>
      <c r="BU5" s="148">
        <v>126.26355</v>
      </c>
    </row>
    <row r="6" s="1" customFormat="1" spans="2:73">
      <c r="F6" s="156" t="s">
        <v>75</v>
      </c>
      <c r="G6" s="157">
        <f>[3]R_strategies_n_GridBattery!$D$132</f>
        <v>95.4086</v>
      </c>
      <c r="H6" s="157">
        <f>[3]R_strategies_n_GridBattery!$E$132</f>
        <v>66.32565</v>
      </c>
      <c r="I6" s="157">
        <f>[3]R_strategies_n_GridBattery!$F$132</f>
        <v>126.26355</v>
      </c>
      <c r="S6" s="151">
        <v>2040</v>
      </c>
      <c r="T6" s="151" t="s">
        <v>53</v>
      </c>
      <c r="U6" s="151" t="s">
        <v>54</v>
      </c>
      <c r="V6" s="151" t="s">
        <v>55</v>
      </c>
      <c r="W6" s="151" t="s">
        <v>56</v>
      </c>
      <c r="X6" s="151" t="s">
        <v>57</v>
      </c>
      <c r="Y6" s="151" t="s">
        <v>58</v>
      </c>
      <c r="Z6" s="151"/>
      <c r="AA6" s="151" t="s">
        <v>59</v>
      </c>
      <c r="AB6" s="152">
        <v>92.1084750593323</v>
      </c>
      <c r="AC6" s="15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4" t="s">
        <v>76</v>
      </c>
      <c r="AY6" s="154">
        <f t="shared" ref="AY6:AY11" si="17">AY5</f>
        <v>2023</v>
      </c>
      <c r="AZ6" s="154">
        <f t="shared" si="14"/>
        <v>85.3476966666666</v>
      </c>
      <c r="BA6" s="154">
        <f t="shared" si="15"/>
        <v>56.10147</v>
      </c>
      <c r="BB6" s="154">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8">
        <v>85.3476966666666</v>
      </c>
      <c r="BT6" s="148">
        <v>56.10147</v>
      </c>
      <c r="BU6" s="148">
        <v>116.32796</v>
      </c>
    </row>
    <row r="7" s="1" customFormat="1" spans="2:73">
      <c r="F7" s="156" t="s">
        <v>79</v>
      </c>
      <c r="G7" s="157">
        <f>[3]R_strategies_n_GridBattery!$D$133</f>
        <v>85.3476966666666</v>
      </c>
      <c r="H7" s="157">
        <f>[3]R_strategies_n_GridBattery!$E$133</f>
        <v>56.10147</v>
      </c>
      <c r="I7" s="157">
        <f>[3]R_strategies_n_GridBattery!$F$133</f>
        <v>116.32796</v>
      </c>
      <c r="S7" s="151">
        <v>2045</v>
      </c>
      <c r="T7" s="151" t="s">
        <v>53</v>
      </c>
      <c r="U7" s="151" t="s">
        <v>54</v>
      </c>
      <c r="V7" s="151" t="s">
        <v>55</v>
      </c>
      <c r="W7" s="151" t="s">
        <v>56</v>
      </c>
      <c r="X7" s="151" t="s">
        <v>57</v>
      </c>
      <c r="Y7" s="151" t="s">
        <v>58</v>
      </c>
      <c r="Z7" s="151"/>
      <c r="AA7" s="151" t="s">
        <v>59</v>
      </c>
      <c r="AB7" s="152">
        <v>88.9611647549709</v>
      </c>
      <c r="AC7" s="15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4" t="s">
        <v>80</v>
      </c>
      <c r="AY7" s="154">
        <f t="shared" si="17"/>
        <v>2023</v>
      </c>
      <c r="AZ7" s="154">
        <f t="shared" si="14"/>
        <v>85.52157</v>
      </c>
      <c r="BA7" s="154">
        <f t="shared" si="15"/>
        <v>55.55951</v>
      </c>
      <c r="BB7" s="154">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8">
        <v>85.52157</v>
      </c>
      <c r="BT7" s="148">
        <v>55.55951</v>
      </c>
      <c r="BU7" s="148">
        <v>117.30431</v>
      </c>
    </row>
    <row r="8" s="1" customFormat="1" ht="29" spans="2:73">
      <c r="B8" s="159" t="s">
        <v>83</v>
      </c>
      <c r="F8" s="156" t="s">
        <v>84</v>
      </c>
      <c r="G8" s="157">
        <f>[3]R_strategies_n_GridBattery!$D$134</f>
        <v>85.52157</v>
      </c>
      <c r="H8" s="157">
        <f>[3]R_strategies_n_GridBattery!$E$134</f>
        <v>55.55951</v>
      </c>
      <c r="I8" s="157">
        <f>[3]R_strategies_n_GridBattery!$F$134</f>
        <v>117.30431</v>
      </c>
      <c r="S8" s="151">
        <v>2050</v>
      </c>
      <c r="T8" s="151" t="s">
        <v>53</v>
      </c>
      <c r="U8" s="151" t="s">
        <v>54</v>
      </c>
      <c r="V8" s="151" t="s">
        <v>55</v>
      </c>
      <c r="W8" s="151" t="s">
        <v>56</v>
      </c>
      <c r="X8" s="151" t="s">
        <v>57</v>
      </c>
      <c r="Y8" s="151" t="s">
        <v>58</v>
      </c>
      <c r="Z8" s="151"/>
      <c r="AA8" s="151" t="s">
        <v>59</v>
      </c>
      <c r="AB8" s="152">
        <v>85.4532784654588</v>
      </c>
      <c r="AC8" s="15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4" t="s">
        <v>85</v>
      </c>
      <c r="AY8" s="154">
        <f t="shared" si="17"/>
        <v>2023</v>
      </c>
      <c r="AZ8" s="154">
        <f t="shared" si="14"/>
        <v>90.0929166666666</v>
      </c>
      <c r="BA8" s="154">
        <f t="shared" si="15"/>
        <v>59.3677</v>
      </c>
      <c r="BB8" s="154">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8">
        <v>90.0929166666666</v>
      </c>
      <c r="BT8" s="148">
        <v>59.3677</v>
      </c>
      <c r="BU8" s="148">
        <v>122.66905</v>
      </c>
    </row>
    <row r="9" s="1" customFormat="1" spans="2:73">
      <c r="F9" s="156" t="s">
        <v>88</v>
      </c>
      <c r="G9" s="157">
        <f>[3]R_strategies_n_GridBattery!$D$135</f>
        <v>90.0929166666666</v>
      </c>
      <c r="H9" s="157">
        <f>[3]R_strategies_n_GridBattery!$E$135</f>
        <v>59.3677</v>
      </c>
      <c r="I9" s="157">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4" t="s">
        <v>89</v>
      </c>
      <c r="AY9" s="154">
        <f t="shared" si="17"/>
        <v>2023</v>
      </c>
      <c r="AZ9" s="154">
        <f t="shared" si="14"/>
        <v>86.9222166666667</v>
      </c>
      <c r="BA9" s="154">
        <f t="shared" si="15"/>
        <v>57.33755</v>
      </c>
      <c r="BB9" s="154">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8">
        <v>86.9222166666667</v>
      </c>
      <c r="BT9" s="148">
        <v>57.33755</v>
      </c>
      <c r="BU9" s="148">
        <v>118.2723</v>
      </c>
    </row>
    <row r="10" s="1" customFormat="1" spans="2:73">
      <c r="F10" s="156" t="s">
        <v>92</v>
      </c>
      <c r="G10" s="157">
        <f>[3]R_strategies_n_GridBattery!$D$136</f>
        <v>86.9222166666667</v>
      </c>
      <c r="H10" s="157">
        <f>[3]R_strategies_n_GridBattery!$E$136</f>
        <v>57.33755</v>
      </c>
      <c r="I10" s="157">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4" t="s">
        <v>93</v>
      </c>
      <c r="AY10" s="154">
        <f t="shared" si="17"/>
        <v>2023</v>
      </c>
      <c r="AZ10" s="154">
        <f t="shared" si="14"/>
        <v>89.5526666666667</v>
      </c>
      <c r="BA10" s="154">
        <f t="shared" si="15"/>
        <v>59.98948</v>
      </c>
      <c r="BB10" s="154">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8">
        <v>89.5526666666667</v>
      </c>
      <c r="BT10" s="148">
        <v>59.98948</v>
      </c>
      <c r="BU10" s="148">
        <v>120.87452</v>
      </c>
    </row>
    <row r="11" s="1" customFormat="1" spans="2:73">
      <c r="F11" s="156" t="s">
        <v>96</v>
      </c>
      <c r="G11" s="157">
        <f>[3]R_strategies_n_GridBattery!$D$137</f>
        <v>89.5526666666667</v>
      </c>
      <c r="H11" s="157">
        <f>[3]R_strategies_n_GridBattery!$E$137</f>
        <v>59.98948</v>
      </c>
      <c r="I11" s="157">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7"/>
      <c r="AW11" s="147"/>
      <c r="AX11" s="160"/>
      <c r="AY11" s="154"/>
      <c r="AZ11" s="160"/>
      <c r="BA11" s="160"/>
      <c r="BB11" s="160"/>
      <c r="BC11" s="147"/>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8">
        <v>162.093333333333</v>
      </c>
      <c r="BT11" s="148">
        <v>162.093333333333</v>
      </c>
      <c r="BU11" s="148">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8"/>
      <c r="BT12" s="148"/>
      <c r="BU12" s="148"/>
    </row>
    <row r="14" s="1" customFormat="1" spans="2:73">
      <c r="AM14" s="1">
        <f>AM2/AL2</f>
        <v>0.97009300335864</v>
      </c>
      <c r="AN14" s="1">
        <f>AN2/AM2</f>
        <v>0.965830393974778</v>
      </c>
      <c r="AO14" s="1">
        <f>AO2/AN2</f>
        <v>0.96056834126246</v>
      </c>
      <c r="BS14" s="148"/>
      <c r="BT14" s="148"/>
      <c r="BU14" s="148"/>
    </row>
    <row r="15" spans="2:73">
      <c r="AX15" t="s">
        <v>62</v>
      </c>
      <c r="AY15"/>
      <c r="AZ15" s="154"/>
      <c r="BE15" s="1" t="s">
        <v>63</v>
      </c>
      <c r="BL15" s="1" t="s">
        <v>62</v>
      </c>
    </row>
    <row r="16" s="1" customFormat="1" spans="2:73">
      <c r="AX16" s="154" t="s">
        <v>65</v>
      </c>
      <c r="AY16" s="154" t="s">
        <v>41</v>
      </c>
      <c r="AZ16" s="158" t="s">
        <v>66</v>
      </c>
      <c r="BA16" s="158" t="s">
        <v>11</v>
      </c>
      <c r="BB16" s="158" t="s">
        <v>25</v>
      </c>
      <c r="BE16" s="1" t="s">
        <v>65</v>
      </c>
      <c r="BF16" s="1" t="s">
        <v>41</v>
      </c>
      <c r="BG16" s="1" t="s">
        <v>66</v>
      </c>
      <c r="BH16" s="1" t="s">
        <v>11</v>
      </c>
      <c r="BI16" s="1" t="s">
        <v>25</v>
      </c>
      <c r="BL16" s="1" t="s">
        <v>65</v>
      </c>
      <c r="BM16" s="1" t="s">
        <v>41</v>
      </c>
      <c r="BN16" s="1" t="s">
        <v>66</v>
      </c>
      <c r="BO16" s="1" t="s">
        <v>11</v>
      </c>
      <c r="BP16" s="1" t="s">
        <v>25</v>
      </c>
      <c r="BS16" s="148" t="s">
        <v>66</v>
      </c>
      <c r="BT16" s="148" t="s">
        <v>11</v>
      </c>
      <c r="BU16" s="148" t="s">
        <v>25</v>
      </c>
    </row>
    <row r="17" s="1" customFormat="1" spans="2:73">
      <c r="AX17" s="154" t="s">
        <v>67</v>
      </c>
      <c r="AY17" s="154">
        <v>2025</v>
      </c>
      <c r="AZ17" s="154">
        <f t="shared" ref="AZ17:AZ24" si="18">AZ4*AJ2/AI2</f>
        <v>72.9190245476188</v>
      </c>
      <c r="BA17" s="154">
        <f>BA4*AJ2/AI2</f>
        <v>50.3343907857141</v>
      </c>
      <c r="BB17" s="154">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8">
        <v>72.9190245476188</v>
      </c>
      <c r="BT17" s="148">
        <v>50.3343907857141</v>
      </c>
      <c r="BU17" s="148">
        <v>96.9055810714282</v>
      </c>
    </row>
    <row r="18" s="1" customFormat="1" spans="2:73">
      <c r="AX18" s="154" t="s">
        <v>72</v>
      </c>
      <c r="AY18" s="154">
        <f t="shared" ref="AY18:AY24" si="25">AY17</f>
        <v>2025</v>
      </c>
      <c r="AZ18" s="154">
        <f t="shared" si="18"/>
        <v>86.5492299999997</v>
      </c>
      <c r="BA18" s="154">
        <f t="shared" ref="BA18:BA24" si="26">BA5*AJ3/AI3</f>
        <v>60.1668396428569</v>
      </c>
      <c r="BB18" s="154">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8">
        <v>86.5492299999997</v>
      </c>
      <c r="BT18" s="148">
        <v>60.1668396428569</v>
      </c>
      <c r="BU18" s="148">
        <v>114.5390775</v>
      </c>
    </row>
    <row r="19" s="1" customFormat="1" spans="2:73">
      <c r="AX19" s="154" t="s">
        <v>76</v>
      </c>
      <c r="AY19" s="154">
        <f t="shared" si="25"/>
        <v>2025</v>
      </c>
      <c r="AZ19" s="154">
        <f t="shared" si="18"/>
        <v>77.4225534047616</v>
      </c>
      <c r="BA19" s="154">
        <f t="shared" si="26"/>
        <v>50.8920477857141</v>
      </c>
      <c r="BB19" s="154">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8">
        <v>77.4225534047616</v>
      </c>
      <c r="BT19" s="148">
        <v>50.8920477857141</v>
      </c>
      <c r="BU19" s="148">
        <v>105.526078</v>
      </c>
    </row>
    <row r="20" s="1" customFormat="1" spans="2:73">
      <c r="AX20" s="154" t="s">
        <v>80</v>
      </c>
      <c r="AY20" s="154">
        <f t="shared" si="25"/>
        <v>2025</v>
      </c>
      <c r="AZ20" s="154">
        <f t="shared" si="18"/>
        <v>77.5802813571426</v>
      </c>
      <c r="BA20" s="154">
        <f t="shared" si="26"/>
        <v>50.400412642857</v>
      </c>
      <c r="BB20" s="154">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8">
        <v>77.5802813571426</v>
      </c>
      <c r="BT20" s="148">
        <v>50.400412642857</v>
      </c>
      <c r="BU20" s="148">
        <v>106.411766928571</v>
      </c>
    </row>
    <row r="21" s="1" customFormat="1" spans="2:73">
      <c r="AX21" s="154" t="s">
        <v>85</v>
      </c>
      <c r="AY21" s="154">
        <f t="shared" si="25"/>
        <v>2025</v>
      </c>
      <c r="AZ21" s="154">
        <f t="shared" si="18"/>
        <v>81.727145833333</v>
      </c>
      <c r="BA21" s="154">
        <f t="shared" si="26"/>
        <v>53.8549849999998</v>
      </c>
      <c r="BB21" s="154">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8">
        <v>81.727145833333</v>
      </c>
      <c r="BT21" s="148">
        <v>53.8549849999998</v>
      </c>
      <c r="BU21" s="148">
        <v>111.2783525</v>
      </c>
    </row>
    <row r="22" s="1" customFormat="1" spans="2:73">
      <c r="AX22" s="154" t="s">
        <v>89</v>
      </c>
      <c r="AY22" s="154">
        <f t="shared" si="25"/>
        <v>2025</v>
      </c>
      <c r="AZ22" s="154">
        <f t="shared" si="18"/>
        <v>78.8508679761902</v>
      </c>
      <c r="BA22" s="154">
        <f t="shared" si="26"/>
        <v>52.0133489285712</v>
      </c>
      <c r="BB22" s="154">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8">
        <v>78.8508679761902</v>
      </c>
      <c r="BT22" s="148">
        <v>52.0133489285712</v>
      </c>
      <c r="BU22" s="148">
        <v>107.289872142857</v>
      </c>
    </row>
    <row r="23" s="1" customFormat="1" spans="2:73">
      <c r="AX23" s="154" t="s">
        <v>93</v>
      </c>
      <c r="AY23" s="154">
        <f t="shared" si="25"/>
        <v>2025</v>
      </c>
      <c r="AZ23" s="154">
        <f t="shared" si="18"/>
        <v>81.2370619047616</v>
      </c>
      <c r="BA23" s="154">
        <f t="shared" si="26"/>
        <v>54.4190282857141</v>
      </c>
      <c r="BB23" s="154">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8">
        <v>81.2370619047616</v>
      </c>
      <c r="BT23" s="148">
        <v>54.4190282857141</v>
      </c>
      <c r="BU23" s="148">
        <v>109.650457428571</v>
      </c>
    </row>
    <row r="24" s="1" customFormat="1" spans="2:73">
      <c r="AW24" s="147"/>
      <c r="AX24" s="160"/>
      <c r="AY24" s="154"/>
      <c r="AZ24" s="154"/>
      <c r="BA24" s="154"/>
      <c r="BB24" s="154"/>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8">
        <v>147.041809523809</v>
      </c>
      <c r="BT24" s="148">
        <v>147.041809523809</v>
      </c>
      <c r="BU24" s="148">
        <v>147.041809523809</v>
      </c>
    </row>
    <row r="25" s="147" customFormat="1" spans="2:73">
      <c r="AV25" s="1"/>
      <c r="AW25" s="1"/>
      <c r="AX25" s="1"/>
      <c r="AY25" s="1"/>
      <c r="AZ25" s="1"/>
      <c r="BA25" s="1"/>
      <c r="BB25" s="1"/>
      <c r="BC25" s="1"/>
      <c r="BS25" s="161"/>
      <c r="BT25" s="161"/>
      <c r="BU25" s="161"/>
    </row>
    <row r="27" spans="2:73">
      <c r="F27" s="1" t="s">
        <v>99</v>
      </c>
    </row>
    <row r="28" spans="2:73">
      <c r="G28" s="156" t="s">
        <v>66</v>
      </c>
      <c r="H28" s="156" t="s">
        <v>11</v>
      </c>
      <c r="I28" s="156" t="s">
        <v>25</v>
      </c>
    </row>
    <row r="29" spans="2:73">
      <c r="F29" s="156" t="s">
        <v>71</v>
      </c>
      <c r="G29" s="1">
        <v>99.0769266666667</v>
      </c>
      <c r="H29" s="1">
        <v>74.18048</v>
      </c>
      <c r="I29" s="1">
        <v>125.5188</v>
      </c>
    </row>
    <row r="30" spans="2:73">
      <c r="F30" s="156" t="s">
        <v>75</v>
      </c>
      <c r="G30" s="1">
        <v>115.8002</v>
      </c>
      <c r="H30" s="1">
        <v>86.71725</v>
      </c>
      <c r="I30" s="1">
        <v>146.65515</v>
      </c>
      <c r="AX30" t="s">
        <v>62</v>
      </c>
      <c r="AY30"/>
      <c r="AZ30" s="154"/>
      <c r="BE30" s="1" t="s">
        <v>63</v>
      </c>
      <c r="BL30" s="1" t="s">
        <v>62</v>
      </c>
    </row>
    <row r="31" spans="2:73">
      <c r="F31" s="156" t="s">
        <v>79</v>
      </c>
      <c r="G31" s="1">
        <v>116.609496666667</v>
      </c>
      <c r="H31" s="1">
        <v>87.36327</v>
      </c>
      <c r="I31" s="1">
        <v>147.58976</v>
      </c>
      <c r="AW31" s="162"/>
      <c r="AX31" s="154" t="s">
        <v>65</v>
      </c>
      <c r="AY31" s="154" t="s">
        <v>41</v>
      </c>
      <c r="AZ31" s="158" t="s">
        <v>66</v>
      </c>
      <c r="BA31" s="158" t="s">
        <v>11</v>
      </c>
      <c r="BB31" s="158" t="s">
        <v>25</v>
      </c>
      <c r="BE31" s="1" t="s">
        <v>65</v>
      </c>
      <c r="BF31" s="1" t="s">
        <v>41</v>
      </c>
      <c r="BG31" s="1" t="s">
        <v>66</v>
      </c>
      <c r="BH31" s="1" t="s">
        <v>11</v>
      </c>
      <c r="BI31" s="1" t="s">
        <v>25</v>
      </c>
      <c r="BL31" s="1" t="s">
        <v>65</v>
      </c>
      <c r="BM31" s="1" t="s">
        <v>41</v>
      </c>
      <c r="BN31" s="1" t="s">
        <v>66</v>
      </c>
      <c r="BO31" s="1" t="s">
        <v>11</v>
      </c>
      <c r="BP31" s="1" t="s">
        <v>25</v>
      </c>
      <c r="BS31" s="148" t="s">
        <v>66</v>
      </c>
      <c r="BT31" s="148" t="s">
        <v>11</v>
      </c>
      <c r="BU31" s="148" t="s">
        <v>25</v>
      </c>
    </row>
    <row r="32" spans="2:73">
      <c r="B32" s="67" t="s">
        <v>100</v>
      </c>
      <c r="C32" s="67" t="s">
        <v>101</v>
      </c>
      <c r="F32" s="156" t="s">
        <v>84</v>
      </c>
      <c r="G32" s="1">
        <v>119.49202</v>
      </c>
      <c r="H32" s="1">
        <v>89.52996</v>
      </c>
      <c r="I32" s="1">
        <v>151.27476</v>
      </c>
      <c r="AW32" s="154"/>
      <c r="AX32" s="154" t="s">
        <v>67</v>
      </c>
      <c r="AY32" s="154">
        <v>2030</v>
      </c>
      <c r="AZ32" s="154">
        <f>AZ17*AK2/AJ2</f>
        <v>63.1582102380952</v>
      </c>
      <c r="BA32" s="154">
        <f>BA17*AK2/AJ2</f>
        <v>43.5967164285714</v>
      </c>
      <c r="BB32" s="154">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8">
        <v>63.1582102380952</v>
      </c>
      <c r="BT32" s="148">
        <v>43.5967164285714</v>
      </c>
      <c r="BU32" s="148">
        <v>83.9339678571427</v>
      </c>
    </row>
    <row r="33" spans="2:73">
      <c r="B33" s="67">
        <v>121.57</v>
      </c>
      <c r="C33" s="67">
        <f>B33/0.75</f>
        <v>162.093333333333</v>
      </c>
      <c r="F33" s="156" t="s">
        <v>88</v>
      </c>
      <c r="G33" s="1">
        <v>122.491716666667</v>
      </c>
      <c r="H33" s="1">
        <v>91.7665</v>
      </c>
      <c r="I33" s="1">
        <v>155.06785</v>
      </c>
      <c r="AW33" s="154"/>
      <c r="AX33" s="154" t="s">
        <v>72</v>
      </c>
      <c r="AY33" s="154">
        <f t="shared" ref="AY33:AY39" si="34">AY32</f>
        <v>2030</v>
      </c>
      <c r="AZ33" s="154">
        <f t="shared" ref="AZ33:AZ39" si="35">AZ18*AK3/AJ3</f>
        <v>74.9638999999999</v>
      </c>
      <c r="BA33" s="154">
        <f t="shared" ref="BA33:BA39" si="36">BA18*AK3/AJ3</f>
        <v>52.1130107142856</v>
      </c>
      <c r="BB33" s="154">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8">
        <v>74.9638999999999</v>
      </c>
      <c r="BT33" s="148">
        <v>52.1130107142856</v>
      </c>
      <c r="BU33" s="148">
        <v>99.2070749999999</v>
      </c>
    </row>
    <row r="34" spans="2:73">
      <c r="F34" s="156" t="s">
        <v>92</v>
      </c>
      <c r="G34" s="1">
        <v>117.948416666667</v>
      </c>
      <c r="H34" s="1">
        <v>88.36375</v>
      </c>
      <c r="I34" s="1">
        <v>149.2985</v>
      </c>
      <c r="AW34" s="154"/>
      <c r="AX34" s="154" t="s">
        <v>76</v>
      </c>
      <c r="AY34" s="154">
        <f t="shared" si="34"/>
        <v>2030</v>
      </c>
      <c r="AZ34" s="154">
        <f t="shared" si="35"/>
        <v>67.0589045238094</v>
      </c>
      <c r="BA34" s="154">
        <f t="shared" si="36"/>
        <v>44.0797264285714</v>
      </c>
      <c r="BB34" s="154">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8">
        <v>67.0589045238094</v>
      </c>
      <c r="BT34" s="148">
        <v>44.0797264285714</v>
      </c>
      <c r="BU34" s="148">
        <v>91.4005399999999</v>
      </c>
    </row>
    <row r="35" spans="2:73">
      <c r="F35" s="156" t="s">
        <v>96</v>
      </c>
      <c r="G35" s="1">
        <v>117.830666666667</v>
      </c>
      <c r="H35" s="1">
        <v>88.26748</v>
      </c>
      <c r="I35" s="1">
        <v>149.15252</v>
      </c>
      <c r="AW35" s="154"/>
      <c r="AX35" s="154" t="s">
        <v>80</v>
      </c>
      <c r="AY35" s="154">
        <f t="shared" si="34"/>
        <v>2030</v>
      </c>
      <c r="AZ35" s="154">
        <f t="shared" si="35"/>
        <v>67.1955192857142</v>
      </c>
      <c r="BA35" s="154">
        <f t="shared" si="36"/>
        <v>43.6539007142857</v>
      </c>
      <c r="BB35" s="154">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8">
        <v>67.1955192857142</v>
      </c>
      <c r="BT35" s="148">
        <v>43.6539007142857</v>
      </c>
      <c r="BU35" s="148">
        <v>92.167672142857</v>
      </c>
    </row>
    <row r="36" spans="2:73">
      <c r="AW36" s="154"/>
      <c r="AX36" s="154" t="s">
        <v>85</v>
      </c>
      <c r="AY36" s="154">
        <f t="shared" si="34"/>
        <v>2030</v>
      </c>
      <c r="AZ36" s="154">
        <f t="shared" si="35"/>
        <v>70.7872916666665</v>
      </c>
      <c r="BA36" s="154">
        <f t="shared" si="36"/>
        <v>46.6460499999999</v>
      </c>
      <c r="BB36" s="154">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8">
        <v>70.7872916666665</v>
      </c>
      <c r="BT36" s="148">
        <v>46.6460499999999</v>
      </c>
      <c r="BU36" s="148">
        <v>96.3828249999999</v>
      </c>
    </row>
    <row r="37" spans="2:73">
      <c r="AW37" s="154"/>
      <c r="AX37" s="154" t="s">
        <v>89</v>
      </c>
      <c r="AY37" s="154">
        <f t="shared" si="34"/>
        <v>2030</v>
      </c>
      <c r="AZ37" s="154">
        <f t="shared" si="35"/>
        <v>68.2960273809523</v>
      </c>
      <c r="BA37" s="154">
        <f t="shared" si="36"/>
        <v>45.0509321428571</v>
      </c>
      <c r="BB37" s="154">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8">
        <v>68.2960273809523</v>
      </c>
      <c r="BT37" s="148">
        <v>45.0509321428571</v>
      </c>
      <c r="BU37" s="148">
        <v>92.9282357142856</v>
      </c>
    </row>
    <row r="38" spans="2:73">
      <c r="AW38" s="154"/>
      <c r="AX38" s="154" t="s">
        <v>93</v>
      </c>
      <c r="AY38" s="154">
        <f t="shared" si="34"/>
        <v>2030</v>
      </c>
      <c r="AZ38" s="154">
        <f t="shared" si="35"/>
        <v>70.3628095238094</v>
      </c>
      <c r="BA38" s="154">
        <f t="shared" si="36"/>
        <v>47.1345914285714</v>
      </c>
      <c r="BB38" s="154">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8">
        <v>70.3628095238094</v>
      </c>
      <c r="BT38" s="148">
        <v>47.1345914285714</v>
      </c>
      <c r="BU38" s="148">
        <v>94.972837142857</v>
      </c>
    </row>
    <row r="39" spans="2:73">
      <c r="AW39" s="160"/>
      <c r="AX39" s="160"/>
      <c r="AY39" s="154"/>
      <c r="AZ39" s="154"/>
      <c r="BA39" s="154"/>
      <c r="BB39" s="154"/>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8">
        <v>127.359047619047</v>
      </c>
      <c r="BT39" s="148">
        <v>127.359047619047</v>
      </c>
      <c r="BU39" s="148">
        <v>127.359047619047</v>
      </c>
    </row>
    <row r="44" spans="2:73">
      <c r="AX44" t="s">
        <v>62</v>
      </c>
      <c r="AY44"/>
      <c r="AZ44" s="154"/>
      <c r="BE44" s="1" t="s">
        <v>63</v>
      </c>
      <c r="BL44" s="1" t="s">
        <v>62</v>
      </c>
    </row>
    <row r="45" spans="2:73">
      <c r="AX45" s="154" t="s">
        <v>65</v>
      </c>
      <c r="AY45" s="154" t="s">
        <v>41</v>
      </c>
      <c r="AZ45" s="158" t="s">
        <v>66</v>
      </c>
      <c r="BA45" s="158" t="s">
        <v>11</v>
      </c>
      <c r="BB45" s="158" t="s">
        <v>25</v>
      </c>
      <c r="BE45" s="1" t="s">
        <v>65</v>
      </c>
      <c r="BF45" s="1" t="s">
        <v>41</v>
      </c>
      <c r="BG45" s="1" t="s">
        <v>66</v>
      </c>
      <c r="BH45" s="1" t="s">
        <v>11</v>
      </c>
      <c r="BI45" s="1" t="s">
        <v>25</v>
      </c>
      <c r="BL45" s="1" t="s">
        <v>65</v>
      </c>
      <c r="BM45" s="1" t="s">
        <v>41</v>
      </c>
      <c r="BN45" s="1" t="s">
        <v>66</v>
      </c>
      <c r="BO45" s="1" t="s">
        <v>11</v>
      </c>
      <c r="BP45" s="1" t="s">
        <v>25</v>
      </c>
      <c r="BS45" s="148" t="s">
        <v>66</v>
      </c>
      <c r="BT45" s="148" t="s">
        <v>11</v>
      </c>
      <c r="BU45" s="148" t="s">
        <v>25</v>
      </c>
    </row>
    <row r="46" spans="2:73">
      <c r="B46"/>
      <c r="C46" s="154"/>
      <c r="AX46" s="154" t="s">
        <v>67</v>
      </c>
      <c r="AY46" s="154">
        <v>2035</v>
      </c>
      <c r="AZ46" s="154">
        <f>AZ32*AL2/AK2</f>
        <v>57.4165547619049</v>
      </c>
      <c r="BA46" s="154">
        <f>BA32*AL2/AK2</f>
        <v>39.6333785714287</v>
      </c>
      <c r="BB46" s="154">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8">
        <v>57.4165547619049</v>
      </c>
      <c r="BT46" s="148">
        <v>39.6333785714287</v>
      </c>
      <c r="BU46" s="148">
        <v>76.3036071428573</v>
      </c>
    </row>
    <row r="47" spans="2:73">
      <c r="B47" s="154"/>
      <c r="C47" s="158"/>
      <c r="D47" s="158"/>
      <c r="E47" s="158"/>
      <c r="AX47" s="154" t="s">
        <v>72</v>
      </c>
      <c r="AY47" s="154">
        <f t="shared" ref="AY47:AY53" si="44">AY46</f>
        <v>2035</v>
      </c>
      <c r="AZ47" s="154">
        <f t="shared" ref="AZ47:AZ53" si="45">AZ33*AL3/AK3</f>
        <v>68.1490000000002</v>
      </c>
      <c r="BA47" s="154">
        <f t="shared" ref="BA47:BA53" si="46">BA33*AL3/AK3</f>
        <v>47.3754642857144</v>
      </c>
      <c r="BB47" s="154">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8">
        <v>68.1490000000002</v>
      </c>
      <c r="BT47" s="148">
        <v>47.3754642857144</v>
      </c>
      <c r="BU47" s="148">
        <v>90.1882500000002</v>
      </c>
    </row>
    <row r="48" spans="2:73">
      <c r="B48" s="154"/>
      <c r="C48" s="154"/>
      <c r="D48" s="154"/>
      <c r="E48" s="154"/>
      <c r="AX48" s="154" t="s">
        <v>76</v>
      </c>
      <c r="AY48" s="154">
        <f t="shared" si="44"/>
        <v>2035</v>
      </c>
      <c r="AZ48" s="154">
        <f t="shared" si="45"/>
        <v>60.9626404761906</v>
      </c>
      <c r="BA48" s="154">
        <f t="shared" si="46"/>
        <v>40.0724785714287</v>
      </c>
      <c r="BB48" s="154">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8">
        <v>60.9626404761906</v>
      </c>
      <c r="BT48" s="148">
        <v>40.0724785714287</v>
      </c>
      <c r="BU48" s="148">
        <v>83.0914000000002</v>
      </c>
    </row>
    <row r="49" spans="2:73">
      <c r="B49" s="154"/>
      <c r="C49" s="154"/>
      <c r="D49" s="154"/>
      <c r="E49" s="154"/>
      <c r="AX49" s="154" t="s">
        <v>80</v>
      </c>
      <c r="AY49" s="154">
        <f t="shared" si="44"/>
        <v>2035</v>
      </c>
      <c r="AZ49" s="154">
        <f t="shared" si="45"/>
        <v>61.0868357142859</v>
      </c>
      <c r="BA49" s="154">
        <f t="shared" si="46"/>
        <v>39.6853642857144</v>
      </c>
      <c r="BB49" s="154">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8">
        <v>61.0868357142859</v>
      </c>
      <c r="BT49" s="148">
        <v>39.6853642857144</v>
      </c>
      <c r="BU49" s="148">
        <v>83.7887928571431</v>
      </c>
    </row>
    <row r="50" spans="2:73">
      <c r="B50" s="154"/>
      <c r="C50" s="154"/>
      <c r="D50" s="154"/>
      <c r="E50" s="154"/>
      <c r="AX50" s="154" t="s">
        <v>85</v>
      </c>
      <c r="AY50" s="154">
        <f t="shared" si="44"/>
        <v>2035</v>
      </c>
      <c r="AZ50" s="154">
        <f t="shared" si="45"/>
        <v>64.3520833333335</v>
      </c>
      <c r="BA50" s="154">
        <f t="shared" si="46"/>
        <v>42.4055000000001</v>
      </c>
      <c r="BB50" s="154">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8">
        <v>64.3520833333335</v>
      </c>
      <c r="BT50" s="148">
        <v>42.4055000000001</v>
      </c>
      <c r="BU50" s="148">
        <v>87.6207500000002</v>
      </c>
    </row>
    <row r="51" spans="2:73">
      <c r="B51" s="154"/>
      <c r="C51" s="154"/>
      <c r="D51" s="154"/>
      <c r="E51" s="154"/>
      <c r="AX51" s="154" t="s">
        <v>89</v>
      </c>
      <c r="AY51" s="154">
        <f t="shared" si="44"/>
        <v>2035</v>
      </c>
      <c r="AZ51" s="154">
        <f t="shared" si="45"/>
        <v>62.0872976190478</v>
      </c>
      <c r="BA51" s="154">
        <f t="shared" si="46"/>
        <v>40.955392857143</v>
      </c>
      <c r="BB51" s="154">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8">
        <v>62.0872976190478</v>
      </c>
      <c r="BT51" s="148">
        <v>40.955392857143</v>
      </c>
      <c r="BU51" s="148">
        <v>84.4802142857145</v>
      </c>
    </row>
    <row r="52" spans="2:73">
      <c r="B52" s="154"/>
      <c r="C52" s="154"/>
      <c r="D52" s="154"/>
      <c r="E52" s="154"/>
      <c r="AX52" s="154" t="s">
        <v>93</v>
      </c>
      <c r="AY52" s="154">
        <f t="shared" si="44"/>
        <v>2035</v>
      </c>
      <c r="AZ52" s="154">
        <f t="shared" si="45"/>
        <v>63.9661904761907</v>
      </c>
      <c r="BA52" s="154">
        <f t="shared" si="46"/>
        <v>42.8496285714287</v>
      </c>
      <c r="BB52" s="154">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8">
        <v>63.9661904761907</v>
      </c>
      <c r="BT52" s="148">
        <v>42.8496285714287</v>
      </c>
      <c r="BU52" s="148">
        <v>86.3389428571431</v>
      </c>
    </row>
    <row r="53" spans="2:73">
      <c r="B53" s="154"/>
      <c r="C53" s="154"/>
      <c r="D53" s="154"/>
      <c r="E53" s="154"/>
      <c r="AW53" s="147"/>
      <c r="AX53" s="160"/>
      <c r="AY53" s="154"/>
      <c r="AZ53" s="154"/>
      <c r="BA53" s="154"/>
      <c r="BB53" s="154"/>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8">
        <v>115.780952380953</v>
      </c>
      <c r="BT53" s="148">
        <v>115.780952380953</v>
      </c>
      <c r="BU53" s="148">
        <v>115.780952380953</v>
      </c>
    </row>
    <row r="54" spans="2:73">
      <c r="B54" s="154"/>
      <c r="C54" s="154"/>
      <c r="D54" s="154"/>
      <c r="E54" s="154"/>
    </row>
    <row r="55" spans="2:73">
      <c r="B55" s="163"/>
      <c r="C55" s="164"/>
      <c r="D55" s="164"/>
      <c r="E55" s="164"/>
    </row>
    <row r="58" spans="2:73">
      <c r="AX58" t="s">
        <v>62</v>
      </c>
      <c r="AY58"/>
      <c r="AZ58" s="154"/>
      <c r="BE58" s="1" t="s">
        <v>63</v>
      </c>
      <c r="BL58" s="1" t="s">
        <v>62</v>
      </c>
    </row>
    <row r="59" spans="2:73">
      <c r="AX59" s="154" t="s">
        <v>65</v>
      </c>
      <c r="AY59" s="154" t="s">
        <v>41</v>
      </c>
      <c r="AZ59" s="158" t="s">
        <v>66</v>
      </c>
      <c r="BA59" s="158" t="s">
        <v>11</v>
      </c>
      <c r="BB59" s="158" t="s">
        <v>25</v>
      </c>
      <c r="BE59" s="1" t="s">
        <v>65</v>
      </c>
      <c r="BF59" s="1" t="s">
        <v>41</v>
      </c>
      <c r="BG59" s="1" t="s">
        <v>66</v>
      </c>
      <c r="BH59" s="1" t="s">
        <v>11</v>
      </c>
      <c r="BI59" s="1" t="s">
        <v>25</v>
      </c>
      <c r="BL59" s="1" t="s">
        <v>65</v>
      </c>
      <c r="BM59" s="1" t="s">
        <v>41</v>
      </c>
      <c r="BN59" s="1" t="s">
        <v>66</v>
      </c>
      <c r="BO59" s="1" t="s">
        <v>11</v>
      </c>
      <c r="BP59" s="1" t="s">
        <v>25</v>
      </c>
      <c r="BS59" s="148" t="s">
        <v>66</v>
      </c>
      <c r="BT59" s="148" t="s">
        <v>11</v>
      </c>
      <c r="BU59" s="148" t="s">
        <v>25</v>
      </c>
    </row>
    <row r="60" spans="2:73">
      <c r="AX60" s="154" t="s">
        <v>67</v>
      </c>
      <c r="AY60" s="154">
        <v>2040</v>
      </c>
      <c r="AZ60" s="154">
        <f>AZ46*0.97</f>
        <v>55.6940581190478</v>
      </c>
      <c r="BA60" s="154">
        <f>BA46*0.97</f>
        <v>38.4443772142858</v>
      </c>
      <c r="BB60" s="154">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8">
        <v>55.6940581190478</v>
      </c>
      <c r="BT60" s="148">
        <v>38.4443772142858</v>
      </c>
      <c r="BU60" s="148">
        <v>74.0144989285716</v>
      </c>
    </row>
    <row r="61" spans="2:73">
      <c r="AX61" s="154" t="s">
        <v>72</v>
      </c>
      <c r="AY61" s="154">
        <f t="shared" ref="AY61:AY67" si="54">AY60</f>
        <v>2040</v>
      </c>
      <c r="AZ61" s="154">
        <f t="shared" ref="AZ61:AZ67" si="55">AZ47*0.97</f>
        <v>66.1045300000002</v>
      </c>
      <c r="BA61" s="154">
        <f t="shared" ref="BA61:BA67" si="56">BA47*0.97</f>
        <v>45.954200357143</v>
      </c>
      <c r="BB61" s="154">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8">
        <v>66.1045300000002</v>
      </c>
      <c r="BT61" s="148">
        <v>45.954200357143</v>
      </c>
      <c r="BU61" s="148">
        <v>87.4826025000002</v>
      </c>
    </row>
    <row r="62" spans="2:73">
      <c r="AX62" s="154" t="s">
        <v>76</v>
      </c>
      <c r="AY62" s="154">
        <f t="shared" si="54"/>
        <v>2040</v>
      </c>
      <c r="AZ62" s="154">
        <f t="shared" si="55"/>
        <v>59.1337612619049</v>
      </c>
      <c r="BA62" s="154">
        <f t="shared" si="56"/>
        <v>38.8703042142858</v>
      </c>
      <c r="BB62" s="154">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8">
        <v>59.1337612619049</v>
      </c>
      <c r="BT62" s="148">
        <v>38.8703042142858</v>
      </c>
      <c r="BU62" s="148">
        <v>80.5986580000002</v>
      </c>
    </row>
    <row r="63" spans="2:73">
      <c r="AX63" s="154" t="s">
        <v>80</v>
      </c>
      <c r="AY63" s="154">
        <f t="shared" si="54"/>
        <v>2040</v>
      </c>
      <c r="AZ63" s="154">
        <f t="shared" si="55"/>
        <v>59.2542306428573</v>
      </c>
      <c r="BA63" s="154">
        <f t="shared" si="56"/>
        <v>38.494803357143</v>
      </c>
      <c r="BB63" s="154">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8">
        <v>59.2542306428573</v>
      </c>
      <c r="BT63" s="148">
        <v>38.494803357143</v>
      </c>
      <c r="BU63" s="148">
        <v>81.2751290714288</v>
      </c>
    </row>
    <row r="64" spans="2:73">
      <c r="AX64" s="154" t="s">
        <v>85</v>
      </c>
      <c r="AY64" s="154">
        <f t="shared" si="54"/>
        <v>2040</v>
      </c>
      <c r="AZ64" s="154">
        <f t="shared" si="55"/>
        <v>62.4215208333334</v>
      </c>
      <c r="BA64" s="154">
        <f t="shared" si="56"/>
        <v>41.1333350000001</v>
      </c>
      <c r="BB64" s="154">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8">
        <v>62.4215208333334</v>
      </c>
      <c r="BT64" s="148">
        <v>41.1333350000001</v>
      </c>
      <c r="BU64" s="148">
        <v>84.9921275000002</v>
      </c>
    </row>
    <row r="65" spans="49:73">
      <c r="AX65" s="154" t="s">
        <v>89</v>
      </c>
      <c r="AY65" s="154">
        <f t="shared" si="54"/>
        <v>2040</v>
      </c>
      <c r="AZ65" s="154">
        <f t="shared" si="55"/>
        <v>60.2246786904764</v>
      </c>
      <c r="BA65" s="154">
        <f t="shared" si="56"/>
        <v>39.7267310714287</v>
      </c>
      <c r="BB65" s="154">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8">
        <v>60.2246786904764</v>
      </c>
      <c r="BT65" s="148">
        <v>39.7267310714287</v>
      </c>
      <c r="BU65" s="148">
        <v>81.9458078571431</v>
      </c>
    </row>
    <row r="66" spans="49:73">
      <c r="AX66" s="154" t="s">
        <v>93</v>
      </c>
      <c r="AY66" s="154">
        <f t="shared" si="54"/>
        <v>2040</v>
      </c>
      <c r="AZ66" s="154">
        <f t="shared" si="55"/>
        <v>62.0472047619049</v>
      </c>
      <c r="BA66" s="154">
        <f t="shared" si="56"/>
        <v>41.5641397142858</v>
      </c>
      <c r="BB66" s="154">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8">
        <v>62.0472047619049</v>
      </c>
      <c r="BT66" s="148">
        <v>41.5641397142858</v>
      </c>
      <c r="BU66" s="148">
        <v>83.7487745714288</v>
      </c>
    </row>
    <row r="67" spans="49:73">
      <c r="AW67" s="147"/>
      <c r="AX67" s="160"/>
      <c r="AY67" s="154"/>
      <c r="AZ67" s="154"/>
      <c r="BA67" s="154"/>
      <c r="BB67" s="154"/>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8">
        <v>112.307523809524</v>
      </c>
      <c r="BT67" s="148">
        <v>112.307523809524</v>
      </c>
      <c r="BU67" s="148">
        <v>112.307523809524</v>
      </c>
    </row>
    <row r="74" spans="49:73">
      <c r="AX74" t="s">
        <v>62</v>
      </c>
      <c r="AY74"/>
      <c r="AZ74" s="154"/>
      <c r="BE74" s="1" t="s">
        <v>63</v>
      </c>
      <c r="BL74" s="1" t="s">
        <v>62</v>
      </c>
    </row>
    <row r="75" spans="49:73">
      <c r="AX75" s="154" t="s">
        <v>65</v>
      </c>
      <c r="AY75" s="154" t="s">
        <v>41</v>
      </c>
      <c r="AZ75" s="158" t="s">
        <v>66</v>
      </c>
      <c r="BA75" s="158" t="s">
        <v>11</v>
      </c>
      <c r="BB75" s="158" t="s">
        <v>25</v>
      </c>
      <c r="BE75" s="1" t="s">
        <v>65</v>
      </c>
      <c r="BF75" s="1" t="s">
        <v>41</v>
      </c>
      <c r="BG75" s="1" t="s">
        <v>66</v>
      </c>
      <c r="BH75" s="1" t="s">
        <v>11</v>
      </c>
      <c r="BI75" s="1" t="s">
        <v>25</v>
      </c>
      <c r="BL75" s="1" t="s">
        <v>65</v>
      </c>
      <c r="BM75" s="1" t="s">
        <v>41</v>
      </c>
      <c r="BN75" s="1" t="s">
        <v>66</v>
      </c>
      <c r="BO75" s="1" t="s">
        <v>11</v>
      </c>
      <c r="BP75" s="1" t="s">
        <v>25</v>
      </c>
      <c r="BS75" s="148" t="s">
        <v>66</v>
      </c>
      <c r="BT75" s="148" t="s">
        <v>11</v>
      </c>
      <c r="BU75" s="148" t="s">
        <v>25</v>
      </c>
    </row>
    <row r="76" spans="49:73">
      <c r="AX76" s="154" t="s">
        <v>67</v>
      </c>
      <c r="AY76" s="154">
        <v>2045</v>
      </c>
      <c r="AZ76" s="154">
        <f>AZ60*0.96</f>
        <v>53.4662957942859</v>
      </c>
      <c r="BA76" s="154">
        <f>BA60*0.96</f>
        <v>36.9066021257144</v>
      </c>
      <c r="BB76" s="154">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8">
        <v>53.4662957942859</v>
      </c>
      <c r="BT76" s="148">
        <v>36.9066021257144</v>
      </c>
      <c r="BU76" s="148">
        <v>71.0539189714287</v>
      </c>
    </row>
    <row r="77" spans="49:73">
      <c r="AX77" s="154" t="s">
        <v>72</v>
      </c>
      <c r="AY77" s="154">
        <f t="shared" ref="AY77:AY83" si="64">AY76</f>
        <v>2045</v>
      </c>
      <c r="AZ77" s="154">
        <f t="shared" ref="AZ77:AZ83" si="65">AZ61*0.96</f>
        <v>63.4603488000002</v>
      </c>
      <c r="BA77" s="154">
        <f t="shared" ref="BA77:BA83" si="66">BA61*0.96</f>
        <v>44.1160323428573</v>
      </c>
      <c r="BB77" s="154">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8">
        <v>63.4603488000002</v>
      </c>
      <c r="BT77" s="148">
        <v>44.1160323428573</v>
      </c>
      <c r="BU77" s="148">
        <v>83.9832984000002</v>
      </c>
    </row>
    <row r="78" spans="49:73">
      <c r="AX78" s="154" t="s">
        <v>76</v>
      </c>
      <c r="AY78" s="154">
        <f t="shared" si="64"/>
        <v>2045</v>
      </c>
      <c r="AZ78" s="154">
        <f t="shared" si="65"/>
        <v>56.7684108114287</v>
      </c>
      <c r="BA78" s="154">
        <f t="shared" si="66"/>
        <v>37.3154920457144</v>
      </c>
      <c r="BB78" s="154">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8">
        <v>56.7684108114287</v>
      </c>
      <c r="BT78" s="148">
        <v>37.3154920457144</v>
      </c>
      <c r="BU78" s="148">
        <v>77.3747116800002</v>
      </c>
    </row>
    <row r="79" spans="49:73">
      <c r="AX79" s="154" t="s">
        <v>80</v>
      </c>
      <c r="AY79" s="154">
        <f t="shared" si="64"/>
        <v>2045</v>
      </c>
      <c r="AZ79" s="154">
        <f t="shared" si="65"/>
        <v>56.884061417143</v>
      </c>
      <c r="BA79" s="154">
        <f t="shared" si="66"/>
        <v>36.9550112228572</v>
      </c>
      <c r="BB79" s="154">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8">
        <v>56.884061417143</v>
      </c>
      <c r="BT79" s="148">
        <v>36.9550112228572</v>
      </c>
      <c r="BU79" s="148">
        <v>78.0241239085716</v>
      </c>
    </row>
    <row r="80" spans="49:73">
      <c r="AX80" s="154" t="s">
        <v>85</v>
      </c>
      <c r="AY80" s="154">
        <f t="shared" si="64"/>
        <v>2045</v>
      </c>
      <c r="AZ80" s="154">
        <f t="shared" si="65"/>
        <v>59.9246600000001</v>
      </c>
      <c r="BA80" s="154">
        <f t="shared" si="66"/>
        <v>39.4880016000001</v>
      </c>
      <c r="BB80" s="154">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8">
        <v>59.9246600000001</v>
      </c>
      <c r="BT80" s="148">
        <v>39.4880016000001</v>
      </c>
      <c r="BU80" s="148">
        <v>81.5924424000002</v>
      </c>
    </row>
    <row r="81" spans="49:73">
      <c r="AX81" s="154" t="s">
        <v>89</v>
      </c>
      <c r="AY81" s="154">
        <f t="shared" si="64"/>
        <v>2045</v>
      </c>
      <c r="AZ81" s="154">
        <f t="shared" si="65"/>
        <v>57.8156915428573</v>
      </c>
      <c r="BA81" s="154">
        <f t="shared" si="66"/>
        <v>38.1376618285715</v>
      </c>
      <c r="BB81" s="154">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8">
        <v>57.8156915428573</v>
      </c>
      <c r="BT81" s="148">
        <v>38.1376618285715</v>
      </c>
      <c r="BU81" s="148">
        <v>78.6679755428573</v>
      </c>
    </row>
    <row r="82" spans="49:73">
      <c r="AX82" s="154" t="s">
        <v>93</v>
      </c>
      <c r="AY82" s="154">
        <f t="shared" si="64"/>
        <v>2045</v>
      </c>
      <c r="AZ82" s="154">
        <f t="shared" si="65"/>
        <v>59.5653165714287</v>
      </c>
      <c r="BA82" s="154">
        <f t="shared" si="66"/>
        <v>39.9015741257144</v>
      </c>
      <c r="BB82" s="154">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8">
        <v>59.5653165714287</v>
      </c>
      <c r="BT82" s="148">
        <v>39.9015741257144</v>
      </c>
      <c r="BU82" s="148">
        <v>80.3988235885716</v>
      </c>
    </row>
    <row r="83" spans="49:73">
      <c r="AW83" s="147"/>
      <c r="AX83" s="160"/>
      <c r="AY83" s="154"/>
      <c r="AZ83" s="154"/>
      <c r="BA83" s="154"/>
      <c r="BB83" s="154"/>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8">
        <v>107.815222857143</v>
      </c>
      <c r="BT83" s="148">
        <v>107.815222857143</v>
      </c>
      <c r="BU83" s="148">
        <v>107.815222857143</v>
      </c>
    </row>
    <row r="87" spans="49:73">
      <c r="AX87" t="s">
        <v>62</v>
      </c>
      <c r="AY87"/>
      <c r="AZ87" s="154"/>
      <c r="BE87" s="1" t="s">
        <v>63</v>
      </c>
      <c r="BL87" s="1" t="s">
        <v>62</v>
      </c>
    </row>
    <row r="88" spans="49:73">
      <c r="AX88" s="154" t="s">
        <v>65</v>
      </c>
      <c r="AY88" s="154" t="s">
        <v>41</v>
      </c>
      <c r="AZ88" s="158" t="s">
        <v>66</v>
      </c>
      <c r="BA88" s="158" t="s">
        <v>11</v>
      </c>
      <c r="BB88" s="158" t="s">
        <v>25</v>
      </c>
      <c r="BE88" s="1" t="s">
        <v>65</v>
      </c>
      <c r="BF88" s="1" t="s">
        <v>41</v>
      </c>
      <c r="BG88" s="1" t="s">
        <v>66</v>
      </c>
      <c r="BH88" s="1" t="s">
        <v>11</v>
      </c>
      <c r="BI88" s="1" t="s">
        <v>25</v>
      </c>
      <c r="BL88" s="1" t="s">
        <v>65</v>
      </c>
      <c r="BM88" s="1" t="s">
        <v>41</v>
      </c>
      <c r="BN88" s="1" t="s">
        <v>66</v>
      </c>
      <c r="BO88" s="1" t="s">
        <v>11</v>
      </c>
      <c r="BP88" s="1" t="s">
        <v>25</v>
      </c>
      <c r="BS88" s="148" t="s">
        <v>66</v>
      </c>
      <c r="BT88" s="148" t="s">
        <v>11</v>
      </c>
      <c r="BU88" s="148" t="s">
        <v>25</v>
      </c>
    </row>
    <row r="89" spans="49:73">
      <c r="AX89" s="154" t="s">
        <v>67</v>
      </c>
      <c r="AY89" s="154">
        <v>2050</v>
      </c>
      <c r="AZ89" s="154">
        <f>AZ76*0.96</f>
        <v>51.3276439625144</v>
      </c>
      <c r="BA89" s="154">
        <f>BA76*0.96</f>
        <v>35.4303380406858</v>
      </c>
      <c r="BB89" s="154">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8">
        <v>51.3276439625144</v>
      </c>
      <c r="BT89" s="148">
        <v>35.4303380406858</v>
      </c>
      <c r="BU89" s="148">
        <v>68.2117622125716</v>
      </c>
    </row>
    <row r="90" spans="49:73">
      <c r="AX90" s="154" t="s">
        <v>72</v>
      </c>
      <c r="AY90" s="154">
        <f t="shared" ref="AY90:AY96" si="74">AY89</f>
        <v>2050</v>
      </c>
      <c r="AZ90" s="154">
        <f t="shared" ref="AZ90:BB90" si="75">AZ77*0.96</f>
        <v>60.9219348480002</v>
      </c>
      <c r="BA90" s="154">
        <f t="shared" si="75"/>
        <v>42.351391049143</v>
      </c>
      <c r="BB90" s="154">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8">
        <v>60.9219348480002</v>
      </c>
      <c r="BT90" s="148">
        <v>42.351391049143</v>
      </c>
      <c r="BU90" s="148">
        <v>80.6239664640002</v>
      </c>
    </row>
    <row r="91" spans="49:73">
      <c r="AX91" s="154" t="s">
        <v>76</v>
      </c>
      <c r="AY91" s="154">
        <f t="shared" si="74"/>
        <v>2050</v>
      </c>
      <c r="AZ91" s="154">
        <f t="shared" ref="AZ91:BB91" si="76">AZ78*0.96</f>
        <v>54.4976743789715</v>
      </c>
      <c r="BA91" s="154">
        <f t="shared" si="76"/>
        <v>35.8228723638858</v>
      </c>
      <c r="BB91" s="154">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8">
        <v>54.4976743789715</v>
      </c>
      <c r="BT91" s="148">
        <v>35.8228723638858</v>
      </c>
      <c r="BU91" s="148">
        <v>74.2797232128002</v>
      </c>
    </row>
    <row r="92" spans="49:73">
      <c r="AX92" s="154" t="s">
        <v>80</v>
      </c>
      <c r="AY92" s="154">
        <f t="shared" si="74"/>
        <v>2050</v>
      </c>
      <c r="AZ92" s="154">
        <f t="shared" ref="AZ92:BB92" si="77">AZ79*0.96</f>
        <v>54.6086989604573</v>
      </c>
      <c r="BA92" s="154">
        <f t="shared" si="77"/>
        <v>35.4768107739429</v>
      </c>
      <c r="BB92" s="154">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8">
        <v>54.6086989604573</v>
      </c>
      <c r="BT92" s="148">
        <v>35.4768107739429</v>
      </c>
      <c r="BU92" s="148">
        <v>74.9031589522287</v>
      </c>
    </row>
    <row r="93" spans="49:73">
      <c r="AX93" s="154" t="s">
        <v>85</v>
      </c>
      <c r="AY93" s="154">
        <f t="shared" si="74"/>
        <v>2050</v>
      </c>
      <c r="AZ93" s="154">
        <f t="shared" ref="AZ93:BB93" si="78">AZ80*0.96</f>
        <v>57.5276736000001</v>
      </c>
      <c r="BA93" s="154">
        <f t="shared" si="78"/>
        <v>37.9084815360001</v>
      </c>
      <c r="BB93" s="154">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8">
        <v>57.5276736000001</v>
      </c>
      <c r="BT93" s="148">
        <v>37.9084815360001</v>
      </c>
      <c r="BU93" s="148">
        <v>78.3287447040002</v>
      </c>
    </row>
    <row r="94" spans="49:73">
      <c r="AX94" s="154" t="s">
        <v>89</v>
      </c>
      <c r="AY94" s="154">
        <f t="shared" si="74"/>
        <v>2050</v>
      </c>
      <c r="AZ94" s="154">
        <f t="shared" ref="AZ94:BB94" si="79">AZ81*0.96</f>
        <v>55.503063881143</v>
      </c>
      <c r="BA94" s="154">
        <f t="shared" si="79"/>
        <v>36.6121553554287</v>
      </c>
      <c r="BB94" s="154">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8">
        <v>55.503063881143</v>
      </c>
      <c r="BT94" s="148">
        <v>36.6121553554287</v>
      </c>
      <c r="BU94" s="148">
        <v>75.521256521143</v>
      </c>
    </row>
    <row r="95" spans="49:73">
      <c r="AX95" s="154" t="s">
        <v>93</v>
      </c>
      <c r="AY95" s="154">
        <f t="shared" si="74"/>
        <v>2050</v>
      </c>
      <c r="AZ95" s="154">
        <f t="shared" ref="AZ95:BB95" si="80">AZ82*0.96</f>
        <v>57.1827039085716</v>
      </c>
      <c r="BA95" s="154">
        <f t="shared" si="80"/>
        <v>38.3055111606858</v>
      </c>
      <c r="BB95" s="154">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8">
        <v>57.1827039085716</v>
      </c>
      <c r="BT95" s="148">
        <v>38.3055111606858</v>
      </c>
      <c r="BU95" s="148">
        <v>77.1828706450288</v>
      </c>
    </row>
    <row r="96" spans="49:73">
      <c r="AW96" s="147"/>
      <c r="AX96" s="160"/>
      <c r="AY96" s="154"/>
      <c r="AZ96" s="154"/>
      <c r="BA96" s="154"/>
      <c r="BB96" s="154"/>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8">
        <v>103.502613942857</v>
      </c>
      <c r="BT96" s="148">
        <v>103.502613942857</v>
      </c>
      <c r="BU96" s="148">
        <v>103.502613942857</v>
      </c>
    </row>
    <row r="104" spans="50:73">
      <c r="AX104" t="s">
        <v>62</v>
      </c>
      <c r="AY104"/>
      <c r="AZ104" s="154"/>
      <c r="BE104" s="1" t="s">
        <v>63</v>
      </c>
      <c r="BL104" s="1" t="s">
        <v>62</v>
      </c>
    </row>
    <row r="105" spans="50:73">
      <c r="AX105" s="154" t="s">
        <v>65</v>
      </c>
      <c r="AY105" s="154" t="s">
        <v>41</v>
      </c>
      <c r="AZ105" s="158" t="s">
        <v>66</v>
      </c>
      <c r="BA105" s="158" t="s">
        <v>11</v>
      </c>
      <c r="BB105" s="158" t="s">
        <v>25</v>
      </c>
      <c r="BE105" s="1" t="s">
        <v>65</v>
      </c>
      <c r="BF105" s="1" t="s">
        <v>41</v>
      </c>
      <c r="BG105" s="1" t="s">
        <v>66</v>
      </c>
      <c r="BH105" s="1" t="s">
        <v>11</v>
      </c>
      <c r="BI105" s="1" t="s">
        <v>25</v>
      </c>
      <c r="BL105" s="1" t="s">
        <v>65</v>
      </c>
      <c r="BM105" s="1" t="s">
        <v>41</v>
      </c>
      <c r="BN105" s="1" t="s">
        <v>66</v>
      </c>
      <c r="BO105" s="1" t="s">
        <v>11</v>
      </c>
      <c r="BP105" s="1" t="s">
        <v>25</v>
      </c>
      <c r="BS105" s="148" t="s">
        <v>66</v>
      </c>
      <c r="BT105" s="148" t="s">
        <v>11</v>
      </c>
      <c r="BU105" s="148" t="s">
        <v>25</v>
      </c>
    </row>
    <row r="106" spans="50:73">
      <c r="AX106" s="154" t="s">
        <v>67</v>
      </c>
      <c r="AY106" s="154">
        <v>2100</v>
      </c>
      <c r="AZ106" s="154">
        <f>AZ89</f>
        <v>51.3276439625144</v>
      </c>
      <c r="BA106" s="154">
        <f t="shared" ref="BA106:BA113" si="81">BA89</f>
        <v>35.4303380406858</v>
      </c>
      <c r="BB106" s="154">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8">
        <v>51.3276439625144</v>
      </c>
      <c r="BT106" s="148">
        <v>35.4303380406858</v>
      </c>
      <c r="BU106" s="148">
        <v>68.2117622125716</v>
      </c>
    </row>
    <row r="107" spans="50:73">
      <c r="AX107" s="154" t="s">
        <v>72</v>
      </c>
      <c r="AY107" s="154">
        <f t="shared" ref="AY107:AY113" si="89">AY106</f>
        <v>2100</v>
      </c>
      <c r="AZ107" s="154">
        <f t="shared" ref="AZ107:AZ113" si="90">AZ90</f>
        <v>60.9219348480002</v>
      </c>
      <c r="BA107" s="154">
        <f t="shared" si="81"/>
        <v>42.351391049143</v>
      </c>
      <c r="BB107" s="154">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8">
        <v>60.9219348480002</v>
      </c>
      <c r="BT107" s="148">
        <v>42.351391049143</v>
      </c>
      <c r="BU107" s="148">
        <v>80.6239664640002</v>
      </c>
    </row>
    <row r="108" spans="50:73">
      <c r="AX108" s="154" t="s">
        <v>76</v>
      </c>
      <c r="AY108" s="154">
        <f t="shared" si="89"/>
        <v>2100</v>
      </c>
      <c r="AZ108" s="154">
        <f t="shared" si="90"/>
        <v>54.4976743789715</v>
      </c>
      <c r="BA108" s="154">
        <f t="shared" si="81"/>
        <v>35.8228723638858</v>
      </c>
      <c r="BB108" s="154">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8">
        <v>54.4976743789715</v>
      </c>
      <c r="BT108" s="148">
        <v>35.8228723638858</v>
      </c>
      <c r="BU108" s="148">
        <v>74.2797232128002</v>
      </c>
    </row>
    <row r="109" spans="50:73">
      <c r="AX109" s="154" t="s">
        <v>80</v>
      </c>
      <c r="AY109" s="154">
        <f t="shared" si="89"/>
        <v>2100</v>
      </c>
      <c r="AZ109" s="154">
        <f t="shared" si="90"/>
        <v>54.6086989604573</v>
      </c>
      <c r="BA109" s="154">
        <f t="shared" si="81"/>
        <v>35.4768107739429</v>
      </c>
      <c r="BB109" s="154">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8">
        <v>54.6086989604573</v>
      </c>
      <c r="BT109" s="148">
        <v>35.4768107739429</v>
      </c>
      <c r="BU109" s="148">
        <v>74.9031589522287</v>
      </c>
    </row>
    <row r="110" spans="50:73">
      <c r="AX110" s="154" t="s">
        <v>85</v>
      </c>
      <c r="AY110" s="154">
        <f t="shared" si="89"/>
        <v>2100</v>
      </c>
      <c r="AZ110" s="154">
        <f t="shared" si="90"/>
        <v>57.5276736000001</v>
      </c>
      <c r="BA110" s="154">
        <f t="shared" si="81"/>
        <v>37.9084815360001</v>
      </c>
      <c r="BB110" s="154">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8">
        <v>57.5276736000001</v>
      </c>
      <c r="BT110" s="148">
        <v>37.9084815360001</v>
      </c>
      <c r="BU110" s="148">
        <v>78.3287447040002</v>
      </c>
    </row>
    <row r="111" spans="50:73">
      <c r="AX111" s="154" t="s">
        <v>89</v>
      </c>
      <c r="AY111" s="154">
        <f t="shared" si="89"/>
        <v>2100</v>
      </c>
      <c r="AZ111" s="154">
        <f t="shared" si="90"/>
        <v>55.503063881143</v>
      </c>
      <c r="BA111" s="154">
        <f t="shared" si="81"/>
        <v>36.6121553554287</v>
      </c>
      <c r="BB111" s="154">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8">
        <v>55.503063881143</v>
      </c>
      <c r="BT111" s="148">
        <v>36.6121553554287</v>
      </c>
      <c r="BU111" s="148">
        <v>75.521256521143</v>
      </c>
    </row>
    <row r="112" spans="50:73">
      <c r="AX112" s="154" t="s">
        <v>93</v>
      </c>
      <c r="AY112" s="154">
        <f t="shared" si="89"/>
        <v>2100</v>
      </c>
      <c r="AZ112" s="154">
        <f t="shared" si="90"/>
        <v>57.1827039085716</v>
      </c>
      <c r="BA112" s="154">
        <f t="shared" si="81"/>
        <v>38.3055111606858</v>
      </c>
      <c r="BB112" s="154">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8">
        <v>57.1827039085716</v>
      </c>
      <c r="BT112" s="148">
        <v>38.3055111606858</v>
      </c>
      <c r="BU112" s="148">
        <v>77.1828706450288</v>
      </c>
    </row>
    <row r="113" spans="49:73">
      <c r="AW113" s="147"/>
      <c r="AX113" s="160"/>
      <c r="AY113" s="154"/>
      <c r="AZ113" s="154"/>
      <c r="BA113" s="154"/>
      <c r="BB113" s="154"/>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8">
        <v>103.502613942857</v>
      </c>
      <c r="BT113" s="148">
        <v>103.502613942857</v>
      </c>
      <c r="BU113" s="148">
        <v>103.502613942857</v>
      </c>
    </row>
    <row r="118" spans="49:73">
      <c r="AX118" t="s">
        <v>62</v>
      </c>
      <c r="AY118"/>
      <c r="AZ118" s="154"/>
      <c r="BE118" s="1" t="s">
        <v>63</v>
      </c>
      <c r="BL118" s="1" t="s">
        <v>62</v>
      </c>
    </row>
    <row r="119" spans="49:73">
      <c r="AX119" s="154" t="s">
        <v>65</v>
      </c>
      <c r="AY119" s="154" t="s">
        <v>41</v>
      </c>
      <c r="AZ119" s="158" t="s">
        <v>66</v>
      </c>
      <c r="BA119" s="158" t="s">
        <v>11</v>
      </c>
      <c r="BB119" s="158" t="s">
        <v>25</v>
      </c>
      <c r="BE119" s="1" t="s">
        <v>65</v>
      </c>
      <c r="BF119" s="1" t="s">
        <v>41</v>
      </c>
      <c r="BG119" s="1" t="s">
        <v>66</v>
      </c>
      <c r="BH119" s="1" t="s">
        <v>11</v>
      </c>
      <c r="BI119" s="1" t="s">
        <v>25</v>
      </c>
      <c r="BL119" s="1" t="s">
        <v>65</v>
      </c>
      <c r="BM119" s="1" t="s">
        <v>41</v>
      </c>
      <c r="BN119" s="1" t="s">
        <v>66</v>
      </c>
      <c r="BO119" s="1" t="s">
        <v>11</v>
      </c>
      <c r="BP119" s="1" t="s">
        <v>25</v>
      </c>
      <c r="BS119" s="148" t="s">
        <v>66</v>
      </c>
      <c r="BT119" s="148" t="s">
        <v>11</v>
      </c>
      <c r="BU119" s="148" t="s">
        <v>25</v>
      </c>
    </row>
    <row r="120" spans="49:73">
      <c r="AX120" s="154" t="s">
        <v>67</v>
      </c>
      <c r="AY120" s="154">
        <v>0</v>
      </c>
      <c r="AZ120" s="154">
        <v>3</v>
      </c>
      <c r="BA120" s="154">
        <v>3</v>
      </c>
      <c r="BB120" s="154">
        <v>3</v>
      </c>
      <c r="BE120" s="1" t="s">
        <v>68</v>
      </c>
      <c r="BF120" s="1">
        <v>0</v>
      </c>
      <c r="BG120" s="1">
        <v>3</v>
      </c>
      <c r="BH120" s="1">
        <v>3</v>
      </c>
      <c r="BI120" s="1">
        <v>3</v>
      </c>
      <c r="BL120" s="1" t="s">
        <v>69</v>
      </c>
      <c r="BM120" s="1">
        <v>0</v>
      </c>
      <c r="BN120" s="1">
        <v>3</v>
      </c>
      <c r="BO120" s="1">
        <v>3</v>
      </c>
      <c r="BP120" s="1">
        <v>3</v>
      </c>
      <c r="BS120" s="148">
        <v>3</v>
      </c>
      <c r="BT120" s="148">
        <v>3</v>
      </c>
      <c r="BU120" s="148">
        <v>3</v>
      </c>
    </row>
    <row r="121" spans="49:73">
      <c r="AX121" s="154" t="s">
        <v>72</v>
      </c>
      <c r="AY121" s="154">
        <f t="shared" ref="AY121:AY127" si="91">AY120</f>
        <v>0</v>
      </c>
      <c r="AZ121" s="154">
        <v>3</v>
      </c>
      <c r="BA121" s="154">
        <v>3</v>
      </c>
      <c r="BB121" s="154">
        <v>3</v>
      </c>
      <c r="BE121" s="1" t="s">
        <v>73</v>
      </c>
      <c r="BF121" s="1">
        <v>0</v>
      </c>
      <c r="BG121" s="1">
        <v>3</v>
      </c>
      <c r="BH121" s="1">
        <v>3</v>
      </c>
      <c r="BI121" s="1">
        <v>3</v>
      </c>
      <c r="BL121" s="1" t="s">
        <v>74</v>
      </c>
      <c r="BM121" s="1">
        <v>0</v>
      </c>
      <c r="BN121" s="1">
        <v>3</v>
      </c>
      <c r="BO121" s="1">
        <v>3</v>
      </c>
      <c r="BP121" s="1">
        <v>3</v>
      </c>
      <c r="BS121" s="148">
        <v>3</v>
      </c>
      <c r="BT121" s="148">
        <v>3</v>
      </c>
      <c r="BU121" s="148">
        <v>3</v>
      </c>
    </row>
    <row r="122" spans="49:73">
      <c r="AX122" s="154" t="s">
        <v>76</v>
      </c>
      <c r="AY122" s="154">
        <f t="shared" si="91"/>
        <v>0</v>
      </c>
      <c r="AZ122" s="154">
        <v>3</v>
      </c>
      <c r="BA122" s="154">
        <v>3</v>
      </c>
      <c r="BB122" s="154">
        <v>3</v>
      </c>
      <c r="BE122" s="1" t="s">
        <v>77</v>
      </c>
      <c r="BF122" s="1">
        <v>0</v>
      </c>
      <c r="BG122" s="1">
        <v>3</v>
      </c>
      <c r="BH122" s="1">
        <v>3</v>
      </c>
      <c r="BI122" s="1">
        <v>3</v>
      </c>
      <c r="BL122" s="1" t="s">
        <v>78</v>
      </c>
      <c r="BM122" s="1">
        <v>0</v>
      </c>
      <c r="BN122" s="1">
        <v>3</v>
      </c>
      <c r="BO122" s="1">
        <v>3</v>
      </c>
      <c r="BP122" s="1">
        <v>3</v>
      </c>
      <c r="BS122" s="148">
        <v>3</v>
      </c>
      <c r="BT122" s="148">
        <v>3</v>
      </c>
      <c r="BU122" s="148">
        <v>3</v>
      </c>
    </row>
    <row r="123" spans="49:73">
      <c r="AX123" s="154" t="s">
        <v>80</v>
      </c>
      <c r="AY123" s="154">
        <f t="shared" si="91"/>
        <v>0</v>
      </c>
      <c r="AZ123" s="154">
        <v>3</v>
      </c>
      <c r="BA123" s="154">
        <v>3</v>
      </c>
      <c r="BB123" s="154">
        <v>3</v>
      </c>
      <c r="BE123" s="1" t="s">
        <v>81</v>
      </c>
      <c r="BF123" s="1">
        <v>0</v>
      </c>
      <c r="BG123" s="1">
        <v>3</v>
      </c>
      <c r="BH123" s="1">
        <v>3</v>
      </c>
      <c r="BI123" s="1">
        <v>3</v>
      </c>
      <c r="BL123" s="1" t="s">
        <v>82</v>
      </c>
      <c r="BM123" s="1">
        <v>0</v>
      </c>
      <c r="BN123" s="1">
        <v>3</v>
      </c>
      <c r="BO123" s="1">
        <v>3</v>
      </c>
      <c r="BP123" s="1">
        <v>3</v>
      </c>
      <c r="BS123" s="148">
        <v>3</v>
      </c>
      <c r="BT123" s="148">
        <v>3</v>
      </c>
      <c r="BU123" s="148">
        <v>3</v>
      </c>
    </row>
    <row r="124" spans="49:73">
      <c r="AX124" s="154" t="s">
        <v>85</v>
      </c>
      <c r="AY124" s="154">
        <f t="shared" si="91"/>
        <v>0</v>
      </c>
      <c r="AZ124" s="154">
        <v>3</v>
      </c>
      <c r="BA124" s="154">
        <v>3</v>
      </c>
      <c r="BB124" s="154">
        <v>3</v>
      </c>
      <c r="BE124" s="1" t="s">
        <v>86</v>
      </c>
      <c r="BF124" s="1">
        <v>0</v>
      </c>
      <c r="BG124" s="1">
        <v>3</v>
      </c>
      <c r="BH124" s="1">
        <v>3</v>
      </c>
      <c r="BI124" s="1">
        <v>3</v>
      </c>
      <c r="BL124" s="1" t="s">
        <v>87</v>
      </c>
      <c r="BM124" s="1">
        <v>0</v>
      </c>
      <c r="BN124" s="1">
        <v>3</v>
      </c>
      <c r="BO124" s="1">
        <v>3</v>
      </c>
      <c r="BP124" s="1">
        <v>3</v>
      </c>
      <c r="BS124" s="148">
        <v>3</v>
      </c>
      <c r="BT124" s="148">
        <v>3</v>
      </c>
      <c r="BU124" s="148">
        <v>3</v>
      </c>
    </row>
    <row r="125" spans="49:73">
      <c r="AX125" s="154" t="s">
        <v>89</v>
      </c>
      <c r="AY125" s="154">
        <f t="shared" si="91"/>
        <v>0</v>
      </c>
      <c r="AZ125" s="154">
        <v>3</v>
      </c>
      <c r="BA125" s="154">
        <v>3</v>
      </c>
      <c r="BB125" s="154">
        <v>3</v>
      </c>
      <c r="BE125" s="1" t="s">
        <v>90</v>
      </c>
      <c r="BF125" s="1">
        <v>0</v>
      </c>
      <c r="BG125" s="1">
        <v>3</v>
      </c>
      <c r="BH125" s="1">
        <v>3</v>
      </c>
      <c r="BI125" s="1">
        <v>3</v>
      </c>
      <c r="BL125" s="1" t="s">
        <v>91</v>
      </c>
      <c r="BM125" s="1">
        <v>0</v>
      </c>
      <c r="BN125" s="1">
        <v>3</v>
      </c>
      <c r="BO125" s="1">
        <v>3</v>
      </c>
      <c r="BP125" s="1">
        <v>3</v>
      </c>
      <c r="BS125" s="148">
        <v>3</v>
      </c>
      <c r="BT125" s="148">
        <v>3</v>
      </c>
      <c r="BU125" s="148">
        <v>3</v>
      </c>
    </row>
    <row r="126" spans="49:73">
      <c r="AX126" s="154" t="s">
        <v>93</v>
      </c>
      <c r="AY126" s="154">
        <f t="shared" si="91"/>
        <v>0</v>
      </c>
      <c r="AZ126" s="154">
        <v>3</v>
      </c>
      <c r="BA126" s="154">
        <v>3</v>
      </c>
      <c r="BB126" s="154">
        <v>3</v>
      </c>
      <c r="BE126" s="1" t="s">
        <v>94</v>
      </c>
      <c r="BF126" s="1">
        <v>0</v>
      </c>
      <c r="BG126" s="1">
        <v>3</v>
      </c>
      <c r="BH126" s="1">
        <v>3</v>
      </c>
      <c r="BI126" s="1">
        <v>3</v>
      </c>
      <c r="BL126" s="1" t="s">
        <v>95</v>
      </c>
      <c r="BM126" s="1">
        <v>0</v>
      </c>
      <c r="BN126" s="1">
        <v>3</v>
      </c>
      <c r="BO126" s="1">
        <v>3</v>
      </c>
      <c r="BP126" s="1">
        <v>3</v>
      </c>
      <c r="BS126" s="148">
        <v>3</v>
      </c>
      <c r="BT126" s="148">
        <v>3</v>
      </c>
      <c r="BU126" s="148">
        <v>3</v>
      </c>
    </row>
    <row r="127" spans="49:73">
      <c r="AW127" s="147"/>
      <c r="AX127" s="160"/>
      <c r="AY127" s="154"/>
      <c r="AZ127" s="154"/>
      <c r="BA127" s="154"/>
      <c r="BB127" s="154"/>
      <c r="BE127" s="1" t="s">
        <v>97</v>
      </c>
      <c r="BF127" s="1">
        <v>0</v>
      </c>
      <c r="BG127" s="1">
        <v>3</v>
      </c>
      <c r="BH127" s="1">
        <v>3</v>
      </c>
      <c r="BI127" s="1">
        <v>3</v>
      </c>
      <c r="BL127" s="1" t="s">
        <v>98</v>
      </c>
      <c r="BM127" s="1">
        <v>0</v>
      </c>
      <c r="BN127" s="1">
        <v>3</v>
      </c>
      <c r="BO127" s="1">
        <v>3</v>
      </c>
      <c r="BP127" s="1">
        <v>3</v>
      </c>
      <c r="BS127" s="148">
        <v>3</v>
      </c>
      <c r="BT127" s="148">
        <v>3</v>
      </c>
      <c r="BU127" s="148">
        <v>3</v>
      </c>
    </row>
    <row r="140" spans="57:61">
      <c r="BE140" s="165" t="s">
        <v>62</v>
      </c>
      <c r="BF140" s="165"/>
      <c r="BG140" s="165"/>
      <c r="BH140" s="165"/>
      <c r="BI140" s="165"/>
    </row>
    <row r="141" spans="57:61">
      <c r="BE141" s="165"/>
      <c r="BF141" s="165"/>
      <c r="BG141" s="165"/>
      <c r="BH141" s="165"/>
      <c r="BI141" s="165"/>
    </row>
    <row r="142" spans="57:61">
      <c r="BE142" s="165"/>
      <c r="BF142" s="165"/>
      <c r="BG142" s="165"/>
      <c r="BH142" s="165"/>
      <c r="BI142" s="165"/>
    </row>
    <row r="143" spans="57:61">
      <c r="BE143" s="165"/>
      <c r="BF143" s="165"/>
      <c r="BG143" s="165"/>
      <c r="BH143" s="165"/>
      <c r="BI143" s="165"/>
    </row>
    <row r="144" spans="57:61">
      <c r="BE144" s="165" t="s">
        <v>65</v>
      </c>
      <c r="BF144" s="165" t="s">
        <v>41</v>
      </c>
      <c r="BG144" s="165" t="s">
        <v>66</v>
      </c>
      <c r="BH144" s="165" t="s">
        <v>11</v>
      </c>
      <c r="BI144" s="165" t="s">
        <v>25</v>
      </c>
    </row>
    <row r="145" spans="57:61">
      <c r="BE145" s="165" t="s">
        <v>68</v>
      </c>
      <c r="BF145" s="165">
        <v>2023</v>
      </c>
      <c r="BG145" s="165">
        <v>0.1</v>
      </c>
      <c r="BH145" s="165">
        <f>BG145</f>
        <v>0.1</v>
      </c>
      <c r="BI145" s="165">
        <f>BH145</f>
        <v>0.1</v>
      </c>
    </row>
    <row r="146" spans="57:61">
      <c r="BE146" s="165" t="s">
        <v>73</v>
      </c>
      <c r="BF146" s="165">
        <v>2023</v>
      </c>
      <c r="BG146" s="165">
        <v>0.1</v>
      </c>
      <c r="BH146" s="165">
        <f>BH145</f>
        <v>0.1</v>
      </c>
      <c r="BI146" s="165">
        <f>BI145</f>
        <v>0.1</v>
      </c>
    </row>
    <row r="147" spans="57:61">
      <c r="BE147" s="165" t="s">
        <v>77</v>
      </c>
      <c r="BF147" s="165">
        <v>2023</v>
      </c>
      <c r="BG147" s="165">
        <f t="shared" ref="BG147:BG152" si="92">BG146</f>
        <v>0.1</v>
      </c>
      <c r="BH147" s="165">
        <f t="shared" ref="BH147:BH152" si="93">BH146</f>
        <v>0.1</v>
      </c>
      <c r="BI147" s="165">
        <f t="shared" ref="BI147:BI152" si="94">BI146</f>
        <v>0.1</v>
      </c>
    </row>
    <row r="148" spans="57:61">
      <c r="BE148" s="165" t="s">
        <v>81</v>
      </c>
      <c r="BF148" s="165">
        <v>2023</v>
      </c>
      <c r="BG148" s="165">
        <f t="shared" si="92"/>
        <v>0.1</v>
      </c>
      <c r="BH148" s="165">
        <f t="shared" si="93"/>
        <v>0.1</v>
      </c>
      <c r="BI148" s="165">
        <f t="shared" si="94"/>
        <v>0.1</v>
      </c>
    </row>
    <row r="149" spans="57:61">
      <c r="BE149" s="165" t="s">
        <v>86</v>
      </c>
      <c r="BF149" s="165">
        <v>2023</v>
      </c>
      <c r="BG149" s="165">
        <f t="shared" si="92"/>
        <v>0.1</v>
      </c>
      <c r="BH149" s="165">
        <f t="shared" si="93"/>
        <v>0.1</v>
      </c>
      <c r="BI149" s="165">
        <f t="shared" si="94"/>
        <v>0.1</v>
      </c>
    </row>
    <row r="150" spans="57:61">
      <c r="BE150" s="165" t="s">
        <v>90</v>
      </c>
      <c r="BF150" s="165">
        <v>2023</v>
      </c>
      <c r="BG150" s="165">
        <f t="shared" si="92"/>
        <v>0.1</v>
      </c>
      <c r="BH150" s="165">
        <f t="shared" si="93"/>
        <v>0.1</v>
      </c>
      <c r="BI150" s="165">
        <f t="shared" si="94"/>
        <v>0.1</v>
      </c>
    </row>
    <row r="151" spans="57:61">
      <c r="BE151" s="165" t="s">
        <v>94</v>
      </c>
      <c r="BF151" s="165">
        <v>2023</v>
      </c>
      <c r="BG151" s="165">
        <f t="shared" si="92"/>
        <v>0.1</v>
      </c>
      <c r="BH151" s="165">
        <f t="shared" si="93"/>
        <v>0.1</v>
      </c>
      <c r="BI151" s="165">
        <f t="shared" si="94"/>
        <v>0.1</v>
      </c>
    </row>
    <row r="152" spans="57:61">
      <c r="BE152" s="165" t="s">
        <v>97</v>
      </c>
      <c r="BF152" s="165">
        <v>2023</v>
      </c>
      <c r="BG152" s="165">
        <f t="shared" si="92"/>
        <v>0.1</v>
      </c>
      <c r="BH152" s="165">
        <f t="shared" si="93"/>
        <v>0.1</v>
      </c>
      <c r="BI152" s="165">
        <f t="shared" si="94"/>
        <v>0.1</v>
      </c>
    </row>
    <row r="153" spans="57:61">
      <c r="BE153" s="165"/>
      <c r="BF153" s="165"/>
      <c r="BG153" s="165"/>
      <c r="BH153" s="165"/>
      <c r="BI153" s="165"/>
    </row>
    <row r="154" spans="57:61">
      <c r="BE154" s="165"/>
      <c r="BF154" s="165"/>
      <c r="BG154" s="165"/>
      <c r="BH154" s="165"/>
      <c r="BI154" s="165"/>
    </row>
    <row r="155" spans="57:61">
      <c r="BE155" s="165"/>
      <c r="BF155" s="165"/>
      <c r="BG155" s="165"/>
      <c r="BH155" s="165"/>
      <c r="BI155" s="165"/>
    </row>
    <row r="156" spans="57:61">
      <c r="BE156" s="165"/>
      <c r="BF156" s="165"/>
      <c r="BG156" s="165"/>
      <c r="BH156" s="165"/>
      <c r="BI156" s="165"/>
    </row>
    <row r="157" spans="57:61">
      <c r="BE157" s="165"/>
      <c r="BF157" s="165"/>
      <c r="BG157" s="165"/>
      <c r="BH157" s="165"/>
      <c r="BI157" s="165"/>
    </row>
    <row r="158" spans="57:61">
      <c r="BE158" s="165"/>
      <c r="BF158" s="165"/>
      <c r="BG158" s="165"/>
      <c r="BH158" s="165"/>
      <c r="BI158" s="165"/>
    </row>
    <row r="159" spans="57:61">
      <c r="BE159" s="165"/>
      <c r="BF159" s="165"/>
      <c r="BG159" s="165"/>
      <c r="BH159" s="165"/>
      <c r="BI159" s="165"/>
    </row>
    <row r="160" spans="57:61">
      <c r="BE160" s="165"/>
      <c r="BF160" s="165"/>
      <c r="BG160" s="165"/>
      <c r="BH160" s="165"/>
      <c r="BI160" s="165"/>
    </row>
    <row r="161" spans="57:61">
      <c r="BE161" s="165"/>
      <c r="BF161" s="165"/>
      <c r="BG161" s="165"/>
      <c r="BH161" s="165"/>
      <c r="BI161" s="165"/>
    </row>
    <row r="162" spans="57:61">
      <c r="BE162" s="165"/>
      <c r="BF162" s="165"/>
      <c r="BG162" s="165"/>
      <c r="BH162" s="165"/>
      <c r="BI162" s="165"/>
    </row>
    <row r="163" spans="57:61">
      <c r="BE163" s="165"/>
      <c r="BF163" s="165"/>
      <c r="BG163" s="165"/>
      <c r="BH163" s="165"/>
      <c r="BI163" s="165"/>
    </row>
    <row r="164" spans="57:61">
      <c r="BE164" s="165"/>
      <c r="BF164" s="165"/>
      <c r="BG164" s="165"/>
      <c r="BH164" s="165"/>
      <c r="BI164" s="165"/>
    </row>
    <row r="165" spans="57:61">
      <c r="BE165" s="165"/>
      <c r="BF165" s="165"/>
      <c r="BG165" s="165"/>
      <c r="BH165" s="165"/>
      <c r="BI165" s="165"/>
    </row>
    <row r="166" spans="57:61">
      <c r="BE166" s="165"/>
      <c r="BF166" s="165"/>
      <c r="BG166" s="165"/>
      <c r="BH166" s="165"/>
      <c r="BI166" s="165"/>
    </row>
    <row r="167" spans="57:61">
      <c r="BE167" s="165"/>
      <c r="BF167" s="165"/>
      <c r="BG167" s="165"/>
      <c r="BH167" s="165"/>
      <c r="BI167" s="165"/>
    </row>
    <row r="168" spans="57:61">
      <c r="BE168" s="165"/>
      <c r="BF168" s="165"/>
      <c r="BG168" s="165"/>
      <c r="BH168" s="165"/>
      <c r="BI168" s="165"/>
    </row>
    <row r="169" spans="57:61">
      <c r="BE169" s="165"/>
      <c r="BF169" s="165"/>
      <c r="BG169" s="165"/>
      <c r="BH169" s="165"/>
      <c r="BI169" s="165"/>
    </row>
    <row r="170" spans="57:61">
      <c r="BE170" s="165" t="s">
        <v>62</v>
      </c>
      <c r="BF170" s="165"/>
      <c r="BG170" s="165"/>
      <c r="BH170" s="165"/>
      <c r="BI170" s="165"/>
    </row>
    <row r="171" spans="57:61">
      <c r="BE171" s="165"/>
      <c r="BF171" s="165"/>
      <c r="BG171" s="165"/>
      <c r="BH171" s="165"/>
      <c r="BI171" s="165"/>
    </row>
    <row r="172" spans="57:61">
      <c r="BE172" s="165"/>
      <c r="BF172" s="165"/>
      <c r="BG172" s="165"/>
      <c r="BH172" s="165"/>
      <c r="BI172" s="165"/>
    </row>
    <row r="173" spans="57:61">
      <c r="BE173" s="165"/>
      <c r="BF173" s="165"/>
      <c r="BG173" s="165"/>
      <c r="BH173" s="165"/>
      <c r="BI173" s="165"/>
    </row>
    <row r="174" spans="57:61">
      <c r="BE174" s="165"/>
      <c r="BF174" s="165"/>
      <c r="BG174" s="165"/>
      <c r="BH174" s="165"/>
      <c r="BI174" s="165"/>
    </row>
    <row r="175" spans="57:61">
      <c r="BE175" s="165"/>
      <c r="BF175" s="165"/>
      <c r="BG175" s="165"/>
      <c r="BH175" s="165"/>
      <c r="BI175" s="165"/>
    </row>
    <row r="176" spans="57:61">
      <c r="BE176" s="165"/>
      <c r="BF176" s="165"/>
      <c r="BG176" s="165"/>
      <c r="BH176" s="165"/>
      <c r="BI176" s="165"/>
    </row>
    <row r="177" spans="57:61">
      <c r="BE177" s="165" t="s">
        <v>65</v>
      </c>
      <c r="BF177" s="165" t="s">
        <v>41</v>
      </c>
      <c r="BG177" s="165" t="s">
        <v>66</v>
      </c>
      <c r="BH177" s="165" t="s">
        <v>11</v>
      </c>
      <c r="BI177" s="165" t="s">
        <v>25</v>
      </c>
    </row>
    <row r="178" spans="57:61">
      <c r="BE178" s="165" t="s">
        <v>68</v>
      </c>
      <c r="BF178" s="165">
        <v>0</v>
      </c>
      <c r="BG178" s="165">
        <v>3</v>
      </c>
      <c r="BH178" s="165">
        <v>3</v>
      </c>
      <c r="BI178" s="165">
        <v>3</v>
      </c>
    </row>
    <row r="179" spans="57:61">
      <c r="BE179" s="165" t="s">
        <v>73</v>
      </c>
      <c r="BF179" s="165">
        <v>0</v>
      </c>
      <c r="BG179" s="165">
        <v>3</v>
      </c>
      <c r="BH179" s="165">
        <v>3</v>
      </c>
      <c r="BI179" s="165">
        <v>3</v>
      </c>
    </row>
    <row r="180" spans="57:61">
      <c r="BE180" s="165" t="s">
        <v>77</v>
      </c>
      <c r="BF180" s="165">
        <v>0</v>
      </c>
      <c r="BG180" s="165">
        <v>3</v>
      </c>
      <c r="BH180" s="165">
        <v>3</v>
      </c>
      <c r="BI180" s="165">
        <v>3</v>
      </c>
    </row>
    <row r="181" spans="57:61">
      <c r="BE181" s="165" t="s">
        <v>81</v>
      </c>
      <c r="BF181" s="165">
        <v>0</v>
      </c>
      <c r="BG181" s="165">
        <v>3</v>
      </c>
      <c r="BH181" s="165">
        <v>3</v>
      </c>
      <c r="BI181" s="165">
        <v>3</v>
      </c>
    </row>
    <row r="182" spans="57:61">
      <c r="BE182" s="165" t="s">
        <v>86</v>
      </c>
      <c r="BF182" s="165">
        <v>0</v>
      </c>
      <c r="BG182" s="165">
        <v>3</v>
      </c>
      <c r="BH182" s="165">
        <v>3</v>
      </c>
      <c r="BI182" s="165">
        <v>3</v>
      </c>
    </row>
    <row r="183" spans="57:61">
      <c r="BE183" s="165" t="s">
        <v>90</v>
      </c>
      <c r="BF183" s="165">
        <v>0</v>
      </c>
      <c r="BG183" s="165">
        <v>3</v>
      </c>
      <c r="BH183" s="165">
        <v>3</v>
      </c>
      <c r="BI183" s="165">
        <v>3</v>
      </c>
    </row>
    <row r="184" spans="57:61">
      <c r="BE184" s="165" t="s">
        <v>94</v>
      </c>
      <c r="BF184" s="165">
        <v>0</v>
      </c>
      <c r="BG184" s="165">
        <v>3</v>
      </c>
      <c r="BH184" s="165">
        <v>3</v>
      </c>
      <c r="BI184" s="165">
        <v>3</v>
      </c>
    </row>
    <row r="185" spans="57:61">
      <c r="BE185" s="165" t="s">
        <v>97</v>
      </c>
      <c r="BF185" s="165">
        <v>0</v>
      </c>
      <c r="BG185" s="165">
        <v>3</v>
      </c>
      <c r="BH185" s="165">
        <v>3</v>
      </c>
      <c r="BI185" s="165">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6" zoomScaleNormal="86" topLeftCell="A45" workbookViewId="0">
      <selection activeCell="D62" sqref="D6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7" t="s">
        <v>102</v>
      </c>
      <c r="C2" s="87"/>
      <c r="D2" s="87"/>
      <c r="E2" s="87"/>
      <c r="K2" t="s">
        <v>103</v>
      </c>
      <c r="P2" s="88" t="s">
        <v>104</v>
      </c>
      <c r="Q2" s="88"/>
      <c r="R2" s="88"/>
      <c r="S2" s="88"/>
    </row>
    <row r="3" spans="2:19">
      <c r="B3" s="89" t="s">
        <v>105</v>
      </c>
      <c r="C3" s="89" t="s">
        <v>106</v>
      </c>
      <c r="D3" s="89" t="s">
        <v>107</v>
      </c>
      <c r="E3" s="89" t="s">
        <v>66</v>
      </c>
      <c r="K3" t="s">
        <v>65</v>
      </c>
      <c r="L3" t="s">
        <v>108</v>
      </c>
      <c r="M3" t="s">
        <v>109</v>
      </c>
      <c r="P3" s="88" t="s">
        <v>110</v>
      </c>
      <c r="Q3" s="88" t="s">
        <v>111</v>
      </c>
      <c r="R3" s="88" t="s">
        <v>112</v>
      </c>
      <c r="S3" s="88" t="s">
        <v>108</v>
      </c>
    </row>
    <row r="4" spans="2:19">
      <c r="B4" s="87" t="s">
        <v>113</v>
      </c>
      <c r="C4" s="87" t="s">
        <v>114</v>
      </c>
      <c r="D4" s="87" t="s">
        <v>115</v>
      </c>
      <c r="E4" s="87" t="s">
        <v>116</v>
      </c>
      <c r="K4" t="s">
        <v>117</v>
      </c>
      <c r="L4" t="s">
        <v>118</v>
      </c>
      <c r="M4" t="s">
        <v>119</v>
      </c>
      <c r="P4" s="88" t="s">
        <v>120</v>
      </c>
      <c r="Q4" s="88" t="s">
        <v>121</v>
      </c>
      <c r="R4" s="88" t="s">
        <v>122</v>
      </c>
      <c r="S4" s="88" t="s">
        <v>123</v>
      </c>
    </row>
    <row r="5" spans="2:19">
      <c r="B5" s="87" t="s">
        <v>113</v>
      </c>
      <c r="C5" s="87" t="s">
        <v>124</v>
      </c>
      <c r="D5" s="87" t="s">
        <v>115</v>
      </c>
      <c r="E5" s="87"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81">
        <v>15</v>
      </c>
      <c r="K12" t="s">
        <v>143</v>
      </c>
    </row>
    <row r="13" spans="2:19">
      <c r="B13" t="s">
        <v>144</v>
      </c>
      <c r="C13" t="s">
        <v>115</v>
      </c>
      <c r="E13" s="167" t="s">
        <v>145</v>
      </c>
      <c r="F13">
        <v>2019</v>
      </c>
      <c r="K13" t="s">
        <v>133</v>
      </c>
      <c r="L13" t="s">
        <v>50</v>
      </c>
      <c r="M13" t="s">
        <v>146</v>
      </c>
      <c r="N13" t="s">
        <v>147</v>
      </c>
    </row>
    <row r="14" spans="2:19">
      <c r="K14" t="s">
        <v>148</v>
      </c>
      <c r="L14" t="s">
        <v>149</v>
      </c>
      <c r="M14" t="s">
        <v>150</v>
      </c>
      <c r="N14" t="s">
        <v>115</v>
      </c>
    </row>
    <row r="15" spans="2:19">
      <c r="B15" s="32" t="s">
        <v>151</v>
      </c>
      <c r="C15" s="32"/>
      <c r="D15" s="32" t="s">
        <v>152</v>
      </c>
      <c r="E15" s="32" t="s">
        <v>153</v>
      </c>
      <c r="F15" s="32">
        <v>0.93</v>
      </c>
      <c r="G15" s="32"/>
      <c r="H15" s="32"/>
      <c r="K15" t="s">
        <v>148</v>
      </c>
      <c r="L15" t="s">
        <v>154</v>
      </c>
      <c r="M15" t="s">
        <v>150</v>
      </c>
      <c r="N15" t="s">
        <v>132</v>
      </c>
    </row>
    <row r="16" spans="2:19">
      <c r="B16" s="90" t="s">
        <v>155</v>
      </c>
    </row>
    <row r="18" spans="2:50">
      <c r="B18" t="s">
        <v>110</v>
      </c>
      <c r="C18">
        <v>2019</v>
      </c>
      <c r="D18">
        <v>0</v>
      </c>
      <c r="E18" t="s">
        <v>156</v>
      </c>
      <c r="F18" t="s">
        <v>109</v>
      </c>
      <c r="G18" t="s">
        <v>157</v>
      </c>
    </row>
    <row r="19" spans="2:50">
      <c r="B19" s="167" t="s">
        <v>145</v>
      </c>
      <c r="C19">
        <v>0.2</v>
      </c>
      <c r="D19">
        <v>3</v>
      </c>
      <c r="E19" s="167"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91">
        <f>AVERAGEIFS(RoadTra_BY!L$2:L$999,RoadTra_BY!$B$2:$B$999,'Road transport'!$C23,RoadTra_BY!$C$2:$C$999,'Road transport'!$AX23)</f>
        <v>7</v>
      </c>
      <c r="E23" s="91">
        <f>AVERAGEIFS(RoadTra_BY!M$2:M$999,RoadTra_BY!$B$2:$B$999,'Road transport'!$C23,RoadTra_BY!$C$2:$C$999,'Road transport'!$AX23)</f>
        <v>7</v>
      </c>
      <c r="F23" s="91">
        <f>AVERAGEIFS(RoadTra_BY!N$2:N$999,RoadTra_BY!$B$2:$B$999,'Road transport'!$C23,RoadTra_BY!$C$2:$C$999,'Road transport'!$AX23)</f>
        <v>7</v>
      </c>
      <c r="G23" s="91">
        <f>AVERAGEIFS(RoadTra_BY!O$2:O$999,RoadTra_BY!$B$2:$B$999,'Road transport'!$C23,RoadTra_BY!$C$2:$C$999,'Road transport'!$AX23)</f>
        <v>7</v>
      </c>
      <c r="H23" s="91">
        <f>AVERAGEIFS(RoadTra_BY!P$2:P$999,RoadTra_BY!$B$2:$B$999,'Road transport'!$C23,RoadTra_BY!$C$2:$C$999,'Road transport'!$AX23)</f>
        <v>7</v>
      </c>
      <c r="I23" s="91">
        <f>AVERAGEIFS(RoadTra_BY!Q$2:Q$999,RoadTra_BY!$B$2:$B$999,'Road transport'!$C23,RoadTra_BY!$C$2:$C$999,'Road transport'!$AX23)</f>
        <v>7</v>
      </c>
      <c r="J23" s="91">
        <f>AVERAGEIFS(RoadTra_BY!R$2:R$999,RoadTra_BY!$B$2:$B$999,'Road transport'!$C23,RoadTra_BY!$C$2:$C$999,'Road transport'!$AX23)</f>
        <v>7</v>
      </c>
      <c r="K23" s="91">
        <f>AVERAGEIFS(RoadTra_BY!S$2:S$999,RoadTra_BY!$B$2:$B$999,'Road transport'!$C23,RoadTra_BY!$C$2:$C$999,'Road transport'!$AX23)</f>
        <v>7</v>
      </c>
      <c r="L23" s="91">
        <f>AVERAGEIFS(RoadTra_BY!T$2:T$999,RoadTra_BY!$B$2:$B$999,'Road transport'!$C23,RoadTra_BY!$C$2:$C$999,'Road transport'!$AX23)</f>
        <v>7</v>
      </c>
      <c r="M23" s="91">
        <f>AVERAGEIFS(RoadTra_BY!U$2:U$999,RoadTra_BY!$B$2:$B$999,'Road transport'!$C23,RoadTra_BY!$C$2:$C$999,'Road transport'!$AX23)</f>
        <v>7</v>
      </c>
      <c r="N23" s="91">
        <f>AVERAGEIFS(RoadTra_BY!V$2:V$999,RoadTra_BY!$B$2:$B$999,'Road transport'!$C23,RoadTra_BY!$C$2:$C$999,'Road transport'!$AX23)</f>
        <v>7</v>
      </c>
      <c r="O23" s="91">
        <f>AVERAGEIFS(RoadTra_BY!W$2:W$999,RoadTra_BY!$B$2:$B$999,'Road transport'!$C23,RoadTra_BY!$C$2:$C$999,'Road transport'!$AX23)</f>
        <v>7</v>
      </c>
      <c r="P23" s="91">
        <f>AVERAGEIFS(RoadTra_BY!X$2:X$999,RoadTra_BY!$B$2:$B$999,'Road transport'!$C23,RoadTra_BY!$C$2:$C$999,'Road transport'!$AX23)</f>
        <v>7</v>
      </c>
      <c r="Q23" s="91">
        <f>AVERAGEIFS(RoadTra_BY!Y$2:Y$999,RoadTra_BY!$B$2:$B$999,'Road transport'!$C23,RoadTra_BY!$C$2:$C$999,'Road transport'!$AX23)</f>
        <v>7</v>
      </c>
      <c r="R23" s="91">
        <f>AVERAGEIFS(RoadTra_BY!Z$2:Z$999,RoadTra_BY!$B$2:$B$999,'Road transport'!$C23,RoadTra_BY!$C$2:$C$999,'Road transport'!$AX23)</f>
        <v>7</v>
      </c>
      <c r="S23" s="91">
        <f>AVERAGEIFS(RoadTra_BY!AA$2:AA$999,RoadTra_BY!$B$2:$B$999,'Road transport'!$C23,RoadTra_BY!$C$2:$C$999,'Road transport'!$AX23)</f>
        <v>7</v>
      </c>
      <c r="T23" s="91">
        <f>AVERAGEIFS(RoadTra_BY!AB$2:AB$999,RoadTra_BY!$B$2:$B$999,'Road transport'!$C23,RoadTra_BY!$C$2:$C$999,'Road transport'!$AX23)</f>
        <v>7</v>
      </c>
      <c r="U23" s="91">
        <f>AVERAGEIFS(RoadTra_BY!AC$2:AC$999,RoadTra_BY!$B$2:$B$999,'Road transport'!$C23,RoadTra_BY!$C$2:$C$999,'Road transport'!$AX23)</f>
        <v>7</v>
      </c>
      <c r="V23" s="91">
        <f>AVERAGEIFS(RoadTra_BY!AD$2:AD$999,RoadTra_BY!$B$2:$B$999,'Road transport'!$C23,RoadTra_BY!$C$2:$C$999,'Road transport'!$AX23)</f>
        <v>4</v>
      </c>
      <c r="W23" s="91">
        <f>AVERAGEIFS(RoadTra_BY!AE$2:AE$999,RoadTra_BY!$B$2:$B$999,'Road transport'!$C23,RoadTra_BY!$C$2:$C$999,'Road transport'!$AX23)</f>
        <v>7</v>
      </c>
      <c r="X23" s="91">
        <f>AVERAGEIFS(RoadTra_BY!AF$2:AF$999,RoadTra_BY!$B$2:$B$999,'Road transport'!$C23,RoadTra_BY!$C$2:$C$999,'Road transport'!$AX23)</f>
        <v>5</v>
      </c>
      <c r="Y23" s="91">
        <f>AVERAGEIFS(RoadTra_BY!AG$2:AG$999,RoadTra_BY!$B$2:$B$999,'Road transport'!$C23,RoadTra_BY!$C$2:$C$999,'Road transport'!$AX23)</f>
        <v>7</v>
      </c>
      <c r="Z23" s="91">
        <f>AVERAGEIFS(RoadTra_BY!AH$2:AH$999,RoadTra_BY!$B$2:$B$999,'Road transport'!$C23,RoadTra_BY!$C$2:$C$999,'Road transport'!$AX23)</f>
        <v>4</v>
      </c>
      <c r="AA23" s="91">
        <f>AVERAGEIFS(RoadTra_BY!AI$2:AI$999,RoadTra_BY!$B$2:$B$999,'Road transport'!$C23,RoadTra_BY!$C$2:$C$999,'Road transport'!$AX23)</f>
        <v>7</v>
      </c>
      <c r="AB23" s="91">
        <f>AVERAGEIFS(RoadTra_BY!AJ$2:AJ$999,RoadTra_BY!$B$2:$B$999,'Road transport'!$C23,RoadTra_BY!$C$2:$C$999,'Road transport'!$AX23)</f>
        <v>7</v>
      </c>
      <c r="AC23" s="91">
        <f>AVERAGEIFS(RoadTra_BY!AK$2:AK$999,RoadTra_BY!$B$2:$B$999,'Road transport'!$C23,RoadTra_BY!$C$2:$C$999,'Road transport'!$AX23)</f>
        <v>3</v>
      </c>
      <c r="AD23" s="91">
        <f>AVERAGEIFS(RoadTra_BY!AL$2:AL$999,RoadTra_BY!$B$2:$B$999,'Road transport'!$C23,RoadTra_BY!$C$2:$C$999,'Road transport'!$AX23)</f>
        <v>7</v>
      </c>
      <c r="AE23" s="91">
        <f>AVERAGEIFS(RoadTra_BY!AM$2:AM$999,RoadTra_BY!$B$2:$B$999,'Road transport'!$C23,RoadTra_BY!$C$2:$C$999,'Road transport'!$AX23)</f>
        <v>7</v>
      </c>
      <c r="AF23" s="91">
        <f>AVERAGEIFS(RoadTra_BY!AN$2:AN$999,RoadTra_BY!$B$2:$B$999,'Road transport'!$C23,RoadTra_BY!$C$2:$C$999,'Road transport'!$AX23)</f>
        <v>6.5</v>
      </c>
      <c r="AG23" s="91">
        <f>AVERAGEIFS(RoadTra_BY!AO$2:AO$999,RoadTra_BY!$B$2:$B$999,'Road transport'!$C23,RoadTra_BY!$C$2:$C$999,'Road transport'!$AX23)</f>
        <v>7</v>
      </c>
      <c r="AH23" s="91">
        <f>AVERAGEIFS(RoadTra_BY!AP$2:AP$999,RoadTra_BY!$B$2:$B$999,'Road transport'!$C23,RoadTra_BY!$C$2:$C$999,'Road transport'!$AX23)</f>
        <v>7</v>
      </c>
      <c r="AI23" s="91">
        <f>AVERAGEIFS(RoadTra_BY!AQ$2:AQ$999,RoadTra_BY!$B$2:$B$999,'Road transport'!$C23,RoadTra_BY!$C$2:$C$999,'Road transport'!$AX23)</f>
        <v>7</v>
      </c>
      <c r="AJ23" s="91">
        <f>AVERAGEIFS(RoadTra_BY!AR$2:AR$999,RoadTra_BY!$B$2:$B$999,'Road transport'!$C23,RoadTra_BY!$C$2:$C$999,'Road transport'!$AX23)</f>
        <v>4</v>
      </c>
      <c r="AK23" s="91">
        <f>AVERAGEIFS(RoadTra_BY!AS$2:AS$999,RoadTra_BY!$B$2:$B$999,'Road transport'!$C23,RoadTra_BY!$C$2:$C$999,'Road transport'!$AX23)</f>
        <v>4</v>
      </c>
      <c r="AL23" s="91">
        <f>AVERAGEIFS(RoadTra_BY!AT$2:AT$999,RoadTra_BY!$B$2:$B$999,'Road transport'!$C23,RoadTra_BY!$C$2:$C$999,'Road transport'!$AX23)</f>
        <v>4</v>
      </c>
      <c r="AM23" s="91" t="e">
        <f>AVERAGEIFS(RoadTra_BY!AU$2:AU$999,RoadTra_BY!$B$2:$B$999,'Road transport'!$C23,RoadTra_BY!$C$2:$C$999,'Road transport'!$AX23)</f>
        <v>#DIV/0!</v>
      </c>
      <c r="AN23" s="91" t="e">
        <f>AVERAGEIFS(RoadTra_BY!AV$2:AV$999,RoadTra_BY!$B$2:$B$999,'Road transport'!$C23,RoadTra_BY!$C$2:$C$999,'Road transport'!$AX23)</f>
        <v>#DIV/0!</v>
      </c>
      <c r="AO23" s="91" t="e">
        <f>AVERAGEIFS(RoadTra_BY!AW$2:AW$999,RoadTra_BY!$B$2:$B$999,'Road transport'!$C23,RoadTra_BY!$C$2:$C$999,'Road transport'!$AX23)</f>
        <v>#DIV/0!</v>
      </c>
      <c r="AP23" s="91" t="e">
        <f>AVERAGEIFS(RoadTra_BY!AX$2:AX$999,RoadTra_BY!$B$2:$B$999,'Road transport'!$C23,RoadTra_BY!$C$2:$C$999,'Road transport'!$AX23)</f>
        <v>#DIV/0!</v>
      </c>
      <c r="AQ23" s="91" t="e">
        <f>AVERAGEIFS(RoadTra_BY!AY$2:AY$999,RoadTra_BY!$B$2:$B$999,'Road transport'!$C23,RoadTra_BY!$C$2:$C$999,'Road transport'!$AX23)</f>
        <v>#DIV/0!</v>
      </c>
      <c r="AR23" s="91" t="e">
        <f>AVERAGEIFS(RoadTra_BY!AZ$2:AZ$999,RoadTra_BY!$B$2:$B$999,'Road transport'!$C23,RoadTra_BY!$C$2:$C$999,'Road transport'!$AX23)</f>
        <v>#DIV/0!</v>
      </c>
      <c r="AS23" s="91" t="e">
        <f>AVERAGEIFS(RoadTra_BY!BA$2:BA$999,RoadTra_BY!$B$2:$B$999,'Road transport'!$C23,RoadTra_BY!$C$2:$C$999,'Road transport'!$AX23)</f>
        <v>#DIV/0!</v>
      </c>
      <c r="AT23" s="91" t="e">
        <f>AVERAGEIFS(RoadTra_BY!BB$2:BB$999,RoadTra_BY!$B$2:$B$999,'Road transport'!$C23,RoadTra_BY!$C$2:$C$999,'Road transport'!$AX23)</f>
        <v>#DIV/0!</v>
      </c>
      <c r="AU23" s="91" t="e">
        <f>AVERAGEIFS(RoadTra_BY!BC$2:BC$999,RoadTra_BY!$B$2:$B$999,'Road transport'!$C23,RoadTra_BY!$C$2:$C$999,'Road transport'!$AX23)</f>
        <v>#DIV/0!</v>
      </c>
      <c r="AV23" s="91" t="e">
        <f>AVERAGEIFS(RoadTra_BY!BD$2:BD$999,RoadTra_BY!$B$2:$B$999,'Road transport'!$C23,RoadTra_BY!$C$2:$C$999,'Road transport'!$AX23)</f>
        <v>#DIV/0!</v>
      </c>
      <c r="AW23" s="91" t="e">
        <f>AVERAGEIFS(RoadTra_BY!BE$2:BE$999,RoadTra_BY!$B$2:$B$999,'Road transport'!$C23,RoadTra_BY!$C$2:$C$999,'Road transport'!$AX23)</f>
        <v>#DIV/0!</v>
      </c>
      <c r="AX23" t="s">
        <v>160</v>
      </c>
    </row>
    <row r="24" spans="2:50">
      <c r="C24" t="s">
        <v>114</v>
      </c>
      <c r="D24" s="91">
        <f>AVERAGEIFS(RoadTra_BY!L$2:L$999,RoadTra_BY!$B$2:$B$999,'Road transport'!$C24,RoadTra_BY!$C$2:$C$999,'Road transport'!$AX24)</f>
        <v>15</v>
      </c>
      <c r="E24" s="91">
        <f>AVERAGEIFS(RoadTra_BY!M$2:M$999,RoadTra_BY!$B$2:$B$999,'Road transport'!$C24,RoadTra_BY!$C$2:$C$999,'Road transport'!$AX24)</f>
        <v>15</v>
      </c>
      <c r="F24" s="91">
        <f>AVERAGEIFS(RoadTra_BY!N$2:N$999,RoadTra_BY!$B$2:$B$999,'Road transport'!$C24,RoadTra_BY!$C$2:$C$999,'Road transport'!$AX24)</f>
        <v>15</v>
      </c>
      <c r="G24" s="91">
        <f>AVERAGEIFS(RoadTra_BY!O$2:O$999,RoadTra_BY!$B$2:$B$999,'Road transport'!$C24,RoadTra_BY!$C$2:$C$999,'Road transport'!$AX24)</f>
        <v>15</v>
      </c>
      <c r="H24" s="91">
        <f>AVERAGEIFS(RoadTra_BY!P$2:P$999,RoadTra_BY!$B$2:$B$999,'Road transport'!$C24,RoadTra_BY!$C$2:$C$999,'Road transport'!$AX24)</f>
        <v>15</v>
      </c>
      <c r="I24" s="91">
        <f>AVERAGEIFS(RoadTra_BY!Q$2:Q$999,RoadTra_BY!$B$2:$B$999,'Road transport'!$C24,RoadTra_BY!$C$2:$C$999,'Road transport'!$AX24)</f>
        <v>15</v>
      </c>
      <c r="J24" s="91">
        <f>AVERAGEIFS(RoadTra_BY!R$2:R$999,RoadTra_BY!$B$2:$B$999,'Road transport'!$C24,RoadTra_BY!$C$2:$C$999,'Road transport'!$AX24)</f>
        <v>15</v>
      </c>
      <c r="K24" s="91">
        <f>AVERAGEIFS(RoadTra_BY!S$2:S$999,RoadTra_BY!$B$2:$B$999,'Road transport'!$C24,RoadTra_BY!$C$2:$C$999,'Road transport'!$AX24)</f>
        <v>15</v>
      </c>
      <c r="L24" s="91">
        <f>AVERAGEIFS(RoadTra_BY!T$2:T$999,RoadTra_BY!$B$2:$B$999,'Road transport'!$C24,RoadTra_BY!$C$2:$C$999,'Road transport'!$AX24)</f>
        <v>15</v>
      </c>
      <c r="M24" s="91">
        <f>AVERAGEIFS(RoadTra_BY!U$2:U$999,RoadTra_BY!$B$2:$B$999,'Road transport'!$C24,RoadTra_BY!$C$2:$C$999,'Road transport'!$AX24)</f>
        <v>15</v>
      </c>
      <c r="N24" s="91">
        <f>AVERAGEIFS(RoadTra_BY!V$2:V$999,RoadTra_BY!$B$2:$B$999,'Road transport'!$C24,RoadTra_BY!$C$2:$C$999,'Road transport'!$AX24)</f>
        <v>15</v>
      </c>
      <c r="O24" s="91">
        <f>AVERAGEIFS(RoadTra_BY!W$2:W$999,RoadTra_BY!$B$2:$B$999,'Road transport'!$C24,RoadTra_BY!$C$2:$C$999,'Road transport'!$AX24)</f>
        <v>15</v>
      </c>
      <c r="P24" s="91">
        <f>AVERAGEIFS(RoadTra_BY!X$2:X$999,RoadTra_BY!$B$2:$B$999,'Road transport'!$C24,RoadTra_BY!$C$2:$C$999,'Road transport'!$AX24)</f>
        <v>15</v>
      </c>
      <c r="Q24" s="91">
        <f>AVERAGEIFS(RoadTra_BY!Y$2:Y$999,RoadTra_BY!$B$2:$B$999,'Road transport'!$C24,RoadTra_BY!$C$2:$C$999,'Road transport'!$AX24)</f>
        <v>15</v>
      </c>
      <c r="R24" s="91">
        <f>AVERAGEIFS(RoadTra_BY!Z$2:Z$999,RoadTra_BY!$B$2:$B$999,'Road transport'!$C24,RoadTra_BY!$C$2:$C$999,'Road transport'!$AX24)</f>
        <v>15</v>
      </c>
      <c r="S24" s="91">
        <f>AVERAGEIFS(RoadTra_BY!AA$2:AA$999,RoadTra_BY!$B$2:$B$999,'Road transport'!$C24,RoadTra_BY!$C$2:$C$999,'Road transport'!$AX24)</f>
        <v>15</v>
      </c>
      <c r="T24" s="91">
        <f>AVERAGEIFS(RoadTra_BY!AB$2:AB$999,RoadTra_BY!$B$2:$B$999,'Road transport'!$C24,RoadTra_BY!$C$2:$C$999,'Road transport'!$AX24)</f>
        <v>15</v>
      </c>
      <c r="U24" s="91">
        <f>AVERAGEIFS(RoadTra_BY!AC$2:AC$999,RoadTra_BY!$B$2:$B$999,'Road transport'!$C24,RoadTra_BY!$C$2:$C$999,'Road transport'!$AX24)</f>
        <v>15</v>
      </c>
      <c r="V24" s="91">
        <f>AVERAGEIFS(RoadTra_BY!AD$2:AD$999,RoadTra_BY!$B$2:$B$999,'Road transport'!$C24,RoadTra_BY!$C$2:$C$999,'Road transport'!$AX24)</f>
        <v>15</v>
      </c>
      <c r="W24" s="91">
        <f>AVERAGEIFS(RoadTra_BY!AE$2:AE$999,RoadTra_BY!$B$2:$B$999,'Road transport'!$C24,RoadTra_BY!$C$2:$C$999,'Road transport'!$AX24)</f>
        <v>15</v>
      </c>
      <c r="X24" s="91">
        <f>AVERAGEIFS(RoadTra_BY!AF$2:AF$999,RoadTra_BY!$B$2:$B$999,'Road transport'!$C24,RoadTra_BY!$C$2:$C$999,'Road transport'!$AX24)</f>
        <v>15</v>
      </c>
      <c r="Y24" s="91">
        <f>AVERAGEIFS(RoadTra_BY!AG$2:AG$999,RoadTra_BY!$B$2:$B$999,'Road transport'!$C24,RoadTra_BY!$C$2:$C$999,'Road transport'!$AX24)</f>
        <v>15</v>
      </c>
      <c r="Z24" s="91">
        <f>AVERAGEIFS(RoadTra_BY!AH$2:AH$999,RoadTra_BY!$B$2:$B$999,'Road transport'!$C24,RoadTra_BY!$C$2:$C$999,'Road transport'!$AX24)</f>
        <v>15</v>
      </c>
      <c r="AA24" s="91">
        <f>AVERAGEIFS(RoadTra_BY!AI$2:AI$999,RoadTra_BY!$B$2:$B$999,'Road transport'!$C24,RoadTra_BY!$C$2:$C$999,'Road transport'!$AX24)</f>
        <v>15</v>
      </c>
      <c r="AB24" s="91">
        <f>AVERAGEIFS(RoadTra_BY!AJ$2:AJ$999,RoadTra_BY!$B$2:$B$999,'Road transport'!$C24,RoadTra_BY!$C$2:$C$999,'Road transport'!$AX24)</f>
        <v>15</v>
      </c>
      <c r="AC24" s="91">
        <f>AVERAGEIFS(RoadTra_BY!AK$2:AK$999,RoadTra_BY!$B$2:$B$999,'Road transport'!$C24,RoadTra_BY!$C$2:$C$999,'Road transport'!$AX24)</f>
        <v>15</v>
      </c>
      <c r="AD24" s="91">
        <f>AVERAGEIFS(RoadTra_BY!AL$2:AL$999,RoadTra_BY!$B$2:$B$999,'Road transport'!$C24,RoadTra_BY!$C$2:$C$999,'Road transport'!$AX24)</f>
        <v>15</v>
      </c>
      <c r="AE24" s="91">
        <f>AVERAGEIFS(RoadTra_BY!AM$2:AM$999,RoadTra_BY!$B$2:$B$999,'Road transport'!$C24,RoadTra_BY!$C$2:$C$999,'Road transport'!$AX24)</f>
        <v>15</v>
      </c>
      <c r="AF24" s="91">
        <f>AVERAGEIFS(RoadTra_BY!AN$2:AN$999,RoadTra_BY!$B$2:$B$999,'Road transport'!$C24,RoadTra_BY!$C$2:$C$999,'Road transport'!$AX24)</f>
        <v>20</v>
      </c>
      <c r="AG24" s="91">
        <f>AVERAGEIFS(RoadTra_BY!AO$2:AO$999,RoadTra_BY!$B$2:$B$999,'Road transport'!$C24,RoadTra_BY!$C$2:$C$999,'Road transport'!$AX24)</f>
        <v>15</v>
      </c>
      <c r="AH24" s="91">
        <f>AVERAGEIFS(RoadTra_BY!AP$2:AP$999,RoadTra_BY!$B$2:$B$999,'Road transport'!$C24,RoadTra_BY!$C$2:$C$999,'Road transport'!$AX24)</f>
        <v>15</v>
      </c>
      <c r="AI24" s="91">
        <f>AVERAGEIFS(RoadTra_BY!AQ$2:AQ$999,RoadTra_BY!$B$2:$B$999,'Road transport'!$C24,RoadTra_BY!$C$2:$C$999,'Road transport'!$AX24)</f>
        <v>15</v>
      </c>
      <c r="AJ24" s="91">
        <f>AVERAGEIFS(RoadTra_BY!AR$2:AR$999,RoadTra_BY!$B$2:$B$999,'Road transport'!$C24,RoadTra_BY!$C$2:$C$999,'Road transport'!$AX24)</f>
        <v>15</v>
      </c>
      <c r="AK24" s="91">
        <f>AVERAGEIFS(RoadTra_BY!AS$2:AS$999,RoadTra_BY!$B$2:$B$999,'Road transport'!$C24,RoadTra_BY!$C$2:$C$999,'Road transport'!$AX24)</f>
        <v>15</v>
      </c>
      <c r="AL24" s="91">
        <f>AVERAGEIFS(RoadTra_BY!AT$2:AT$999,RoadTra_BY!$B$2:$B$999,'Road transport'!$C24,RoadTra_BY!$C$2:$C$999,'Road transport'!$AX24)</f>
        <v>15</v>
      </c>
      <c r="AM24" s="91" t="e">
        <f>AVERAGEIFS(RoadTra_BY!AU$2:AU$999,RoadTra_BY!$B$2:$B$999,'Road transport'!$C24,RoadTra_BY!$C$2:$C$999,'Road transport'!$AX24)</f>
        <v>#DIV/0!</v>
      </c>
      <c r="AN24" s="91" t="e">
        <f>AVERAGEIFS(RoadTra_BY!AV$2:AV$999,RoadTra_BY!$B$2:$B$999,'Road transport'!$C24,RoadTra_BY!$C$2:$C$999,'Road transport'!$AX24)</f>
        <v>#DIV/0!</v>
      </c>
      <c r="AO24" s="91" t="e">
        <f>AVERAGEIFS(RoadTra_BY!AW$2:AW$999,RoadTra_BY!$B$2:$B$999,'Road transport'!$C24,RoadTra_BY!$C$2:$C$999,'Road transport'!$AX24)</f>
        <v>#DIV/0!</v>
      </c>
      <c r="AP24" s="91" t="e">
        <f>AVERAGEIFS(RoadTra_BY!AX$2:AX$999,RoadTra_BY!$B$2:$B$999,'Road transport'!$C24,RoadTra_BY!$C$2:$C$999,'Road transport'!$AX24)</f>
        <v>#DIV/0!</v>
      </c>
      <c r="AQ24" s="91" t="e">
        <f>AVERAGEIFS(RoadTra_BY!AY$2:AY$999,RoadTra_BY!$B$2:$B$999,'Road transport'!$C24,RoadTra_BY!$C$2:$C$999,'Road transport'!$AX24)</f>
        <v>#DIV/0!</v>
      </c>
      <c r="AR24" s="91" t="e">
        <f>AVERAGEIFS(RoadTra_BY!AZ$2:AZ$999,RoadTra_BY!$B$2:$B$999,'Road transport'!$C24,RoadTra_BY!$C$2:$C$999,'Road transport'!$AX24)</f>
        <v>#DIV/0!</v>
      </c>
      <c r="AS24" s="91" t="e">
        <f>AVERAGEIFS(RoadTra_BY!BA$2:BA$999,RoadTra_BY!$B$2:$B$999,'Road transport'!$C24,RoadTra_BY!$C$2:$C$999,'Road transport'!$AX24)</f>
        <v>#DIV/0!</v>
      </c>
      <c r="AT24" s="91" t="e">
        <f>AVERAGEIFS(RoadTra_BY!BB$2:BB$999,RoadTra_BY!$B$2:$B$999,'Road transport'!$C24,RoadTra_BY!$C$2:$C$999,'Road transport'!$AX24)</f>
        <v>#DIV/0!</v>
      </c>
      <c r="AU24" s="91" t="e">
        <f>AVERAGEIFS(RoadTra_BY!BC$2:BC$999,RoadTra_BY!$B$2:$B$999,'Road transport'!$C24,RoadTra_BY!$C$2:$C$999,'Road transport'!$AX24)</f>
        <v>#DIV/0!</v>
      </c>
      <c r="AV24" s="91" t="e">
        <f>AVERAGEIFS(RoadTra_BY!BD$2:BD$999,RoadTra_BY!$B$2:$B$999,'Road transport'!$C24,RoadTra_BY!$C$2:$C$999,'Road transport'!$AX24)</f>
        <v>#DIV/0!</v>
      </c>
      <c r="AW24" s="91" t="e">
        <f>AVERAGEIFS(RoadTra_BY!BE$2:BE$999,RoadTra_BY!$B$2:$B$999,'Road transport'!$C24,RoadTra_BY!$C$2:$C$999,'Road transport'!$AX24)</f>
        <v>#DIV/0!</v>
      </c>
      <c r="AX24" t="s">
        <v>161</v>
      </c>
    </row>
    <row r="25" spans="2:50">
      <c r="C25" t="s">
        <v>114</v>
      </c>
      <c r="D25" s="91">
        <f>AVERAGEIFS(RoadTra_BY!L$2:L$999,RoadTra_BY!$B$2:$B$999,'Road transport'!$C25,RoadTra_BY!$C$2:$C$999,'Road transport'!$AX25)</f>
        <v>35</v>
      </c>
      <c r="E25" s="91">
        <f>AVERAGEIFS(RoadTra_BY!M$2:M$999,RoadTra_BY!$B$2:$B$999,'Road transport'!$C25,RoadTra_BY!$C$2:$C$999,'Road transport'!$AX25)</f>
        <v>35</v>
      </c>
      <c r="F25" s="91">
        <f>AVERAGEIFS(RoadTra_BY!N$2:N$999,RoadTra_BY!$B$2:$B$999,'Road transport'!$C25,RoadTra_BY!$C$2:$C$999,'Road transport'!$AX25)</f>
        <v>35</v>
      </c>
      <c r="G25" s="91">
        <f>AVERAGEIFS(RoadTra_BY!O$2:O$999,RoadTra_BY!$B$2:$B$999,'Road transport'!$C25,RoadTra_BY!$C$2:$C$999,'Road transport'!$AX25)</f>
        <v>35</v>
      </c>
      <c r="H25" s="91">
        <f>AVERAGEIFS(RoadTra_BY!P$2:P$999,RoadTra_BY!$B$2:$B$999,'Road transport'!$C25,RoadTra_BY!$C$2:$C$999,'Road transport'!$AX25)</f>
        <v>35</v>
      </c>
      <c r="I25" s="91">
        <f>AVERAGEIFS(RoadTra_BY!Q$2:Q$999,RoadTra_BY!$B$2:$B$999,'Road transport'!$C25,RoadTra_BY!$C$2:$C$999,'Road transport'!$AX25)</f>
        <v>35</v>
      </c>
      <c r="J25" s="91">
        <f>AVERAGEIFS(RoadTra_BY!R$2:R$999,RoadTra_BY!$B$2:$B$999,'Road transport'!$C25,RoadTra_BY!$C$2:$C$999,'Road transport'!$AX25)</f>
        <v>35</v>
      </c>
      <c r="K25" s="91">
        <f>AVERAGEIFS(RoadTra_BY!S$2:S$999,RoadTra_BY!$B$2:$B$999,'Road transport'!$C25,RoadTra_BY!$C$2:$C$999,'Road transport'!$AX25)</f>
        <v>35</v>
      </c>
      <c r="L25" s="91">
        <f>AVERAGEIFS(RoadTra_BY!T$2:T$999,RoadTra_BY!$B$2:$B$999,'Road transport'!$C25,RoadTra_BY!$C$2:$C$999,'Road transport'!$AX25)</f>
        <v>35</v>
      </c>
      <c r="M25" s="91">
        <f>AVERAGEIFS(RoadTra_BY!U$2:U$999,RoadTra_BY!$B$2:$B$999,'Road transport'!$C25,RoadTra_BY!$C$2:$C$999,'Road transport'!$AX25)</f>
        <v>35</v>
      </c>
      <c r="N25" s="91">
        <f>AVERAGEIFS(RoadTra_BY!V$2:V$999,RoadTra_BY!$B$2:$B$999,'Road transport'!$C25,RoadTra_BY!$C$2:$C$999,'Road transport'!$AX25)</f>
        <v>35</v>
      </c>
      <c r="O25" s="91">
        <f>AVERAGEIFS(RoadTra_BY!W$2:W$999,RoadTra_BY!$B$2:$B$999,'Road transport'!$C25,RoadTra_BY!$C$2:$C$999,'Road transport'!$AX25)</f>
        <v>35</v>
      </c>
      <c r="P25" s="91">
        <f>AVERAGEIFS(RoadTra_BY!X$2:X$999,RoadTra_BY!$B$2:$B$999,'Road transport'!$C25,RoadTra_BY!$C$2:$C$999,'Road transport'!$AX25)</f>
        <v>35</v>
      </c>
      <c r="Q25" s="91">
        <f>AVERAGEIFS(RoadTra_BY!Y$2:Y$999,RoadTra_BY!$B$2:$B$999,'Road transport'!$C25,RoadTra_BY!$C$2:$C$999,'Road transport'!$AX25)</f>
        <v>35</v>
      </c>
      <c r="R25" s="91">
        <f>AVERAGEIFS(RoadTra_BY!Z$2:Z$999,RoadTra_BY!$B$2:$B$999,'Road transport'!$C25,RoadTra_BY!$C$2:$C$999,'Road transport'!$AX25)</f>
        <v>35</v>
      </c>
      <c r="S25" s="91">
        <f>AVERAGEIFS(RoadTra_BY!AA$2:AA$999,RoadTra_BY!$B$2:$B$999,'Road transport'!$C25,RoadTra_BY!$C$2:$C$999,'Road transport'!$AX25)</f>
        <v>35</v>
      </c>
      <c r="T25" s="91">
        <f>AVERAGEIFS(RoadTra_BY!AB$2:AB$999,RoadTra_BY!$B$2:$B$999,'Road transport'!$C25,RoadTra_BY!$C$2:$C$999,'Road transport'!$AX25)</f>
        <v>35</v>
      </c>
      <c r="U25" s="91">
        <f>AVERAGEIFS(RoadTra_BY!AC$2:AC$999,RoadTra_BY!$B$2:$B$999,'Road transport'!$C25,RoadTra_BY!$C$2:$C$999,'Road transport'!$AX25)</f>
        <v>35</v>
      </c>
      <c r="V25" s="91">
        <f>AVERAGEIFS(RoadTra_BY!AD$2:AD$999,RoadTra_BY!$B$2:$B$999,'Road transport'!$C25,RoadTra_BY!$C$2:$C$999,'Road transport'!$AX25)</f>
        <v>35</v>
      </c>
      <c r="W25" s="91">
        <f>AVERAGEIFS(RoadTra_BY!AE$2:AE$999,RoadTra_BY!$B$2:$B$999,'Road transport'!$C25,RoadTra_BY!$C$2:$C$999,'Road transport'!$AX25)</f>
        <v>35</v>
      </c>
      <c r="X25" s="91">
        <f>AVERAGEIFS(RoadTra_BY!AF$2:AF$999,RoadTra_BY!$B$2:$B$999,'Road transport'!$C25,RoadTra_BY!$C$2:$C$999,'Road transport'!$AX25)</f>
        <v>35</v>
      </c>
      <c r="Y25" s="91">
        <f>AVERAGEIFS(RoadTra_BY!AG$2:AG$999,RoadTra_BY!$B$2:$B$999,'Road transport'!$C25,RoadTra_BY!$C$2:$C$999,'Road transport'!$AX25)</f>
        <v>35</v>
      </c>
      <c r="Z25" s="91">
        <f>AVERAGEIFS(RoadTra_BY!AH$2:AH$999,RoadTra_BY!$B$2:$B$999,'Road transport'!$C25,RoadTra_BY!$C$2:$C$999,'Road transport'!$AX25)</f>
        <v>35</v>
      </c>
      <c r="AA25" s="91">
        <f>AVERAGEIFS(RoadTra_BY!AI$2:AI$999,RoadTra_BY!$B$2:$B$999,'Road transport'!$C25,RoadTra_BY!$C$2:$C$999,'Road transport'!$AX25)</f>
        <v>35</v>
      </c>
      <c r="AB25" s="91">
        <f>AVERAGEIFS(RoadTra_BY!AJ$2:AJ$999,RoadTra_BY!$B$2:$B$999,'Road transport'!$C25,RoadTra_BY!$C$2:$C$999,'Road transport'!$AX25)</f>
        <v>35</v>
      </c>
      <c r="AC25" s="91">
        <f>AVERAGEIFS(RoadTra_BY!AK$2:AK$999,RoadTra_BY!$B$2:$B$999,'Road transport'!$C25,RoadTra_BY!$C$2:$C$999,'Road transport'!$AX25)</f>
        <v>35</v>
      </c>
      <c r="AD25" s="91">
        <f>AVERAGEIFS(RoadTra_BY!AL$2:AL$999,RoadTra_BY!$B$2:$B$999,'Road transport'!$C25,RoadTra_BY!$C$2:$C$999,'Road transport'!$AX25)</f>
        <v>35</v>
      </c>
      <c r="AE25" s="91">
        <f>AVERAGEIFS(RoadTra_BY!AM$2:AM$999,RoadTra_BY!$B$2:$B$999,'Road transport'!$C25,RoadTra_BY!$C$2:$C$999,'Road transport'!$AX25)</f>
        <v>35</v>
      </c>
      <c r="AF25" s="91">
        <f>AVERAGEIFS(RoadTra_BY!AN$2:AN$999,RoadTra_BY!$B$2:$B$999,'Road transport'!$C25,RoadTra_BY!$C$2:$C$999,'Road transport'!$AX25)</f>
        <v>35</v>
      </c>
      <c r="AG25" s="91">
        <f>AVERAGEIFS(RoadTra_BY!AO$2:AO$999,RoadTra_BY!$B$2:$B$999,'Road transport'!$C25,RoadTra_BY!$C$2:$C$999,'Road transport'!$AX25)</f>
        <v>35</v>
      </c>
      <c r="AH25" s="91">
        <f>AVERAGEIFS(RoadTra_BY!AP$2:AP$999,RoadTra_BY!$B$2:$B$999,'Road transport'!$C25,RoadTra_BY!$C$2:$C$999,'Road transport'!$AX25)</f>
        <v>35</v>
      </c>
      <c r="AI25" s="91">
        <f>AVERAGEIFS(RoadTra_BY!AQ$2:AQ$999,RoadTra_BY!$B$2:$B$999,'Road transport'!$C25,RoadTra_BY!$C$2:$C$999,'Road transport'!$AX25)</f>
        <v>35</v>
      </c>
      <c r="AJ25" s="91">
        <f>AVERAGEIFS(RoadTra_BY!AR$2:AR$999,RoadTra_BY!$B$2:$B$999,'Road transport'!$C25,RoadTra_BY!$C$2:$C$999,'Road transport'!$AX25)</f>
        <v>35</v>
      </c>
      <c r="AK25" s="91">
        <f>AVERAGEIFS(RoadTra_BY!AS$2:AS$999,RoadTra_BY!$B$2:$B$999,'Road transport'!$C25,RoadTra_BY!$C$2:$C$999,'Road transport'!$AX25)</f>
        <v>35</v>
      </c>
      <c r="AL25" s="91">
        <f>AVERAGEIFS(RoadTra_BY!AT$2:AT$999,RoadTra_BY!$B$2:$B$999,'Road transport'!$C25,RoadTra_BY!$C$2:$C$999,'Road transport'!$AX25)</f>
        <v>20</v>
      </c>
      <c r="AM25" s="91" t="e">
        <f>AVERAGEIFS(RoadTra_BY!AU$2:AU$999,RoadTra_BY!$B$2:$B$999,'Road transport'!$C25,RoadTra_BY!$C$2:$C$999,'Road transport'!$AX25)</f>
        <v>#DIV/0!</v>
      </c>
      <c r="AN25" s="91" t="e">
        <f>AVERAGEIFS(RoadTra_BY!AV$2:AV$999,RoadTra_BY!$B$2:$B$999,'Road transport'!$C25,RoadTra_BY!$C$2:$C$999,'Road transport'!$AX25)</f>
        <v>#DIV/0!</v>
      </c>
      <c r="AO25" s="91" t="e">
        <f>AVERAGEIFS(RoadTra_BY!AW$2:AW$999,RoadTra_BY!$B$2:$B$999,'Road transport'!$C25,RoadTra_BY!$C$2:$C$999,'Road transport'!$AX25)</f>
        <v>#DIV/0!</v>
      </c>
      <c r="AP25" s="91" t="e">
        <f>AVERAGEIFS(RoadTra_BY!AX$2:AX$999,RoadTra_BY!$B$2:$B$999,'Road transport'!$C25,RoadTra_BY!$C$2:$C$999,'Road transport'!$AX25)</f>
        <v>#DIV/0!</v>
      </c>
      <c r="AQ25" s="91" t="e">
        <f>AVERAGEIFS(RoadTra_BY!AY$2:AY$999,RoadTra_BY!$B$2:$B$999,'Road transport'!$C25,RoadTra_BY!$C$2:$C$999,'Road transport'!$AX25)</f>
        <v>#DIV/0!</v>
      </c>
      <c r="AR25" s="91" t="e">
        <f>AVERAGEIFS(RoadTra_BY!AZ$2:AZ$999,RoadTra_BY!$B$2:$B$999,'Road transport'!$C25,RoadTra_BY!$C$2:$C$999,'Road transport'!$AX25)</f>
        <v>#DIV/0!</v>
      </c>
      <c r="AS25" s="91" t="e">
        <f>AVERAGEIFS(RoadTra_BY!BA$2:BA$999,RoadTra_BY!$B$2:$B$999,'Road transport'!$C25,RoadTra_BY!$C$2:$C$999,'Road transport'!$AX25)</f>
        <v>#DIV/0!</v>
      </c>
      <c r="AT25" s="91" t="e">
        <f>AVERAGEIFS(RoadTra_BY!BB$2:BB$999,RoadTra_BY!$B$2:$B$999,'Road transport'!$C25,RoadTra_BY!$C$2:$C$999,'Road transport'!$AX25)</f>
        <v>#DIV/0!</v>
      </c>
      <c r="AU25" s="91" t="e">
        <f>AVERAGEIFS(RoadTra_BY!BC$2:BC$999,RoadTra_BY!$B$2:$B$999,'Road transport'!$C25,RoadTra_BY!$C$2:$C$999,'Road transport'!$AX25)</f>
        <v>#DIV/0!</v>
      </c>
      <c r="AV25" s="91" t="e">
        <f>AVERAGEIFS(RoadTra_BY!BD$2:BD$999,RoadTra_BY!$B$2:$B$999,'Road transport'!$C25,RoadTra_BY!$C$2:$C$999,'Road transport'!$AX25)</f>
        <v>#DIV/0!</v>
      </c>
      <c r="AW25" s="91" t="e">
        <f>AVERAGEIFS(RoadTra_BY!BE$2:BE$999,RoadTra_BY!$B$2:$B$999,'Road transport'!$C25,RoadTra_BY!$C$2:$C$999,'Road transport'!$AX25)</f>
        <v>#DIV/0!</v>
      </c>
      <c r="AX25" t="s">
        <v>162</v>
      </c>
    </row>
    <row r="26" spans="2:50">
      <c r="C26" t="s">
        <v>114</v>
      </c>
      <c r="D26" s="91">
        <f>AVERAGEIFS(RoadTra_BY!L$2:L$999,RoadTra_BY!$B$2:$B$999,'Road transport'!$C26,RoadTra_BY!$C$2:$C$999,'Road transport'!$AX26)</f>
        <v>12</v>
      </c>
      <c r="E26" s="91">
        <f>AVERAGEIFS(RoadTra_BY!M$2:M$999,RoadTra_BY!$B$2:$B$999,'Road transport'!$C26,RoadTra_BY!$C$2:$C$999,'Road transport'!$AX26)</f>
        <v>12</v>
      </c>
      <c r="F26" s="91">
        <f>AVERAGEIFS(RoadTra_BY!N$2:N$999,RoadTra_BY!$B$2:$B$999,'Road transport'!$C26,RoadTra_BY!$C$2:$C$999,'Road transport'!$AX26)</f>
        <v>12</v>
      </c>
      <c r="G26" s="91">
        <f>AVERAGEIFS(RoadTra_BY!O$2:O$999,RoadTra_BY!$B$2:$B$999,'Road transport'!$C26,RoadTra_BY!$C$2:$C$999,'Road transport'!$AX26)</f>
        <v>12</v>
      </c>
      <c r="H26" s="91">
        <f>AVERAGEIFS(RoadTra_BY!P$2:P$999,RoadTra_BY!$B$2:$B$999,'Road transport'!$C26,RoadTra_BY!$C$2:$C$999,'Road transport'!$AX26)</f>
        <v>12</v>
      </c>
      <c r="I26" s="91">
        <f>AVERAGEIFS(RoadTra_BY!Q$2:Q$999,RoadTra_BY!$B$2:$B$999,'Road transport'!$C26,RoadTra_BY!$C$2:$C$999,'Road transport'!$AX26)</f>
        <v>12</v>
      </c>
      <c r="J26" s="91">
        <f>AVERAGEIFS(RoadTra_BY!R$2:R$999,RoadTra_BY!$B$2:$B$999,'Road transport'!$C26,RoadTra_BY!$C$2:$C$999,'Road transport'!$AX26)</f>
        <v>12</v>
      </c>
      <c r="K26" s="91">
        <f>AVERAGEIFS(RoadTra_BY!S$2:S$999,RoadTra_BY!$B$2:$B$999,'Road transport'!$C26,RoadTra_BY!$C$2:$C$999,'Road transport'!$AX26)</f>
        <v>8</v>
      </c>
      <c r="L26" s="91">
        <f>AVERAGEIFS(RoadTra_BY!T$2:T$999,RoadTra_BY!$B$2:$B$999,'Road transport'!$C26,RoadTra_BY!$C$2:$C$999,'Road transport'!$AX26)</f>
        <v>12</v>
      </c>
      <c r="M26" s="91">
        <f>AVERAGEIFS(RoadTra_BY!U$2:U$999,RoadTra_BY!$B$2:$B$999,'Road transport'!$C26,RoadTra_BY!$C$2:$C$999,'Road transport'!$AX26)</f>
        <v>12</v>
      </c>
      <c r="N26" s="91">
        <f>AVERAGEIFS(RoadTra_BY!V$2:V$999,RoadTra_BY!$B$2:$B$999,'Road transport'!$C26,RoadTra_BY!$C$2:$C$999,'Road transport'!$AX26)</f>
        <v>12</v>
      </c>
      <c r="O26" s="91">
        <f>AVERAGEIFS(RoadTra_BY!W$2:W$999,RoadTra_BY!$B$2:$B$999,'Road transport'!$C26,RoadTra_BY!$C$2:$C$999,'Road transport'!$AX26)</f>
        <v>12</v>
      </c>
      <c r="P26" s="91">
        <f>AVERAGEIFS(RoadTra_BY!X$2:X$999,RoadTra_BY!$B$2:$B$999,'Road transport'!$C26,RoadTra_BY!$C$2:$C$999,'Road transport'!$AX26)</f>
        <v>12</v>
      </c>
      <c r="Q26" s="91">
        <f>AVERAGEIFS(RoadTra_BY!Y$2:Y$999,RoadTra_BY!$B$2:$B$999,'Road transport'!$C26,RoadTra_BY!$C$2:$C$999,'Road transport'!$AX26)</f>
        <v>12</v>
      </c>
      <c r="R26" s="91">
        <f>AVERAGEIFS(RoadTra_BY!Z$2:Z$999,RoadTra_BY!$B$2:$B$999,'Road transport'!$C26,RoadTra_BY!$C$2:$C$999,'Road transport'!$AX26)</f>
        <v>12</v>
      </c>
      <c r="S26" s="91">
        <f>AVERAGEIFS(RoadTra_BY!AA$2:AA$999,RoadTra_BY!$B$2:$B$999,'Road transport'!$C26,RoadTra_BY!$C$2:$C$999,'Road transport'!$AX26)</f>
        <v>12</v>
      </c>
      <c r="T26" s="91">
        <f>AVERAGEIFS(RoadTra_BY!AB$2:AB$999,RoadTra_BY!$B$2:$B$999,'Road transport'!$C26,RoadTra_BY!$C$2:$C$999,'Road transport'!$AX26)</f>
        <v>12</v>
      </c>
      <c r="U26" s="91">
        <f>AVERAGEIFS(RoadTra_BY!AC$2:AC$999,RoadTra_BY!$B$2:$B$999,'Road transport'!$C26,RoadTra_BY!$C$2:$C$999,'Road transport'!$AX26)</f>
        <v>12</v>
      </c>
      <c r="V26" s="91">
        <f>AVERAGEIFS(RoadTra_BY!AD$2:AD$999,RoadTra_BY!$B$2:$B$999,'Road transport'!$C26,RoadTra_BY!$C$2:$C$999,'Road transport'!$AX26)</f>
        <v>12</v>
      </c>
      <c r="W26" s="91">
        <f>AVERAGEIFS(RoadTra_BY!AE$2:AE$999,RoadTra_BY!$B$2:$B$999,'Road transport'!$C26,RoadTra_BY!$C$2:$C$999,'Road transport'!$AX26)</f>
        <v>12</v>
      </c>
      <c r="X26" s="91">
        <f>AVERAGEIFS(RoadTra_BY!AF$2:AF$999,RoadTra_BY!$B$2:$B$999,'Road transport'!$C26,RoadTra_BY!$C$2:$C$999,'Road transport'!$AX26)</f>
        <v>12</v>
      </c>
      <c r="Y26" s="91">
        <f>AVERAGEIFS(RoadTra_BY!AG$2:AG$999,RoadTra_BY!$B$2:$B$999,'Road transport'!$C26,RoadTra_BY!$C$2:$C$999,'Road transport'!$AX26)</f>
        <v>18</v>
      </c>
      <c r="Z26" s="91">
        <f>AVERAGEIFS(RoadTra_BY!AH$2:AH$999,RoadTra_BY!$B$2:$B$999,'Road transport'!$C26,RoadTra_BY!$C$2:$C$999,'Road transport'!$AX26)</f>
        <v>12</v>
      </c>
      <c r="AA26" s="91">
        <f>AVERAGEIFS(RoadTra_BY!AI$2:AI$999,RoadTra_BY!$B$2:$B$999,'Road transport'!$C26,RoadTra_BY!$C$2:$C$999,'Road transport'!$AX26)</f>
        <v>12</v>
      </c>
      <c r="AB26" s="91">
        <f>AVERAGEIFS(RoadTra_BY!AJ$2:AJ$999,RoadTra_BY!$B$2:$B$999,'Road transport'!$C26,RoadTra_BY!$C$2:$C$999,'Road transport'!$AX26)</f>
        <v>12</v>
      </c>
      <c r="AC26" s="91">
        <f>AVERAGEIFS(RoadTra_BY!AK$2:AK$999,RoadTra_BY!$B$2:$B$999,'Road transport'!$C26,RoadTra_BY!$C$2:$C$999,'Road transport'!$AX26)</f>
        <v>12</v>
      </c>
      <c r="AD26" s="91">
        <f>AVERAGEIFS(RoadTra_BY!AL$2:AL$999,RoadTra_BY!$B$2:$B$999,'Road transport'!$C26,RoadTra_BY!$C$2:$C$999,'Road transport'!$AX26)</f>
        <v>12</v>
      </c>
      <c r="AE26" s="91">
        <f>AVERAGEIFS(RoadTra_BY!AM$2:AM$999,RoadTra_BY!$B$2:$B$999,'Road transport'!$C26,RoadTra_BY!$C$2:$C$999,'Road transport'!$AX26)</f>
        <v>12</v>
      </c>
      <c r="AF26" s="91">
        <f>AVERAGEIFS(RoadTra_BY!AN$2:AN$999,RoadTra_BY!$B$2:$B$999,'Road transport'!$C26,RoadTra_BY!$C$2:$C$999,'Road transport'!$AX26)</f>
        <v>12</v>
      </c>
      <c r="AG26" s="91">
        <f>AVERAGEIFS(RoadTra_BY!AO$2:AO$999,RoadTra_BY!$B$2:$B$999,'Road transport'!$C26,RoadTra_BY!$C$2:$C$999,'Road transport'!$AX26)</f>
        <v>12</v>
      </c>
      <c r="AH26" s="91">
        <f>AVERAGEIFS(RoadTra_BY!AP$2:AP$999,RoadTra_BY!$B$2:$B$999,'Road transport'!$C26,RoadTra_BY!$C$2:$C$999,'Road transport'!$AX26)</f>
        <v>12</v>
      </c>
      <c r="AI26" s="91">
        <f>AVERAGEIFS(RoadTra_BY!AQ$2:AQ$999,RoadTra_BY!$B$2:$B$999,'Road transport'!$C26,RoadTra_BY!$C$2:$C$999,'Road transport'!$AX26)</f>
        <v>12</v>
      </c>
      <c r="AJ26" s="91">
        <f>AVERAGEIFS(RoadTra_BY!AR$2:AR$999,RoadTra_BY!$B$2:$B$999,'Road transport'!$C26,RoadTra_BY!$C$2:$C$999,'Road transport'!$AX26)</f>
        <v>12</v>
      </c>
      <c r="AK26" s="91">
        <f>AVERAGEIFS(RoadTra_BY!AS$2:AS$999,RoadTra_BY!$B$2:$B$999,'Road transport'!$C26,RoadTra_BY!$C$2:$C$999,'Road transport'!$AX26)</f>
        <v>12</v>
      </c>
      <c r="AL26" s="91">
        <f>AVERAGEIFS(RoadTra_BY!AT$2:AT$999,RoadTra_BY!$B$2:$B$999,'Road transport'!$C26,RoadTra_BY!$C$2:$C$999,'Road transport'!$AX26)</f>
        <v>12</v>
      </c>
      <c r="AM26" s="91" t="e">
        <f>AVERAGEIFS(RoadTra_BY!AU$2:AU$999,RoadTra_BY!$B$2:$B$999,'Road transport'!$C26,RoadTra_BY!$C$2:$C$999,'Road transport'!$AX26)</f>
        <v>#DIV/0!</v>
      </c>
      <c r="AN26" s="91" t="e">
        <f>AVERAGEIFS(RoadTra_BY!AV$2:AV$999,RoadTra_BY!$B$2:$B$999,'Road transport'!$C26,RoadTra_BY!$C$2:$C$999,'Road transport'!$AX26)</f>
        <v>#DIV/0!</v>
      </c>
      <c r="AO26" s="91" t="e">
        <f>AVERAGEIFS(RoadTra_BY!AW$2:AW$999,RoadTra_BY!$B$2:$B$999,'Road transport'!$C26,RoadTra_BY!$C$2:$C$999,'Road transport'!$AX26)</f>
        <v>#DIV/0!</v>
      </c>
      <c r="AP26" s="91" t="e">
        <f>AVERAGEIFS(RoadTra_BY!AX$2:AX$999,RoadTra_BY!$B$2:$B$999,'Road transport'!$C26,RoadTra_BY!$C$2:$C$999,'Road transport'!$AX26)</f>
        <v>#DIV/0!</v>
      </c>
      <c r="AQ26" s="91" t="e">
        <f>AVERAGEIFS(RoadTra_BY!AY$2:AY$999,RoadTra_BY!$B$2:$B$999,'Road transport'!$C26,RoadTra_BY!$C$2:$C$999,'Road transport'!$AX26)</f>
        <v>#DIV/0!</v>
      </c>
      <c r="AR26" s="91" t="e">
        <f>AVERAGEIFS(RoadTra_BY!AZ$2:AZ$999,RoadTra_BY!$B$2:$B$999,'Road transport'!$C26,RoadTra_BY!$C$2:$C$999,'Road transport'!$AX26)</f>
        <v>#DIV/0!</v>
      </c>
      <c r="AS26" s="91" t="e">
        <f>AVERAGEIFS(RoadTra_BY!BA$2:BA$999,RoadTra_BY!$B$2:$B$999,'Road transport'!$C26,RoadTra_BY!$C$2:$C$999,'Road transport'!$AX26)</f>
        <v>#DIV/0!</v>
      </c>
      <c r="AT26" s="91" t="e">
        <f>AVERAGEIFS(RoadTra_BY!BB$2:BB$999,RoadTra_BY!$B$2:$B$999,'Road transport'!$C26,RoadTra_BY!$C$2:$C$999,'Road transport'!$AX26)</f>
        <v>#DIV/0!</v>
      </c>
      <c r="AU26" s="91" t="e">
        <f>AVERAGEIFS(RoadTra_BY!BC$2:BC$999,RoadTra_BY!$B$2:$B$999,'Road transport'!$C26,RoadTra_BY!$C$2:$C$999,'Road transport'!$AX26)</f>
        <v>#DIV/0!</v>
      </c>
      <c r="AV26" s="91" t="e">
        <f>AVERAGEIFS(RoadTra_BY!BD$2:BD$999,RoadTra_BY!$B$2:$B$999,'Road transport'!$C26,RoadTra_BY!$C$2:$C$999,'Road transport'!$AX26)</f>
        <v>#DIV/0!</v>
      </c>
      <c r="AW26" s="91" t="e">
        <f>AVERAGEIFS(RoadTra_BY!BE$2:BE$999,RoadTra_BY!$B$2:$B$999,'Road transport'!$C26,RoadTra_BY!$C$2:$C$999,'Road transport'!$AX26)</f>
        <v>#DIV/0!</v>
      </c>
      <c r="AX26" t="s">
        <v>163</v>
      </c>
    </row>
    <row r="27" spans="2:50">
      <c r="C27" t="s">
        <v>114</v>
      </c>
      <c r="D27" s="91">
        <f>AVERAGEIFS(RoadTra_BY!L$2:L$999,RoadTra_BY!$B$2:$B$999,'Road transport'!$C27,RoadTra_BY!$C$2:$C$999,'Road transport'!$AX27)</f>
        <v>100</v>
      </c>
      <c r="E27" s="91">
        <f>AVERAGEIFS(RoadTra_BY!M$2:M$999,RoadTra_BY!$B$2:$B$999,'Road transport'!$C27,RoadTra_BY!$C$2:$C$999,'Road transport'!$AX27)</f>
        <v>100</v>
      </c>
      <c r="F27" s="91">
        <f>AVERAGEIFS(RoadTra_BY!N$2:N$999,RoadTra_BY!$B$2:$B$999,'Road transport'!$C27,RoadTra_BY!$C$2:$C$999,'Road transport'!$AX27)</f>
        <v>100</v>
      </c>
      <c r="G27" s="91">
        <f>AVERAGEIFS(RoadTra_BY!O$2:O$999,RoadTra_BY!$B$2:$B$999,'Road transport'!$C27,RoadTra_BY!$C$2:$C$999,'Road transport'!$AX27)</f>
        <v>100</v>
      </c>
      <c r="H27" s="91">
        <f>AVERAGEIFS(RoadTra_BY!P$2:P$999,RoadTra_BY!$B$2:$B$999,'Road transport'!$C27,RoadTra_BY!$C$2:$C$999,'Road transport'!$AX27)</f>
        <v>100</v>
      </c>
      <c r="I27" s="91">
        <f>AVERAGEIFS(RoadTra_BY!Q$2:Q$999,RoadTra_BY!$B$2:$B$999,'Road transport'!$C27,RoadTra_BY!$C$2:$C$999,'Road transport'!$AX27)</f>
        <v>100</v>
      </c>
      <c r="J27" s="91">
        <f>AVERAGEIFS(RoadTra_BY!R$2:R$999,RoadTra_BY!$B$2:$B$999,'Road transport'!$C27,RoadTra_BY!$C$2:$C$999,'Road transport'!$AX27)</f>
        <v>100</v>
      </c>
      <c r="K27" s="91">
        <f>AVERAGEIFS(RoadTra_BY!S$2:S$999,RoadTra_BY!$B$2:$B$999,'Road transport'!$C27,RoadTra_BY!$C$2:$C$999,'Road transport'!$AX27)</f>
        <v>100</v>
      </c>
      <c r="L27" s="91">
        <f>AVERAGEIFS(RoadTra_BY!T$2:T$999,RoadTra_BY!$B$2:$B$999,'Road transport'!$C27,RoadTra_BY!$C$2:$C$999,'Road transport'!$AX27)</f>
        <v>100</v>
      </c>
      <c r="M27" s="91">
        <f>AVERAGEIFS(RoadTra_BY!U$2:U$999,RoadTra_BY!$B$2:$B$999,'Road transport'!$C27,RoadTra_BY!$C$2:$C$999,'Road transport'!$AX27)</f>
        <v>100</v>
      </c>
      <c r="N27" s="91">
        <f>AVERAGEIFS(RoadTra_BY!V$2:V$999,RoadTra_BY!$B$2:$B$999,'Road transport'!$C27,RoadTra_BY!$C$2:$C$999,'Road transport'!$AX27)</f>
        <v>100</v>
      </c>
      <c r="O27" s="91">
        <f>AVERAGEIFS(RoadTra_BY!W$2:W$999,RoadTra_BY!$B$2:$B$999,'Road transport'!$C27,RoadTra_BY!$C$2:$C$999,'Road transport'!$AX27)</f>
        <v>100</v>
      </c>
      <c r="P27" s="91">
        <f>AVERAGEIFS(RoadTra_BY!X$2:X$999,RoadTra_BY!$B$2:$B$999,'Road transport'!$C27,RoadTra_BY!$C$2:$C$999,'Road transport'!$AX27)</f>
        <v>100</v>
      </c>
      <c r="Q27" s="91">
        <f>AVERAGEIFS(RoadTra_BY!Y$2:Y$999,RoadTra_BY!$B$2:$B$999,'Road transport'!$C27,RoadTra_BY!$C$2:$C$999,'Road transport'!$AX27)</f>
        <v>100</v>
      </c>
      <c r="R27" s="91">
        <f>AVERAGEIFS(RoadTra_BY!Z$2:Z$999,RoadTra_BY!$B$2:$B$999,'Road transport'!$C27,RoadTra_BY!$C$2:$C$999,'Road transport'!$AX27)</f>
        <v>100</v>
      </c>
      <c r="S27" s="91">
        <f>AVERAGEIFS(RoadTra_BY!AA$2:AA$999,RoadTra_BY!$B$2:$B$999,'Road transport'!$C27,RoadTra_BY!$C$2:$C$999,'Road transport'!$AX27)</f>
        <v>100</v>
      </c>
      <c r="T27" s="91">
        <f>AVERAGEIFS(RoadTra_BY!AB$2:AB$999,RoadTra_BY!$B$2:$B$999,'Road transport'!$C27,RoadTra_BY!$C$2:$C$999,'Road transport'!$AX27)</f>
        <v>100</v>
      </c>
      <c r="U27" s="91">
        <f>AVERAGEIFS(RoadTra_BY!AC$2:AC$999,RoadTra_BY!$B$2:$B$999,'Road transport'!$C27,RoadTra_BY!$C$2:$C$999,'Road transport'!$AX27)</f>
        <v>100</v>
      </c>
      <c r="V27" s="91">
        <f>AVERAGEIFS(RoadTra_BY!AD$2:AD$999,RoadTra_BY!$B$2:$B$999,'Road transport'!$C27,RoadTra_BY!$C$2:$C$999,'Road transport'!$AX27)</f>
        <v>100</v>
      </c>
      <c r="W27" s="91">
        <f>AVERAGEIFS(RoadTra_BY!AE$2:AE$999,RoadTra_BY!$B$2:$B$999,'Road transport'!$C27,RoadTra_BY!$C$2:$C$999,'Road transport'!$AX27)</f>
        <v>100</v>
      </c>
      <c r="X27" s="91">
        <f>AVERAGEIFS(RoadTra_BY!AF$2:AF$999,RoadTra_BY!$B$2:$B$999,'Road transport'!$C27,RoadTra_BY!$C$2:$C$999,'Road transport'!$AX27)</f>
        <v>100</v>
      </c>
      <c r="Y27" s="91">
        <f>AVERAGEIFS(RoadTra_BY!AG$2:AG$999,RoadTra_BY!$B$2:$B$999,'Road transport'!$C27,RoadTra_BY!$C$2:$C$999,'Road transport'!$AX27)</f>
        <v>100</v>
      </c>
      <c r="Z27" s="91">
        <f>AVERAGEIFS(RoadTra_BY!AH$2:AH$999,RoadTra_BY!$B$2:$B$999,'Road transport'!$C27,RoadTra_BY!$C$2:$C$999,'Road transport'!$AX27)</f>
        <v>100</v>
      </c>
      <c r="AA27" s="91">
        <f>AVERAGEIFS(RoadTra_BY!AI$2:AI$999,RoadTra_BY!$B$2:$B$999,'Road transport'!$C27,RoadTra_BY!$C$2:$C$999,'Road transport'!$AX27)</f>
        <v>100</v>
      </c>
      <c r="AB27" s="91">
        <f>AVERAGEIFS(RoadTra_BY!AJ$2:AJ$999,RoadTra_BY!$B$2:$B$999,'Road transport'!$C27,RoadTra_BY!$C$2:$C$999,'Road transport'!$AX27)</f>
        <v>100</v>
      </c>
      <c r="AC27" s="91">
        <f>AVERAGEIFS(RoadTra_BY!AK$2:AK$999,RoadTra_BY!$B$2:$B$999,'Road transport'!$C27,RoadTra_BY!$C$2:$C$999,'Road transport'!$AX27)</f>
        <v>100</v>
      </c>
      <c r="AD27" s="91">
        <f>AVERAGEIFS(RoadTra_BY!AL$2:AL$999,RoadTra_BY!$B$2:$B$999,'Road transport'!$C27,RoadTra_BY!$C$2:$C$999,'Road transport'!$AX27)</f>
        <v>100</v>
      </c>
      <c r="AE27" s="91">
        <f>AVERAGEIFS(RoadTra_BY!AM$2:AM$999,RoadTra_BY!$B$2:$B$999,'Road transport'!$C27,RoadTra_BY!$C$2:$C$999,'Road transport'!$AX27)</f>
        <v>100</v>
      </c>
      <c r="AF27" s="91">
        <f>AVERAGEIFS(RoadTra_BY!AN$2:AN$999,RoadTra_BY!$B$2:$B$999,'Road transport'!$C27,RoadTra_BY!$C$2:$C$999,'Road transport'!$AX27)</f>
        <v>35</v>
      </c>
      <c r="AG27" s="91">
        <f>AVERAGEIFS(RoadTra_BY!AO$2:AO$999,RoadTra_BY!$B$2:$B$999,'Road transport'!$C27,RoadTra_BY!$C$2:$C$999,'Road transport'!$AX27)</f>
        <v>100</v>
      </c>
      <c r="AH27" s="91">
        <f>AVERAGEIFS(RoadTra_BY!AP$2:AP$999,RoadTra_BY!$B$2:$B$999,'Road transport'!$C27,RoadTra_BY!$C$2:$C$999,'Road transport'!$AX27)</f>
        <v>100</v>
      </c>
      <c r="AI27" s="91">
        <f>AVERAGEIFS(RoadTra_BY!AQ$2:AQ$999,RoadTra_BY!$B$2:$B$999,'Road transport'!$C27,RoadTra_BY!$C$2:$C$999,'Road transport'!$AX27)</f>
        <v>100</v>
      </c>
      <c r="AJ27" s="91">
        <f>AVERAGEIFS(RoadTra_BY!AR$2:AR$999,RoadTra_BY!$B$2:$B$999,'Road transport'!$C27,RoadTra_BY!$C$2:$C$999,'Road transport'!$AX27)</f>
        <v>100</v>
      </c>
      <c r="AK27" s="91">
        <f>AVERAGEIFS(RoadTra_BY!AS$2:AS$999,RoadTra_BY!$B$2:$B$999,'Road transport'!$C27,RoadTra_BY!$C$2:$C$999,'Road transport'!$AX27)</f>
        <v>100</v>
      </c>
      <c r="AL27" s="91">
        <f>AVERAGEIFS(RoadTra_BY!AT$2:AT$999,RoadTra_BY!$B$2:$B$999,'Road transport'!$C27,RoadTra_BY!$C$2:$C$999,'Road transport'!$AX27)</f>
        <v>35</v>
      </c>
      <c r="AM27" s="91" t="e">
        <f>AVERAGEIFS(RoadTra_BY!AU$2:AU$999,RoadTra_BY!$B$2:$B$999,'Road transport'!$C27,RoadTra_BY!$C$2:$C$999,'Road transport'!$AX27)</f>
        <v>#DIV/0!</v>
      </c>
      <c r="AN27" s="91" t="e">
        <f>AVERAGEIFS(RoadTra_BY!AV$2:AV$999,RoadTra_BY!$B$2:$B$999,'Road transport'!$C27,RoadTra_BY!$C$2:$C$999,'Road transport'!$AX27)</f>
        <v>#DIV/0!</v>
      </c>
      <c r="AO27" s="91" t="e">
        <f>AVERAGEIFS(RoadTra_BY!AW$2:AW$999,RoadTra_BY!$B$2:$B$999,'Road transport'!$C27,RoadTra_BY!$C$2:$C$999,'Road transport'!$AX27)</f>
        <v>#DIV/0!</v>
      </c>
      <c r="AP27" s="91" t="e">
        <f>AVERAGEIFS(RoadTra_BY!AX$2:AX$999,RoadTra_BY!$B$2:$B$999,'Road transport'!$C27,RoadTra_BY!$C$2:$C$999,'Road transport'!$AX27)</f>
        <v>#DIV/0!</v>
      </c>
      <c r="AQ27" s="91" t="e">
        <f>AVERAGEIFS(RoadTra_BY!AY$2:AY$999,RoadTra_BY!$B$2:$B$999,'Road transport'!$C27,RoadTra_BY!$C$2:$C$999,'Road transport'!$AX27)</f>
        <v>#DIV/0!</v>
      </c>
      <c r="AR27" s="91" t="e">
        <f>AVERAGEIFS(RoadTra_BY!AZ$2:AZ$999,RoadTra_BY!$B$2:$B$999,'Road transport'!$C27,RoadTra_BY!$C$2:$C$999,'Road transport'!$AX27)</f>
        <v>#DIV/0!</v>
      </c>
      <c r="AS27" s="91" t="e">
        <f>AVERAGEIFS(RoadTra_BY!BA$2:BA$999,RoadTra_BY!$B$2:$B$999,'Road transport'!$C27,RoadTra_BY!$C$2:$C$999,'Road transport'!$AX27)</f>
        <v>#DIV/0!</v>
      </c>
      <c r="AT27" s="91" t="e">
        <f>AVERAGEIFS(RoadTra_BY!BB$2:BB$999,RoadTra_BY!$B$2:$B$999,'Road transport'!$C27,RoadTra_BY!$C$2:$C$999,'Road transport'!$AX27)</f>
        <v>#DIV/0!</v>
      </c>
      <c r="AU27" s="91" t="e">
        <f>AVERAGEIFS(RoadTra_BY!BC$2:BC$999,RoadTra_BY!$B$2:$B$999,'Road transport'!$C27,RoadTra_BY!$C$2:$C$999,'Road transport'!$AX27)</f>
        <v>#DIV/0!</v>
      </c>
      <c r="AV27" s="91" t="e">
        <f>AVERAGEIFS(RoadTra_BY!BD$2:BD$999,RoadTra_BY!$B$2:$B$999,'Road transport'!$C27,RoadTra_BY!$C$2:$C$999,'Road transport'!$AX27)</f>
        <v>#DIV/0!</v>
      </c>
      <c r="AW27" s="91" t="e">
        <f>AVERAGEIFS(RoadTra_BY!BE$2:BE$999,RoadTra_BY!$B$2:$B$999,'Road transport'!$C27,RoadTra_BY!$C$2:$C$999,'Road transport'!$AX27)</f>
        <v>#DIV/0!</v>
      </c>
      <c r="AX27" t="s">
        <v>164</v>
      </c>
    </row>
    <row r="28" spans="2:50">
      <c r="C28" t="s">
        <v>114</v>
      </c>
      <c r="D28" s="91">
        <f>AVERAGEIFS(RoadTra_BY!L$2:L$999,RoadTra_BY!$B$2:$B$999,'Road transport'!$C28,RoadTra_BY!$C$2:$C$999,'Road transport'!$AX28)</f>
        <v>40</v>
      </c>
      <c r="E28" s="91">
        <f>AVERAGEIFS(RoadTra_BY!M$2:M$999,RoadTra_BY!$B$2:$B$999,'Road transport'!$C28,RoadTra_BY!$C$2:$C$999,'Road transport'!$AX28)</f>
        <v>40</v>
      </c>
      <c r="F28" s="91">
        <f>AVERAGEIFS(RoadTra_BY!N$2:N$999,RoadTra_BY!$B$2:$B$999,'Road transport'!$C28,RoadTra_BY!$C$2:$C$999,'Road transport'!$AX28)</f>
        <v>40</v>
      </c>
      <c r="G28" s="91">
        <f>AVERAGEIFS(RoadTra_BY!O$2:O$999,RoadTra_BY!$B$2:$B$999,'Road transport'!$C28,RoadTra_BY!$C$2:$C$999,'Road transport'!$AX28)</f>
        <v>40</v>
      </c>
      <c r="H28" s="91">
        <f>AVERAGEIFS(RoadTra_BY!P$2:P$999,RoadTra_BY!$B$2:$B$999,'Road transport'!$C28,RoadTra_BY!$C$2:$C$999,'Road transport'!$AX28)</f>
        <v>40</v>
      </c>
      <c r="I28" s="91">
        <f>AVERAGEIFS(RoadTra_BY!Q$2:Q$999,RoadTra_BY!$B$2:$B$999,'Road transport'!$C28,RoadTra_BY!$C$2:$C$999,'Road transport'!$AX28)</f>
        <v>40</v>
      </c>
      <c r="J28" s="91">
        <f>AVERAGEIFS(RoadTra_BY!R$2:R$999,RoadTra_BY!$B$2:$B$999,'Road transport'!$C28,RoadTra_BY!$C$2:$C$999,'Road transport'!$AX28)</f>
        <v>40</v>
      </c>
      <c r="K28" s="91">
        <f>AVERAGEIFS(RoadTra_BY!S$2:S$999,RoadTra_BY!$B$2:$B$999,'Road transport'!$C28,RoadTra_BY!$C$2:$C$999,'Road transport'!$AX28)</f>
        <v>40</v>
      </c>
      <c r="L28" s="91">
        <f>AVERAGEIFS(RoadTra_BY!T$2:T$999,RoadTra_BY!$B$2:$B$999,'Road transport'!$C28,RoadTra_BY!$C$2:$C$999,'Road transport'!$AX28)</f>
        <v>40</v>
      </c>
      <c r="M28" s="91">
        <f>AVERAGEIFS(RoadTra_BY!U$2:U$999,RoadTra_BY!$B$2:$B$999,'Road transport'!$C28,RoadTra_BY!$C$2:$C$999,'Road transport'!$AX28)</f>
        <v>40</v>
      </c>
      <c r="N28" s="91">
        <f>AVERAGEIFS(RoadTra_BY!V$2:V$999,RoadTra_BY!$B$2:$B$999,'Road transport'!$C28,RoadTra_BY!$C$2:$C$999,'Road transport'!$AX28)</f>
        <v>40</v>
      </c>
      <c r="O28" s="91">
        <f>AVERAGEIFS(RoadTra_BY!W$2:W$999,RoadTra_BY!$B$2:$B$999,'Road transport'!$C28,RoadTra_BY!$C$2:$C$999,'Road transport'!$AX28)</f>
        <v>40</v>
      </c>
      <c r="P28" s="91">
        <f>AVERAGEIFS(RoadTra_BY!X$2:X$999,RoadTra_BY!$B$2:$B$999,'Road transport'!$C28,RoadTra_BY!$C$2:$C$999,'Road transport'!$AX28)</f>
        <v>40</v>
      </c>
      <c r="Q28" s="91">
        <f>AVERAGEIFS(RoadTra_BY!Y$2:Y$999,RoadTra_BY!$B$2:$B$999,'Road transport'!$C28,RoadTra_BY!$C$2:$C$999,'Road transport'!$AX28)</f>
        <v>40</v>
      </c>
      <c r="R28" s="91">
        <f>AVERAGEIFS(RoadTra_BY!Z$2:Z$999,RoadTra_BY!$B$2:$B$999,'Road transport'!$C28,RoadTra_BY!$C$2:$C$999,'Road transport'!$AX28)</f>
        <v>40</v>
      </c>
      <c r="S28" s="91">
        <f>AVERAGEIFS(RoadTra_BY!AA$2:AA$999,RoadTra_BY!$B$2:$B$999,'Road transport'!$C28,RoadTra_BY!$C$2:$C$999,'Road transport'!$AX28)</f>
        <v>40</v>
      </c>
      <c r="T28" s="91">
        <f>AVERAGEIFS(RoadTra_BY!AB$2:AB$999,RoadTra_BY!$B$2:$B$999,'Road transport'!$C28,RoadTra_BY!$C$2:$C$999,'Road transport'!$AX28)</f>
        <v>40</v>
      </c>
      <c r="U28" s="91">
        <f>AVERAGEIFS(RoadTra_BY!AC$2:AC$999,RoadTra_BY!$B$2:$B$999,'Road transport'!$C28,RoadTra_BY!$C$2:$C$999,'Road transport'!$AX28)</f>
        <v>40</v>
      </c>
      <c r="V28" s="91">
        <f>AVERAGEIFS(RoadTra_BY!AD$2:AD$999,RoadTra_BY!$B$2:$B$999,'Road transport'!$C28,RoadTra_BY!$C$2:$C$999,'Road transport'!$AX28)</f>
        <v>40</v>
      </c>
      <c r="W28" s="91">
        <f>AVERAGEIFS(RoadTra_BY!AE$2:AE$999,RoadTra_BY!$B$2:$B$999,'Road transport'!$C28,RoadTra_BY!$C$2:$C$999,'Road transport'!$AX28)</f>
        <v>40</v>
      </c>
      <c r="X28" s="91">
        <f>AVERAGEIFS(RoadTra_BY!AF$2:AF$999,RoadTra_BY!$B$2:$B$999,'Road transport'!$C28,RoadTra_BY!$C$2:$C$999,'Road transport'!$AX28)</f>
        <v>40</v>
      </c>
      <c r="Y28" s="91">
        <f>AVERAGEIFS(RoadTra_BY!AG$2:AG$999,RoadTra_BY!$B$2:$B$999,'Road transport'!$C28,RoadTra_BY!$C$2:$C$999,'Road transport'!$AX28)</f>
        <v>40</v>
      </c>
      <c r="Z28" s="91">
        <f>AVERAGEIFS(RoadTra_BY!AH$2:AH$999,RoadTra_BY!$B$2:$B$999,'Road transport'!$C28,RoadTra_BY!$C$2:$C$999,'Road transport'!$AX28)</f>
        <v>40</v>
      </c>
      <c r="AA28" s="91">
        <f>AVERAGEIFS(RoadTra_BY!AI$2:AI$999,RoadTra_BY!$B$2:$B$999,'Road transport'!$C28,RoadTra_BY!$C$2:$C$999,'Road transport'!$AX28)</f>
        <v>40</v>
      </c>
      <c r="AB28" s="91">
        <f>AVERAGEIFS(RoadTra_BY!AJ$2:AJ$999,RoadTra_BY!$B$2:$B$999,'Road transport'!$C28,RoadTra_BY!$C$2:$C$999,'Road transport'!$AX28)</f>
        <v>40</v>
      </c>
      <c r="AC28" s="91">
        <f>AVERAGEIFS(RoadTra_BY!AK$2:AK$999,RoadTra_BY!$B$2:$B$999,'Road transport'!$C28,RoadTra_BY!$C$2:$C$999,'Road transport'!$AX28)</f>
        <v>40</v>
      </c>
      <c r="AD28" s="91">
        <f>AVERAGEIFS(RoadTra_BY!AL$2:AL$999,RoadTra_BY!$B$2:$B$999,'Road transport'!$C28,RoadTra_BY!$C$2:$C$999,'Road transport'!$AX28)</f>
        <v>40</v>
      </c>
      <c r="AE28" s="91">
        <f>AVERAGEIFS(RoadTra_BY!AM$2:AM$999,RoadTra_BY!$B$2:$B$999,'Road transport'!$C28,RoadTra_BY!$C$2:$C$999,'Road transport'!$AX28)</f>
        <v>40</v>
      </c>
      <c r="AF28" s="91">
        <f>AVERAGEIFS(RoadTra_BY!AN$2:AN$999,RoadTra_BY!$B$2:$B$999,'Road transport'!$C28,RoadTra_BY!$C$2:$C$999,'Road transport'!$AX28)</f>
        <v>25</v>
      </c>
      <c r="AG28" s="91">
        <f>AVERAGEIFS(RoadTra_BY!AO$2:AO$999,RoadTra_BY!$B$2:$B$999,'Road transport'!$C28,RoadTra_BY!$C$2:$C$999,'Road transport'!$AX28)</f>
        <v>40</v>
      </c>
      <c r="AH28" s="91">
        <f>AVERAGEIFS(RoadTra_BY!AP$2:AP$999,RoadTra_BY!$B$2:$B$999,'Road transport'!$C28,RoadTra_BY!$C$2:$C$999,'Road transport'!$AX28)</f>
        <v>40</v>
      </c>
      <c r="AI28" s="91">
        <f>AVERAGEIFS(RoadTra_BY!AQ$2:AQ$999,RoadTra_BY!$B$2:$B$999,'Road transport'!$C28,RoadTra_BY!$C$2:$C$999,'Road transport'!$AX28)</f>
        <v>40</v>
      </c>
      <c r="AJ28" s="91">
        <f>AVERAGEIFS(RoadTra_BY!AR$2:AR$999,RoadTra_BY!$B$2:$B$999,'Road transport'!$C28,RoadTra_BY!$C$2:$C$999,'Road transport'!$AX28)</f>
        <v>40</v>
      </c>
      <c r="AK28" s="91">
        <f>AVERAGEIFS(RoadTra_BY!AS$2:AS$999,RoadTra_BY!$B$2:$B$999,'Road transport'!$C28,RoadTra_BY!$C$2:$C$999,'Road transport'!$AX28)</f>
        <v>40</v>
      </c>
      <c r="AL28" s="91">
        <f>AVERAGEIFS(RoadTra_BY!AT$2:AT$999,RoadTra_BY!$B$2:$B$999,'Road transport'!$C28,RoadTra_BY!$C$2:$C$999,'Road transport'!$AX28)</f>
        <v>15</v>
      </c>
      <c r="AM28" s="91" t="e">
        <f>AVERAGEIFS(RoadTra_BY!AU$2:AU$999,RoadTra_BY!$B$2:$B$999,'Road transport'!$C28,RoadTra_BY!$C$2:$C$999,'Road transport'!$AX28)</f>
        <v>#DIV/0!</v>
      </c>
      <c r="AN28" s="91" t="e">
        <f>AVERAGEIFS(RoadTra_BY!AV$2:AV$999,RoadTra_BY!$B$2:$B$999,'Road transport'!$C28,RoadTra_BY!$C$2:$C$999,'Road transport'!$AX28)</f>
        <v>#DIV/0!</v>
      </c>
      <c r="AO28" s="91" t="e">
        <f>AVERAGEIFS(RoadTra_BY!AW$2:AW$999,RoadTra_BY!$B$2:$B$999,'Road transport'!$C28,RoadTra_BY!$C$2:$C$999,'Road transport'!$AX28)</f>
        <v>#DIV/0!</v>
      </c>
      <c r="AP28" s="91" t="e">
        <f>AVERAGEIFS(RoadTra_BY!AX$2:AX$999,RoadTra_BY!$B$2:$B$999,'Road transport'!$C28,RoadTra_BY!$C$2:$C$999,'Road transport'!$AX28)</f>
        <v>#DIV/0!</v>
      </c>
      <c r="AQ28" s="91" t="e">
        <f>AVERAGEIFS(RoadTra_BY!AY$2:AY$999,RoadTra_BY!$B$2:$B$999,'Road transport'!$C28,RoadTra_BY!$C$2:$C$999,'Road transport'!$AX28)</f>
        <v>#DIV/0!</v>
      </c>
      <c r="AR28" s="91" t="e">
        <f>AVERAGEIFS(RoadTra_BY!AZ$2:AZ$999,RoadTra_BY!$B$2:$B$999,'Road transport'!$C28,RoadTra_BY!$C$2:$C$999,'Road transport'!$AX28)</f>
        <v>#DIV/0!</v>
      </c>
      <c r="AS28" s="91" t="e">
        <f>AVERAGEIFS(RoadTra_BY!BA$2:BA$999,RoadTra_BY!$B$2:$B$999,'Road transport'!$C28,RoadTra_BY!$C$2:$C$999,'Road transport'!$AX28)</f>
        <v>#DIV/0!</v>
      </c>
      <c r="AT28" s="91" t="e">
        <f>AVERAGEIFS(RoadTra_BY!BB$2:BB$999,RoadTra_BY!$B$2:$B$999,'Road transport'!$C28,RoadTra_BY!$C$2:$C$999,'Road transport'!$AX28)</f>
        <v>#DIV/0!</v>
      </c>
      <c r="AU28" s="91" t="e">
        <f>AVERAGEIFS(RoadTra_BY!BC$2:BC$999,RoadTra_BY!$B$2:$B$999,'Road transport'!$C28,RoadTra_BY!$C$2:$C$999,'Road transport'!$AX28)</f>
        <v>#DIV/0!</v>
      </c>
      <c r="AV28" s="91" t="e">
        <f>AVERAGEIFS(RoadTra_BY!BD$2:BD$999,RoadTra_BY!$B$2:$B$999,'Road transport'!$C28,RoadTra_BY!$C$2:$C$999,'Road transport'!$AX28)</f>
        <v>#DIV/0!</v>
      </c>
      <c r="AW28" s="91"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81" customFormat="1" spans="2:53">
      <c r="C36" s="81" t="s">
        <v>124</v>
      </c>
      <c r="D36" s="81" t="str">
        <f>"*"&amp;ROUND(SUMIFS(RoadTra_BY!L$2:L$79,RoadTra_BY!$B$2:$B$79,'Road transport'!$C36,RoadTra_BY!$C$2:$C$79,'Road transport'!$BA36),3)</f>
        <v>*0.466</v>
      </c>
      <c r="E36" s="81" t="str">
        <f>"*"&amp;ROUND(SUMIFS(RoadTra_BY!M$2:M$79,RoadTra_BY!$B$2:$B$79,'Road transport'!$C36,RoadTra_BY!$C$2:$C$79,'Road transport'!$BA36),3)</f>
        <v>*0.466</v>
      </c>
      <c r="F36" s="81" t="str">
        <f>"*"&amp;ROUND(SUMIFS(RoadTra_BY!N$2:N$79,RoadTra_BY!$B$2:$B$79,'Road transport'!$C36,RoadTra_BY!$C$2:$C$79,'Road transport'!$BA36),3)</f>
        <v>*0.466</v>
      </c>
      <c r="G36" s="81" t="str">
        <f>"*"&amp;ROUND(SUMIFS(RoadTra_BY!O$2:O$79,RoadTra_BY!$B$2:$B$79,'Road transport'!$C36,RoadTra_BY!$C$2:$C$79,'Road transport'!$BA36),3)</f>
        <v>*0.466</v>
      </c>
      <c r="H36" s="81" t="str">
        <f>"*"&amp;ROUND(SUMIFS(RoadTra_BY!P$2:P$79,RoadTra_BY!$B$2:$B$79,'Road transport'!$C36,RoadTra_BY!$C$2:$C$79,'Road transport'!$BA36),3)</f>
        <v>*0.466</v>
      </c>
      <c r="I36" s="81" t="str">
        <f>"*"&amp;ROUND(SUMIFS(RoadTra_BY!Q$2:Q$79,RoadTra_BY!$B$2:$B$79,'Road transport'!$C36,RoadTra_BY!$C$2:$C$79,'Road transport'!$BA36),3)</f>
        <v>*0.466</v>
      </c>
      <c r="J36" s="81" t="str">
        <f>"*"&amp;ROUND(SUMIFS(RoadTra_BY!R$2:R$79,RoadTra_BY!$B$2:$B$79,'Road transport'!$C36,RoadTra_BY!$C$2:$C$79,'Road transport'!$BA36),3)</f>
        <v>*0.466</v>
      </c>
      <c r="K36" s="81" t="str">
        <f>"*"&amp;ROUND(SUMIFS(RoadTra_BY!S$2:S$79,RoadTra_BY!$B$2:$B$79,'Road transport'!$C36,RoadTra_BY!$C$2:$C$79,'Road transport'!$BA36),3)</f>
        <v>*0.466</v>
      </c>
      <c r="L36" s="81" t="str">
        <f>"*"&amp;ROUND(SUMIFS(RoadTra_BY!T$2:T$79,RoadTra_BY!$B$2:$B$79,'Road transport'!$C36,RoadTra_BY!$C$2:$C$79,'Road transport'!$BA36),3)</f>
        <v>*0.466</v>
      </c>
      <c r="M36" s="81" t="str">
        <f>"*"&amp;ROUND(SUMIFS(RoadTra_BY!U$2:U$79,RoadTra_BY!$B$2:$B$79,'Road transport'!$C36,RoadTra_BY!$C$2:$C$79,'Road transport'!$BA36),3)</f>
        <v>*0.466</v>
      </c>
      <c r="N36" s="81" t="str">
        <f>"*"&amp;ROUND(SUMIFS(RoadTra_BY!V$2:V$79,RoadTra_BY!$B$2:$B$79,'Road transport'!$C36,RoadTra_BY!$C$2:$C$79,'Road transport'!$BA36),3)</f>
        <v>*0.466</v>
      </c>
      <c r="O36" s="81" t="str">
        <f>"*"&amp;ROUND(SUMIFS(RoadTra_BY!W$2:W$79,RoadTra_BY!$B$2:$B$79,'Road transport'!$C36,RoadTra_BY!$C$2:$C$79,'Road transport'!$BA36),3)</f>
        <v>*0.466</v>
      </c>
      <c r="P36" s="81" t="str">
        <f>"*"&amp;ROUND(SUMIFS(RoadTra_BY!X$2:X$79,RoadTra_BY!$B$2:$B$79,'Road transport'!$C36,RoadTra_BY!$C$2:$C$79,'Road transport'!$BA36),3)</f>
        <v>*0.466</v>
      </c>
      <c r="Q36" s="81" t="str">
        <f>"*"&amp;ROUND(SUMIFS(RoadTra_BY!Y$2:Y$79,RoadTra_BY!$B$2:$B$79,'Road transport'!$C36,RoadTra_BY!$C$2:$C$79,'Road transport'!$BA36),3)</f>
        <v>*0.466</v>
      </c>
      <c r="R36" s="81" t="str">
        <f>"*"&amp;ROUND(SUMIFS(RoadTra_BY!Z$2:Z$79,RoadTra_BY!$B$2:$B$79,'Road transport'!$C36,RoadTra_BY!$C$2:$C$79,'Road transport'!$BA36),3)</f>
        <v>*0.466</v>
      </c>
      <c r="S36" s="81" t="str">
        <f>"*"&amp;ROUND(SUMIFS(RoadTra_BY!AA$2:AA$79,RoadTra_BY!$B$2:$B$79,'Road transport'!$C36,RoadTra_BY!$C$2:$C$79,'Road transport'!$BA36),3)</f>
        <v>*0.466</v>
      </c>
      <c r="T36" s="81" t="str">
        <f>"*"&amp;ROUND(SUMIFS(RoadTra_BY!AB$2:AB$79,RoadTra_BY!$B$2:$B$79,'Road transport'!$C36,RoadTra_BY!$C$2:$C$79,'Road transport'!$BA36),3)</f>
        <v>*0.466</v>
      </c>
      <c r="U36" s="81" t="str">
        <f>"*"&amp;ROUND(SUMIFS(RoadTra_BY!AC$2:AC$79,RoadTra_BY!$B$2:$B$79,'Road transport'!$C36,RoadTra_BY!$C$2:$C$79,'Road transport'!$BA36),3)</f>
        <v>*0.466</v>
      </c>
      <c r="V36" s="81" t="str">
        <f>"*"&amp;ROUND(SUMIFS(RoadTra_BY!AD$2:AD$79,RoadTra_BY!$B$2:$B$79,'Road transport'!$C36,RoadTra_BY!$C$2:$C$79,'Road transport'!$BA36),3)</f>
        <v>*0.466</v>
      </c>
      <c r="W36" s="81" t="str">
        <f>"*"&amp;ROUND(SUMIFS(RoadTra_BY!AE$2:AE$79,RoadTra_BY!$B$2:$B$79,'Road transport'!$C36,RoadTra_BY!$C$2:$C$79,'Road transport'!$BA36),3)</f>
        <v>*0.466</v>
      </c>
      <c r="X36" s="81" t="str">
        <f>"*"&amp;ROUND(SUMIFS(RoadTra_BY!AF$2:AF$79,RoadTra_BY!$B$2:$B$79,'Road transport'!$C36,RoadTra_BY!$C$2:$C$79,'Road transport'!$BA36),3)</f>
        <v>*0.466</v>
      </c>
      <c r="Y36" s="81" t="str">
        <f>"*"&amp;ROUND(SUMIFS(RoadTra_BY!AG$2:AG$79,RoadTra_BY!$B$2:$B$79,'Road transport'!$C36,RoadTra_BY!$C$2:$C$79,'Road transport'!$BA36),3)</f>
        <v>*0.28</v>
      </c>
      <c r="Z36" s="81" t="str">
        <f>"*"&amp;ROUND(SUMIFS(RoadTra_BY!AH$2:AH$79,RoadTra_BY!$B$2:$B$79,'Road transport'!$C36,RoadTra_BY!$C$2:$C$79,'Road transport'!$BA36),3)</f>
        <v>*0.466</v>
      </c>
      <c r="AA36" s="81" t="str">
        <f>"*"&amp;ROUND(SUMIFS(RoadTra_BY!AI$2:AI$79,RoadTra_BY!$B$2:$B$79,'Road transport'!$C36,RoadTra_BY!$C$2:$C$79,'Road transport'!$BA36),3)</f>
        <v>*0.466</v>
      </c>
      <c r="AB36" s="81" t="str">
        <f>"*"&amp;ROUND(SUMIFS(RoadTra_BY!AJ$2:AJ$79,RoadTra_BY!$B$2:$B$79,'Road transport'!$C36,RoadTra_BY!$C$2:$C$79,'Road transport'!$BA36),3)</f>
        <v>*0.466</v>
      </c>
      <c r="AC36" s="81" t="str">
        <f>"*"&amp;ROUND(SUMIFS(RoadTra_BY!AK$2:AK$79,RoadTra_BY!$B$2:$B$79,'Road transport'!$C36,RoadTra_BY!$C$2:$C$79,'Road transport'!$BA36),3)</f>
        <v>*0.466</v>
      </c>
      <c r="AD36" s="81" t="str">
        <f>"*"&amp;ROUND(SUMIFS(RoadTra_BY!AL$2:AL$79,RoadTra_BY!$B$2:$B$79,'Road transport'!$C36,RoadTra_BY!$C$2:$C$79,'Road transport'!$BA36),3)</f>
        <v>*0.466</v>
      </c>
      <c r="AE36" s="81" t="str">
        <f>"*"&amp;ROUND(SUMIFS(RoadTra_BY!AM$2:AM$79,RoadTra_BY!$B$2:$B$79,'Road transport'!$C36,RoadTra_BY!$C$2:$C$79,'Road transport'!$BA36),3)</f>
        <v>*0.466</v>
      </c>
      <c r="AF36" s="81" t="str">
        <f>"*"&amp;ROUND(SUMIFS(RoadTra_BY!AN$2:AN$79,RoadTra_BY!$B$2:$B$79,'Road transport'!$C36,RoadTra_BY!$C$2:$C$79,'Road transport'!$BA36),3)</f>
        <v>*0.466</v>
      </c>
      <c r="AG36" s="81" t="str">
        <f>"*"&amp;ROUND(SUMIFS(RoadTra_BY!AO$2:AO$79,RoadTra_BY!$B$2:$B$79,'Road transport'!$C36,RoadTra_BY!$C$2:$C$79,'Road transport'!$BA36),3)</f>
        <v>*0.466</v>
      </c>
      <c r="AH36" s="81" t="str">
        <f>"*"&amp;ROUND(SUMIFS(RoadTra_BY!AP$2:AP$79,RoadTra_BY!$B$2:$B$79,'Road transport'!$C36,RoadTra_BY!$C$2:$C$79,'Road transport'!$BA36),3)</f>
        <v>*0.466</v>
      </c>
      <c r="AI36" s="81" t="str">
        <f>"*"&amp;ROUND(SUMIFS(RoadTra_BY!AQ$2:AQ$79,RoadTra_BY!$B$2:$B$79,'Road transport'!$C36,RoadTra_BY!$C$2:$C$79,'Road transport'!$BA36),3)</f>
        <v>*0.466</v>
      </c>
      <c r="AJ36" s="81" t="str">
        <f>"*"&amp;ROUND(SUMIFS(RoadTra_BY!AR$2:AR$79,RoadTra_BY!$B$2:$B$79,'Road transport'!$C36,RoadTra_BY!$C$2:$C$79,'Road transport'!$BA36),3)</f>
        <v>*0.466</v>
      </c>
      <c r="AK36" s="81" t="str">
        <f>"*"&amp;ROUND(SUMIFS(RoadTra_BY!AS$2:AS$79,RoadTra_BY!$B$2:$B$79,'Road transport'!$C36,RoadTra_BY!$C$2:$C$79,'Road transport'!$BA36),3)</f>
        <v>*0.466</v>
      </c>
      <c r="AL36" s="81" t="str">
        <f>"*"&amp;ROUND(SUMIFS(RoadTra_BY!AT$2:AT$79,RoadTra_BY!$B$2:$B$79,'Road transport'!$C36,RoadTra_BY!$C$2:$C$79,'Road transport'!$BA36),3)</f>
        <v>*0.466</v>
      </c>
      <c r="AM36" s="81" t="str">
        <f>"*"&amp;ROUND(SUMIFS(RoadTra_BY!AU$2:AU$79,RoadTra_BY!$B$2:$B$79,'Road transport'!$C36,RoadTra_BY!$C$2:$C$79,'Road transport'!$BA36),3)</f>
        <v>*0</v>
      </c>
      <c r="AN36" s="81" t="str">
        <f>"*"&amp;ROUND(SUMIFS(RoadTra_BY!AV$2:AV$79,RoadTra_BY!$B$2:$B$79,'Road transport'!$C36,RoadTra_BY!$C$2:$C$79,'Road transport'!$BA36),3)</f>
        <v>*0</v>
      </c>
      <c r="AO36" s="81" t="str">
        <f>"*"&amp;ROUND(SUMIFS(RoadTra_BY!AW$2:AW$79,RoadTra_BY!$B$2:$B$79,'Road transport'!$C36,RoadTra_BY!$C$2:$C$79,'Road transport'!$BA36),3)</f>
        <v>*0</v>
      </c>
      <c r="AP36" s="81" t="str">
        <f>"*"&amp;ROUND(SUMIFS(RoadTra_BY!AX$2:AX$79,RoadTra_BY!$B$2:$B$79,'Road transport'!$C36,RoadTra_BY!$C$2:$C$79,'Road transport'!$BA36),3)</f>
        <v>*0</v>
      </c>
      <c r="AQ36" s="81" t="str">
        <f>"*"&amp;ROUND(SUMIFS(RoadTra_BY!AY$2:AY$79,RoadTra_BY!$B$2:$B$79,'Road transport'!$C36,RoadTra_BY!$C$2:$C$79,'Road transport'!$BA36),3)</f>
        <v>*0</v>
      </c>
      <c r="AR36" s="81" t="str">
        <f>"*"&amp;ROUND(SUMIFS(RoadTra_BY!AZ$2:AZ$79,RoadTra_BY!$B$2:$B$79,'Road transport'!$C36,RoadTra_BY!$C$2:$C$79,'Road transport'!$BA36),3)</f>
        <v>*0</v>
      </c>
      <c r="AS36" s="81" t="str">
        <f>"*"&amp;ROUND(SUMIFS(RoadTra_BY!BA$2:BA$79,RoadTra_BY!$B$2:$B$79,'Road transport'!$C36,RoadTra_BY!$C$2:$C$79,'Road transport'!$BA36),3)</f>
        <v>*0</v>
      </c>
      <c r="AT36" s="81" t="str">
        <f>"*"&amp;ROUND(SUMIFS(RoadTra_BY!BB$2:BB$79,RoadTra_BY!$B$2:$B$79,'Road transport'!$C36,RoadTra_BY!$C$2:$C$79,'Road transport'!$BA36),3)</f>
        <v>*0</v>
      </c>
      <c r="AU36" s="81" t="str">
        <f>"*"&amp;ROUND(SUMIFS(RoadTra_BY!BC$2:BC$79,RoadTra_BY!$B$2:$B$79,'Road transport'!$C36,RoadTra_BY!$C$2:$C$79,'Road transport'!$BA36),3)</f>
        <v>*0</v>
      </c>
      <c r="AV36" s="81" t="str">
        <f>"*"&amp;ROUND(SUMIFS(RoadTra_BY!BD$2:BD$79,RoadTra_BY!$B$2:$B$79,'Road transport'!$C36,RoadTra_BY!$C$2:$C$79,'Road transport'!$BA36),3)</f>
        <v>*0</v>
      </c>
      <c r="AW36" s="81" t="str">
        <f>"*"&amp;ROUND(SUMIFS(RoadTra_BY!BE$2:BE$79,RoadTra_BY!$B$2:$B$79,'Road transport'!$C36,RoadTra_BY!$C$2:$C$79,'Road transport'!$BA36),3)</f>
        <v>*0</v>
      </c>
      <c r="AX36" s="81" t="str">
        <f t="shared" si="1"/>
        <v>Trd_car_*</v>
      </c>
      <c r="AZ36" s="81">
        <f t="shared" si="0"/>
        <v>1</v>
      </c>
      <c r="BA36" s="81"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2"/>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7" t="s">
        <v>179</v>
      </c>
      <c r="I55" s="167" t="s">
        <v>180</v>
      </c>
    </row>
    <row r="56" spans="1:53">
      <c r="B56" t="s">
        <v>181</v>
      </c>
      <c r="C56">
        <v>1</v>
      </c>
      <c r="F56" t="s">
        <v>182</v>
      </c>
      <c r="G56" t="s">
        <v>120</v>
      </c>
      <c r="H56" t="str">
        <f>F56</f>
        <v>AuxStoIN</v>
      </c>
      <c r="I56" t="s">
        <v>183</v>
      </c>
    </row>
    <row r="62" spans="1:53">
      <c r="H62" s="2"/>
    </row>
    <row r="63" spans="1:53">
      <c r="H63" s="2"/>
      <c r="BA63" s="83"/>
    </row>
    <row r="64" spans="1:53">
      <c r="A64" t="s">
        <v>184</v>
      </c>
    </row>
    <row r="65" s="82" customFormat="1" spans="1:106">
      <c r="A65" s="83"/>
      <c r="B65" s="86"/>
      <c r="C65" s="93"/>
      <c r="D65" s="86"/>
      <c r="E65" s="86"/>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Y65" s="83"/>
      <c r="AZ65" s="83"/>
      <c r="BB65" s="83"/>
      <c r="BC65" s="83"/>
      <c r="BD65" s="83"/>
      <c r="BE65" s="83"/>
      <c r="BF65" s="83"/>
      <c r="BG65" s="83"/>
      <c r="BH65" s="83"/>
      <c r="BI65" s="83"/>
      <c r="CO65" s="94"/>
      <c r="CP65" s="94"/>
      <c r="CR65" s="94"/>
      <c r="CS65" s="94"/>
      <c r="CT65" s="94"/>
      <c r="CU65" s="94"/>
      <c r="CW65" s="2"/>
      <c r="CX65" s="95" t="s">
        <v>131</v>
      </c>
      <c r="CY65" s="2"/>
      <c r="CZ65" s="2"/>
      <c r="DA65" s="2"/>
      <c r="DB65" s="2"/>
    </row>
    <row r="66" s="83" customFormat="1" spans="1:106">
      <c r="A66" s="83" t="s">
        <v>41</v>
      </c>
      <c r="B66" s="86" t="s">
        <v>133</v>
      </c>
      <c r="C66" s="86" t="s">
        <v>137</v>
      </c>
      <c r="D66" s="86" t="s">
        <v>65</v>
      </c>
      <c r="E66" s="86" t="s">
        <v>112</v>
      </c>
      <c r="F66" s="83" t="s">
        <v>3</v>
      </c>
      <c r="G66" s="83" t="s">
        <v>5</v>
      </c>
      <c r="H66" s="83" t="s">
        <v>6</v>
      </c>
      <c r="I66" s="83" t="s">
        <v>7</v>
      </c>
      <c r="J66" s="83" t="s">
        <v>8</v>
      </c>
      <c r="K66" s="83" t="s">
        <v>9</v>
      </c>
      <c r="L66" s="83" t="s">
        <v>10</v>
      </c>
      <c r="M66" s="83" t="s">
        <v>11</v>
      </c>
      <c r="N66" s="83" t="s">
        <v>12</v>
      </c>
      <c r="O66" s="83" t="s">
        <v>13</v>
      </c>
      <c r="P66" s="83" t="s">
        <v>14</v>
      </c>
      <c r="Q66" s="83" t="s">
        <v>15</v>
      </c>
      <c r="R66" s="83" t="s">
        <v>16</v>
      </c>
      <c r="S66" s="83" t="s">
        <v>17</v>
      </c>
      <c r="T66" s="83" t="s">
        <v>18</v>
      </c>
      <c r="U66" s="83" t="s">
        <v>19</v>
      </c>
      <c r="V66" s="83" t="s">
        <v>20</v>
      </c>
      <c r="W66" s="83" t="s">
        <v>21</v>
      </c>
      <c r="X66" s="83" t="s">
        <v>22</v>
      </c>
      <c r="Y66" s="83" t="s">
        <v>23</v>
      </c>
      <c r="Z66" s="83" t="s">
        <v>24</v>
      </c>
      <c r="AA66" s="83" t="s">
        <v>25</v>
      </c>
      <c r="AB66" s="83" t="s">
        <v>26</v>
      </c>
      <c r="AC66" s="83" t="s">
        <v>27</v>
      </c>
      <c r="AD66" s="83" t="s">
        <v>28</v>
      </c>
      <c r="AE66" s="83" t="s">
        <v>29</v>
      </c>
      <c r="AF66" s="83" t="s">
        <v>30</v>
      </c>
      <c r="AG66" s="83" t="s">
        <v>31</v>
      </c>
      <c r="AH66" s="83" t="s">
        <v>32</v>
      </c>
      <c r="AI66" s="83" t="s">
        <v>33</v>
      </c>
      <c r="AJ66" s="83" t="s">
        <v>34</v>
      </c>
      <c r="AK66" s="83" t="s">
        <v>35</v>
      </c>
      <c r="AL66" s="83" t="s">
        <v>36</v>
      </c>
      <c r="AM66" s="83" t="s">
        <v>37</v>
      </c>
      <c r="AN66" t="s">
        <v>38</v>
      </c>
      <c r="AO66" s="83" t="s">
        <v>185</v>
      </c>
      <c r="CQ66" s="96"/>
      <c r="CR66" s="96"/>
      <c r="CT66" s="96"/>
      <c r="CU66" s="96"/>
      <c r="CW66" t="s">
        <v>133</v>
      </c>
      <c r="CX66" t="s">
        <v>137</v>
      </c>
      <c r="CY66" t="s">
        <v>65</v>
      </c>
      <c r="CZ66" t="s">
        <v>112</v>
      </c>
      <c r="DA66" s="97" t="s">
        <v>41</v>
      </c>
      <c r="DB66" s="97" t="s">
        <v>66</v>
      </c>
    </row>
    <row r="67" s="83" customFormat="1" ht="14.5" spans="1:106">
      <c r="A67" s="83" t="s">
        <v>186</v>
      </c>
      <c r="B67" s="98" t="s">
        <v>187</v>
      </c>
      <c r="C67" s="86" t="s">
        <v>188</v>
      </c>
      <c r="D67" s="99" t="s">
        <v>189</v>
      </c>
      <c r="E67" s="93" t="s">
        <v>190</v>
      </c>
      <c r="F67" s="83">
        <f t="shared" ref="F67:L68" si="2">D77/1000</f>
        <v>0</v>
      </c>
      <c r="G67" s="83">
        <f t="shared" si="2"/>
        <v>310</v>
      </c>
      <c r="H67" s="83">
        <f t="shared" si="2"/>
        <v>6200</v>
      </c>
      <c r="I67" s="83">
        <f t="shared" si="2"/>
        <v>0</v>
      </c>
      <c r="J67" s="83">
        <f t="shared" si="2"/>
        <v>0</v>
      </c>
      <c r="K67" s="83">
        <f t="shared" si="2"/>
        <v>0</v>
      </c>
      <c r="L67" s="83">
        <f t="shared" si="2"/>
        <v>250</v>
      </c>
      <c r="M67" s="83">
        <v>2000</v>
      </c>
      <c r="N67" s="83">
        <f t="shared" ref="N67:W68" si="3">L77/1000</f>
        <v>0</v>
      </c>
      <c r="O67" s="83">
        <f t="shared" si="3"/>
        <v>0</v>
      </c>
      <c r="P67" s="83">
        <f t="shared" si="3"/>
        <v>0</v>
      </c>
      <c r="Q67" s="83">
        <f t="shared" si="3"/>
        <v>0</v>
      </c>
      <c r="R67" s="83">
        <f t="shared" si="3"/>
        <v>0</v>
      </c>
      <c r="S67" s="83">
        <f t="shared" si="3"/>
        <v>0</v>
      </c>
      <c r="T67" s="83">
        <f t="shared" si="3"/>
        <v>0</v>
      </c>
      <c r="U67" s="83">
        <f t="shared" si="3"/>
        <v>0</v>
      </c>
      <c r="V67" s="83">
        <f t="shared" si="3"/>
        <v>0</v>
      </c>
      <c r="W67" s="83">
        <f t="shared" si="3"/>
        <v>0</v>
      </c>
      <c r="X67" s="83">
        <f t="shared" ref="X67:AG68" si="4">V77/1000</f>
        <v>0</v>
      </c>
      <c r="Y67" s="83">
        <f t="shared" si="4"/>
        <v>12250</v>
      </c>
      <c r="Z67" s="83">
        <f t="shared" si="4"/>
        <v>0</v>
      </c>
      <c r="AA67" s="83">
        <f t="shared" si="4"/>
        <v>1930</v>
      </c>
      <c r="AB67" s="83">
        <f t="shared" si="4"/>
        <v>0</v>
      </c>
      <c r="AC67" s="83">
        <f t="shared" si="4"/>
        <v>0</v>
      </c>
      <c r="AD67" s="83">
        <f t="shared" si="4"/>
        <v>3300</v>
      </c>
      <c r="AE67" s="83">
        <f t="shared" si="4"/>
        <v>0</v>
      </c>
      <c r="AF67" s="83">
        <f t="shared" si="4"/>
        <v>0</v>
      </c>
      <c r="AG67" s="83">
        <f t="shared" si="4"/>
        <v>0</v>
      </c>
      <c r="AH67" s="83">
        <f t="shared" ref="AH67:AM68" si="5">AF77/1000</f>
        <v>60</v>
      </c>
      <c r="AI67" s="83">
        <f t="shared" si="5"/>
        <v>0</v>
      </c>
      <c r="AJ67" s="83">
        <f t="shared" si="5"/>
        <v>0</v>
      </c>
      <c r="AK67" s="83">
        <f t="shared" si="5"/>
        <v>0</v>
      </c>
      <c r="AL67" s="83">
        <f t="shared" si="5"/>
        <v>0</v>
      </c>
      <c r="AM67" s="83">
        <f t="shared" si="5"/>
        <v>0</v>
      </c>
      <c r="AN67">
        <v>0</v>
      </c>
      <c r="AO67" s="83" t="str">
        <f>E67</f>
        <v>m_lithium</v>
      </c>
      <c r="CQ67" s="96"/>
      <c r="CR67" s="96"/>
      <c r="CT67" s="96"/>
      <c r="CU67" s="96"/>
      <c r="CW67" s="100" t="s">
        <v>187</v>
      </c>
      <c r="CX67" t="s">
        <v>188</v>
      </c>
      <c r="CY67" s="2" t="str">
        <f>D67</f>
        <v>MINBatMaterials_LI</v>
      </c>
      <c r="CZ67" s="2" t="s">
        <v>190</v>
      </c>
      <c r="DA67" s="97">
        <v>0</v>
      </c>
      <c r="DB67" s="97">
        <v>1</v>
      </c>
    </row>
    <row r="68" s="83" customFormat="1" ht="16" spans="1:106">
      <c r="A68" s="83" t="s">
        <v>186</v>
      </c>
      <c r="B68" s="98" t="s">
        <v>187</v>
      </c>
      <c r="C68" s="86" t="s">
        <v>188</v>
      </c>
      <c r="D68" s="19" t="s">
        <v>191</v>
      </c>
      <c r="E68" s="93" t="s">
        <v>192</v>
      </c>
      <c r="F68" s="83">
        <f t="shared" si="2"/>
        <v>0</v>
      </c>
      <c r="G68" s="83">
        <f t="shared" si="2"/>
        <v>0</v>
      </c>
      <c r="H68" s="83">
        <f t="shared" si="2"/>
        <v>21000</v>
      </c>
      <c r="I68" s="83">
        <f t="shared" si="2"/>
        <v>0</v>
      </c>
      <c r="J68" s="83">
        <f t="shared" si="2"/>
        <v>0</v>
      </c>
      <c r="K68" s="83">
        <f t="shared" si="2"/>
        <v>0</v>
      </c>
      <c r="L68" s="83">
        <f t="shared" si="2"/>
        <v>16000</v>
      </c>
      <c r="M68" s="83">
        <f>K78/1000</f>
        <v>2100</v>
      </c>
      <c r="N68" s="83">
        <f t="shared" si="3"/>
        <v>0</v>
      </c>
      <c r="O68" s="83">
        <f t="shared" si="3"/>
        <v>0</v>
      </c>
      <c r="P68" s="83">
        <f t="shared" si="3"/>
        <v>0</v>
      </c>
      <c r="Q68" s="83">
        <f t="shared" si="3"/>
        <v>0</v>
      </c>
      <c r="R68" s="83">
        <f t="shared" si="3"/>
        <v>0</v>
      </c>
      <c r="S68" s="83">
        <f t="shared" si="3"/>
        <v>0</v>
      </c>
      <c r="T68" s="83">
        <f t="shared" si="3"/>
        <v>0</v>
      </c>
      <c r="U68" s="83">
        <f t="shared" si="3"/>
        <v>0</v>
      </c>
      <c r="V68" s="83">
        <f t="shared" si="3"/>
        <v>0</v>
      </c>
      <c r="W68" s="83">
        <f t="shared" si="3"/>
        <v>0</v>
      </c>
      <c r="X68" s="83">
        <f t="shared" si="4"/>
        <v>0</v>
      </c>
      <c r="Y68" s="83">
        <f t="shared" si="4"/>
        <v>16000</v>
      </c>
      <c r="Z68" s="83">
        <f t="shared" si="4"/>
        <v>0</v>
      </c>
      <c r="AA68" s="83">
        <f t="shared" si="4"/>
        <v>2570</v>
      </c>
      <c r="AB68" s="83">
        <f t="shared" si="4"/>
        <v>0</v>
      </c>
      <c r="AC68" s="83">
        <f t="shared" si="4"/>
        <v>0</v>
      </c>
      <c r="AD68" s="83">
        <f t="shared" si="4"/>
        <v>52900</v>
      </c>
      <c r="AE68" s="83">
        <f t="shared" si="4"/>
        <v>7500</v>
      </c>
      <c r="AF68" s="83">
        <f t="shared" si="4"/>
        <v>0</v>
      </c>
      <c r="AG68" s="83">
        <f t="shared" si="4"/>
        <v>0</v>
      </c>
      <c r="AH68" s="83">
        <f t="shared" si="5"/>
        <v>0</v>
      </c>
      <c r="AI68" s="83">
        <f t="shared" si="5"/>
        <v>0</v>
      </c>
      <c r="AJ68" s="83">
        <f t="shared" si="5"/>
        <v>0</v>
      </c>
      <c r="AK68" s="83">
        <f t="shared" si="5"/>
        <v>0</v>
      </c>
      <c r="AL68" s="83">
        <f t="shared" si="5"/>
        <v>0</v>
      </c>
      <c r="AM68" s="83">
        <f t="shared" si="5"/>
        <v>0</v>
      </c>
      <c r="AN68">
        <v>0</v>
      </c>
      <c r="AO68" s="83" t="str">
        <f t="shared" ref="AO68:AO73" si="6">E68</f>
        <v>m_nickel</v>
      </c>
      <c r="CQ68" s="96"/>
      <c r="CR68" s="96"/>
      <c r="CT68" s="96"/>
      <c r="CU68" s="96"/>
      <c r="CW68" s="100" t="s">
        <v>187</v>
      </c>
      <c r="CX68" t="s">
        <v>188</v>
      </c>
      <c r="CY68" s="2" t="str">
        <f t="shared" ref="CY68:CY73" si="7">D68</f>
        <v>MINBatMaterials_NI</v>
      </c>
      <c r="CZ68" s="2" t="s">
        <v>192</v>
      </c>
      <c r="DA68" s="97">
        <v>0</v>
      </c>
      <c r="DB68" s="97">
        <v>1</v>
      </c>
    </row>
    <row r="69" s="84" customFormat="1" ht="16" spans="1:106">
      <c r="A69" s="83" t="s">
        <v>186</v>
      </c>
      <c r="B69" s="101" t="s">
        <v>187</v>
      </c>
      <c r="C69" s="84" t="s">
        <v>188</v>
      </c>
      <c r="D69" s="19" t="s">
        <v>193</v>
      </c>
      <c r="E69" s="102" t="s">
        <v>194</v>
      </c>
      <c r="F69" s="103">
        <v>0</v>
      </c>
      <c r="G69" s="103">
        <f>E79/10000</f>
        <v>410</v>
      </c>
      <c r="H69" s="103">
        <f>F79/10000</f>
        <v>150</v>
      </c>
      <c r="I69" s="103">
        <f>G79/10000</f>
        <v>0</v>
      </c>
      <c r="J69" s="103">
        <f>H79/10000</f>
        <v>0</v>
      </c>
      <c r="K69" s="103">
        <f>I79/10000</f>
        <v>0</v>
      </c>
      <c r="L69" s="103">
        <f t="shared" ref="L69:AM69" si="8">J79/10000</f>
        <v>0</v>
      </c>
      <c r="M69" s="103">
        <f t="shared" si="8"/>
        <v>14</v>
      </c>
      <c r="N69" s="103">
        <f t="shared" si="8"/>
        <v>0</v>
      </c>
      <c r="O69" s="103">
        <f t="shared" si="8"/>
        <v>0</v>
      </c>
      <c r="P69" s="103">
        <f t="shared" si="8"/>
        <v>0</v>
      </c>
      <c r="Q69" s="103">
        <f t="shared" si="8"/>
        <v>0</v>
      </c>
      <c r="R69" s="103">
        <f t="shared" si="8"/>
        <v>0</v>
      </c>
      <c r="S69" s="103">
        <f t="shared" si="8"/>
        <v>0</v>
      </c>
      <c r="T69" s="103">
        <f t="shared" si="8"/>
        <v>0</v>
      </c>
      <c r="U69" s="103">
        <f t="shared" si="8"/>
        <v>0</v>
      </c>
      <c r="V69" s="103">
        <f t="shared" si="8"/>
        <v>0</v>
      </c>
      <c r="W69" s="103">
        <f t="shared" si="8"/>
        <v>0</v>
      </c>
      <c r="X69" s="103">
        <f t="shared" si="8"/>
        <v>0</v>
      </c>
      <c r="Y69" s="103">
        <f t="shared" si="8"/>
        <v>50</v>
      </c>
      <c r="Z69" s="103">
        <f t="shared" si="8"/>
        <v>3.6</v>
      </c>
      <c r="AA69" s="103">
        <f t="shared" si="8"/>
        <v>28.9</v>
      </c>
      <c r="AB69" s="103">
        <f t="shared" si="8"/>
        <v>0</v>
      </c>
      <c r="AC69" s="103">
        <f t="shared" si="8"/>
        <v>0</v>
      </c>
      <c r="AD69" s="103">
        <f t="shared" si="8"/>
        <v>151.7</v>
      </c>
      <c r="AE69" s="103">
        <f t="shared" si="8"/>
        <v>25</v>
      </c>
      <c r="AF69" s="103">
        <f t="shared" si="8"/>
        <v>0</v>
      </c>
      <c r="AG69" s="103">
        <f t="shared" si="8"/>
        <v>0</v>
      </c>
      <c r="AH69" s="103">
        <f t="shared" si="8"/>
        <v>0</v>
      </c>
      <c r="AI69" s="103">
        <f t="shared" si="8"/>
        <v>0</v>
      </c>
      <c r="AJ69" s="103">
        <f t="shared" si="8"/>
        <v>0</v>
      </c>
      <c r="AK69" s="103">
        <f t="shared" si="8"/>
        <v>3.6</v>
      </c>
      <c r="AL69" s="103">
        <f t="shared" si="8"/>
        <v>0</v>
      </c>
      <c r="AM69" s="103">
        <f t="shared" si="8"/>
        <v>0</v>
      </c>
      <c r="AN69">
        <v>0</v>
      </c>
      <c r="AO69" s="83" t="str">
        <f t="shared" si="6"/>
        <v>m_cobalt</v>
      </c>
      <c r="CQ69" s="104"/>
      <c r="CR69" s="104"/>
      <c r="CT69" s="104"/>
      <c r="CU69" s="104"/>
      <c r="CW69" s="101" t="s">
        <v>187</v>
      </c>
      <c r="CX69" s="84" t="s">
        <v>188</v>
      </c>
      <c r="CY69" s="19" t="s">
        <v>195</v>
      </c>
      <c r="CZ69" s="102" t="s">
        <v>194</v>
      </c>
      <c r="DA69" s="104">
        <v>0</v>
      </c>
      <c r="DB69" s="97">
        <v>1</v>
      </c>
    </row>
    <row r="70" s="83" customFormat="1" ht="16" spans="1:106">
      <c r="A70" s="83" t="s">
        <v>186</v>
      </c>
      <c r="B70" s="98" t="s">
        <v>187</v>
      </c>
      <c r="C70" s="86" t="s">
        <v>188</v>
      </c>
      <c r="D70" s="19"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3">
        <f t="shared" ref="AB70:AM73" si="10">Z80/1000</f>
        <v>0</v>
      </c>
      <c r="AC70" s="83">
        <f t="shared" si="10"/>
        <v>0</v>
      </c>
      <c r="AD70" s="83">
        <f t="shared" si="10"/>
        <v>5000</v>
      </c>
      <c r="AE70" s="83">
        <f t="shared" si="10"/>
        <v>0</v>
      </c>
      <c r="AF70" s="83">
        <f t="shared" si="10"/>
        <v>0</v>
      </c>
      <c r="AG70" s="86">
        <f t="shared" si="10"/>
        <v>640000</v>
      </c>
      <c r="AH70" s="83">
        <f t="shared" si="10"/>
        <v>0</v>
      </c>
      <c r="AI70" s="83">
        <f t="shared" si="10"/>
        <v>0</v>
      </c>
      <c r="AJ70" s="83">
        <f t="shared" si="10"/>
        <v>0</v>
      </c>
      <c r="AK70" s="83">
        <f t="shared" si="10"/>
        <v>0</v>
      </c>
      <c r="AL70" s="83">
        <f t="shared" si="10"/>
        <v>0</v>
      </c>
      <c r="AM70" s="83">
        <f t="shared" si="10"/>
        <v>140000</v>
      </c>
      <c r="AN70">
        <v>0</v>
      </c>
      <c r="AO70" s="83" t="str">
        <f t="shared" si="6"/>
        <v>m_manganese</v>
      </c>
      <c r="CQ70" s="96"/>
      <c r="CR70" s="96"/>
      <c r="CT70" s="96"/>
      <c r="CU70" s="96"/>
      <c r="CW70" s="100" t="s">
        <v>187</v>
      </c>
      <c r="CX70" t="s">
        <v>188</v>
      </c>
      <c r="CY70" s="2" t="str">
        <f t="shared" si="7"/>
        <v>MINBatMaterials_MN</v>
      </c>
      <c r="CZ70" s="108" t="s">
        <v>197</v>
      </c>
      <c r="DA70" s="97">
        <v>0</v>
      </c>
      <c r="DB70" s="97">
        <v>1</v>
      </c>
    </row>
    <row r="71" s="85" customFormat="1" ht="16" spans="1:106">
      <c r="A71" s="85" t="s">
        <v>186</v>
      </c>
      <c r="B71" s="109" t="s">
        <v>187</v>
      </c>
      <c r="C71" s="85" t="s">
        <v>188</v>
      </c>
      <c r="D71" s="110" t="s">
        <v>198</v>
      </c>
      <c r="E71" s="111" t="s">
        <v>199</v>
      </c>
      <c r="F71" s="85">
        <f t="shared" ref="F71:L73" si="11">D81/1000</f>
        <v>0</v>
      </c>
      <c r="G71" s="85">
        <f t="shared" si="11"/>
        <v>0</v>
      </c>
      <c r="H71" s="85">
        <f t="shared" si="11"/>
        <v>0</v>
      </c>
      <c r="I71" s="85">
        <f t="shared" si="11"/>
        <v>0</v>
      </c>
      <c r="J71" s="85">
        <f t="shared" si="11"/>
        <v>0</v>
      </c>
      <c r="K71" s="85">
        <f t="shared" si="11"/>
        <v>0</v>
      </c>
      <c r="L71" s="85">
        <f t="shared" si="11"/>
        <v>0</v>
      </c>
      <c r="M71" s="112">
        <v>41500</v>
      </c>
      <c r="N71" s="85">
        <f t="shared" ref="N71:Z73" si="12">L81/1000</f>
        <v>0</v>
      </c>
      <c r="O71" s="85">
        <f t="shared" si="12"/>
        <v>0</v>
      </c>
      <c r="P71" s="85">
        <f t="shared" si="12"/>
        <v>0</v>
      </c>
      <c r="Q71" s="85">
        <f t="shared" si="12"/>
        <v>0</v>
      </c>
      <c r="R71" s="85">
        <f t="shared" si="12"/>
        <v>0</v>
      </c>
      <c r="S71" s="85">
        <f t="shared" si="12"/>
        <v>0</v>
      </c>
      <c r="T71" s="85">
        <f t="shared" si="12"/>
        <v>0</v>
      </c>
      <c r="U71" s="85">
        <f t="shared" si="12"/>
        <v>0</v>
      </c>
      <c r="V71" s="85">
        <f t="shared" si="12"/>
        <v>0</v>
      </c>
      <c r="W71" s="85">
        <f t="shared" si="12"/>
        <v>0</v>
      </c>
      <c r="X71" s="85">
        <f t="shared" si="12"/>
        <v>0</v>
      </c>
      <c r="Y71" s="85">
        <f t="shared" si="12"/>
        <v>0</v>
      </c>
      <c r="Z71" s="85">
        <f t="shared" si="12"/>
        <v>0</v>
      </c>
      <c r="AA71" s="112">
        <v>3650</v>
      </c>
      <c r="AB71" s="85">
        <f t="shared" si="10"/>
        <v>0</v>
      </c>
      <c r="AC71" s="85">
        <f t="shared" si="10"/>
        <v>0</v>
      </c>
      <c r="AD71" s="85">
        <f t="shared" si="10"/>
        <v>0</v>
      </c>
      <c r="AE71" s="85">
        <f t="shared" si="10"/>
        <v>0</v>
      </c>
      <c r="AF71" s="85">
        <f t="shared" si="10"/>
        <v>0</v>
      </c>
      <c r="AG71" s="85">
        <f t="shared" si="10"/>
        <v>0</v>
      </c>
      <c r="AH71" s="85">
        <f t="shared" si="10"/>
        <v>0</v>
      </c>
      <c r="AI71" s="85">
        <f t="shared" si="10"/>
        <v>0</v>
      </c>
      <c r="AJ71" s="85">
        <f t="shared" si="10"/>
        <v>0</v>
      </c>
      <c r="AK71" s="85">
        <f t="shared" si="10"/>
        <v>0</v>
      </c>
      <c r="AL71" s="85">
        <f t="shared" si="10"/>
        <v>0</v>
      </c>
      <c r="AM71" s="85">
        <f t="shared" si="10"/>
        <v>0</v>
      </c>
      <c r="AN71">
        <v>0</v>
      </c>
      <c r="AO71" s="85" t="str">
        <f t="shared" si="6"/>
        <v>m_aluminum</v>
      </c>
      <c r="CQ71" s="113"/>
      <c r="CR71" s="113"/>
      <c r="CT71" s="113"/>
      <c r="CU71" s="113"/>
      <c r="CW71" s="109" t="s">
        <v>187</v>
      </c>
      <c r="CX71" s="85" t="s">
        <v>188</v>
      </c>
      <c r="CY71" s="111" t="str">
        <f t="shared" si="7"/>
        <v>MINBatMaterials_AL</v>
      </c>
      <c r="CZ71" s="111" t="s">
        <v>199</v>
      </c>
      <c r="DA71" s="113">
        <v>0</v>
      </c>
      <c r="DB71" s="97">
        <v>1</v>
      </c>
    </row>
    <row r="72" s="83" customFormat="1" ht="16" spans="1:106">
      <c r="A72" s="83" t="s">
        <v>186</v>
      </c>
      <c r="B72" s="98" t="s">
        <v>187</v>
      </c>
      <c r="C72" s="86" t="s">
        <v>188</v>
      </c>
      <c r="D72" s="19" t="s">
        <v>200</v>
      </c>
      <c r="E72" s="93" t="s">
        <v>201</v>
      </c>
      <c r="F72" s="83">
        <f t="shared" si="11"/>
        <v>0</v>
      </c>
      <c r="G72" s="83">
        <f t="shared" si="11"/>
        <v>50000</v>
      </c>
      <c r="H72" s="83">
        <f t="shared" si="11"/>
        <v>97000</v>
      </c>
      <c r="I72" s="83">
        <f t="shared" si="11"/>
        <v>0</v>
      </c>
      <c r="J72" s="83">
        <f t="shared" si="11"/>
        <v>0</v>
      </c>
      <c r="K72" s="83">
        <f t="shared" si="11"/>
        <v>0</v>
      </c>
      <c r="L72" s="83">
        <f t="shared" si="11"/>
        <v>0</v>
      </c>
      <c r="M72" s="83">
        <f>K82/1000</f>
        <v>27000</v>
      </c>
      <c r="N72" s="83">
        <f t="shared" si="12"/>
        <v>0</v>
      </c>
      <c r="O72" s="83">
        <f t="shared" si="12"/>
        <v>0</v>
      </c>
      <c r="P72" s="83">
        <f t="shared" si="12"/>
        <v>0</v>
      </c>
      <c r="Q72" s="83">
        <f t="shared" si="12"/>
        <v>0</v>
      </c>
      <c r="R72" s="83">
        <f t="shared" si="12"/>
        <v>0</v>
      </c>
      <c r="S72" s="83">
        <f t="shared" si="12"/>
        <v>0</v>
      </c>
      <c r="T72" s="83">
        <f t="shared" si="12"/>
        <v>0</v>
      </c>
      <c r="U72" s="83">
        <f t="shared" si="12"/>
        <v>0</v>
      </c>
      <c r="V72" s="83">
        <f t="shared" si="12"/>
        <v>0</v>
      </c>
      <c r="W72" s="83">
        <f t="shared" si="12"/>
        <v>0</v>
      </c>
      <c r="X72" s="83">
        <f t="shared" si="12"/>
        <v>0</v>
      </c>
      <c r="Y72" s="83">
        <f t="shared" si="12"/>
        <v>324000</v>
      </c>
      <c r="Z72" s="83">
        <f t="shared" si="12"/>
        <v>0</v>
      </c>
      <c r="AA72" s="83">
        <f>Y82/1000</f>
        <v>51600</v>
      </c>
      <c r="AB72" s="83">
        <f t="shared" si="10"/>
        <v>0</v>
      </c>
      <c r="AC72" s="83">
        <f t="shared" si="10"/>
        <v>30000</v>
      </c>
      <c r="AD72" s="83">
        <f t="shared" si="10"/>
        <v>244000</v>
      </c>
      <c r="AE72" s="83">
        <f t="shared" si="10"/>
        <v>62000</v>
      </c>
      <c r="AF72" s="83">
        <f t="shared" si="10"/>
        <v>0</v>
      </c>
      <c r="AG72" s="83">
        <f t="shared" si="10"/>
        <v>0</v>
      </c>
      <c r="AH72" s="83">
        <f t="shared" si="10"/>
        <v>0</v>
      </c>
      <c r="AI72" s="83">
        <f t="shared" si="10"/>
        <v>0</v>
      </c>
      <c r="AJ72" s="83">
        <f t="shared" si="10"/>
        <v>0</v>
      </c>
      <c r="AK72" s="83">
        <f t="shared" si="10"/>
        <v>0</v>
      </c>
      <c r="AL72" s="83">
        <f t="shared" si="10"/>
        <v>0</v>
      </c>
      <c r="AM72" s="83">
        <f t="shared" si="10"/>
        <v>0</v>
      </c>
      <c r="AN72">
        <v>0</v>
      </c>
      <c r="AO72" s="83" t="str">
        <f t="shared" si="6"/>
        <v>m_copper</v>
      </c>
      <c r="CQ72" s="96"/>
      <c r="CR72" s="96"/>
      <c r="CT72" s="96"/>
      <c r="CU72" s="96"/>
      <c r="CW72" s="100" t="s">
        <v>187</v>
      </c>
      <c r="CX72" t="s">
        <v>188</v>
      </c>
      <c r="CY72" s="2" t="str">
        <f t="shared" si="7"/>
        <v>MINBatMaterials_COP</v>
      </c>
      <c r="CZ72" s="2" t="s">
        <v>201</v>
      </c>
      <c r="DA72" s="97">
        <v>0</v>
      </c>
      <c r="DB72" s="97">
        <v>1</v>
      </c>
    </row>
    <row r="73" s="82" customFormat="1" ht="16" spans="1:106">
      <c r="A73" s="83" t="s">
        <v>186</v>
      </c>
      <c r="B73" s="98" t="s">
        <v>187</v>
      </c>
      <c r="C73" s="86" t="s">
        <v>188</v>
      </c>
      <c r="D73" s="19" t="s">
        <v>202</v>
      </c>
      <c r="E73" s="93" t="s">
        <v>203</v>
      </c>
      <c r="F73" s="83">
        <f t="shared" si="11"/>
        <v>0</v>
      </c>
      <c r="G73" s="83">
        <f t="shared" si="11"/>
        <v>69000</v>
      </c>
      <c r="H73" s="83">
        <f t="shared" si="11"/>
        <v>0</v>
      </c>
      <c r="I73" s="83">
        <f t="shared" si="11"/>
        <v>0</v>
      </c>
      <c r="J73" s="83">
        <f t="shared" si="11"/>
        <v>0</v>
      </c>
      <c r="K73" s="83">
        <f t="shared" si="11"/>
        <v>0</v>
      </c>
      <c r="L73" s="83">
        <f t="shared" si="11"/>
        <v>74000</v>
      </c>
      <c r="M73" s="83">
        <f>K83/1000</f>
        <v>52000</v>
      </c>
      <c r="N73" s="83">
        <f t="shared" si="12"/>
        <v>0</v>
      </c>
      <c r="O73" s="83">
        <f t="shared" si="12"/>
        <v>0</v>
      </c>
      <c r="P73" s="83">
        <f t="shared" si="12"/>
        <v>0</v>
      </c>
      <c r="Q73" s="83">
        <f t="shared" si="12"/>
        <v>0</v>
      </c>
      <c r="R73" s="83">
        <f t="shared" si="12"/>
        <v>0</v>
      </c>
      <c r="S73" s="83">
        <f t="shared" si="12"/>
        <v>0</v>
      </c>
      <c r="T73" s="83">
        <f t="shared" si="12"/>
        <v>0</v>
      </c>
      <c r="U73" s="83">
        <f t="shared" si="12"/>
        <v>8000</v>
      </c>
      <c r="V73" s="83">
        <f t="shared" si="12"/>
        <v>0</v>
      </c>
      <c r="W73" s="83">
        <f t="shared" si="12"/>
        <v>0</v>
      </c>
      <c r="X73" s="83">
        <f t="shared" si="12"/>
        <v>0</v>
      </c>
      <c r="Y73" s="83">
        <f t="shared" si="12"/>
        <v>77100</v>
      </c>
      <c r="Z73" s="83">
        <f t="shared" si="12"/>
        <v>90000</v>
      </c>
      <c r="AA73" s="83">
        <f>Y83/1000</f>
        <v>5700</v>
      </c>
      <c r="AB73" s="83">
        <f t="shared" si="10"/>
        <v>600</v>
      </c>
      <c r="AC73" s="83">
        <f t="shared" si="10"/>
        <v>0</v>
      </c>
      <c r="AD73" s="83">
        <f t="shared" si="10"/>
        <v>12900</v>
      </c>
      <c r="AE73" s="83">
        <f t="shared" si="10"/>
        <v>14000</v>
      </c>
      <c r="AF73" s="83">
        <f t="shared" si="10"/>
        <v>0</v>
      </c>
      <c r="AG73" s="83">
        <f t="shared" si="10"/>
        <v>0</v>
      </c>
      <c r="AH73" s="83">
        <f t="shared" si="10"/>
        <v>0</v>
      </c>
      <c r="AI73" s="83">
        <f t="shared" si="10"/>
        <v>0</v>
      </c>
      <c r="AJ73" s="83">
        <f t="shared" si="10"/>
        <v>0</v>
      </c>
      <c r="AK73" s="83">
        <f t="shared" si="10"/>
        <v>90000</v>
      </c>
      <c r="AL73" s="83">
        <f t="shared" si="10"/>
        <v>0</v>
      </c>
      <c r="AM73" s="83">
        <f t="shared" si="10"/>
        <v>0</v>
      </c>
      <c r="AN73">
        <v>0</v>
      </c>
      <c r="AO73" s="83" t="str">
        <f t="shared" si="6"/>
        <v>m_graphite</v>
      </c>
      <c r="AY73" s="83"/>
      <c r="BB73" s="83"/>
      <c r="CQ73" s="94"/>
      <c r="CR73" s="96"/>
      <c r="CT73" s="94"/>
      <c r="CU73" s="94"/>
      <c r="CW73" s="100" t="s">
        <v>187</v>
      </c>
      <c r="CX73" t="s">
        <v>188</v>
      </c>
      <c r="CY73" s="2" t="str">
        <f t="shared" si="7"/>
        <v>MINBatMaterials_GR</v>
      </c>
      <c r="CZ73" s="2" t="s">
        <v>203</v>
      </c>
      <c r="DA73" s="97">
        <v>0</v>
      </c>
      <c r="DB73" s="97">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W85" t="s">
        <v>206</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v>2019</v>
      </c>
      <c r="B88" t="s">
        <v>187</v>
      </c>
      <c r="C88" t="s">
        <v>188</v>
      </c>
      <c r="D88" t="s">
        <v>189</v>
      </c>
      <c r="E88" t="s">
        <v>190</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v>2019</v>
      </c>
      <c r="B89" t="s">
        <v>187</v>
      </c>
      <c r="C89" t="s">
        <v>188</v>
      </c>
      <c r="D89" t="s">
        <v>191</v>
      </c>
      <c r="E89" t="s">
        <v>192</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v>2019</v>
      </c>
      <c r="B90" t="s">
        <v>187</v>
      </c>
      <c r="C90" t="s">
        <v>188</v>
      </c>
      <c r="D90" s="19" t="s">
        <v>195</v>
      </c>
      <c r="E90" t="s">
        <v>194</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v>2019</v>
      </c>
      <c r="B91" t="s">
        <v>187</v>
      </c>
      <c r="C91" t="s">
        <v>188</v>
      </c>
      <c r="D91" t="s">
        <v>196</v>
      </c>
      <c r="E91" t="s">
        <v>197</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v>2019</v>
      </c>
      <c r="B92" t="s">
        <v>187</v>
      </c>
      <c r="C92" t="s">
        <v>188</v>
      </c>
      <c r="D92" s="2" t="s">
        <v>198</v>
      </c>
      <c r="E92" t="s">
        <v>199</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6">
        <v>0</v>
      </c>
      <c r="BS92" s="86">
        <v>159</v>
      </c>
      <c r="BT92" s="86">
        <v>9522</v>
      </c>
      <c r="BU92" s="86">
        <v>0</v>
      </c>
      <c r="BV92" s="86">
        <v>0</v>
      </c>
      <c r="BW92" s="86">
        <v>0</v>
      </c>
      <c r="BX92" s="86">
        <v>5819</v>
      </c>
      <c r="BY92" s="86">
        <v>44436</v>
      </c>
      <c r="BZ92" s="86">
        <v>0</v>
      </c>
      <c r="CA92" s="86">
        <v>0</v>
      </c>
      <c r="CB92" s="86">
        <v>0</v>
      </c>
      <c r="CC92" s="86">
        <v>508</v>
      </c>
      <c r="CD92" s="86">
        <v>455</v>
      </c>
      <c r="CE92" s="86">
        <v>0</v>
      </c>
      <c r="CF92" s="86">
        <v>0</v>
      </c>
      <c r="CG92" s="86">
        <v>4020</v>
      </c>
      <c r="CH92" s="86">
        <v>846</v>
      </c>
      <c r="CI92" s="86">
        <v>0</v>
      </c>
      <c r="CJ92" s="86">
        <v>0</v>
      </c>
      <c r="CK92" s="86">
        <v>0</v>
      </c>
      <c r="CL92" s="86">
        <v>1270</v>
      </c>
      <c r="CM92" s="86">
        <v>1175</v>
      </c>
      <c r="CN92" s="86">
        <v>0</v>
      </c>
      <c r="CO92" s="86">
        <v>0</v>
      </c>
      <c r="CP92" s="86">
        <v>3015</v>
      </c>
      <c r="CQ92" s="86">
        <v>1534</v>
      </c>
      <c r="CR92" s="86">
        <v>952</v>
      </c>
      <c r="CS92" s="86">
        <v>0</v>
      </c>
      <c r="CT92" s="86">
        <v>434</v>
      </c>
      <c r="CU92" s="86">
        <v>0</v>
      </c>
      <c r="CV92" s="86">
        <v>0</v>
      </c>
      <c r="CW92" s="86">
        <v>169</v>
      </c>
      <c r="CX92" s="86">
        <v>0</v>
      </c>
      <c r="CY92" s="86">
        <v>0</v>
      </c>
      <c r="CZ92" s="86">
        <v>75118</v>
      </c>
    </row>
    <row r="93" spans="1:104">
      <c r="A93">
        <v>2019</v>
      </c>
      <c r="B93" t="s">
        <v>187</v>
      </c>
      <c r="C93" s="2" t="s">
        <v>188</v>
      </c>
      <c r="D93" s="2" t="s">
        <v>200</v>
      </c>
      <c r="E93" t="s">
        <v>201</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v>2019</v>
      </c>
      <c r="B94" t="s">
        <v>187</v>
      </c>
      <c r="C94" s="2" t="s">
        <v>188</v>
      </c>
      <c r="D94" s="2" t="s">
        <v>202</v>
      </c>
      <c r="E94" t="s">
        <v>203</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f>A94</f>
        <v>2019</v>
      </c>
      <c r="B95" t="str">
        <f>B94</f>
        <v>FLO_BND</v>
      </c>
      <c r="C95" t="str">
        <f>C94</f>
        <v>UP</v>
      </c>
      <c r="D95" s="1" t="s">
        <v>230</v>
      </c>
      <c r="F95" s="2">
        <v>0</v>
      </c>
      <c r="G95">
        <v>0</v>
      </c>
      <c r="H95" s="2">
        <v>0</v>
      </c>
      <c r="I95">
        <v>0</v>
      </c>
      <c r="J95" s="2">
        <v>0</v>
      </c>
      <c r="K95">
        <v>0</v>
      </c>
      <c r="L95" s="2">
        <v>0</v>
      </c>
      <c r="M95">
        <v>0</v>
      </c>
      <c r="N95" s="2">
        <v>0</v>
      </c>
      <c r="O95">
        <v>0</v>
      </c>
      <c r="P95" s="2">
        <v>0</v>
      </c>
      <c r="Q95">
        <v>0</v>
      </c>
      <c r="R95" s="2">
        <v>0</v>
      </c>
      <c r="S95">
        <v>0</v>
      </c>
      <c r="T95" s="2">
        <v>0</v>
      </c>
      <c r="U95">
        <v>0</v>
      </c>
      <c r="V95" s="2">
        <v>0</v>
      </c>
      <c r="W95">
        <v>0</v>
      </c>
      <c r="X95" s="2">
        <v>0</v>
      </c>
      <c r="Y95">
        <v>0</v>
      </c>
      <c r="Z95" s="2">
        <v>0</v>
      </c>
      <c r="AA95">
        <v>0</v>
      </c>
      <c r="AB95" s="2">
        <v>0</v>
      </c>
      <c r="AC95">
        <v>0</v>
      </c>
      <c r="AD95" s="2">
        <v>0</v>
      </c>
      <c r="AE95">
        <v>0</v>
      </c>
      <c r="AF95" s="2">
        <v>0</v>
      </c>
      <c r="AG95">
        <v>0</v>
      </c>
      <c r="AH95" s="2">
        <v>0</v>
      </c>
      <c r="AI95">
        <v>0</v>
      </c>
      <c r="AJ95" s="2">
        <v>0</v>
      </c>
      <c r="AK95">
        <v>0</v>
      </c>
      <c r="AL95" s="2">
        <v>0</v>
      </c>
      <c r="AM95">
        <v>0</v>
      </c>
      <c r="AN95" s="2">
        <v>0</v>
      </c>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f>A95</f>
        <v>2019</v>
      </c>
      <c r="B96" t="str">
        <f>B95</f>
        <v>FLO_BND</v>
      </c>
      <c r="C96" t="str">
        <f>C95</f>
        <v>UP</v>
      </c>
      <c r="D96" s="1" t="s">
        <v>232</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f>A96</f>
        <v>2019</v>
      </c>
      <c r="B97" t="str">
        <f>B96</f>
        <v>FLO_BND</v>
      </c>
      <c r="C97" t="str">
        <f>C96</f>
        <v>UP</v>
      </c>
      <c r="D97" s="1" t="s">
        <v>234</v>
      </c>
      <c r="F97" s="2">
        <v>0</v>
      </c>
      <c r="G97">
        <v>0</v>
      </c>
      <c r="H97" s="2">
        <v>0</v>
      </c>
      <c r="I97">
        <v>0</v>
      </c>
      <c r="J97" s="2">
        <v>0</v>
      </c>
      <c r="K97">
        <v>0</v>
      </c>
      <c r="L97" s="2">
        <v>0</v>
      </c>
      <c r="M97">
        <v>0</v>
      </c>
      <c r="N97" s="2">
        <v>0</v>
      </c>
      <c r="O97">
        <v>0</v>
      </c>
      <c r="P97" s="2">
        <v>0</v>
      </c>
      <c r="Q97">
        <v>0</v>
      </c>
      <c r="R97" s="2">
        <v>0</v>
      </c>
      <c r="S97">
        <v>0</v>
      </c>
      <c r="T97" s="2">
        <v>0</v>
      </c>
      <c r="U97">
        <v>0</v>
      </c>
      <c r="V97" s="2">
        <v>0</v>
      </c>
      <c r="W97">
        <v>0</v>
      </c>
      <c r="X97" s="2">
        <v>0</v>
      </c>
      <c r="Y97">
        <v>0</v>
      </c>
      <c r="Z97" s="2">
        <v>0</v>
      </c>
      <c r="AA97">
        <v>0</v>
      </c>
      <c r="AB97" s="2">
        <v>0</v>
      </c>
      <c r="AC97">
        <v>0</v>
      </c>
      <c r="AD97" s="2">
        <v>0</v>
      </c>
      <c r="AE97">
        <v>0</v>
      </c>
      <c r="AF97" s="2">
        <v>0</v>
      </c>
      <c r="AG97">
        <v>0</v>
      </c>
      <c r="AH97" s="2">
        <v>0</v>
      </c>
      <c r="AI97">
        <v>0</v>
      </c>
      <c r="AJ97" s="2">
        <v>0</v>
      </c>
      <c r="AK97">
        <v>0</v>
      </c>
      <c r="AL97" s="2">
        <v>0</v>
      </c>
      <c r="AM97">
        <v>0</v>
      </c>
      <c r="AN97" s="2">
        <v>0</v>
      </c>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29"/>
      <c r="E101" s="129"/>
      <c r="F101" s="129"/>
      <c r="G101" s="129"/>
      <c r="AB101" s="130"/>
      <c r="AC101" s="130"/>
      <c r="AD101" s="130"/>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AB102" s="130"/>
      <c r="AC102" s="130"/>
      <c r="AD102" s="130"/>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29" t="s">
        <v>65</v>
      </c>
      <c r="E103" s="129" t="s">
        <v>66</v>
      </c>
      <c r="F103" s="129" t="s">
        <v>11</v>
      </c>
      <c r="G103" s="129" t="s">
        <v>25</v>
      </c>
      <c r="K103" t="s">
        <v>241</v>
      </c>
      <c r="AB103" s="131"/>
      <c r="AC103" s="131"/>
      <c r="AD103" s="130"/>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29" t="s">
        <v>244</v>
      </c>
      <c r="E104" s="129">
        <v>7.11384396954065</v>
      </c>
      <c r="F104" s="132">
        <v>5.40179852616065</v>
      </c>
      <c r="G104" s="132">
        <v>8.85540744288872</v>
      </c>
      <c r="K104">
        <f>E104*3-F104-G104</f>
        <v>7.08432593957258</v>
      </c>
      <c r="AB104" s="131"/>
      <c r="AC104" s="131"/>
      <c r="AD104" s="130"/>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29" t="s">
        <v>246</v>
      </c>
      <c r="E105" s="129">
        <v>7.11384396954065</v>
      </c>
      <c r="F105" s="132">
        <v>5.40179852616065</v>
      </c>
      <c r="G105" s="132">
        <v>8.85540744288872</v>
      </c>
      <c r="K105">
        <f t="shared" ref="K105:K124" si="20">E105*3-F105-G105</f>
        <v>7.08432593957258</v>
      </c>
      <c r="AB105" s="131"/>
      <c r="AC105" s="131"/>
      <c r="AD105" s="130"/>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29" t="s">
        <v>248</v>
      </c>
      <c r="E106" s="129">
        <v>7.62975445836404</v>
      </c>
      <c r="F106" s="132">
        <v>5.79354797347089</v>
      </c>
      <c r="G106" s="132">
        <v>9.49761967575534</v>
      </c>
      <c r="K106">
        <f t="shared" si="20"/>
        <v>7.59809572586589</v>
      </c>
      <c r="AB106" s="131"/>
      <c r="AC106" s="131"/>
      <c r="AD106" s="130"/>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29" t="s">
        <v>250</v>
      </c>
      <c r="E107" s="129">
        <v>7.47097081798084</v>
      </c>
      <c r="F107" s="132">
        <v>5.67297781871776</v>
      </c>
      <c r="G107" s="132">
        <v>9.29996366985999</v>
      </c>
      <c r="K107">
        <f t="shared" si="20"/>
        <v>7.43997096536477</v>
      </c>
      <c r="AB107" s="131"/>
      <c r="AC107" s="131"/>
      <c r="AD107" s="130"/>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29" t="s">
        <v>252</v>
      </c>
      <c r="E108" s="129">
        <v>7.51643520019651</v>
      </c>
      <c r="F108" s="132">
        <v>5.70750058953574</v>
      </c>
      <c r="G108" s="132">
        <v>9.35655836403832</v>
      </c>
      <c r="K108">
        <f t="shared" si="20"/>
        <v>7.48524664701547</v>
      </c>
      <c r="AB108" s="131"/>
      <c r="AC108" s="131"/>
      <c r="AD108" s="130"/>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29" t="s">
        <v>254</v>
      </c>
      <c r="E109" s="129">
        <v>7.55036263817244</v>
      </c>
      <c r="F109" s="132">
        <v>5.73326293294031</v>
      </c>
      <c r="G109" s="132">
        <v>9.39879167280766</v>
      </c>
      <c r="K109">
        <f t="shared" si="20"/>
        <v>7.51903330876935</v>
      </c>
      <c r="AB109" s="131"/>
      <c r="AC109" s="131"/>
      <c r="AD109" s="130"/>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29" t="s">
        <v>256</v>
      </c>
      <c r="E110" s="129">
        <v>7.62975445836404</v>
      </c>
      <c r="F110" s="132">
        <v>5.79354797347089</v>
      </c>
      <c r="G110" s="132">
        <v>9.49761967575534</v>
      </c>
      <c r="K110">
        <f t="shared" si="20"/>
        <v>7.59809572586589</v>
      </c>
      <c r="AB110" s="131"/>
      <c r="AC110" s="131"/>
      <c r="AD110" s="130"/>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29" t="s">
        <v>258</v>
      </c>
      <c r="E111" s="129">
        <v>4.18384600835176</v>
      </c>
      <c r="F111" s="132">
        <v>3.17694532056006</v>
      </c>
      <c r="G111" s="132">
        <v>5.20810707442889</v>
      </c>
      <c r="K111">
        <f t="shared" si="20"/>
        <v>4.16648563006633</v>
      </c>
      <c r="AB111" s="131"/>
      <c r="AC111" s="131"/>
      <c r="AD111" s="130"/>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29" t="s">
        <v>260</v>
      </c>
      <c r="E112" s="129">
        <v>4.18384600835176</v>
      </c>
      <c r="F112" s="132">
        <v>3.17694532056006</v>
      </c>
      <c r="G112" s="132">
        <v>5.20810707442889</v>
      </c>
      <c r="K112">
        <f t="shared" si="20"/>
        <v>4.16648563006633</v>
      </c>
      <c r="AB112" s="131"/>
      <c r="AC112" s="131"/>
      <c r="AD112" s="130"/>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29" t="s">
        <v>261</v>
      </c>
      <c r="E113" s="129">
        <v>4.18384600835176</v>
      </c>
      <c r="F113" s="132">
        <v>3.17694532056006</v>
      </c>
      <c r="G113" s="132">
        <v>5.20810707442889</v>
      </c>
      <c r="K113">
        <f t="shared" si="20"/>
        <v>4.16648563006633</v>
      </c>
      <c r="AB113" s="131"/>
      <c r="AC113" s="131"/>
      <c r="AD113" s="130"/>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29" t="s">
        <v>263</v>
      </c>
      <c r="E114" s="129">
        <v>4.18384600835176</v>
      </c>
      <c r="F114" s="132">
        <v>3.17694532056006</v>
      </c>
      <c r="G114" s="132">
        <v>5.20810707442889</v>
      </c>
      <c r="K114">
        <f t="shared" si="20"/>
        <v>4.16648563006633</v>
      </c>
      <c r="AB114" s="131"/>
      <c r="AC114" s="131"/>
      <c r="AD114" s="130"/>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29" t="s">
        <v>265</v>
      </c>
      <c r="E115" s="129">
        <v>4.18384600835176</v>
      </c>
      <c r="F115" s="132">
        <v>3.17694532056006</v>
      </c>
      <c r="G115" s="132">
        <v>5.20810707442889</v>
      </c>
      <c r="K115">
        <f t="shared" si="20"/>
        <v>4.16648563006633</v>
      </c>
      <c r="AB115" s="131"/>
      <c r="AC115" s="131"/>
      <c r="AD115" s="130"/>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29" t="s">
        <v>267</v>
      </c>
      <c r="E116" s="129">
        <v>4.18384600835176</v>
      </c>
      <c r="F116" s="132">
        <v>3.17694532056006</v>
      </c>
      <c r="G116" s="132">
        <v>5.20810707442889</v>
      </c>
      <c r="K116">
        <f t="shared" si="20"/>
        <v>4.16648563006633</v>
      </c>
      <c r="AB116" s="131"/>
      <c r="AC116" s="131"/>
      <c r="AD116" s="130"/>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29" t="s">
        <v>269</v>
      </c>
      <c r="E117" s="129">
        <v>4.18384600835176</v>
      </c>
      <c r="F117" s="132">
        <v>3.17694532056006</v>
      </c>
      <c r="G117" s="132">
        <v>5.20810707442889</v>
      </c>
      <c r="K117">
        <f t="shared" si="20"/>
        <v>4.16648563006633</v>
      </c>
      <c r="AB117" s="131"/>
      <c r="AC117" s="131"/>
      <c r="AD117" s="130"/>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29" t="s">
        <v>271</v>
      </c>
      <c r="E118" s="129">
        <v>3.56556266273643</v>
      </c>
      <c r="F118" s="132">
        <v>2.70746042741341</v>
      </c>
      <c r="G118" s="132">
        <v>4.4384597641857</v>
      </c>
      <c r="K118">
        <f t="shared" si="20"/>
        <v>3.55076779661018</v>
      </c>
      <c r="AB118" s="131"/>
      <c r="AC118" s="131"/>
      <c r="AD118" s="130"/>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29" t="s">
        <v>273</v>
      </c>
      <c r="E119" s="129">
        <v>3.60087708179809</v>
      </c>
      <c r="F119" s="132">
        <v>2.73427597641857</v>
      </c>
      <c r="G119" s="132">
        <v>4.48241960206338</v>
      </c>
      <c r="K119">
        <f t="shared" si="20"/>
        <v>3.58593566691232</v>
      </c>
      <c r="AB119" s="131"/>
      <c r="AC119" s="131"/>
      <c r="AD119" s="130"/>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29" t="s">
        <v>275</v>
      </c>
      <c r="E120" s="129">
        <v>3.56556266273643</v>
      </c>
      <c r="F120" s="132">
        <v>2.70746042741341</v>
      </c>
      <c r="G120" s="132">
        <v>4.4384597641857</v>
      </c>
      <c r="K120">
        <f t="shared" si="20"/>
        <v>3.55076779661018</v>
      </c>
      <c r="AB120" s="131"/>
      <c r="AC120" s="131"/>
      <c r="AD120" s="130"/>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29" t="s">
        <v>276</v>
      </c>
      <c r="E121" s="129">
        <v>3.56645369688037</v>
      </c>
      <c r="F121" s="132">
        <v>2.70813706705969</v>
      </c>
      <c r="G121" s="132">
        <v>4.43956890198968</v>
      </c>
      <c r="K121">
        <f t="shared" si="20"/>
        <v>3.55165512159174</v>
      </c>
      <c r="AB121" s="131"/>
      <c r="AC121" s="131"/>
      <c r="AD121" s="130"/>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29" t="s">
        <v>278</v>
      </c>
      <c r="E122" s="129">
        <v>3.56585961680177</v>
      </c>
      <c r="F122" s="132">
        <v>2.70768592483419</v>
      </c>
      <c r="G122" s="132">
        <v>4.43882940309506</v>
      </c>
      <c r="K122">
        <f t="shared" si="20"/>
        <v>3.55106352247606</v>
      </c>
      <c r="AB122" s="131"/>
      <c r="AC122" s="131"/>
      <c r="AD122" s="130"/>
      <c r="AW122" s="120" t="s">
        <v>279</v>
      </c>
      <c r="AX122" s="121" t="s">
        <v>223</v>
      </c>
      <c r="AY122" s="121" t="s">
        <v>223</v>
      </c>
      <c r="AZ122" s="121" t="s">
        <v>223</v>
      </c>
      <c r="BA122" s="121" t="s">
        <v>223</v>
      </c>
      <c r="BB122" s="121" t="s">
        <v>223</v>
      </c>
      <c r="BC122" s="121" t="s">
        <v>223</v>
      </c>
      <c r="BD122" s="121" t="s">
        <v>223</v>
      </c>
      <c r="BH122" s="115" t="s">
        <v>221</v>
      </c>
      <c r="BI122" s="116">
        <v>240</v>
      </c>
      <c r="BJ122" s="133">
        <v>3700</v>
      </c>
      <c r="BK122" s="116">
        <v>290</v>
      </c>
      <c r="BL122" s="133">
        <v>20200</v>
      </c>
      <c r="BM122" s="123">
        <f>Attached_sourcedAlumina_and!P46</f>
        <v>75118</v>
      </c>
      <c r="BN122" s="133">
        <v>22000</v>
      </c>
      <c r="BO122" s="133">
        <v>1631</v>
      </c>
    </row>
    <row r="123" spans="3:67">
      <c r="C123" s="2" t="s">
        <v>243</v>
      </c>
      <c r="D123" s="129" t="s">
        <v>280</v>
      </c>
      <c r="E123" s="129">
        <v>3.56556266273643</v>
      </c>
      <c r="F123" s="132">
        <v>2.70746042741341</v>
      </c>
      <c r="G123" s="132">
        <v>4.4384597641857</v>
      </c>
      <c r="K123">
        <f t="shared" si="20"/>
        <v>3.55076779661018</v>
      </c>
      <c r="AB123" s="131"/>
      <c r="AC123" s="131"/>
      <c r="AD123" s="130"/>
      <c r="AW123" s="134" t="s">
        <v>221</v>
      </c>
      <c r="AX123" s="135">
        <v>240</v>
      </c>
      <c r="AY123" s="135">
        <v>290</v>
      </c>
      <c r="AZ123" s="136">
        <v>3700</v>
      </c>
      <c r="BA123" s="136">
        <v>20200</v>
      </c>
      <c r="BB123" s="136">
        <v>22000</v>
      </c>
      <c r="BC123" s="136">
        <v>72000</v>
      </c>
      <c r="BD123" s="136">
        <v>1631</v>
      </c>
    </row>
    <row r="124" spans="3:67">
      <c r="C124" s="2" t="s">
        <v>243</v>
      </c>
      <c r="D124" s="137" t="s">
        <v>281</v>
      </c>
      <c r="E124" s="129">
        <v>3.56496890198968</v>
      </c>
      <c r="F124" s="132">
        <v>2.70700957995578</v>
      </c>
      <c r="G124" s="132">
        <v>4.43772063375092</v>
      </c>
      <c r="K124">
        <f t="shared" si="20"/>
        <v>3.55017649226234</v>
      </c>
      <c r="AB124" s="131"/>
      <c r="AC124" s="131"/>
      <c r="AD124" s="130"/>
    </row>
    <row r="125" spans="3:67">
      <c r="AB125" s="130"/>
      <c r="AC125" s="130"/>
      <c r="AD125" s="130"/>
    </row>
    <row r="126" spans="3:67">
      <c r="AB126" s="130"/>
      <c r="AC126" s="130"/>
      <c r="AD126" s="130"/>
    </row>
    <row r="127" spans="3:67">
      <c r="AB127" s="130"/>
      <c r="AC127" s="130"/>
      <c r="AD127" s="130"/>
    </row>
    <row r="129" spans="3:35">
      <c r="C129" s="15"/>
      <c r="D129" s="15"/>
      <c r="E129" s="15"/>
      <c r="F129" s="15"/>
      <c r="G129" s="15"/>
    </row>
    <row r="130" spans="3:35">
      <c r="C130" s="15"/>
      <c r="D130" s="15" t="s">
        <v>131</v>
      </c>
      <c r="E130" s="15"/>
      <c r="F130" s="15"/>
      <c r="G130" s="15"/>
    </row>
    <row r="131" spans="3:35">
      <c r="C131" s="15"/>
      <c r="D131" s="15"/>
      <c r="E131" s="15"/>
      <c r="F131" s="15"/>
      <c r="G131" s="15"/>
    </row>
    <row r="132" spans="3:35">
      <c r="C132" s="138"/>
      <c r="D132" s="15"/>
      <c r="E132" s="15"/>
      <c r="F132" s="15"/>
      <c r="G132" s="15"/>
      <c r="M132" s="2"/>
      <c r="Y132" s="2"/>
      <c r="Z132" t="s">
        <v>131</v>
      </c>
      <c r="AE132" s="2"/>
      <c r="AF132" t="s">
        <v>131</v>
      </c>
    </row>
    <row r="133" spans="3:35">
      <c r="C133" s="138" t="s">
        <v>133</v>
      </c>
      <c r="D133" s="139" t="s">
        <v>65</v>
      </c>
      <c r="E133" s="139" t="s">
        <v>66</v>
      </c>
      <c r="F133" s="139"/>
      <c r="G133" s="139"/>
      <c r="M133" s="2"/>
      <c r="N133" s="2"/>
      <c r="O133" s="2"/>
      <c r="P133" s="2"/>
      <c r="Q133" s="2"/>
      <c r="X133" t="s">
        <v>41</v>
      </c>
      <c r="Y133" s="2" t="s">
        <v>133</v>
      </c>
      <c r="Z133" s="129" t="s">
        <v>65</v>
      </c>
      <c r="AA133" s="140" t="s">
        <v>66</v>
      </c>
      <c r="AB133" s="2"/>
      <c r="AC133" s="2"/>
      <c r="AD133" t="s">
        <v>41</v>
      </c>
      <c r="AE133" s="2" t="s">
        <v>133</v>
      </c>
      <c r="AF133" s="129" t="s">
        <v>65</v>
      </c>
      <c r="AG133" s="129" t="s">
        <v>66</v>
      </c>
      <c r="AH133" s="129" t="s">
        <v>11</v>
      </c>
      <c r="AI133" s="129" t="s">
        <v>25</v>
      </c>
    </row>
    <row r="134" spans="3:35">
      <c r="C134" s="138" t="s">
        <v>282</v>
      </c>
      <c r="D134" s="139" t="s">
        <v>244</v>
      </c>
      <c r="E134" s="139">
        <v>0.1</v>
      </c>
      <c r="F134" s="141"/>
      <c r="G134" s="141"/>
      <c r="M134" s="2"/>
      <c r="N134" s="2"/>
      <c r="O134" s="2"/>
      <c r="P134" s="2"/>
      <c r="Q134" s="2"/>
      <c r="X134">
        <v>0</v>
      </c>
      <c r="Y134" s="2" t="s">
        <v>243</v>
      </c>
      <c r="Z134" s="129" t="s">
        <v>244</v>
      </c>
      <c r="AA134" s="140">
        <v>5</v>
      </c>
      <c r="AB134" s="2"/>
      <c r="AC134" s="2"/>
      <c r="AD134">
        <v>2050</v>
      </c>
      <c r="AE134" s="2" t="s">
        <v>243</v>
      </c>
      <c r="AF134" s="129" t="s">
        <v>244</v>
      </c>
      <c r="AG134" s="129">
        <f>E104*0.313</f>
        <v>2.22663316246622</v>
      </c>
      <c r="AH134" s="129">
        <f>F104*0.313</f>
        <v>1.69076293868828</v>
      </c>
      <c r="AI134" s="129">
        <f>G104*0.313</f>
        <v>2.77174252962417</v>
      </c>
    </row>
    <row r="135" spans="3:35">
      <c r="C135" s="138" t="s">
        <v>282</v>
      </c>
      <c r="D135" s="139" t="s">
        <v>246</v>
      </c>
      <c r="E135" s="139">
        <f>E134</f>
        <v>0.1</v>
      </c>
      <c r="F135" s="141"/>
      <c r="G135" s="141"/>
      <c r="M135" s="2"/>
      <c r="N135" s="2"/>
      <c r="O135" s="2"/>
      <c r="P135" s="2"/>
      <c r="Q135" s="2"/>
      <c r="X135">
        <v>0</v>
      </c>
      <c r="Y135" s="2" t="s">
        <v>243</v>
      </c>
      <c r="Z135" s="129" t="s">
        <v>246</v>
      </c>
      <c r="AA135" s="140">
        <v>5</v>
      </c>
      <c r="AB135" s="2"/>
      <c r="AC135" s="2"/>
      <c r="AD135">
        <v>2050</v>
      </c>
      <c r="AE135" s="2" t="s">
        <v>243</v>
      </c>
      <c r="AF135" s="129" t="s">
        <v>246</v>
      </c>
      <c r="AG135" s="129">
        <f t="shared" ref="AG135:AG154" si="21">E105*0.313</f>
        <v>2.22663316246622</v>
      </c>
      <c r="AH135" s="129">
        <f t="shared" ref="AH135:AH154" si="22">F105*0.313</f>
        <v>1.69076293868828</v>
      </c>
      <c r="AI135" s="129">
        <f t="shared" ref="AI135:AI154" si="23">G105*0.313</f>
        <v>2.77174252962417</v>
      </c>
    </row>
    <row r="136" spans="3:35">
      <c r="C136" s="138" t="s">
        <v>282</v>
      </c>
      <c r="D136" s="139" t="s">
        <v>248</v>
      </c>
      <c r="E136" s="139">
        <f t="shared" ref="E136:E154" si="24">E135</f>
        <v>0.1</v>
      </c>
      <c r="F136" s="141"/>
      <c r="G136" s="141"/>
      <c r="M136" s="2"/>
      <c r="N136" s="2"/>
      <c r="O136" s="2"/>
      <c r="P136" s="2"/>
      <c r="Q136" s="2"/>
      <c r="X136">
        <v>0</v>
      </c>
      <c r="Y136" s="2" t="s">
        <v>243</v>
      </c>
      <c r="Z136" s="129" t="s">
        <v>248</v>
      </c>
      <c r="AA136" s="140">
        <v>5</v>
      </c>
      <c r="AB136" s="2"/>
      <c r="AC136" s="2"/>
      <c r="AD136">
        <v>2050</v>
      </c>
      <c r="AE136" s="2" t="s">
        <v>243</v>
      </c>
      <c r="AF136" s="129" t="s">
        <v>248</v>
      </c>
      <c r="AG136" s="129">
        <f t="shared" si="21"/>
        <v>2.38811314546794</v>
      </c>
      <c r="AH136" s="129">
        <f t="shared" si="22"/>
        <v>1.81338051569639</v>
      </c>
      <c r="AI136" s="129">
        <f t="shared" si="23"/>
        <v>2.97275495851142</v>
      </c>
    </row>
    <row r="137" spans="3:35">
      <c r="C137" s="138" t="s">
        <v>282</v>
      </c>
      <c r="D137" s="139" t="s">
        <v>250</v>
      </c>
      <c r="E137" s="139">
        <f t="shared" si="24"/>
        <v>0.1</v>
      </c>
      <c r="F137" s="141"/>
      <c r="G137" s="141"/>
      <c r="M137" s="2"/>
      <c r="N137" s="2"/>
      <c r="O137" s="2"/>
      <c r="P137" s="2"/>
      <c r="Q137" s="2"/>
      <c r="X137">
        <v>0</v>
      </c>
      <c r="Y137" s="2" t="s">
        <v>243</v>
      </c>
      <c r="Z137" s="129" t="s">
        <v>250</v>
      </c>
      <c r="AA137" s="140">
        <v>5</v>
      </c>
      <c r="AB137" s="2"/>
      <c r="AC137" s="2"/>
      <c r="AD137">
        <v>2050</v>
      </c>
      <c r="AE137" s="2" t="s">
        <v>243</v>
      </c>
      <c r="AF137" s="129" t="s">
        <v>250</v>
      </c>
      <c r="AG137" s="129">
        <f t="shared" si="21"/>
        <v>2.338413866028</v>
      </c>
      <c r="AH137" s="129">
        <f t="shared" si="22"/>
        <v>1.77564205725866</v>
      </c>
      <c r="AI137" s="129">
        <f t="shared" si="23"/>
        <v>2.91088862866618</v>
      </c>
    </row>
    <row r="138" spans="3:35">
      <c r="C138" s="138" t="s">
        <v>282</v>
      </c>
      <c r="D138" s="139" t="s">
        <v>252</v>
      </c>
      <c r="E138" s="139">
        <f t="shared" si="24"/>
        <v>0.1</v>
      </c>
      <c r="F138" s="141"/>
      <c r="G138" s="141"/>
      <c r="M138" s="2"/>
      <c r="N138" s="2"/>
      <c r="O138" s="2"/>
      <c r="P138" s="2"/>
      <c r="Q138" s="2"/>
      <c r="X138">
        <v>0</v>
      </c>
      <c r="Y138" s="2" t="s">
        <v>243</v>
      </c>
      <c r="Z138" s="129" t="s">
        <v>252</v>
      </c>
      <c r="AA138" s="140">
        <v>5</v>
      </c>
      <c r="AB138" s="2"/>
      <c r="AC138" s="2"/>
      <c r="AD138">
        <v>2050</v>
      </c>
      <c r="AE138" s="2" t="s">
        <v>243</v>
      </c>
      <c r="AF138" s="129" t="s">
        <v>252</v>
      </c>
      <c r="AG138" s="129">
        <f t="shared" si="21"/>
        <v>2.35264421766151</v>
      </c>
      <c r="AH138" s="129">
        <f t="shared" si="22"/>
        <v>1.78644768452469</v>
      </c>
      <c r="AI138" s="129">
        <f t="shared" si="23"/>
        <v>2.92860276794399</v>
      </c>
    </row>
    <row r="139" spans="3:35">
      <c r="C139" s="138" t="s">
        <v>282</v>
      </c>
      <c r="D139" s="139" t="s">
        <v>254</v>
      </c>
      <c r="E139" s="139">
        <f t="shared" si="24"/>
        <v>0.1</v>
      </c>
      <c r="F139" s="141"/>
      <c r="G139" s="141"/>
      <c r="M139" s="2"/>
      <c r="N139" s="2"/>
      <c r="O139" s="2"/>
      <c r="P139" s="2"/>
      <c r="Q139" s="2"/>
      <c r="X139">
        <v>0</v>
      </c>
      <c r="Y139" s="2" t="s">
        <v>243</v>
      </c>
      <c r="Z139" s="129" t="s">
        <v>254</v>
      </c>
      <c r="AA139" s="140">
        <v>5</v>
      </c>
      <c r="AB139" s="2"/>
      <c r="AC139" s="2"/>
      <c r="AD139">
        <v>2050</v>
      </c>
      <c r="AE139" s="2" t="s">
        <v>243</v>
      </c>
      <c r="AF139" s="129" t="s">
        <v>254</v>
      </c>
      <c r="AG139" s="129">
        <f t="shared" si="21"/>
        <v>2.36326350574797</v>
      </c>
      <c r="AH139" s="129">
        <f t="shared" si="22"/>
        <v>1.79451129801032</v>
      </c>
      <c r="AI139" s="129">
        <f t="shared" si="23"/>
        <v>2.9418217935888</v>
      </c>
    </row>
    <row r="140" spans="3:35">
      <c r="C140" s="138" t="s">
        <v>282</v>
      </c>
      <c r="D140" s="139" t="s">
        <v>256</v>
      </c>
      <c r="E140" s="139">
        <f t="shared" si="24"/>
        <v>0.1</v>
      </c>
      <c r="F140" s="141"/>
      <c r="G140" s="141"/>
      <c r="M140" s="2"/>
      <c r="N140" s="2"/>
      <c r="O140" s="2"/>
      <c r="P140" s="2"/>
      <c r="Q140" s="2"/>
      <c r="X140">
        <v>0</v>
      </c>
      <c r="Y140" s="2" t="s">
        <v>243</v>
      </c>
      <c r="Z140" s="129" t="s">
        <v>256</v>
      </c>
      <c r="AA140" s="140">
        <v>5</v>
      </c>
      <c r="AB140" s="2"/>
      <c r="AC140" s="2"/>
      <c r="AD140">
        <v>2050</v>
      </c>
      <c r="AE140" s="2" t="s">
        <v>243</v>
      </c>
      <c r="AF140" s="129" t="s">
        <v>256</v>
      </c>
      <c r="AG140" s="129">
        <f t="shared" si="21"/>
        <v>2.38811314546794</v>
      </c>
      <c r="AH140" s="129">
        <f t="shared" si="22"/>
        <v>1.81338051569639</v>
      </c>
      <c r="AI140" s="129">
        <f t="shared" si="23"/>
        <v>2.97275495851142</v>
      </c>
    </row>
    <row r="141" spans="3:35">
      <c r="C141" s="138" t="s">
        <v>282</v>
      </c>
      <c r="D141" s="139" t="s">
        <v>258</v>
      </c>
      <c r="E141" s="139">
        <f t="shared" si="24"/>
        <v>0.1</v>
      </c>
      <c r="F141" s="141"/>
      <c r="G141" s="141"/>
      <c r="M141" s="2"/>
      <c r="N141" s="2"/>
      <c r="O141" s="2"/>
      <c r="P141" s="2"/>
      <c r="Q141" s="2"/>
      <c r="X141">
        <v>0</v>
      </c>
      <c r="Y141" s="2" t="s">
        <v>243</v>
      </c>
      <c r="Z141" s="129" t="s">
        <v>258</v>
      </c>
      <c r="AA141" s="140">
        <v>5</v>
      </c>
      <c r="AB141" s="2"/>
      <c r="AC141" s="2"/>
      <c r="AD141">
        <v>2050</v>
      </c>
      <c r="AE141" s="2" t="s">
        <v>243</v>
      </c>
      <c r="AF141" s="129" t="s">
        <v>258</v>
      </c>
      <c r="AG141" s="129">
        <f t="shared" si="21"/>
        <v>1.3095438006141</v>
      </c>
      <c r="AH141" s="129">
        <f t="shared" si="22"/>
        <v>0.994383885335299</v>
      </c>
      <c r="AI141" s="129">
        <f t="shared" si="23"/>
        <v>1.63013751429624</v>
      </c>
    </row>
    <row r="142" spans="3:35">
      <c r="C142" s="138" t="s">
        <v>282</v>
      </c>
      <c r="D142" s="139" t="s">
        <v>260</v>
      </c>
      <c r="E142" s="139">
        <f t="shared" si="24"/>
        <v>0.1</v>
      </c>
      <c r="F142" s="141"/>
      <c r="G142" s="141"/>
      <c r="M142" s="2"/>
      <c r="N142" s="2"/>
      <c r="O142" s="2"/>
      <c r="P142" s="2"/>
      <c r="Q142" s="2"/>
      <c r="X142">
        <v>0</v>
      </c>
      <c r="Y142" s="2" t="s">
        <v>243</v>
      </c>
      <c r="Z142" s="129" t="s">
        <v>260</v>
      </c>
      <c r="AA142" s="140">
        <v>5</v>
      </c>
      <c r="AB142" s="2"/>
      <c r="AC142" s="2"/>
      <c r="AD142">
        <v>2050</v>
      </c>
      <c r="AE142" s="2" t="s">
        <v>243</v>
      </c>
      <c r="AF142" s="129" t="s">
        <v>260</v>
      </c>
      <c r="AG142" s="129">
        <f t="shared" si="21"/>
        <v>1.3095438006141</v>
      </c>
      <c r="AH142" s="129">
        <f t="shared" si="22"/>
        <v>0.994383885335299</v>
      </c>
      <c r="AI142" s="129">
        <f t="shared" si="23"/>
        <v>1.63013751429624</v>
      </c>
    </row>
    <row r="143" spans="3:35">
      <c r="C143" s="138" t="s">
        <v>282</v>
      </c>
      <c r="D143" s="139" t="s">
        <v>261</v>
      </c>
      <c r="E143" s="139">
        <f t="shared" si="24"/>
        <v>0.1</v>
      </c>
      <c r="F143" s="141"/>
      <c r="G143" s="141"/>
      <c r="M143" s="2"/>
      <c r="N143" s="2"/>
      <c r="O143" s="2"/>
      <c r="P143" s="2"/>
      <c r="Q143" s="2"/>
      <c r="X143">
        <v>0</v>
      </c>
      <c r="Y143" s="2" t="s">
        <v>243</v>
      </c>
      <c r="Z143" s="129" t="s">
        <v>261</v>
      </c>
      <c r="AA143" s="140">
        <v>5</v>
      </c>
      <c r="AB143" s="2"/>
      <c r="AC143" s="2"/>
      <c r="AD143">
        <v>2050</v>
      </c>
      <c r="AE143" s="2" t="s">
        <v>243</v>
      </c>
      <c r="AF143" s="129" t="s">
        <v>261</v>
      </c>
      <c r="AG143" s="129">
        <f t="shared" si="21"/>
        <v>1.3095438006141</v>
      </c>
      <c r="AH143" s="129">
        <f t="shared" si="22"/>
        <v>0.994383885335299</v>
      </c>
      <c r="AI143" s="129">
        <f t="shared" si="23"/>
        <v>1.63013751429624</v>
      </c>
    </row>
    <row r="144" spans="3:35">
      <c r="C144" s="138" t="s">
        <v>282</v>
      </c>
      <c r="D144" s="139" t="s">
        <v>263</v>
      </c>
      <c r="E144" s="139">
        <f t="shared" si="24"/>
        <v>0.1</v>
      </c>
      <c r="F144" s="141"/>
      <c r="G144" s="141"/>
      <c r="M144" s="2"/>
      <c r="N144" s="2"/>
      <c r="O144" s="2"/>
      <c r="P144" s="2"/>
      <c r="Q144" s="2"/>
      <c r="X144">
        <v>0</v>
      </c>
      <c r="Y144" s="2" t="s">
        <v>243</v>
      </c>
      <c r="Z144" s="129" t="s">
        <v>263</v>
      </c>
      <c r="AA144" s="140">
        <v>5</v>
      </c>
      <c r="AB144" s="2"/>
      <c r="AC144" s="2"/>
      <c r="AD144">
        <v>2050</v>
      </c>
      <c r="AE144" s="2" t="s">
        <v>243</v>
      </c>
      <c r="AF144" s="129" t="s">
        <v>263</v>
      </c>
      <c r="AG144" s="129">
        <f t="shared" si="21"/>
        <v>1.3095438006141</v>
      </c>
      <c r="AH144" s="129">
        <f t="shared" si="22"/>
        <v>0.994383885335299</v>
      </c>
      <c r="AI144" s="129">
        <f t="shared" si="23"/>
        <v>1.63013751429624</v>
      </c>
    </row>
    <row r="145" spans="3:35">
      <c r="C145" s="138" t="s">
        <v>282</v>
      </c>
      <c r="D145" s="139" t="s">
        <v>265</v>
      </c>
      <c r="E145" s="139">
        <f t="shared" si="24"/>
        <v>0.1</v>
      </c>
      <c r="F145" s="141"/>
      <c r="G145" s="141"/>
      <c r="M145" s="2"/>
      <c r="N145" s="2"/>
      <c r="O145" s="2"/>
      <c r="P145" s="2"/>
      <c r="Q145" s="2"/>
      <c r="X145">
        <v>0</v>
      </c>
      <c r="Y145" s="2" t="s">
        <v>243</v>
      </c>
      <c r="Z145" s="129" t="s">
        <v>265</v>
      </c>
      <c r="AA145" s="140">
        <v>5</v>
      </c>
      <c r="AB145" s="2"/>
      <c r="AC145" s="2"/>
      <c r="AD145">
        <v>2050</v>
      </c>
      <c r="AE145" s="2" t="s">
        <v>243</v>
      </c>
      <c r="AF145" s="129" t="s">
        <v>265</v>
      </c>
      <c r="AG145" s="129">
        <f t="shared" si="21"/>
        <v>1.3095438006141</v>
      </c>
      <c r="AH145" s="129">
        <f t="shared" si="22"/>
        <v>0.994383885335299</v>
      </c>
      <c r="AI145" s="129">
        <f t="shared" si="23"/>
        <v>1.63013751429624</v>
      </c>
    </row>
    <row r="146" spans="3:35">
      <c r="C146" s="138" t="s">
        <v>282</v>
      </c>
      <c r="D146" s="139" t="s">
        <v>267</v>
      </c>
      <c r="E146" s="139">
        <f t="shared" si="24"/>
        <v>0.1</v>
      </c>
      <c r="F146" s="141"/>
      <c r="G146" s="141"/>
      <c r="M146" s="2"/>
      <c r="N146" s="2"/>
      <c r="O146" s="2"/>
      <c r="P146" s="2"/>
      <c r="Q146" s="2"/>
      <c r="X146">
        <v>0</v>
      </c>
      <c r="Y146" s="2" t="s">
        <v>243</v>
      </c>
      <c r="Z146" s="129" t="s">
        <v>267</v>
      </c>
      <c r="AA146" s="140">
        <v>5</v>
      </c>
      <c r="AB146" s="2"/>
      <c r="AC146" s="2"/>
      <c r="AD146">
        <v>2050</v>
      </c>
      <c r="AE146" s="2" t="s">
        <v>243</v>
      </c>
      <c r="AF146" s="129" t="s">
        <v>267</v>
      </c>
      <c r="AG146" s="129">
        <f t="shared" si="21"/>
        <v>1.3095438006141</v>
      </c>
      <c r="AH146" s="129">
        <f t="shared" si="22"/>
        <v>0.994383885335299</v>
      </c>
      <c r="AI146" s="129">
        <f t="shared" si="23"/>
        <v>1.63013751429624</v>
      </c>
    </row>
    <row r="147" spans="3:35">
      <c r="C147" s="138" t="s">
        <v>282</v>
      </c>
      <c r="D147" s="139" t="s">
        <v>269</v>
      </c>
      <c r="E147" s="139">
        <f t="shared" si="24"/>
        <v>0.1</v>
      </c>
      <c r="F147" s="141"/>
      <c r="G147" s="141"/>
      <c r="M147" s="2"/>
      <c r="N147" s="2"/>
      <c r="O147" s="2"/>
      <c r="P147" s="2"/>
      <c r="Q147" s="2"/>
      <c r="X147">
        <v>0</v>
      </c>
      <c r="Y147" s="2" t="s">
        <v>243</v>
      </c>
      <c r="Z147" s="129" t="s">
        <v>269</v>
      </c>
      <c r="AA147" s="140">
        <v>5</v>
      </c>
      <c r="AB147" s="2"/>
      <c r="AC147" s="2"/>
      <c r="AD147">
        <v>2050</v>
      </c>
      <c r="AE147" s="2" t="s">
        <v>243</v>
      </c>
      <c r="AF147" s="129" t="s">
        <v>269</v>
      </c>
      <c r="AG147" s="129">
        <f t="shared" si="21"/>
        <v>1.3095438006141</v>
      </c>
      <c r="AH147" s="129">
        <f t="shared" si="22"/>
        <v>0.994383885335299</v>
      </c>
      <c r="AI147" s="129">
        <f t="shared" si="23"/>
        <v>1.63013751429624</v>
      </c>
    </row>
    <row r="148" spans="3:35">
      <c r="C148" s="138" t="s">
        <v>282</v>
      </c>
      <c r="D148" s="139" t="s">
        <v>271</v>
      </c>
      <c r="E148" s="139">
        <f t="shared" si="24"/>
        <v>0.1</v>
      </c>
      <c r="F148" s="141"/>
      <c r="G148" s="141"/>
      <c r="M148" s="2"/>
      <c r="N148" s="2"/>
      <c r="O148" s="2"/>
      <c r="P148" s="2"/>
      <c r="Q148" s="2"/>
      <c r="X148">
        <v>0</v>
      </c>
      <c r="Y148" s="2" t="s">
        <v>243</v>
      </c>
      <c r="Z148" s="129" t="s">
        <v>271</v>
      </c>
      <c r="AA148" s="140">
        <v>5</v>
      </c>
      <c r="AB148" s="2"/>
      <c r="AC148" s="2"/>
      <c r="AD148">
        <v>2050</v>
      </c>
      <c r="AE148" s="2" t="s">
        <v>243</v>
      </c>
      <c r="AF148" s="129" t="s">
        <v>271</v>
      </c>
      <c r="AG148" s="129">
        <f t="shared" si="21"/>
        <v>1.1160211134365</v>
      </c>
      <c r="AH148" s="129">
        <f t="shared" si="22"/>
        <v>0.847435113780397</v>
      </c>
      <c r="AI148" s="129">
        <f t="shared" si="23"/>
        <v>1.38923790619012</v>
      </c>
    </row>
    <row r="149" spans="3:35">
      <c r="C149" s="138" t="s">
        <v>282</v>
      </c>
      <c r="D149" s="139" t="s">
        <v>273</v>
      </c>
      <c r="E149" s="139">
        <f t="shared" si="24"/>
        <v>0.1</v>
      </c>
      <c r="F149" s="141"/>
      <c r="G149" s="141"/>
      <c r="M149" s="2"/>
      <c r="N149" s="2"/>
      <c r="O149" s="2"/>
      <c r="P149" s="2"/>
      <c r="Q149" s="2"/>
      <c r="X149">
        <v>0</v>
      </c>
      <c r="Y149" s="2" t="s">
        <v>243</v>
      </c>
      <c r="Z149" s="129" t="s">
        <v>273</v>
      </c>
      <c r="AA149" s="140">
        <v>5</v>
      </c>
      <c r="AB149" s="2"/>
      <c r="AC149" s="2"/>
      <c r="AD149">
        <v>2050</v>
      </c>
      <c r="AE149" s="2" t="s">
        <v>243</v>
      </c>
      <c r="AF149" s="129" t="s">
        <v>273</v>
      </c>
      <c r="AG149" s="129">
        <f t="shared" si="21"/>
        <v>1.1270745266028</v>
      </c>
      <c r="AH149" s="129">
        <f t="shared" si="22"/>
        <v>0.855828380619012</v>
      </c>
      <c r="AI149" s="129">
        <f t="shared" si="23"/>
        <v>1.40299733544584</v>
      </c>
    </row>
    <row r="150" spans="3:35">
      <c r="C150" s="138" t="s">
        <v>282</v>
      </c>
      <c r="D150" s="139" t="s">
        <v>275</v>
      </c>
      <c r="E150" s="139">
        <f t="shared" si="24"/>
        <v>0.1</v>
      </c>
      <c r="F150" s="141"/>
      <c r="G150" s="141"/>
      <c r="M150" s="2"/>
      <c r="N150" s="2"/>
      <c r="O150" s="2"/>
      <c r="P150" s="2"/>
      <c r="Q150" s="2"/>
      <c r="X150">
        <v>0</v>
      </c>
      <c r="Y150" s="2" t="s">
        <v>243</v>
      </c>
      <c r="Z150" s="129" t="s">
        <v>275</v>
      </c>
      <c r="AA150" s="140">
        <v>5</v>
      </c>
      <c r="AB150" s="2"/>
      <c r="AC150" s="2"/>
      <c r="AD150">
        <v>2050</v>
      </c>
      <c r="AE150" s="2" t="s">
        <v>243</v>
      </c>
      <c r="AF150" s="129" t="s">
        <v>275</v>
      </c>
      <c r="AG150" s="129">
        <f t="shared" si="21"/>
        <v>1.1160211134365</v>
      </c>
      <c r="AH150" s="129">
        <f t="shared" si="22"/>
        <v>0.847435113780397</v>
      </c>
      <c r="AI150" s="129">
        <f t="shared" si="23"/>
        <v>1.38923790619012</v>
      </c>
    </row>
    <row r="151" spans="3:35">
      <c r="C151" s="138" t="s">
        <v>282</v>
      </c>
      <c r="D151" s="139" t="s">
        <v>276</v>
      </c>
      <c r="E151" s="139">
        <f t="shared" si="24"/>
        <v>0.1</v>
      </c>
      <c r="F151" s="141"/>
      <c r="G151" s="141"/>
      <c r="M151" s="2"/>
      <c r="N151" s="2"/>
      <c r="O151" s="2"/>
      <c r="P151" s="2"/>
      <c r="Q151" s="2"/>
      <c r="X151">
        <v>0</v>
      </c>
      <c r="Y151" s="2" t="s">
        <v>243</v>
      </c>
      <c r="Z151" s="129" t="s">
        <v>276</v>
      </c>
      <c r="AA151" s="140">
        <v>5</v>
      </c>
      <c r="AB151" s="2"/>
      <c r="AC151" s="2"/>
      <c r="AD151">
        <v>2050</v>
      </c>
      <c r="AE151" s="2" t="s">
        <v>243</v>
      </c>
      <c r="AF151" s="129" t="s">
        <v>276</v>
      </c>
      <c r="AG151" s="129">
        <f t="shared" si="21"/>
        <v>1.11630000712356</v>
      </c>
      <c r="AH151" s="129">
        <f t="shared" si="22"/>
        <v>0.847646901989683</v>
      </c>
      <c r="AI151" s="129">
        <f t="shared" si="23"/>
        <v>1.38958506632277</v>
      </c>
    </row>
    <row r="152" spans="3:35">
      <c r="C152" s="138" t="s">
        <v>282</v>
      </c>
      <c r="D152" s="139" t="s">
        <v>278</v>
      </c>
      <c r="E152" s="139">
        <f t="shared" si="24"/>
        <v>0.1</v>
      </c>
      <c r="F152" s="141"/>
      <c r="G152" s="141"/>
      <c r="M152" s="2"/>
      <c r="N152" s="2"/>
      <c r="O152" s="2"/>
      <c r="P152" s="2"/>
      <c r="Q152" s="2"/>
      <c r="X152">
        <v>0</v>
      </c>
      <c r="Y152" s="2" t="s">
        <v>243</v>
      </c>
      <c r="Z152" s="129" t="s">
        <v>278</v>
      </c>
      <c r="AA152" s="140">
        <v>5</v>
      </c>
      <c r="AB152" s="2"/>
      <c r="AC152" s="2"/>
      <c r="AD152">
        <v>2050</v>
      </c>
      <c r="AE152" s="2" t="s">
        <v>243</v>
      </c>
      <c r="AF152" s="129" t="s">
        <v>278</v>
      </c>
      <c r="AG152" s="129">
        <f t="shared" si="21"/>
        <v>1.11611406005895</v>
      </c>
      <c r="AH152" s="129">
        <f t="shared" si="22"/>
        <v>0.847505694473101</v>
      </c>
      <c r="AI152" s="129">
        <f t="shared" si="23"/>
        <v>1.38935360316875</v>
      </c>
    </row>
    <row r="153" spans="3:35">
      <c r="C153" s="138" t="s">
        <v>282</v>
      </c>
      <c r="D153" s="139" t="s">
        <v>280</v>
      </c>
      <c r="E153" s="139">
        <f t="shared" si="24"/>
        <v>0.1</v>
      </c>
      <c r="F153" s="141"/>
      <c r="G153" s="141"/>
      <c r="M153" s="2"/>
      <c r="N153" s="2"/>
      <c r="O153" s="2"/>
      <c r="P153" s="2"/>
      <c r="Q153" s="2"/>
      <c r="X153">
        <v>0</v>
      </c>
      <c r="Y153" s="2" t="s">
        <v>243</v>
      </c>
      <c r="Z153" s="129" t="s">
        <v>280</v>
      </c>
      <c r="AA153" s="140">
        <v>5</v>
      </c>
      <c r="AB153" s="2"/>
      <c r="AC153" s="2"/>
      <c r="AD153">
        <v>2050</v>
      </c>
      <c r="AE153" s="2" t="s">
        <v>243</v>
      </c>
      <c r="AF153" s="129" t="s">
        <v>280</v>
      </c>
      <c r="AG153" s="129">
        <f t="shared" si="21"/>
        <v>1.1160211134365</v>
      </c>
      <c r="AH153" s="129">
        <f t="shared" si="22"/>
        <v>0.847435113780397</v>
      </c>
      <c r="AI153" s="129">
        <f t="shared" si="23"/>
        <v>1.38923790619012</v>
      </c>
    </row>
    <row r="154" spans="3:35">
      <c r="C154" s="138" t="s">
        <v>282</v>
      </c>
      <c r="D154" s="142" t="s">
        <v>281</v>
      </c>
      <c r="E154" s="139">
        <f t="shared" si="24"/>
        <v>0.1</v>
      </c>
      <c r="F154" s="141"/>
      <c r="G154" s="141"/>
      <c r="M154" s="2"/>
      <c r="N154" s="2"/>
      <c r="O154" s="2"/>
      <c r="P154" s="2"/>
      <c r="Q154" s="2"/>
      <c r="X154">
        <v>0</v>
      </c>
      <c r="Y154" s="2" t="s">
        <v>243</v>
      </c>
      <c r="Z154" s="129" t="s">
        <v>281</v>
      </c>
      <c r="AA154" s="140">
        <v>5</v>
      </c>
      <c r="AB154" s="2"/>
      <c r="AC154" s="2"/>
      <c r="AD154">
        <v>2050</v>
      </c>
      <c r="AE154" s="2" t="s">
        <v>243</v>
      </c>
      <c r="AF154" s="137" t="s">
        <v>281</v>
      </c>
      <c r="AG154" s="129">
        <f t="shared" si="21"/>
        <v>1.11583526632277</v>
      </c>
      <c r="AH154" s="129">
        <f t="shared" si="22"/>
        <v>0.847293998526159</v>
      </c>
      <c r="AI154" s="129">
        <f t="shared" si="23"/>
        <v>1.38900655836404</v>
      </c>
    </row>
    <row r="161" spans="1:40">
      <c r="B161" s="86"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190</v>
      </c>
    </row>
    <row r="166" spans="1:40">
      <c r="A166">
        <v>2025</v>
      </c>
      <c r="B166" t="s">
        <v>187</v>
      </c>
      <c r="C166" t="s">
        <v>188</v>
      </c>
      <c r="D166" t="s">
        <v>191</v>
      </c>
      <c r="E166" t="s">
        <v>192</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192</v>
      </c>
    </row>
    <row r="167" spans="1:40">
      <c r="A167">
        <v>2025</v>
      </c>
      <c r="B167" t="s">
        <v>187</v>
      </c>
      <c r="C167" t="s">
        <v>188</v>
      </c>
      <c r="D167" t="s">
        <v>193</v>
      </c>
      <c r="E167" t="s">
        <v>194</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194</v>
      </c>
    </row>
    <row r="168" spans="1:40">
      <c r="A168">
        <v>2025</v>
      </c>
      <c r="B168" t="s">
        <v>187</v>
      </c>
      <c r="C168" t="s">
        <v>188</v>
      </c>
      <c r="D168" t="s">
        <v>196</v>
      </c>
      <c r="E168" t="s">
        <v>197</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197</v>
      </c>
    </row>
    <row r="169" spans="1:40">
      <c r="A169">
        <v>2025</v>
      </c>
      <c r="B169" t="s">
        <v>187</v>
      </c>
      <c r="C169" t="s">
        <v>188</v>
      </c>
      <c r="D169" s="2" t="s">
        <v>198</v>
      </c>
      <c r="E169" t="s">
        <v>199</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199</v>
      </c>
    </row>
    <row r="170" spans="1:40">
      <c r="A170">
        <v>2025</v>
      </c>
      <c r="B170" t="s">
        <v>187</v>
      </c>
      <c r="C170" s="2" t="s">
        <v>188</v>
      </c>
      <c r="D170" s="2" t="s">
        <v>200</v>
      </c>
      <c r="E170" t="s">
        <v>201</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201</v>
      </c>
    </row>
    <row r="171" spans="1:40">
      <c r="A171">
        <v>2025</v>
      </c>
      <c r="B171" t="s">
        <v>187</v>
      </c>
      <c r="C171" s="2" t="s">
        <v>188</v>
      </c>
      <c r="D171" s="2" t="s">
        <v>202</v>
      </c>
      <c r="E171" t="s">
        <v>203</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203</v>
      </c>
    </row>
    <row r="178" spans="1:40">
      <c r="B178" s="86"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190</v>
      </c>
    </row>
    <row r="182" spans="1:40">
      <c r="A182">
        <f t="shared" ref="A182:A187" si="34">A181</f>
        <v>2050</v>
      </c>
      <c r="B182" t="s">
        <v>187</v>
      </c>
      <c r="C182" t="s">
        <v>188</v>
      </c>
      <c r="D182" t="s">
        <v>191</v>
      </c>
      <c r="E182" t="s">
        <v>192</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192</v>
      </c>
    </row>
    <row r="183" spans="1:40">
      <c r="A183">
        <f t="shared" si="34"/>
        <v>2050</v>
      </c>
      <c r="B183" t="s">
        <v>187</v>
      </c>
      <c r="C183" t="s">
        <v>188</v>
      </c>
      <c r="D183" t="s">
        <v>193</v>
      </c>
      <c r="E183" t="s">
        <v>194</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194</v>
      </c>
    </row>
    <row r="184" spans="1:40">
      <c r="A184">
        <f t="shared" si="34"/>
        <v>2050</v>
      </c>
      <c r="B184" t="s">
        <v>187</v>
      </c>
      <c r="C184" t="s">
        <v>188</v>
      </c>
      <c r="D184" t="s">
        <v>196</v>
      </c>
      <c r="E184" t="s">
        <v>197</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197</v>
      </c>
    </row>
    <row r="185" spans="1:40">
      <c r="A185">
        <f t="shared" si="34"/>
        <v>2050</v>
      </c>
      <c r="B185" t="s">
        <v>187</v>
      </c>
      <c r="C185" t="s">
        <v>188</v>
      </c>
      <c r="D185" t="s">
        <v>198</v>
      </c>
      <c r="E185" t="s">
        <v>199</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199</v>
      </c>
    </row>
    <row r="186" spans="1:40">
      <c r="A186">
        <f t="shared" si="34"/>
        <v>2050</v>
      </c>
      <c r="B186" t="s">
        <v>187</v>
      </c>
      <c r="C186" t="s">
        <v>188</v>
      </c>
      <c r="D186" t="s">
        <v>200</v>
      </c>
      <c r="E186" t="s">
        <v>201</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201</v>
      </c>
    </row>
    <row r="187" spans="1:40">
      <c r="A187">
        <f t="shared" si="34"/>
        <v>2050</v>
      </c>
      <c r="B187" t="s">
        <v>187</v>
      </c>
      <c r="C187" t="s">
        <v>188</v>
      </c>
      <c r="D187" t="s">
        <v>202</v>
      </c>
      <c r="E187" t="s">
        <v>203</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203</v>
      </c>
    </row>
    <row r="191" spans="1:40">
      <c r="B191" s="86"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190</v>
      </c>
    </row>
    <row r="195" spans="1:40">
      <c r="A195">
        <v>2100</v>
      </c>
      <c r="B195" t="s">
        <v>187</v>
      </c>
      <c r="C195" t="s">
        <v>188</v>
      </c>
      <c r="D195" t="s">
        <v>191</v>
      </c>
      <c r="E195" t="s">
        <v>192</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192</v>
      </c>
    </row>
    <row r="196" spans="1:40">
      <c r="A196">
        <v>2100</v>
      </c>
      <c r="B196" t="s">
        <v>187</v>
      </c>
      <c r="C196" t="s">
        <v>188</v>
      </c>
      <c r="D196" t="s">
        <v>193</v>
      </c>
      <c r="E196" t="s">
        <v>194</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194</v>
      </c>
    </row>
    <row r="197" spans="1:40">
      <c r="A197">
        <v>2100</v>
      </c>
      <c r="B197" t="s">
        <v>187</v>
      </c>
      <c r="C197" t="s">
        <v>188</v>
      </c>
      <c r="D197" t="s">
        <v>196</v>
      </c>
      <c r="E197" t="s">
        <v>197</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197</v>
      </c>
    </row>
    <row r="198" spans="1:40">
      <c r="A198">
        <v>2100</v>
      </c>
      <c r="B198" t="s">
        <v>187</v>
      </c>
      <c r="C198" t="s">
        <v>188</v>
      </c>
      <c r="D198" t="s">
        <v>198</v>
      </c>
      <c r="E198" t="s">
        <v>199</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199</v>
      </c>
    </row>
    <row r="199" spans="1:40">
      <c r="A199">
        <v>2100</v>
      </c>
      <c r="B199" t="s">
        <v>187</v>
      </c>
      <c r="C199" t="s">
        <v>188</v>
      </c>
      <c r="D199" t="s">
        <v>200</v>
      </c>
      <c r="E199" t="s">
        <v>201</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201</v>
      </c>
    </row>
    <row r="200" spans="1:40">
      <c r="A200">
        <v>2100</v>
      </c>
      <c r="B200" t="s">
        <v>187</v>
      </c>
      <c r="C200" t="s">
        <v>188</v>
      </c>
      <c r="D200" t="s">
        <v>202</v>
      </c>
      <c r="E200" t="s">
        <v>203</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203</v>
      </c>
    </row>
    <row r="208" spans="1:40">
      <c r="B208" s="86" t="s">
        <v>131</v>
      </c>
    </row>
    <row r="210" s="86" customFormat="1"/>
    <row r="211" s="86" customFormat="1" spans="1:39">
      <c r="A211" s="86" t="str">
        <f>A193</f>
        <v>year</v>
      </c>
      <c r="B211" s="86" t="str">
        <f>B193</f>
        <v>attribute</v>
      </c>
      <c r="C211" s="86" t="s">
        <v>137</v>
      </c>
      <c r="D211" s="86" t="s">
        <v>65</v>
      </c>
      <c r="E211" s="86" t="str">
        <f t="shared" ref="E211:AM211" si="48">F87</f>
        <v>Africa_North</v>
      </c>
      <c r="F211" s="86" t="str">
        <f t="shared" si="48"/>
        <v>Africa_Other</v>
      </c>
      <c r="G211" s="86" t="str">
        <f t="shared" si="48"/>
        <v>Australia</v>
      </c>
      <c r="H211" s="86" t="str">
        <f t="shared" si="48"/>
        <v>Austria</v>
      </c>
      <c r="I211" s="86" t="str">
        <f t="shared" si="48"/>
        <v>Baltics</v>
      </c>
      <c r="J211" s="86" t="str">
        <f t="shared" si="48"/>
        <v>BeNeLux</v>
      </c>
      <c r="K211" s="86" t="str">
        <f t="shared" si="48"/>
        <v>Brazil</v>
      </c>
      <c r="L211" s="86" t="str">
        <f t="shared" si="48"/>
        <v>China</v>
      </c>
      <c r="M211" s="86" t="str">
        <f t="shared" si="48"/>
        <v>CroSloven</v>
      </c>
      <c r="N211" s="86" t="str">
        <f t="shared" si="48"/>
        <v>CzechSlovak</v>
      </c>
      <c r="O211" s="86" t="str">
        <f t="shared" si="48"/>
        <v>France</v>
      </c>
      <c r="P211" s="86" t="str">
        <f t="shared" si="48"/>
        <v>Germany</v>
      </c>
      <c r="Q211" s="86" t="str">
        <f t="shared" si="48"/>
        <v>GreeceCyp</v>
      </c>
      <c r="R211" s="86" t="str">
        <f t="shared" si="48"/>
        <v>HunRomBul</v>
      </c>
      <c r="S211" s="86" t="str">
        <f t="shared" si="48"/>
        <v>Iceland</v>
      </c>
      <c r="T211" s="86" t="str">
        <f t="shared" si="48"/>
        <v>India</v>
      </c>
      <c r="U211" s="86" t="str">
        <f t="shared" si="48"/>
        <v>Ireland</v>
      </c>
      <c r="V211" s="86" t="str">
        <f t="shared" si="48"/>
        <v>ItalyMal</v>
      </c>
      <c r="W211" s="86" t="str">
        <f t="shared" si="48"/>
        <v>Japan</v>
      </c>
      <c r="X211" s="86" t="str">
        <f t="shared" si="48"/>
        <v>LatAm</v>
      </c>
      <c r="Y211" s="86" t="str">
        <f t="shared" si="48"/>
        <v>MidEast</v>
      </c>
      <c r="Z211" s="86" t="str">
        <f t="shared" si="48"/>
        <v>NorthAm</v>
      </c>
      <c r="AA211" s="86" t="str">
        <f t="shared" si="48"/>
        <v>Norway</v>
      </c>
      <c r="AB211" s="86" t="str">
        <f t="shared" si="48"/>
        <v>Poland</v>
      </c>
      <c r="AC211" s="86" t="str">
        <f t="shared" si="48"/>
        <v>ROW</v>
      </c>
      <c r="AD211" s="86" t="str">
        <f t="shared" si="48"/>
        <v>Russia</v>
      </c>
      <c r="AE211" s="86" t="str">
        <f t="shared" si="48"/>
        <v>SaudiArabia</v>
      </c>
      <c r="AF211" s="86" t="str">
        <f t="shared" si="48"/>
        <v>SouthAfrica</v>
      </c>
      <c r="AG211" s="86" t="str">
        <f t="shared" si="48"/>
        <v>SpainPor</v>
      </c>
      <c r="AH211" s="86" t="str">
        <f t="shared" si="48"/>
        <v>SweFinDen</v>
      </c>
      <c r="AI211" s="86" t="str">
        <f t="shared" si="48"/>
        <v>Switzerland</v>
      </c>
      <c r="AJ211" s="86" t="str">
        <f t="shared" si="48"/>
        <v>Turkey</v>
      </c>
      <c r="AK211" s="86" t="str">
        <f t="shared" si="48"/>
        <v>UK</v>
      </c>
      <c r="AL211" s="86" t="str">
        <f t="shared" si="48"/>
        <v>Ukraine</v>
      </c>
      <c r="AM211" s="86" t="str">
        <f>AO87</f>
        <v>Pset_CO</v>
      </c>
    </row>
    <row r="212" s="86" customFormat="1" ht="16" spans="1:39">
      <c r="A212" s="86">
        <v>2019</v>
      </c>
      <c r="B212" s="143" t="s">
        <v>283</v>
      </c>
      <c r="C212" s="86" t="s">
        <v>141</v>
      </c>
      <c r="D212" s="86" t="s">
        <v>189</v>
      </c>
      <c r="E212" s="86">
        <f t="shared" ref="E212:AL212" si="49">F88/1</f>
        <v>0</v>
      </c>
      <c r="F212" s="86">
        <f t="shared" si="49"/>
        <v>24.7</v>
      </c>
      <c r="G212" s="86">
        <f t="shared" si="49"/>
        <v>88</v>
      </c>
      <c r="H212" s="86">
        <f t="shared" si="49"/>
        <v>0</v>
      </c>
      <c r="I212" s="86">
        <f t="shared" si="49"/>
        <v>0</v>
      </c>
      <c r="J212" s="86">
        <f t="shared" si="49"/>
        <v>0</v>
      </c>
      <c r="K212" s="86">
        <f t="shared" si="49"/>
        <v>10</v>
      </c>
      <c r="L212" s="86">
        <f t="shared" si="49"/>
        <v>41</v>
      </c>
      <c r="M212" s="86">
        <f t="shared" si="49"/>
        <v>0</v>
      </c>
      <c r="N212" s="86">
        <f t="shared" si="49"/>
        <v>0</v>
      </c>
      <c r="O212" s="86">
        <f t="shared" si="49"/>
        <v>0</v>
      </c>
      <c r="P212" s="86">
        <f t="shared" si="49"/>
        <v>0</v>
      </c>
      <c r="Q212" s="86">
        <f t="shared" si="49"/>
        <v>0</v>
      </c>
      <c r="R212" s="86">
        <f t="shared" si="49"/>
        <v>0</v>
      </c>
      <c r="S212" s="86">
        <f t="shared" si="49"/>
        <v>0</v>
      </c>
      <c r="T212" s="86">
        <f t="shared" si="49"/>
        <v>0</v>
      </c>
      <c r="U212" s="86">
        <f t="shared" si="49"/>
        <v>0</v>
      </c>
      <c r="V212" s="86">
        <f t="shared" si="49"/>
        <v>0</v>
      </c>
      <c r="W212" s="86">
        <f t="shared" si="49"/>
        <v>0</v>
      </c>
      <c r="X212" s="86">
        <f t="shared" si="49"/>
        <v>67</v>
      </c>
      <c r="Y212" s="86">
        <f t="shared" si="49"/>
        <v>0</v>
      </c>
      <c r="Z212" s="86">
        <f t="shared" si="49"/>
        <v>4.3</v>
      </c>
      <c r="AA212" s="86">
        <f t="shared" si="49"/>
        <v>0</v>
      </c>
      <c r="AB212" s="86">
        <f t="shared" si="49"/>
        <v>0</v>
      </c>
      <c r="AC212" s="86">
        <f t="shared" si="49"/>
        <v>4.6</v>
      </c>
      <c r="AD212" s="86">
        <f t="shared" si="49"/>
        <v>0</v>
      </c>
      <c r="AE212" s="86">
        <f t="shared" si="49"/>
        <v>0</v>
      </c>
      <c r="AF212" s="86">
        <f t="shared" si="49"/>
        <v>0</v>
      </c>
      <c r="AG212" s="86">
        <f t="shared" si="49"/>
        <v>0.4</v>
      </c>
      <c r="AH212" s="86">
        <f t="shared" si="49"/>
        <v>0</v>
      </c>
      <c r="AI212" s="86">
        <f t="shared" si="49"/>
        <v>0</v>
      </c>
      <c r="AJ212" s="86">
        <f t="shared" si="49"/>
        <v>0</v>
      </c>
      <c r="AK212" s="86">
        <f t="shared" si="49"/>
        <v>0</v>
      </c>
      <c r="AL212" s="86">
        <f t="shared" si="49"/>
        <v>0</v>
      </c>
      <c r="AM212" s="86" t="str">
        <f t="shared" ref="AM212:AM218" si="50">AO88</f>
        <v>m_lithium</v>
      </c>
    </row>
    <row r="213" s="86" customFormat="1" spans="1:39">
      <c r="A213" s="86">
        <f t="shared" ref="A213:A218" si="51">A212</f>
        <v>2019</v>
      </c>
      <c r="B213" s="86" t="str">
        <f t="shared" ref="B213:B218" si="52">B212</f>
        <v>PRC_RESID</v>
      </c>
      <c r="C213" s="86" t="s">
        <v>141</v>
      </c>
      <c r="D213" s="86" t="s">
        <v>191</v>
      </c>
      <c r="E213" s="86">
        <f t="shared" ref="E213:AL213" si="53">F89/1</f>
        <v>0</v>
      </c>
      <c r="F213" s="86">
        <f t="shared" si="53"/>
        <v>0</v>
      </c>
      <c r="G213" s="86">
        <f t="shared" si="53"/>
        <v>110</v>
      </c>
      <c r="H213" s="86">
        <f t="shared" si="53"/>
        <v>0</v>
      </c>
      <c r="I213" s="86">
        <f t="shared" si="53"/>
        <v>0</v>
      </c>
      <c r="J213" s="86">
        <f t="shared" si="53"/>
        <v>0</v>
      </c>
      <c r="K213" s="86">
        <f t="shared" si="53"/>
        <v>77</v>
      </c>
      <c r="L213" s="86">
        <f t="shared" si="53"/>
        <v>120</v>
      </c>
      <c r="M213" s="86">
        <f t="shared" si="53"/>
        <v>0</v>
      </c>
      <c r="N213" s="86">
        <f t="shared" si="53"/>
        <v>0</v>
      </c>
      <c r="O213" s="86">
        <f t="shared" si="53"/>
        <v>0</v>
      </c>
      <c r="P213" s="86">
        <f t="shared" si="53"/>
        <v>0</v>
      </c>
      <c r="Q213" s="86">
        <f t="shared" si="53"/>
        <v>0</v>
      </c>
      <c r="R213" s="86">
        <f t="shared" si="53"/>
        <v>0</v>
      </c>
      <c r="S213" s="86">
        <f t="shared" si="53"/>
        <v>0</v>
      </c>
      <c r="T213" s="86">
        <f t="shared" si="53"/>
        <v>0</v>
      </c>
      <c r="U213" s="86">
        <f t="shared" si="53"/>
        <v>0</v>
      </c>
      <c r="V213" s="86">
        <f t="shared" si="53"/>
        <v>0</v>
      </c>
      <c r="W213" s="86">
        <f t="shared" si="53"/>
        <v>0</v>
      </c>
      <c r="X213" s="86">
        <f t="shared" si="53"/>
        <v>0</v>
      </c>
      <c r="Y213" s="86">
        <f t="shared" si="53"/>
        <v>0</v>
      </c>
      <c r="Z213" s="86">
        <f t="shared" si="53"/>
        <v>198</v>
      </c>
      <c r="AA213" s="86">
        <f t="shared" si="53"/>
        <v>0</v>
      </c>
      <c r="AB213" s="86">
        <f t="shared" si="53"/>
        <v>0</v>
      </c>
      <c r="AC213" s="86">
        <f t="shared" si="53"/>
        <v>2985</v>
      </c>
      <c r="AD213" s="86">
        <f t="shared" si="53"/>
        <v>210</v>
      </c>
      <c r="AE213" s="86">
        <f t="shared" si="53"/>
        <v>0</v>
      </c>
      <c r="AF213" s="86">
        <f t="shared" si="53"/>
        <v>0</v>
      </c>
      <c r="AG213" s="86">
        <f t="shared" si="53"/>
        <v>0</v>
      </c>
      <c r="AH213" s="86">
        <f t="shared" si="53"/>
        <v>0</v>
      </c>
      <c r="AI213" s="86">
        <f t="shared" si="53"/>
        <v>0</v>
      </c>
      <c r="AJ213" s="86">
        <f t="shared" si="53"/>
        <v>0</v>
      </c>
      <c r="AK213" s="86">
        <f t="shared" si="53"/>
        <v>0</v>
      </c>
      <c r="AL213" s="86">
        <f t="shared" si="53"/>
        <v>0</v>
      </c>
      <c r="AM213" s="86" t="str">
        <f t="shared" si="50"/>
        <v>m_nickel</v>
      </c>
    </row>
    <row r="214" s="86" customFormat="1" spans="1:39">
      <c r="A214" s="86">
        <f t="shared" si="51"/>
        <v>2019</v>
      </c>
      <c r="B214" s="86" t="str">
        <f t="shared" si="52"/>
        <v>PRC_RESID</v>
      </c>
      <c r="C214" s="86" t="s">
        <v>141</v>
      </c>
      <c r="D214" s="86" t="s">
        <v>193</v>
      </c>
      <c r="E214" s="86">
        <f t="shared" ref="E214:AL214" si="54">F90/1</f>
        <v>0</v>
      </c>
      <c r="F214" s="86">
        <f t="shared" si="54"/>
        <v>222.6</v>
      </c>
      <c r="G214" s="86">
        <f t="shared" si="54"/>
        <v>3.6</v>
      </c>
      <c r="H214" s="86">
        <f t="shared" si="54"/>
        <v>0</v>
      </c>
      <c r="I214" s="86">
        <f t="shared" si="54"/>
        <v>0</v>
      </c>
      <c r="J214" s="86">
        <f t="shared" si="54"/>
        <v>0</v>
      </c>
      <c r="K214" s="86">
        <f t="shared" si="54"/>
        <v>0</v>
      </c>
      <c r="L214" s="86">
        <f t="shared" si="54"/>
        <v>0</v>
      </c>
      <c r="M214" s="86">
        <f t="shared" si="54"/>
        <v>0</v>
      </c>
      <c r="N214" s="86">
        <f t="shared" si="54"/>
        <v>0</v>
      </c>
      <c r="O214" s="86">
        <f t="shared" si="54"/>
        <v>0</v>
      </c>
      <c r="P214" s="86">
        <f t="shared" si="54"/>
        <v>0</v>
      </c>
      <c r="Q214" s="86">
        <f t="shared" si="54"/>
        <v>0</v>
      </c>
      <c r="R214" s="86">
        <f t="shared" si="54"/>
        <v>0</v>
      </c>
      <c r="S214" s="86">
        <f t="shared" si="54"/>
        <v>0</v>
      </c>
      <c r="T214" s="86">
        <f t="shared" si="54"/>
        <v>0</v>
      </c>
      <c r="U214" s="86">
        <f t="shared" si="54"/>
        <v>0</v>
      </c>
      <c r="V214" s="86">
        <f t="shared" si="54"/>
        <v>0</v>
      </c>
      <c r="W214" s="86">
        <f t="shared" si="54"/>
        <v>0</v>
      </c>
      <c r="X214" s="86">
        <f t="shared" si="54"/>
        <v>3.5</v>
      </c>
      <c r="Y214" s="86">
        <f t="shared" si="54"/>
        <v>0</v>
      </c>
      <c r="Z214" s="86">
        <f t="shared" si="54"/>
        <v>4.8</v>
      </c>
      <c r="AA214" s="86">
        <f t="shared" si="54"/>
        <v>0</v>
      </c>
      <c r="AB214" s="86">
        <f t="shared" si="54"/>
        <v>0</v>
      </c>
      <c r="AC214" s="86">
        <f t="shared" si="54"/>
        <v>43.8</v>
      </c>
      <c r="AD214" s="86">
        <f t="shared" si="54"/>
        <v>8.7</v>
      </c>
      <c r="AE214" s="86">
        <f t="shared" si="54"/>
        <v>0</v>
      </c>
      <c r="AF214" s="86">
        <f t="shared" si="54"/>
        <v>0</v>
      </c>
      <c r="AG214" s="86">
        <f t="shared" si="54"/>
        <v>0</v>
      </c>
      <c r="AH214" s="86">
        <f t="shared" si="54"/>
        <v>0</v>
      </c>
      <c r="AI214" s="86">
        <f t="shared" si="54"/>
        <v>0</v>
      </c>
      <c r="AJ214" s="86">
        <f t="shared" si="54"/>
        <v>2.7</v>
      </c>
      <c r="AK214" s="86">
        <f t="shared" si="54"/>
        <v>0</v>
      </c>
      <c r="AL214" s="86">
        <f t="shared" si="54"/>
        <v>0</v>
      </c>
      <c r="AM214" s="86" t="str">
        <f t="shared" si="50"/>
        <v>m_cobalt</v>
      </c>
    </row>
    <row r="215" s="86" customFormat="1" spans="1:39">
      <c r="A215" s="86">
        <f t="shared" si="51"/>
        <v>2019</v>
      </c>
      <c r="B215" s="86" t="str">
        <f t="shared" si="52"/>
        <v>PRC_RESID</v>
      </c>
      <c r="C215" s="86" t="s">
        <v>141</v>
      </c>
      <c r="D215" s="86" t="s">
        <v>196</v>
      </c>
      <c r="E215" s="86">
        <f t="shared" ref="E215:AL215" si="55">F91/1</f>
        <v>0</v>
      </c>
      <c r="F215" s="86">
        <f t="shared" si="55"/>
        <v>5780</v>
      </c>
      <c r="G215" s="86">
        <f t="shared" si="55"/>
        <v>2800</v>
      </c>
      <c r="H215" s="86">
        <f t="shared" si="55"/>
        <v>0</v>
      </c>
      <c r="I215" s="86">
        <f t="shared" si="55"/>
        <v>0</v>
      </c>
      <c r="J215" s="86">
        <f t="shared" si="55"/>
        <v>0</v>
      </c>
      <c r="K215" s="86">
        <f t="shared" si="55"/>
        <v>590</v>
      </c>
      <c r="L215" s="86">
        <f t="shared" si="55"/>
        <v>770</v>
      </c>
      <c r="M215" s="86">
        <f t="shared" si="55"/>
        <v>0</v>
      </c>
      <c r="N215" s="86">
        <f t="shared" si="55"/>
        <v>0</v>
      </c>
      <c r="O215" s="86">
        <f t="shared" si="55"/>
        <v>0</v>
      </c>
      <c r="P215" s="86">
        <f t="shared" si="55"/>
        <v>0</v>
      </c>
      <c r="Q215" s="86">
        <f t="shared" si="55"/>
        <v>0</v>
      </c>
      <c r="R215" s="86">
        <f t="shared" si="55"/>
        <v>0</v>
      </c>
      <c r="S215" s="86">
        <f t="shared" si="55"/>
        <v>0</v>
      </c>
      <c r="T215" s="86">
        <f t="shared" si="55"/>
        <v>800</v>
      </c>
      <c r="U215" s="86">
        <f t="shared" si="55"/>
        <v>0</v>
      </c>
      <c r="V215" s="86">
        <f t="shared" si="55"/>
        <v>0</v>
      </c>
      <c r="W215" s="86">
        <f t="shared" si="55"/>
        <v>0</v>
      </c>
      <c r="X215" s="86">
        <f t="shared" si="55"/>
        <v>0</v>
      </c>
      <c r="Y215" s="86">
        <f t="shared" si="55"/>
        <v>0</v>
      </c>
      <c r="Z215" s="86">
        <f t="shared" si="55"/>
        <v>0</v>
      </c>
      <c r="AA215" s="86">
        <f t="shared" si="55"/>
        <v>0</v>
      </c>
      <c r="AB215" s="86">
        <f t="shared" si="55"/>
        <v>0</v>
      </c>
      <c r="AC215" s="86">
        <f t="shared" si="55"/>
        <v>2060</v>
      </c>
      <c r="AD215" s="86">
        <f t="shared" si="55"/>
        <v>0</v>
      </c>
      <c r="AE215" s="86">
        <f t="shared" si="55"/>
        <v>0</v>
      </c>
      <c r="AF215" s="86">
        <f t="shared" si="55"/>
        <v>7400</v>
      </c>
      <c r="AG215" s="86">
        <f t="shared" si="55"/>
        <v>0</v>
      </c>
      <c r="AH215" s="86">
        <f t="shared" si="55"/>
        <v>0</v>
      </c>
      <c r="AI215" s="86">
        <f t="shared" si="55"/>
        <v>0</v>
      </c>
      <c r="AJ215" s="86">
        <f t="shared" si="55"/>
        <v>0</v>
      </c>
      <c r="AK215" s="86">
        <f t="shared" si="55"/>
        <v>0</v>
      </c>
      <c r="AL215" s="86">
        <f t="shared" si="55"/>
        <v>0</v>
      </c>
      <c r="AM215" s="86" t="str">
        <f t="shared" si="50"/>
        <v>m_manganese</v>
      </c>
    </row>
    <row r="216" s="86" customFormat="1" spans="1:39">
      <c r="A216" s="86">
        <f t="shared" si="51"/>
        <v>2019</v>
      </c>
      <c r="B216" s="86" t="str">
        <f t="shared" si="52"/>
        <v>PRC_RESID</v>
      </c>
      <c r="C216" s="86" t="s">
        <v>141</v>
      </c>
      <c r="D216" s="86" t="s">
        <v>198</v>
      </c>
      <c r="E216" s="86">
        <f t="shared" ref="E216:AL216" si="56">F92/1</f>
        <v>0</v>
      </c>
      <c r="F216" s="86">
        <f t="shared" si="56"/>
        <v>159</v>
      </c>
      <c r="G216" s="86">
        <f t="shared" si="56"/>
        <v>9522</v>
      </c>
      <c r="H216" s="86">
        <f t="shared" si="56"/>
        <v>0</v>
      </c>
      <c r="I216" s="86">
        <f t="shared" si="56"/>
        <v>0</v>
      </c>
      <c r="J216" s="86">
        <f t="shared" si="56"/>
        <v>0</v>
      </c>
      <c r="K216" s="86">
        <f t="shared" si="56"/>
        <v>5819</v>
      </c>
      <c r="L216" s="86">
        <f t="shared" si="56"/>
        <v>44436</v>
      </c>
      <c r="M216" s="86">
        <f t="shared" si="56"/>
        <v>0</v>
      </c>
      <c r="N216" s="86">
        <f t="shared" si="56"/>
        <v>0</v>
      </c>
      <c r="O216" s="86">
        <f t="shared" si="56"/>
        <v>0</v>
      </c>
      <c r="P216" s="86">
        <f t="shared" si="56"/>
        <v>508</v>
      </c>
      <c r="Q216" s="86">
        <f t="shared" si="56"/>
        <v>455</v>
      </c>
      <c r="R216" s="86">
        <f t="shared" si="56"/>
        <v>0</v>
      </c>
      <c r="S216" s="86">
        <f t="shared" si="56"/>
        <v>0</v>
      </c>
      <c r="T216" s="86">
        <f t="shared" si="56"/>
        <v>4020</v>
      </c>
      <c r="U216" s="86">
        <f t="shared" si="56"/>
        <v>846</v>
      </c>
      <c r="V216" s="86">
        <f t="shared" si="56"/>
        <v>0</v>
      </c>
      <c r="W216" s="86">
        <f t="shared" si="56"/>
        <v>0</v>
      </c>
      <c r="X216" s="86">
        <f t="shared" si="56"/>
        <v>0</v>
      </c>
      <c r="Y216" s="86">
        <f t="shared" si="56"/>
        <v>1270</v>
      </c>
      <c r="Z216" s="86">
        <f t="shared" si="56"/>
        <v>1175</v>
      </c>
      <c r="AA216" s="86">
        <f t="shared" si="56"/>
        <v>0</v>
      </c>
      <c r="AB216" s="86">
        <f t="shared" si="56"/>
        <v>0</v>
      </c>
      <c r="AC216" s="86">
        <f t="shared" si="56"/>
        <v>3015</v>
      </c>
      <c r="AD216" s="86">
        <f t="shared" si="56"/>
        <v>1534</v>
      </c>
      <c r="AE216" s="86">
        <f t="shared" si="56"/>
        <v>952</v>
      </c>
      <c r="AF216" s="86">
        <f t="shared" si="56"/>
        <v>0</v>
      </c>
      <c r="AG216" s="86">
        <f t="shared" si="56"/>
        <v>434</v>
      </c>
      <c r="AH216" s="86">
        <f t="shared" si="56"/>
        <v>0</v>
      </c>
      <c r="AI216" s="86">
        <f t="shared" si="56"/>
        <v>0</v>
      </c>
      <c r="AJ216" s="86">
        <f t="shared" si="56"/>
        <v>169</v>
      </c>
      <c r="AK216" s="86">
        <f t="shared" si="56"/>
        <v>0</v>
      </c>
      <c r="AL216" s="86">
        <f t="shared" si="56"/>
        <v>0</v>
      </c>
      <c r="AM216" s="86" t="str">
        <f t="shared" si="50"/>
        <v>m_aluminum</v>
      </c>
    </row>
    <row r="217" s="86" customFormat="1" spans="1:39">
      <c r="A217" s="86">
        <f t="shared" si="51"/>
        <v>2019</v>
      </c>
      <c r="B217" s="86" t="str">
        <f t="shared" si="52"/>
        <v>PRC_RESID</v>
      </c>
      <c r="C217" s="86" t="s">
        <v>141</v>
      </c>
      <c r="D217" s="86" t="s">
        <v>200</v>
      </c>
      <c r="E217" s="86">
        <f t="shared" ref="E217:AL217" si="57">F93/1</f>
        <v>0</v>
      </c>
      <c r="F217" s="86">
        <f t="shared" si="57"/>
        <v>3980</v>
      </c>
      <c r="G217" s="86">
        <f t="shared" si="57"/>
        <v>800</v>
      </c>
      <c r="H217" s="86">
        <f t="shared" si="57"/>
        <v>0</v>
      </c>
      <c r="I217" s="86">
        <f t="shared" si="57"/>
        <v>0</v>
      </c>
      <c r="J217" s="86">
        <f t="shared" si="57"/>
        <v>0</v>
      </c>
      <c r="K217" s="86">
        <f t="shared" si="57"/>
        <v>0</v>
      </c>
      <c r="L217" s="86">
        <f t="shared" si="57"/>
        <v>1800</v>
      </c>
      <c r="M217" s="86">
        <f t="shared" si="57"/>
        <v>0</v>
      </c>
      <c r="N217" s="86">
        <f t="shared" si="57"/>
        <v>0</v>
      </c>
      <c r="O217" s="86">
        <f t="shared" si="57"/>
        <v>0</v>
      </c>
      <c r="P217" s="86">
        <f t="shared" si="57"/>
        <v>0</v>
      </c>
      <c r="Q217" s="86">
        <f t="shared" si="57"/>
        <v>0</v>
      </c>
      <c r="R217" s="86">
        <f t="shared" si="57"/>
        <v>0</v>
      </c>
      <c r="S217" s="86">
        <f t="shared" si="57"/>
        <v>0</v>
      </c>
      <c r="T217" s="86">
        <f t="shared" si="57"/>
        <v>30</v>
      </c>
      <c r="U217" s="86">
        <f t="shared" si="57"/>
        <v>0</v>
      </c>
      <c r="V217" s="86">
        <f t="shared" si="57"/>
        <v>0</v>
      </c>
      <c r="W217" s="86">
        <f t="shared" si="57"/>
        <v>0</v>
      </c>
      <c r="X217" s="86">
        <f t="shared" si="57"/>
        <v>7900</v>
      </c>
      <c r="Y217" s="86">
        <f t="shared" si="57"/>
        <v>0</v>
      </c>
      <c r="Z217" s="86">
        <f t="shared" si="57"/>
        <v>2250</v>
      </c>
      <c r="AA217" s="86">
        <f t="shared" si="57"/>
        <v>0</v>
      </c>
      <c r="AB217" s="86">
        <f t="shared" si="57"/>
        <v>410</v>
      </c>
      <c r="AC217" s="86">
        <f t="shared" si="57"/>
        <v>4700</v>
      </c>
      <c r="AD217" s="86">
        <f t="shared" si="57"/>
        <v>930</v>
      </c>
      <c r="AE217" s="86">
        <f t="shared" si="57"/>
        <v>0</v>
      </c>
      <c r="AF217" s="86">
        <f t="shared" si="57"/>
        <v>0</v>
      </c>
      <c r="AG217" s="86">
        <f t="shared" si="57"/>
        <v>0</v>
      </c>
      <c r="AH217" s="86">
        <f t="shared" si="57"/>
        <v>0</v>
      </c>
      <c r="AI217" s="86">
        <f t="shared" si="57"/>
        <v>0</v>
      </c>
      <c r="AJ217" s="86">
        <f t="shared" si="57"/>
        <v>0</v>
      </c>
      <c r="AK217" s="86">
        <f t="shared" si="57"/>
        <v>0</v>
      </c>
      <c r="AL217" s="86">
        <f t="shared" si="57"/>
        <v>0</v>
      </c>
      <c r="AM217" s="86" t="str">
        <f t="shared" si="50"/>
        <v>m_copper</v>
      </c>
    </row>
    <row r="218" s="86" customFormat="1" spans="1:39">
      <c r="A218" s="86">
        <f t="shared" si="51"/>
        <v>2019</v>
      </c>
      <c r="B218" s="86" t="str">
        <f t="shared" si="52"/>
        <v>PRC_RESID</v>
      </c>
      <c r="C218" s="86" t="s">
        <v>141</v>
      </c>
      <c r="D218" s="86" t="s">
        <v>202</v>
      </c>
      <c r="E218" s="86">
        <f t="shared" ref="E218:AL218" si="58">F94/1</f>
        <v>0</v>
      </c>
      <c r="F218" s="86">
        <f t="shared" si="58"/>
        <v>189</v>
      </c>
      <c r="G218" s="86">
        <f t="shared" si="58"/>
        <v>0</v>
      </c>
      <c r="H218" s="86">
        <f t="shared" si="58"/>
        <v>0.5</v>
      </c>
      <c r="I218" s="86">
        <f t="shared" si="58"/>
        <v>0</v>
      </c>
      <c r="J218" s="86">
        <f t="shared" si="58"/>
        <v>0</v>
      </c>
      <c r="K218" s="86">
        <f t="shared" si="58"/>
        <v>68</v>
      </c>
      <c r="L218" s="86">
        <f t="shared" si="58"/>
        <v>1270</v>
      </c>
      <c r="M218" s="86">
        <f t="shared" si="58"/>
        <v>0</v>
      </c>
      <c r="N218" s="86">
        <f t="shared" si="58"/>
        <v>0</v>
      </c>
      <c r="O218" s="86">
        <f t="shared" si="58"/>
        <v>0</v>
      </c>
      <c r="P218" s="86">
        <f t="shared" si="58"/>
        <v>0.2</v>
      </c>
      <c r="Q218" s="86">
        <f t="shared" si="58"/>
        <v>0</v>
      </c>
      <c r="R218" s="86">
        <f t="shared" si="58"/>
        <v>0</v>
      </c>
      <c r="S218" s="86">
        <f t="shared" si="58"/>
        <v>0</v>
      </c>
      <c r="T218" s="86">
        <f t="shared" si="58"/>
        <v>28</v>
      </c>
      <c r="U218" s="86">
        <f t="shared" si="58"/>
        <v>0</v>
      </c>
      <c r="V218" s="86">
        <f t="shared" si="58"/>
        <v>0</v>
      </c>
      <c r="W218" s="86">
        <f t="shared" si="58"/>
        <v>0</v>
      </c>
      <c r="X218" s="86">
        <f t="shared" si="58"/>
        <v>0</v>
      </c>
      <c r="Y218" s="86">
        <f t="shared" si="58"/>
        <v>0</v>
      </c>
      <c r="Z218" s="86">
        <f t="shared" si="58"/>
        <v>20.9</v>
      </c>
      <c r="AA218" s="86">
        <f t="shared" si="58"/>
        <v>7</v>
      </c>
      <c r="AB218" s="86">
        <f t="shared" si="58"/>
        <v>0</v>
      </c>
      <c r="AC218" s="86">
        <f t="shared" si="58"/>
        <v>22.9</v>
      </c>
      <c r="AD218" s="86">
        <f t="shared" si="58"/>
        <v>20</v>
      </c>
      <c r="AE218" s="86">
        <f t="shared" si="58"/>
        <v>0</v>
      </c>
      <c r="AF218" s="86">
        <f t="shared" si="58"/>
        <v>0</v>
      </c>
      <c r="AG218" s="86">
        <f t="shared" si="58"/>
        <v>0</v>
      </c>
      <c r="AH218" s="86">
        <f t="shared" si="58"/>
        <v>0</v>
      </c>
      <c r="AI218" s="86">
        <f t="shared" si="58"/>
        <v>0</v>
      </c>
      <c r="AJ218" s="86">
        <f t="shared" si="58"/>
        <v>3</v>
      </c>
      <c r="AK218" s="86">
        <f t="shared" si="58"/>
        <v>0</v>
      </c>
      <c r="AL218" s="86">
        <f t="shared" si="58"/>
        <v>1.2</v>
      </c>
      <c r="AM218" s="86" t="str">
        <f t="shared" si="50"/>
        <v>m_graphite</v>
      </c>
    </row>
    <row r="226" s="34" customFormat="1"/>
    <row r="227" s="34" customFormat="1"/>
    <row r="228" s="34" customFormat="1"/>
    <row r="229" s="34" customFormat="1"/>
    <row r="230" s="34" customFormat="1"/>
    <row r="231" s="34" customFormat="1"/>
    <row r="232" s="34" customFormat="1"/>
    <row r="233" s="34" customFormat="1"/>
    <row r="234" s="34"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4" t="s">
        <v>131</v>
      </c>
    </row>
    <row r="283" spans="1:38">
      <c r="B283" t="s">
        <v>131</v>
      </c>
    </row>
    <row r="284" spans="1:38">
      <c r="A284" s="86"/>
      <c r="C284" s="86"/>
    </row>
    <row r="285" ht="14.5" spans="1:38">
      <c r="A285" s="144" t="s">
        <v>41</v>
      </c>
      <c r="B285" s="144" t="s">
        <v>133</v>
      </c>
      <c r="C285" s="144" t="s">
        <v>137</v>
      </c>
      <c r="D285" s="145" t="s">
        <v>65</v>
      </c>
      <c r="E285" s="145" t="s">
        <v>3</v>
      </c>
      <c r="F285" s="145" t="s">
        <v>5</v>
      </c>
      <c r="G285" s="145" t="s">
        <v>6</v>
      </c>
      <c r="H285" s="145" t="s">
        <v>7</v>
      </c>
      <c r="I285" s="145" t="s">
        <v>8</v>
      </c>
      <c r="J285" s="145" t="s">
        <v>9</v>
      </c>
      <c r="K285" s="145" t="s">
        <v>10</v>
      </c>
      <c r="L285" s="145" t="s">
        <v>11</v>
      </c>
      <c r="M285" s="145" t="s">
        <v>12</v>
      </c>
      <c r="N285" s="145" t="s">
        <v>13</v>
      </c>
      <c r="O285" s="145" t="s">
        <v>14</v>
      </c>
      <c r="P285" s="145" t="s">
        <v>15</v>
      </c>
      <c r="Q285" s="145" t="s">
        <v>16</v>
      </c>
      <c r="R285" s="145" t="s">
        <v>17</v>
      </c>
      <c r="S285" s="145" t="s">
        <v>18</v>
      </c>
      <c r="T285" s="145" t="s">
        <v>19</v>
      </c>
      <c r="U285" s="145" t="s">
        <v>20</v>
      </c>
      <c r="V285" s="145" t="s">
        <v>21</v>
      </c>
      <c r="W285" s="145" t="s">
        <v>22</v>
      </c>
      <c r="X285" s="145" t="s">
        <v>23</v>
      </c>
      <c r="Y285" s="145" t="s">
        <v>24</v>
      </c>
      <c r="Z285" s="145" t="s">
        <v>25</v>
      </c>
      <c r="AA285" s="145" t="s">
        <v>26</v>
      </c>
      <c r="AB285" s="145" t="s">
        <v>27</v>
      </c>
      <c r="AC285" s="145" t="s">
        <v>28</v>
      </c>
      <c r="AD285" s="145" t="s">
        <v>29</v>
      </c>
      <c r="AE285" s="145" t="s">
        <v>30</v>
      </c>
      <c r="AF285" s="145" t="s">
        <v>31</v>
      </c>
      <c r="AG285" s="145" t="s">
        <v>32</v>
      </c>
      <c r="AH285" s="145" t="s">
        <v>33</v>
      </c>
      <c r="AI285" s="145" t="s">
        <v>34</v>
      </c>
      <c r="AJ285" s="145" t="s">
        <v>35</v>
      </c>
      <c r="AK285" s="145" t="s">
        <v>36</v>
      </c>
      <c r="AL285" s="145" t="s">
        <v>37</v>
      </c>
    </row>
    <row r="286" ht="14.5" spans="1:38">
      <c r="A286" s="144">
        <v>2019</v>
      </c>
      <c r="B286" s="144" t="s">
        <v>283</v>
      </c>
      <c r="C286" s="144" t="s">
        <v>141</v>
      </c>
      <c r="D286" s="145" t="s">
        <v>286</v>
      </c>
      <c r="E286" s="144">
        <f>F309*25%</f>
        <v>2.70047156845812</v>
      </c>
      <c r="F286" s="144">
        <f t="shared" ref="F286:AL286" si="94">G309*25%</f>
        <v>0</v>
      </c>
      <c r="G286" s="144">
        <f t="shared" si="94"/>
        <v>3.03412561201197</v>
      </c>
      <c r="H286" s="144">
        <f t="shared" si="94"/>
        <v>0.476962737941833</v>
      </c>
      <c r="I286" s="144">
        <f t="shared" si="94"/>
        <v>0.00409064974235645</v>
      </c>
      <c r="J286" s="144">
        <f t="shared" si="94"/>
        <v>4.6301135077302</v>
      </c>
      <c r="K286" s="144">
        <f t="shared" si="94"/>
        <v>1.90663375437732</v>
      </c>
      <c r="L286" s="144">
        <f t="shared" si="94"/>
        <v>167.552498082159</v>
      </c>
      <c r="M286" s="144">
        <f t="shared" si="94"/>
        <v>0.579445415374862</v>
      </c>
      <c r="N286" s="144">
        <f t="shared" si="94"/>
        <v>2.64382085354907</v>
      </c>
      <c r="O286" s="144">
        <f t="shared" si="94"/>
        <v>11.2538795555429</v>
      </c>
      <c r="P286" s="144">
        <f t="shared" si="94"/>
        <v>6.6423572524105</v>
      </c>
      <c r="Q286" s="144">
        <f t="shared" si="94"/>
        <v>0.224780310033883</v>
      </c>
      <c r="R286" s="144">
        <f t="shared" si="94"/>
        <v>3.0175573987723</v>
      </c>
      <c r="S286" s="144">
        <f t="shared" si="94"/>
        <v>0.0840570283394965</v>
      </c>
      <c r="T286" s="144">
        <f t="shared" si="94"/>
        <v>22.6664174429379</v>
      </c>
      <c r="U286" s="144">
        <f t="shared" si="94"/>
        <v>0.024654019511857</v>
      </c>
      <c r="V286" s="144">
        <f t="shared" si="94"/>
        <v>7.09546051638262</v>
      </c>
      <c r="W286" s="144">
        <f t="shared" si="94"/>
        <v>22.1794832455743</v>
      </c>
      <c r="X286" s="144">
        <f t="shared" si="94"/>
        <v>1.8551035254334</v>
      </c>
      <c r="Y286" s="144">
        <f t="shared" si="94"/>
        <v>0.147291672799524</v>
      </c>
      <c r="Z286" s="144">
        <f t="shared" si="94"/>
        <v>10.7367486821926</v>
      </c>
      <c r="AA286" s="144">
        <f t="shared" si="94"/>
        <v>2.32906895797145</v>
      </c>
      <c r="AB286" s="144">
        <f t="shared" si="94"/>
        <v>4.03549622432517</v>
      </c>
      <c r="AC286" s="144">
        <f t="shared" si="94"/>
        <v>16.6333708524932</v>
      </c>
      <c r="AD286" s="144">
        <f t="shared" si="94"/>
        <v>66.0476618761158</v>
      </c>
      <c r="AE286" s="144">
        <f t="shared" si="94"/>
        <v>0</v>
      </c>
      <c r="AF286" s="144">
        <f t="shared" si="94"/>
        <v>3.17356159859707</v>
      </c>
      <c r="AG286" s="144">
        <f t="shared" si="94"/>
        <v>7.830330737292</v>
      </c>
      <c r="AH286" s="144">
        <f t="shared" si="94"/>
        <v>5.264142175387</v>
      </c>
      <c r="AI286" s="144">
        <f t="shared" si="94"/>
        <v>0</v>
      </c>
      <c r="AJ286" s="144">
        <f t="shared" si="94"/>
        <v>0</v>
      </c>
      <c r="AK286" s="144">
        <f t="shared" si="94"/>
        <v>0</v>
      </c>
      <c r="AL286" s="144">
        <f t="shared" si="94"/>
        <v>0</v>
      </c>
    </row>
    <row r="287" ht="14.5" spans="1:38">
      <c r="A287" s="144">
        <v>2019</v>
      </c>
      <c r="B287" s="144" t="s">
        <v>283</v>
      </c>
      <c r="C287" s="144" t="s">
        <v>141</v>
      </c>
      <c r="D287" s="145" t="s">
        <v>287</v>
      </c>
      <c r="E287" s="144">
        <f>F309*15%</f>
        <v>1.62028294107487</v>
      </c>
      <c r="F287" s="144">
        <f t="shared" ref="F287:AL287" si="95">G309*15%</f>
        <v>0</v>
      </c>
      <c r="G287" s="144">
        <f t="shared" si="95"/>
        <v>1.82047536720718</v>
      </c>
      <c r="H287" s="144">
        <f t="shared" si="95"/>
        <v>0.286177642765099</v>
      </c>
      <c r="I287" s="144">
        <f t="shared" si="95"/>
        <v>0.00245438984541387</v>
      </c>
      <c r="J287" s="144">
        <f t="shared" si="95"/>
        <v>2.77806810463812</v>
      </c>
      <c r="K287" s="144">
        <f t="shared" si="95"/>
        <v>1.14398025262639</v>
      </c>
      <c r="L287" s="144">
        <f t="shared" si="95"/>
        <v>100.531498849296</v>
      </c>
      <c r="M287" s="144">
        <f t="shared" si="95"/>
        <v>0.347667249224917</v>
      </c>
      <c r="N287" s="144">
        <f t="shared" si="95"/>
        <v>1.58629251212944</v>
      </c>
      <c r="O287" s="144">
        <f t="shared" si="95"/>
        <v>6.75232773332572</v>
      </c>
      <c r="P287" s="144">
        <f t="shared" si="95"/>
        <v>3.9854143514463</v>
      </c>
      <c r="Q287" s="144">
        <f t="shared" si="95"/>
        <v>0.13486818602033</v>
      </c>
      <c r="R287" s="144">
        <f t="shared" si="95"/>
        <v>1.81053443926338</v>
      </c>
      <c r="S287" s="144">
        <f t="shared" si="95"/>
        <v>0.0504342170036979</v>
      </c>
      <c r="T287" s="144">
        <f t="shared" si="95"/>
        <v>13.5998504657627</v>
      </c>
      <c r="U287" s="144">
        <f t="shared" si="95"/>
        <v>0.0147924117071142</v>
      </c>
      <c r="V287" s="144">
        <f t="shared" si="95"/>
        <v>4.25727630982957</v>
      </c>
      <c r="W287" s="144">
        <f t="shared" si="95"/>
        <v>13.3076899473446</v>
      </c>
      <c r="X287" s="144">
        <f t="shared" si="95"/>
        <v>1.11306211526004</v>
      </c>
      <c r="Y287" s="144">
        <f t="shared" si="95"/>
        <v>0.0883750036797145</v>
      </c>
      <c r="Z287" s="144">
        <f t="shared" si="95"/>
        <v>6.44204920931559</v>
      </c>
      <c r="AA287" s="144">
        <f t="shared" si="95"/>
        <v>1.39744137478287</v>
      </c>
      <c r="AB287" s="144">
        <f t="shared" si="95"/>
        <v>2.4212977345951</v>
      </c>
      <c r="AC287" s="144">
        <f t="shared" si="95"/>
        <v>9.98002251149592</v>
      </c>
      <c r="AD287" s="144">
        <f t="shared" si="95"/>
        <v>39.6285971256695</v>
      </c>
      <c r="AE287" s="144">
        <f t="shared" si="95"/>
        <v>0</v>
      </c>
      <c r="AF287" s="144">
        <f t="shared" si="95"/>
        <v>1.90413695915824</v>
      </c>
      <c r="AG287" s="144">
        <f t="shared" si="95"/>
        <v>4.6981984423752</v>
      </c>
      <c r="AH287" s="144">
        <f t="shared" si="95"/>
        <v>3.1584853052322</v>
      </c>
      <c r="AI287" s="144">
        <f t="shared" si="95"/>
        <v>0</v>
      </c>
      <c r="AJ287" s="144">
        <f t="shared" si="95"/>
        <v>0</v>
      </c>
      <c r="AK287" s="144">
        <f t="shared" si="95"/>
        <v>0</v>
      </c>
      <c r="AL287" s="144">
        <f t="shared" si="95"/>
        <v>0</v>
      </c>
    </row>
    <row r="288" ht="14.5" spans="1:38">
      <c r="A288" s="144">
        <v>2019</v>
      </c>
      <c r="B288" s="144" t="s">
        <v>283</v>
      </c>
      <c r="C288" s="144" t="s">
        <v>141</v>
      </c>
      <c r="D288" s="145" t="s">
        <v>288</v>
      </c>
      <c r="E288" s="144">
        <f>F309*15%</f>
        <v>1.62028294107487</v>
      </c>
      <c r="F288" s="144">
        <f t="shared" ref="F288:AL288" si="96">G309*15%</f>
        <v>0</v>
      </c>
      <c r="G288" s="144">
        <f t="shared" si="96"/>
        <v>1.82047536720718</v>
      </c>
      <c r="H288" s="144">
        <f t="shared" si="96"/>
        <v>0.286177642765099</v>
      </c>
      <c r="I288" s="144">
        <f t="shared" si="96"/>
        <v>0.00245438984541387</v>
      </c>
      <c r="J288" s="144">
        <f t="shared" si="96"/>
        <v>2.77806810463812</v>
      </c>
      <c r="K288" s="144">
        <f t="shared" si="96"/>
        <v>1.14398025262639</v>
      </c>
      <c r="L288" s="144">
        <f t="shared" si="96"/>
        <v>100.531498849296</v>
      </c>
      <c r="M288" s="144">
        <f t="shared" si="96"/>
        <v>0.347667249224917</v>
      </c>
      <c r="N288" s="144">
        <f t="shared" si="96"/>
        <v>1.58629251212944</v>
      </c>
      <c r="O288" s="144">
        <f t="shared" si="96"/>
        <v>6.75232773332572</v>
      </c>
      <c r="P288" s="144">
        <f t="shared" si="96"/>
        <v>3.9854143514463</v>
      </c>
      <c r="Q288" s="144">
        <f t="shared" si="96"/>
        <v>0.13486818602033</v>
      </c>
      <c r="R288" s="144">
        <f t="shared" si="96"/>
        <v>1.81053443926338</v>
      </c>
      <c r="S288" s="144">
        <f t="shared" si="96"/>
        <v>0.0504342170036979</v>
      </c>
      <c r="T288" s="144">
        <f t="shared" si="96"/>
        <v>13.5998504657627</v>
      </c>
      <c r="U288" s="144">
        <f t="shared" si="96"/>
        <v>0.0147924117071142</v>
      </c>
      <c r="V288" s="144">
        <f t="shared" si="96"/>
        <v>4.25727630982957</v>
      </c>
      <c r="W288" s="144">
        <f t="shared" si="96"/>
        <v>13.3076899473446</v>
      </c>
      <c r="X288" s="144">
        <f t="shared" si="96"/>
        <v>1.11306211526004</v>
      </c>
      <c r="Y288" s="144">
        <f t="shared" si="96"/>
        <v>0.0883750036797145</v>
      </c>
      <c r="Z288" s="144">
        <f t="shared" si="96"/>
        <v>6.44204920931559</v>
      </c>
      <c r="AA288" s="144">
        <f t="shared" si="96"/>
        <v>1.39744137478287</v>
      </c>
      <c r="AB288" s="144">
        <f t="shared" si="96"/>
        <v>2.4212977345951</v>
      </c>
      <c r="AC288" s="144">
        <f t="shared" si="96"/>
        <v>9.98002251149592</v>
      </c>
      <c r="AD288" s="144">
        <f t="shared" si="96"/>
        <v>39.6285971256695</v>
      </c>
      <c r="AE288" s="144">
        <f t="shared" si="96"/>
        <v>0</v>
      </c>
      <c r="AF288" s="144">
        <f t="shared" si="96"/>
        <v>1.90413695915824</v>
      </c>
      <c r="AG288" s="144">
        <f t="shared" si="96"/>
        <v>4.6981984423752</v>
      </c>
      <c r="AH288" s="144">
        <f t="shared" si="96"/>
        <v>3.1584853052322</v>
      </c>
      <c r="AI288" s="144">
        <f t="shared" si="96"/>
        <v>0</v>
      </c>
      <c r="AJ288" s="144">
        <f t="shared" si="96"/>
        <v>0</v>
      </c>
      <c r="AK288" s="144">
        <f t="shared" si="96"/>
        <v>0</v>
      </c>
      <c r="AL288" s="144">
        <f t="shared" si="96"/>
        <v>0</v>
      </c>
    </row>
    <row r="289" ht="14.5" spans="1:38">
      <c r="A289" s="144">
        <v>2019</v>
      </c>
      <c r="B289" s="144" t="s">
        <v>283</v>
      </c>
      <c r="C289" s="144" t="s">
        <v>141</v>
      </c>
      <c r="D289" s="145" t="s">
        <v>289</v>
      </c>
      <c r="E289" s="144">
        <f>F309*15%</f>
        <v>1.62028294107487</v>
      </c>
      <c r="F289" s="144">
        <f t="shared" ref="F289:AL289" si="97">G309*15%</f>
        <v>0</v>
      </c>
      <c r="G289" s="144">
        <f t="shared" si="97"/>
        <v>1.82047536720718</v>
      </c>
      <c r="H289" s="144">
        <f t="shared" si="97"/>
        <v>0.286177642765099</v>
      </c>
      <c r="I289" s="144">
        <f t="shared" si="97"/>
        <v>0.00245438984541387</v>
      </c>
      <c r="J289" s="144">
        <f t="shared" si="97"/>
        <v>2.77806810463812</v>
      </c>
      <c r="K289" s="144">
        <f t="shared" si="97"/>
        <v>1.14398025262639</v>
      </c>
      <c r="L289" s="144">
        <f t="shared" si="97"/>
        <v>100.531498849296</v>
      </c>
      <c r="M289" s="144">
        <f t="shared" si="97"/>
        <v>0.347667249224917</v>
      </c>
      <c r="N289" s="144">
        <f t="shared" si="97"/>
        <v>1.58629251212944</v>
      </c>
      <c r="O289" s="144">
        <f t="shared" si="97"/>
        <v>6.75232773332572</v>
      </c>
      <c r="P289" s="144">
        <f t="shared" si="97"/>
        <v>3.9854143514463</v>
      </c>
      <c r="Q289" s="144">
        <f t="shared" si="97"/>
        <v>0.13486818602033</v>
      </c>
      <c r="R289" s="144">
        <f t="shared" si="97"/>
        <v>1.81053443926338</v>
      </c>
      <c r="S289" s="144">
        <f t="shared" si="97"/>
        <v>0.0504342170036979</v>
      </c>
      <c r="T289" s="144">
        <f t="shared" si="97"/>
        <v>13.5998504657627</v>
      </c>
      <c r="U289" s="144">
        <f t="shared" si="97"/>
        <v>0.0147924117071142</v>
      </c>
      <c r="V289" s="144">
        <f t="shared" si="97"/>
        <v>4.25727630982957</v>
      </c>
      <c r="W289" s="144">
        <f t="shared" si="97"/>
        <v>13.3076899473446</v>
      </c>
      <c r="X289" s="144">
        <f t="shared" si="97"/>
        <v>1.11306211526004</v>
      </c>
      <c r="Y289" s="144">
        <f t="shared" si="97"/>
        <v>0.0883750036797145</v>
      </c>
      <c r="Z289" s="144">
        <f t="shared" si="97"/>
        <v>6.44204920931559</v>
      </c>
      <c r="AA289" s="144">
        <f t="shared" si="97"/>
        <v>1.39744137478287</v>
      </c>
      <c r="AB289" s="144">
        <f t="shared" si="97"/>
        <v>2.4212977345951</v>
      </c>
      <c r="AC289" s="144">
        <f t="shared" si="97"/>
        <v>9.98002251149592</v>
      </c>
      <c r="AD289" s="144">
        <f t="shared" si="97"/>
        <v>39.6285971256695</v>
      </c>
      <c r="AE289" s="144">
        <f t="shared" si="97"/>
        <v>0</v>
      </c>
      <c r="AF289" s="144">
        <f t="shared" si="97"/>
        <v>1.90413695915824</v>
      </c>
      <c r="AG289" s="144">
        <f t="shared" si="97"/>
        <v>4.6981984423752</v>
      </c>
      <c r="AH289" s="144">
        <f t="shared" si="97"/>
        <v>3.1584853052322</v>
      </c>
      <c r="AI289" s="144">
        <f t="shared" si="97"/>
        <v>0</v>
      </c>
      <c r="AJ289" s="144">
        <f t="shared" si="97"/>
        <v>0</v>
      </c>
      <c r="AK289" s="144">
        <f t="shared" si="97"/>
        <v>0</v>
      </c>
      <c r="AL289" s="144">
        <f t="shared" si="97"/>
        <v>0</v>
      </c>
    </row>
    <row r="290" ht="14.5" spans="1:38">
      <c r="A290" s="144">
        <v>2019</v>
      </c>
      <c r="B290" s="144" t="s">
        <v>283</v>
      </c>
      <c r="C290" s="144" t="s">
        <v>141</v>
      </c>
      <c r="D290" s="145" t="s">
        <v>290</v>
      </c>
      <c r="E290" s="144">
        <f>F309*15%</f>
        <v>1.62028294107487</v>
      </c>
      <c r="F290" s="144">
        <f t="shared" ref="F290:AL290" si="98">G309*15%</f>
        <v>0</v>
      </c>
      <c r="G290" s="144">
        <f t="shared" si="98"/>
        <v>1.82047536720718</v>
      </c>
      <c r="H290" s="144">
        <f t="shared" si="98"/>
        <v>0.286177642765099</v>
      </c>
      <c r="I290" s="144">
        <f t="shared" si="98"/>
        <v>0.00245438984541387</v>
      </c>
      <c r="J290" s="144">
        <f t="shared" si="98"/>
        <v>2.77806810463812</v>
      </c>
      <c r="K290" s="144">
        <f t="shared" si="98"/>
        <v>1.14398025262639</v>
      </c>
      <c r="L290" s="144">
        <f t="shared" si="98"/>
        <v>100.531498849296</v>
      </c>
      <c r="M290" s="144">
        <f t="shared" si="98"/>
        <v>0.347667249224917</v>
      </c>
      <c r="N290" s="144">
        <f t="shared" si="98"/>
        <v>1.58629251212944</v>
      </c>
      <c r="O290" s="144">
        <f t="shared" si="98"/>
        <v>6.75232773332572</v>
      </c>
      <c r="P290" s="144">
        <f t="shared" si="98"/>
        <v>3.9854143514463</v>
      </c>
      <c r="Q290" s="144">
        <f t="shared" si="98"/>
        <v>0.13486818602033</v>
      </c>
      <c r="R290" s="144">
        <f t="shared" si="98"/>
        <v>1.81053443926338</v>
      </c>
      <c r="S290" s="144">
        <f t="shared" si="98"/>
        <v>0.0504342170036979</v>
      </c>
      <c r="T290" s="144">
        <f t="shared" si="98"/>
        <v>13.5998504657627</v>
      </c>
      <c r="U290" s="144">
        <f t="shared" si="98"/>
        <v>0.0147924117071142</v>
      </c>
      <c r="V290" s="144">
        <f t="shared" si="98"/>
        <v>4.25727630982957</v>
      </c>
      <c r="W290" s="144">
        <f t="shared" si="98"/>
        <v>13.3076899473446</v>
      </c>
      <c r="X290" s="144">
        <f t="shared" si="98"/>
        <v>1.11306211526004</v>
      </c>
      <c r="Y290" s="144">
        <f t="shared" si="98"/>
        <v>0.0883750036797145</v>
      </c>
      <c r="Z290" s="144">
        <f t="shared" si="98"/>
        <v>6.44204920931559</v>
      </c>
      <c r="AA290" s="144">
        <f t="shared" si="98"/>
        <v>1.39744137478287</v>
      </c>
      <c r="AB290" s="144">
        <f t="shared" si="98"/>
        <v>2.4212977345951</v>
      </c>
      <c r="AC290" s="144">
        <f t="shared" si="98"/>
        <v>9.98002251149592</v>
      </c>
      <c r="AD290" s="144">
        <f t="shared" si="98"/>
        <v>39.6285971256695</v>
      </c>
      <c r="AE290" s="144">
        <f t="shared" si="98"/>
        <v>0</v>
      </c>
      <c r="AF290" s="144">
        <f t="shared" si="98"/>
        <v>1.90413695915824</v>
      </c>
      <c r="AG290" s="144">
        <f t="shared" si="98"/>
        <v>4.6981984423752</v>
      </c>
      <c r="AH290" s="144">
        <f t="shared" si="98"/>
        <v>3.1584853052322</v>
      </c>
      <c r="AI290" s="144">
        <f t="shared" si="98"/>
        <v>0</v>
      </c>
      <c r="AJ290" s="144">
        <f t="shared" si="98"/>
        <v>0</v>
      </c>
      <c r="AK290" s="144">
        <f t="shared" si="98"/>
        <v>0</v>
      </c>
      <c r="AL290" s="144">
        <f t="shared" si="98"/>
        <v>0</v>
      </c>
    </row>
    <row r="291" ht="14.5" spans="1:38">
      <c r="A291" s="144">
        <v>2019</v>
      </c>
      <c r="B291" s="144" t="s">
        <v>283</v>
      </c>
      <c r="C291" s="144" t="s">
        <v>141</v>
      </c>
      <c r="D291" s="145" t="s">
        <v>291</v>
      </c>
      <c r="E291" s="144">
        <f>0</f>
        <v>0</v>
      </c>
      <c r="F291" s="144">
        <f t="shared" ref="F291:O291" si="99">0</f>
        <v>0</v>
      </c>
      <c r="G291" s="144">
        <f t="shared" si="99"/>
        <v>0</v>
      </c>
      <c r="H291" s="144">
        <f t="shared" si="99"/>
        <v>0</v>
      </c>
      <c r="I291" s="144">
        <f t="shared" si="99"/>
        <v>0</v>
      </c>
      <c r="J291" s="144">
        <f t="shared" si="99"/>
        <v>0</v>
      </c>
      <c r="K291" s="144">
        <f t="shared" si="99"/>
        <v>0</v>
      </c>
      <c r="L291" s="144">
        <f t="shared" si="99"/>
        <v>0</v>
      </c>
      <c r="M291" s="144">
        <f t="shared" si="99"/>
        <v>0</v>
      </c>
      <c r="N291" s="144">
        <f t="shared" si="99"/>
        <v>0</v>
      </c>
      <c r="O291" s="144">
        <f t="shared" si="99"/>
        <v>0</v>
      </c>
      <c r="P291" s="144">
        <f t="shared" ref="P291:Y291" si="100">0</f>
        <v>0</v>
      </c>
      <c r="Q291" s="144">
        <f t="shared" si="100"/>
        <v>0</v>
      </c>
      <c r="R291" s="144">
        <f t="shared" si="100"/>
        <v>0</v>
      </c>
      <c r="S291" s="144">
        <f t="shared" si="100"/>
        <v>0</v>
      </c>
      <c r="T291" s="144">
        <f t="shared" si="100"/>
        <v>0</v>
      </c>
      <c r="U291" s="144">
        <f t="shared" si="100"/>
        <v>0</v>
      </c>
      <c r="V291" s="144">
        <f t="shared" si="100"/>
        <v>0</v>
      </c>
      <c r="W291" s="144">
        <f t="shared" si="100"/>
        <v>0</v>
      </c>
      <c r="X291" s="144">
        <f t="shared" si="100"/>
        <v>0</v>
      </c>
      <c r="Y291" s="144">
        <f t="shared" si="100"/>
        <v>0</v>
      </c>
      <c r="Z291" s="144">
        <f t="shared" ref="Z291:AL291" si="101">0</f>
        <v>0</v>
      </c>
      <c r="AA291" s="144">
        <f t="shared" si="101"/>
        <v>0</v>
      </c>
      <c r="AB291" s="144">
        <f t="shared" si="101"/>
        <v>0</v>
      </c>
      <c r="AC291" s="144">
        <f t="shared" si="101"/>
        <v>0</v>
      </c>
      <c r="AD291" s="144">
        <f t="shared" si="101"/>
        <v>0</v>
      </c>
      <c r="AE291" s="144">
        <f t="shared" si="101"/>
        <v>0</v>
      </c>
      <c r="AF291" s="144">
        <f t="shared" si="101"/>
        <v>0</v>
      </c>
      <c r="AG291" s="144">
        <f t="shared" si="101"/>
        <v>0</v>
      </c>
      <c r="AH291" s="144">
        <f t="shared" si="101"/>
        <v>0</v>
      </c>
      <c r="AI291" s="144">
        <f t="shared" si="101"/>
        <v>0</v>
      </c>
      <c r="AJ291" s="144">
        <f t="shared" si="101"/>
        <v>0</v>
      </c>
      <c r="AK291" s="144">
        <f t="shared" si="101"/>
        <v>0</v>
      </c>
      <c r="AL291" s="144">
        <f t="shared" si="101"/>
        <v>0</v>
      </c>
    </row>
    <row r="292" ht="14.5" spans="1:38">
      <c r="A292" s="144">
        <v>2019</v>
      </c>
      <c r="B292" s="144" t="s">
        <v>283</v>
      </c>
      <c r="C292" s="144" t="s">
        <v>141</v>
      </c>
      <c r="D292" s="145" t="s">
        <v>292</v>
      </c>
      <c r="E292" s="144">
        <f>0</f>
        <v>0</v>
      </c>
      <c r="F292" s="144">
        <f t="shared" ref="F292:O292" si="102">0</f>
        <v>0</v>
      </c>
      <c r="G292" s="144">
        <f t="shared" si="102"/>
        <v>0</v>
      </c>
      <c r="H292" s="144">
        <f t="shared" si="102"/>
        <v>0</v>
      </c>
      <c r="I292" s="144">
        <f t="shared" si="102"/>
        <v>0</v>
      </c>
      <c r="J292" s="144">
        <f t="shared" si="102"/>
        <v>0</v>
      </c>
      <c r="K292" s="144">
        <f t="shared" si="102"/>
        <v>0</v>
      </c>
      <c r="L292" s="144">
        <f t="shared" si="102"/>
        <v>0</v>
      </c>
      <c r="M292" s="144">
        <f t="shared" si="102"/>
        <v>0</v>
      </c>
      <c r="N292" s="144">
        <f t="shared" si="102"/>
        <v>0</v>
      </c>
      <c r="O292" s="144">
        <f t="shared" si="102"/>
        <v>0</v>
      </c>
      <c r="P292" s="144">
        <f t="shared" ref="P292:Y292" si="103">0</f>
        <v>0</v>
      </c>
      <c r="Q292" s="144">
        <f t="shared" si="103"/>
        <v>0</v>
      </c>
      <c r="R292" s="144">
        <f t="shared" si="103"/>
        <v>0</v>
      </c>
      <c r="S292" s="144">
        <f t="shared" si="103"/>
        <v>0</v>
      </c>
      <c r="T292" s="144">
        <f t="shared" si="103"/>
        <v>0</v>
      </c>
      <c r="U292" s="144">
        <f t="shared" si="103"/>
        <v>0</v>
      </c>
      <c r="V292" s="144">
        <f t="shared" si="103"/>
        <v>0</v>
      </c>
      <c r="W292" s="144">
        <f t="shared" si="103"/>
        <v>0</v>
      </c>
      <c r="X292" s="144">
        <f t="shared" si="103"/>
        <v>0</v>
      </c>
      <c r="Y292" s="144">
        <f t="shared" si="103"/>
        <v>0</v>
      </c>
      <c r="Z292" s="144">
        <f t="shared" ref="Z292:AL292" si="104">0</f>
        <v>0</v>
      </c>
      <c r="AA292" s="144">
        <f t="shared" si="104"/>
        <v>0</v>
      </c>
      <c r="AB292" s="144">
        <f t="shared" si="104"/>
        <v>0</v>
      </c>
      <c r="AC292" s="144">
        <f t="shared" si="104"/>
        <v>0</v>
      </c>
      <c r="AD292" s="144">
        <f t="shared" si="104"/>
        <v>0</v>
      </c>
      <c r="AE292" s="144">
        <f t="shared" si="104"/>
        <v>0</v>
      </c>
      <c r="AF292" s="144">
        <f t="shared" si="104"/>
        <v>0</v>
      </c>
      <c r="AG292" s="144">
        <f t="shared" si="104"/>
        <v>0</v>
      </c>
      <c r="AH292" s="144">
        <f t="shared" si="104"/>
        <v>0</v>
      </c>
      <c r="AI292" s="144">
        <f t="shared" si="104"/>
        <v>0</v>
      </c>
      <c r="AJ292" s="144">
        <f t="shared" si="104"/>
        <v>0</v>
      </c>
      <c r="AK292" s="144">
        <f t="shared" si="104"/>
        <v>0</v>
      </c>
      <c r="AL292" s="144">
        <f t="shared" si="104"/>
        <v>0</v>
      </c>
    </row>
    <row r="293" ht="14.5" spans="1:38">
      <c r="A293" s="144">
        <v>2019</v>
      </c>
      <c r="B293" s="144" t="s">
        <v>283</v>
      </c>
      <c r="C293" s="144" t="s">
        <v>141</v>
      </c>
      <c r="D293" s="145" t="s">
        <v>293</v>
      </c>
      <c r="E293" s="144">
        <f>E290</f>
        <v>1.62028294107487</v>
      </c>
      <c r="F293" s="144">
        <f t="shared" ref="F293:AL293" si="105">F290</f>
        <v>0</v>
      </c>
      <c r="G293" s="144">
        <f t="shared" si="105"/>
        <v>1.82047536720718</v>
      </c>
      <c r="H293" s="144">
        <f t="shared" si="105"/>
        <v>0.286177642765099</v>
      </c>
      <c r="I293" s="144">
        <f t="shared" si="105"/>
        <v>0.00245438984541387</v>
      </c>
      <c r="J293" s="144">
        <f t="shared" si="105"/>
        <v>2.77806810463812</v>
      </c>
      <c r="K293" s="144">
        <f t="shared" si="105"/>
        <v>1.14398025262639</v>
      </c>
      <c r="L293" s="144">
        <f t="shared" si="105"/>
        <v>100.531498849296</v>
      </c>
      <c r="M293" s="144">
        <f t="shared" si="105"/>
        <v>0.347667249224917</v>
      </c>
      <c r="N293" s="144">
        <f t="shared" si="105"/>
        <v>1.58629251212944</v>
      </c>
      <c r="O293" s="144">
        <f t="shared" si="105"/>
        <v>6.75232773332572</v>
      </c>
      <c r="P293" s="144">
        <f t="shared" si="105"/>
        <v>3.9854143514463</v>
      </c>
      <c r="Q293" s="144">
        <f t="shared" si="105"/>
        <v>0.13486818602033</v>
      </c>
      <c r="R293" s="144">
        <f t="shared" si="105"/>
        <v>1.81053443926338</v>
      </c>
      <c r="S293" s="144">
        <f t="shared" si="105"/>
        <v>0.0504342170036979</v>
      </c>
      <c r="T293" s="144">
        <f t="shared" si="105"/>
        <v>13.5998504657627</v>
      </c>
      <c r="U293" s="144">
        <f t="shared" si="105"/>
        <v>0.0147924117071142</v>
      </c>
      <c r="V293" s="144">
        <f t="shared" si="105"/>
        <v>4.25727630982957</v>
      </c>
      <c r="W293" s="144">
        <f t="shared" si="105"/>
        <v>13.3076899473446</v>
      </c>
      <c r="X293" s="144">
        <f t="shared" si="105"/>
        <v>1.11306211526004</v>
      </c>
      <c r="Y293" s="144">
        <f t="shared" si="105"/>
        <v>0.0883750036797145</v>
      </c>
      <c r="Z293" s="144">
        <f t="shared" si="105"/>
        <v>6.44204920931559</v>
      </c>
      <c r="AA293" s="144">
        <f t="shared" si="105"/>
        <v>1.39744137478287</v>
      </c>
      <c r="AB293" s="144">
        <f t="shared" si="105"/>
        <v>2.4212977345951</v>
      </c>
      <c r="AC293" s="144">
        <f t="shared" si="105"/>
        <v>9.98002251149592</v>
      </c>
      <c r="AD293" s="144">
        <f t="shared" si="105"/>
        <v>39.6285971256695</v>
      </c>
      <c r="AE293" s="144">
        <f t="shared" si="105"/>
        <v>0</v>
      </c>
      <c r="AF293" s="144">
        <f t="shared" si="105"/>
        <v>1.90413695915824</v>
      </c>
      <c r="AG293" s="144">
        <f t="shared" si="105"/>
        <v>4.6981984423752</v>
      </c>
      <c r="AH293" s="144">
        <f t="shared" si="105"/>
        <v>3.1584853052322</v>
      </c>
      <c r="AI293" s="144">
        <f t="shared" si="105"/>
        <v>0</v>
      </c>
      <c r="AJ293" s="144">
        <f t="shared" si="105"/>
        <v>0</v>
      </c>
      <c r="AK293" s="144">
        <f t="shared" si="105"/>
        <v>0</v>
      </c>
      <c r="AL293" s="144">
        <f t="shared" si="105"/>
        <v>0</v>
      </c>
    </row>
    <row r="305" spans="5:39">
      <c r="F305" t="s">
        <v>294</v>
      </c>
    </row>
    <row r="307" ht="15.5" spans="5:39">
      <c r="E307" s="146"/>
      <c r="F307" s="146" t="s">
        <v>3</v>
      </c>
      <c r="G307" s="146" t="s">
        <v>5</v>
      </c>
      <c r="H307" s="146" t="s">
        <v>6</v>
      </c>
      <c r="I307" s="146" t="s">
        <v>7</v>
      </c>
      <c r="J307" s="146" t="s">
        <v>8</v>
      </c>
      <c r="K307" s="146" t="s">
        <v>9</v>
      </c>
      <c r="L307" s="146" t="s">
        <v>10</v>
      </c>
      <c r="M307" s="146" t="s">
        <v>11</v>
      </c>
      <c r="N307" s="146" t="s">
        <v>12</v>
      </c>
      <c r="O307" s="146" t="s">
        <v>13</v>
      </c>
      <c r="P307" s="146" t="s">
        <v>14</v>
      </c>
      <c r="Q307" s="146" t="s">
        <v>15</v>
      </c>
      <c r="R307" s="146" t="s">
        <v>16</v>
      </c>
      <c r="S307" s="146" t="s">
        <v>17</v>
      </c>
      <c r="T307" s="146" t="s">
        <v>18</v>
      </c>
      <c r="U307" s="146" t="s">
        <v>19</v>
      </c>
      <c r="V307" s="146" t="s">
        <v>20</v>
      </c>
      <c r="W307" s="146" t="s">
        <v>21</v>
      </c>
      <c r="X307" s="146" t="s">
        <v>22</v>
      </c>
      <c r="Y307" s="146" t="s">
        <v>23</v>
      </c>
      <c r="Z307" s="146" t="s">
        <v>24</v>
      </c>
      <c r="AA307" s="146" t="s">
        <v>25</v>
      </c>
      <c r="AB307" s="146" t="s">
        <v>26</v>
      </c>
      <c r="AC307" s="146" t="s">
        <v>27</v>
      </c>
      <c r="AD307" s="146" t="s">
        <v>28</v>
      </c>
      <c r="AE307" s="146" t="s">
        <v>29</v>
      </c>
      <c r="AF307" s="146" t="s">
        <v>30</v>
      </c>
      <c r="AG307" s="146" t="s">
        <v>31</v>
      </c>
      <c r="AH307" s="146" t="s">
        <v>32</v>
      </c>
      <c r="AI307" s="146" t="s">
        <v>33</v>
      </c>
      <c r="AJ307" s="145" t="s">
        <v>34</v>
      </c>
      <c r="AK307" s="145" t="s">
        <v>35</v>
      </c>
      <c r="AL307" s="145" t="s">
        <v>36</v>
      </c>
      <c r="AM307" s="145" t="s">
        <v>37</v>
      </c>
    </row>
    <row r="308" ht="15.5" spans="5:39">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c r="AA308" s="146"/>
      <c r="AB308" s="146"/>
      <c r="AC308" s="146"/>
      <c r="AD308" s="146"/>
      <c r="AE308" s="146"/>
      <c r="AF308" s="146"/>
      <c r="AG308" s="146"/>
      <c r="AH308" s="146"/>
      <c r="AI308" s="146"/>
    </row>
    <row r="309" ht="15.5" spans="5:39">
      <c r="E309" s="146"/>
      <c r="F309" s="146">
        <v>10.8018862738325</v>
      </c>
      <c r="G309" s="146">
        <v>0</v>
      </c>
      <c r="H309" s="146">
        <v>12.1365024480479</v>
      </c>
      <c r="I309" s="146">
        <v>1.90785095176733</v>
      </c>
      <c r="J309" s="146">
        <v>0.0163625989694258</v>
      </c>
      <c r="K309" s="146">
        <v>18.5204540309208</v>
      </c>
      <c r="L309" s="146">
        <v>7.62653501750928</v>
      </c>
      <c r="M309" s="146">
        <v>670.209992328637</v>
      </c>
      <c r="N309" s="146">
        <v>2.31778166149945</v>
      </c>
      <c r="O309" s="146">
        <v>10.5752834141963</v>
      </c>
      <c r="P309" s="146">
        <v>45.0155182221715</v>
      </c>
      <c r="Q309" s="146">
        <v>26.569429009642</v>
      </c>
      <c r="R309" s="146">
        <v>0.899121240135531</v>
      </c>
      <c r="S309" s="146">
        <v>12.0702295950892</v>
      </c>
      <c r="T309" s="146">
        <v>0.336228113357986</v>
      </c>
      <c r="U309" s="146">
        <v>90.6656697717516</v>
      </c>
      <c r="V309" s="146">
        <v>0.0986160780474282</v>
      </c>
      <c r="W309" s="146">
        <v>28.3818420655305</v>
      </c>
      <c r="X309" s="146">
        <v>88.7179329822972</v>
      </c>
      <c r="Y309" s="146">
        <v>7.42041410173359</v>
      </c>
      <c r="Z309" s="146">
        <v>0.589166691198097</v>
      </c>
      <c r="AA309" s="146">
        <v>42.9469947287706</v>
      </c>
      <c r="AB309" s="146">
        <v>9.31627583188582</v>
      </c>
      <c r="AC309" s="146">
        <v>16.1419848973007</v>
      </c>
      <c r="AD309" s="146">
        <v>66.5334834099728</v>
      </c>
      <c r="AE309" s="146">
        <v>264.190647504463</v>
      </c>
      <c r="AF309" s="146">
        <v>0</v>
      </c>
      <c r="AG309" s="146">
        <v>12.6942463943883</v>
      </c>
      <c r="AH309" s="146">
        <v>31.321322949168</v>
      </c>
      <c r="AI309" s="146">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80"/>
    <col min="12" max="16" width="5.28181818181818" style="80" customWidth="1"/>
    <col min="17" max="28" width="5.28181818181818" customWidth="1"/>
  </cols>
  <sheetData>
    <row r="1" spans="1:47">
      <c r="A1" t="s">
        <v>42</v>
      </c>
      <c r="B1" t="s">
        <v>133</v>
      </c>
      <c r="C1" t="s">
        <v>65</v>
      </c>
      <c r="D1" t="s">
        <v>109</v>
      </c>
      <c r="E1" t="s">
        <v>295</v>
      </c>
      <c r="F1" t="s">
        <v>296</v>
      </c>
      <c r="G1" t="s">
        <v>41</v>
      </c>
      <c r="H1" s="80" t="s">
        <v>297</v>
      </c>
      <c r="I1" s="80" t="s">
        <v>298</v>
      </c>
      <c r="J1" s="80" t="s">
        <v>299</v>
      </c>
      <c r="K1" s="80" t="s">
        <v>300</v>
      </c>
      <c r="L1" s="80" t="s">
        <v>3</v>
      </c>
      <c r="M1" s="80" t="s">
        <v>5</v>
      </c>
      <c r="N1" s="80" t="s">
        <v>6</v>
      </c>
      <c r="O1" s="80" t="s">
        <v>7</v>
      </c>
      <c r="P1" s="8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80" t="s">
        <v>302</v>
      </c>
      <c r="I2" s="80" t="s">
        <v>302</v>
      </c>
      <c r="J2" s="80" t="s">
        <v>302</v>
      </c>
      <c r="K2" s="80" t="s">
        <v>302</v>
      </c>
      <c r="L2" s="80">
        <v>7</v>
      </c>
      <c r="M2" s="80">
        <v>7</v>
      </c>
      <c r="N2" s="80">
        <v>7</v>
      </c>
      <c r="O2" s="80">
        <v>7</v>
      </c>
      <c r="P2" s="8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80" t="s">
        <v>302</v>
      </c>
      <c r="I3" s="80" t="s">
        <v>302</v>
      </c>
      <c r="J3" s="80" t="s">
        <v>302</v>
      </c>
      <c r="K3" s="80" t="s">
        <v>302</v>
      </c>
      <c r="L3" s="80">
        <v>15</v>
      </c>
      <c r="M3" s="80">
        <v>15</v>
      </c>
      <c r="N3" s="80">
        <v>15</v>
      </c>
      <c r="O3" s="80">
        <v>15</v>
      </c>
      <c r="P3" s="8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80" t="s">
        <v>302</v>
      </c>
      <c r="I4" s="80" t="s">
        <v>302</v>
      </c>
      <c r="J4" s="80" t="s">
        <v>302</v>
      </c>
      <c r="K4" s="80" t="s">
        <v>302</v>
      </c>
      <c r="L4" s="80">
        <v>15</v>
      </c>
      <c r="M4" s="80">
        <v>15</v>
      </c>
      <c r="N4" s="80">
        <v>15</v>
      </c>
      <c r="O4" s="80">
        <v>15</v>
      </c>
      <c r="P4" s="8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80" t="s">
        <v>302</v>
      </c>
      <c r="I5" s="80" t="s">
        <v>302</v>
      </c>
      <c r="J5" s="80" t="s">
        <v>302</v>
      </c>
      <c r="K5" s="80" t="s">
        <v>302</v>
      </c>
      <c r="L5" s="80">
        <v>15</v>
      </c>
      <c r="M5" s="80">
        <v>15</v>
      </c>
      <c r="N5" s="80">
        <v>15</v>
      </c>
      <c r="O5" s="80">
        <v>15</v>
      </c>
      <c r="P5" s="8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80" t="s">
        <v>302</v>
      </c>
      <c r="I6" s="80" t="s">
        <v>302</v>
      </c>
      <c r="J6" s="80" t="s">
        <v>302</v>
      </c>
      <c r="K6" s="80" t="s">
        <v>302</v>
      </c>
      <c r="L6" s="80">
        <v>35</v>
      </c>
      <c r="M6" s="80">
        <v>35</v>
      </c>
      <c r="N6" s="80">
        <v>35</v>
      </c>
      <c r="O6" s="80">
        <v>35</v>
      </c>
      <c r="P6" s="8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80" t="s">
        <v>302</v>
      </c>
      <c r="I7" s="80" t="s">
        <v>302</v>
      </c>
      <c r="J7" s="80" t="s">
        <v>302</v>
      </c>
      <c r="K7" s="80" t="s">
        <v>302</v>
      </c>
      <c r="L7" s="80">
        <v>35</v>
      </c>
      <c r="M7" s="80">
        <v>35</v>
      </c>
      <c r="N7" s="80">
        <v>35</v>
      </c>
      <c r="O7" s="80">
        <v>35</v>
      </c>
      <c r="P7" s="8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80" t="s">
        <v>302</v>
      </c>
      <c r="I8" s="80" t="s">
        <v>302</v>
      </c>
      <c r="J8" s="80" t="s">
        <v>302</v>
      </c>
      <c r="K8" s="80" t="s">
        <v>302</v>
      </c>
      <c r="L8" s="80">
        <v>35</v>
      </c>
      <c r="M8" s="80">
        <v>35</v>
      </c>
      <c r="N8" s="80">
        <v>35</v>
      </c>
      <c r="O8" s="80">
        <v>35</v>
      </c>
      <c r="P8" s="8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80" t="s">
        <v>302</v>
      </c>
      <c r="I9" s="80" t="s">
        <v>302</v>
      </c>
      <c r="J9" s="80" t="s">
        <v>302</v>
      </c>
      <c r="K9" s="80" t="s">
        <v>302</v>
      </c>
      <c r="L9" s="80">
        <v>35</v>
      </c>
      <c r="M9" s="80">
        <v>35</v>
      </c>
      <c r="N9" s="80">
        <v>35</v>
      </c>
      <c r="O9" s="80">
        <v>35</v>
      </c>
      <c r="P9" s="8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80" t="s">
        <v>302</v>
      </c>
      <c r="I10" s="80" t="s">
        <v>302</v>
      </c>
      <c r="J10" s="80" t="s">
        <v>302</v>
      </c>
      <c r="K10" s="80" t="s">
        <v>302</v>
      </c>
      <c r="L10" s="80">
        <v>35</v>
      </c>
      <c r="M10" s="80">
        <v>35</v>
      </c>
      <c r="N10" s="80">
        <v>35</v>
      </c>
      <c r="O10" s="80">
        <v>35</v>
      </c>
      <c r="P10" s="8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80" t="s">
        <v>302</v>
      </c>
      <c r="I11" s="80" t="s">
        <v>302</v>
      </c>
      <c r="J11" s="80" t="s">
        <v>302</v>
      </c>
      <c r="K11" s="80" t="s">
        <v>302</v>
      </c>
      <c r="L11" s="80">
        <v>35</v>
      </c>
      <c r="M11" s="80">
        <v>35</v>
      </c>
      <c r="N11" s="80">
        <v>35</v>
      </c>
      <c r="O11" s="80">
        <v>35</v>
      </c>
      <c r="P11" s="8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80" t="s">
        <v>302</v>
      </c>
      <c r="I12" s="80" t="s">
        <v>302</v>
      </c>
      <c r="J12" s="80" t="s">
        <v>302</v>
      </c>
      <c r="K12" s="80" t="s">
        <v>302</v>
      </c>
      <c r="L12" s="80">
        <v>35</v>
      </c>
      <c r="M12" s="80">
        <v>35</v>
      </c>
      <c r="N12" s="80">
        <v>35</v>
      </c>
      <c r="O12" s="80">
        <v>35</v>
      </c>
      <c r="P12" s="8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80" t="s">
        <v>302</v>
      </c>
      <c r="I13" s="80" t="s">
        <v>302</v>
      </c>
      <c r="J13" s="80" t="s">
        <v>302</v>
      </c>
      <c r="K13" s="80" t="s">
        <v>302</v>
      </c>
      <c r="L13" s="80">
        <v>12</v>
      </c>
      <c r="M13" s="80">
        <v>12</v>
      </c>
      <c r="N13" s="80">
        <v>12</v>
      </c>
      <c r="O13" s="80">
        <v>12</v>
      </c>
      <c r="P13" s="8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80" t="s">
        <v>302</v>
      </c>
      <c r="I14" s="80" t="s">
        <v>302</v>
      </c>
      <c r="J14" s="80" t="s">
        <v>302</v>
      </c>
      <c r="K14" s="80" t="s">
        <v>302</v>
      </c>
      <c r="L14" s="80">
        <v>12</v>
      </c>
      <c r="M14" s="80">
        <v>12</v>
      </c>
      <c r="N14" s="80">
        <v>12</v>
      </c>
      <c r="O14" s="80">
        <v>12</v>
      </c>
      <c r="P14" s="8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80" t="s">
        <v>302</v>
      </c>
      <c r="I15" s="80" t="s">
        <v>302</v>
      </c>
      <c r="J15" s="80" t="s">
        <v>302</v>
      </c>
      <c r="K15" s="80" t="s">
        <v>302</v>
      </c>
      <c r="L15" s="80">
        <v>12</v>
      </c>
      <c r="M15" s="80">
        <v>12</v>
      </c>
      <c r="N15" s="80">
        <v>12</v>
      </c>
      <c r="O15" s="80">
        <v>12</v>
      </c>
      <c r="P15" s="8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80" t="s">
        <v>302</v>
      </c>
      <c r="I16" s="80" t="s">
        <v>302</v>
      </c>
      <c r="J16" s="80" t="s">
        <v>302</v>
      </c>
      <c r="K16" s="80" t="s">
        <v>302</v>
      </c>
      <c r="L16" s="80">
        <v>12</v>
      </c>
      <c r="M16" s="80">
        <v>12</v>
      </c>
      <c r="N16" s="80">
        <v>12</v>
      </c>
      <c r="O16" s="80">
        <v>12</v>
      </c>
      <c r="P16" s="8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80" t="s">
        <v>302</v>
      </c>
      <c r="I17" s="80" t="s">
        <v>302</v>
      </c>
      <c r="J17" s="80" t="s">
        <v>302</v>
      </c>
      <c r="K17" s="80" t="s">
        <v>302</v>
      </c>
      <c r="L17" s="80">
        <v>12</v>
      </c>
      <c r="M17" s="80">
        <v>12</v>
      </c>
      <c r="N17" s="80">
        <v>12</v>
      </c>
      <c r="O17" s="80">
        <v>12</v>
      </c>
      <c r="P17" s="8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80" t="s">
        <v>302</v>
      </c>
      <c r="I18" s="80" t="s">
        <v>302</v>
      </c>
      <c r="J18" s="80" t="s">
        <v>302</v>
      </c>
      <c r="K18" s="80" t="s">
        <v>302</v>
      </c>
      <c r="L18" s="80">
        <v>12</v>
      </c>
      <c r="M18" s="80">
        <v>12</v>
      </c>
      <c r="N18" s="80">
        <v>12</v>
      </c>
      <c r="O18" s="80">
        <v>12</v>
      </c>
      <c r="P18" s="8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80" t="s">
        <v>302</v>
      </c>
      <c r="I19" s="80" t="s">
        <v>302</v>
      </c>
      <c r="J19" s="80" t="s">
        <v>302</v>
      </c>
      <c r="K19" s="80" t="s">
        <v>302</v>
      </c>
      <c r="L19" s="80">
        <v>12</v>
      </c>
      <c r="M19" s="80">
        <v>12</v>
      </c>
      <c r="N19" s="80">
        <v>12</v>
      </c>
      <c r="O19" s="80">
        <v>12</v>
      </c>
      <c r="P19" s="8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80" t="s">
        <v>302</v>
      </c>
      <c r="I20" s="80" t="s">
        <v>302</v>
      </c>
      <c r="J20" s="80" t="s">
        <v>302</v>
      </c>
      <c r="K20" s="80" t="s">
        <v>302</v>
      </c>
      <c r="L20" s="80">
        <v>100</v>
      </c>
      <c r="M20" s="80">
        <v>100</v>
      </c>
      <c r="N20" s="80">
        <v>100</v>
      </c>
      <c r="O20" s="80">
        <v>100</v>
      </c>
      <c r="P20" s="8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80" t="s">
        <v>302</v>
      </c>
      <c r="I21" s="80" t="s">
        <v>302</v>
      </c>
      <c r="J21" s="80" t="s">
        <v>302</v>
      </c>
      <c r="K21" s="80" t="s">
        <v>302</v>
      </c>
      <c r="L21" s="80">
        <v>100</v>
      </c>
      <c r="M21" s="80">
        <v>100</v>
      </c>
      <c r="N21" s="80">
        <v>100</v>
      </c>
      <c r="O21" s="80">
        <v>100</v>
      </c>
      <c r="P21" s="8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80" t="s">
        <v>302</v>
      </c>
      <c r="I22" s="80" t="s">
        <v>302</v>
      </c>
      <c r="J22" s="80" t="s">
        <v>302</v>
      </c>
      <c r="K22" s="80" t="s">
        <v>302</v>
      </c>
      <c r="L22" s="80">
        <v>100</v>
      </c>
      <c r="M22" s="80">
        <v>100</v>
      </c>
      <c r="N22" s="80">
        <v>100</v>
      </c>
      <c r="O22" s="80">
        <v>100</v>
      </c>
      <c r="P22" s="8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80" t="s">
        <v>302</v>
      </c>
      <c r="I23" s="80" t="s">
        <v>302</v>
      </c>
      <c r="J23" s="80" t="s">
        <v>302</v>
      </c>
      <c r="K23" s="80" t="s">
        <v>302</v>
      </c>
      <c r="L23" s="80">
        <v>40</v>
      </c>
      <c r="M23" s="80">
        <v>40</v>
      </c>
      <c r="N23" s="80">
        <v>40</v>
      </c>
      <c r="O23" s="80">
        <v>40</v>
      </c>
      <c r="P23" s="8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80" t="s">
        <v>302</v>
      </c>
      <c r="I24" s="80" t="s">
        <v>302</v>
      </c>
      <c r="J24" s="80" t="s">
        <v>302</v>
      </c>
      <c r="K24" s="80" t="s">
        <v>302</v>
      </c>
      <c r="L24" s="80">
        <v>40</v>
      </c>
      <c r="M24" s="80">
        <v>40</v>
      </c>
      <c r="N24" s="80">
        <v>40</v>
      </c>
      <c r="O24" s="80">
        <v>40</v>
      </c>
      <c r="P24" s="8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80" t="s">
        <v>302</v>
      </c>
      <c r="I25" s="80" t="s">
        <v>302</v>
      </c>
      <c r="J25" s="80" t="s">
        <v>302</v>
      </c>
      <c r="K25" s="80" t="s">
        <v>302</v>
      </c>
      <c r="L25" s="80">
        <v>40</v>
      </c>
      <c r="M25" s="80">
        <v>40</v>
      </c>
      <c r="N25" s="80">
        <v>40</v>
      </c>
      <c r="O25" s="80">
        <v>40</v>
      </c>
      <c r="P25" s="8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80" t="s">
        <v>302</v>
      </c>
      <c r="I26" s="80" t="s">
        <v>302</v>
      </c>
      <c r="J26" s="80" t="s">
        <v>302</v>
      </c>
      <c r="K26" s="80" t="s">
        <v>302</v>
      </c>
      <c r="L26" s="80">
        <v>40</v>
      </c>
      <c r="M26" s="80">
        <v>40</v>
      </c>
      <c r="N26" s="80">
        <v>40</v>
      </c>
      <c r="O26" s="80">
        <v>40</v>
      </c>
      <c r="P26" s="8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80" t="s">
        <v>302</v>
      </c>
      <c r="I27" s="80" t="s">
        <v>302</v>
      </c>
      <c r="J27" s="80" t="s">
        <v>302</v>
      </c>
      <c r="K27" s="80" t="s">
        <v>302</v>
      </c>
      <c r="L27" s="80">
        <v>40</v>
      </c>
      <c r="M27" s="80">
        <v>40</v>
      </c>
      <c r="N27" s="80">
        <v>40</v>
      </c>
      <c r="O27" s="80">
        <v>40</v>
      </c>
      <c r="P27" s="8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80" t="s">
        <v>302</v>
      </c>
      <c r="I28" s="80" t="s">
        <v>302</v>
      </c>
      <c r="J28" s="80" t="s">
        <v>302</v>
      </c>
      <c r="K28" s="80" t="s">
        <v>302</v>
      </c>
      <c r="L28" s="80">
        <v>40</v>
      </c>
      <c r="M28" s="80">
        <v>40</v>
      </c>
      <c r="N28" s="80">
        <v>40</v>
      </c>
      <c r="O28" s="80">
        <v>40</v>
      </c>
      <c r="P28" s="8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80" t="s">
        <v>302</v>
      </c>
      <c r="I29" s="80" t="s">
        <v>302</v>
      </c>
      <c r="J29" s="80" t="s">
        <v>302</v>
      </c>
      <c r="K29" s="80" t="s">
        <v>302</v>
      </c>
      <c r="L29" s="80">
        <v>0.99</v>
      </c>
      <c r="M29" s="80">
        <v>0.99</v>
      </c>
      <c r="N29" s="80">
        <v>0.99</v>
      </c>
      <c r="O29" s="80">
        <v>0.99</v>
      </c>
      <c r="P29" s="8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80" t="s">
        <v>302</v>
      </c>
      <c r="I30" s="80" t="s">
        <v>302</v>
      </c>
      <c r="J30" s="80" t="s">
        <v>302</v>
      </c>
      <c r="K30" s="80" t="s">
        <v>302</v>
      </c>
      <c r="L30" s="80">
        <v>0.58697</v>
      </c>
      <c r="M30" s="80">
        <v>0.58697</v>
      </c>
      <c r="N30" s="80">
        <v>0.58697</v>
      </c>
      <c r="O30" s="80">
        <v>0.58697</v>
      </c>
      <c r="P30" s="8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80" t="s">
        <v>302</v>
      </c>
      <c r="I31" s="80" t="s">
        <v>302</v>
      </c>
      <c r="J31" s="80" t="s">
        <v>302</v>
      </c>
      <c r="K31" s="80" t="s">
        <v>302</v>
      </c>
      <c r="L31" s="80">
        <v>0.58697</v>
      </c>
      <c r="M31" s="80">
        <v>0.58697</v>
      </c>
      <c r="N31" s="80">
        <v>0.58697</v>
      </c>
      <c r="O31" s="80">
        <v>0.58697</v>
      </c>
      <c r="P31" s="8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80" t="s">
        <v>302</v>
      </c>
      <c r="I32" s="80" t="s">
        <v>302</v>
      </c>
      <c r="J32" s="80" t="s">
        <v>302</v>
      </c>
      <c r="K32" s="80" t="s">
        <v>302</v>
      </c>
      <c r="L32" s="80">
        <v>0.58697</v>
      </c>
      <c r="M32" s="80">
        <v>0.58697</v>
      </c>
      <c r="N32" s="80">
        <v>0.58697</v>
      </c>
      <c r="O32" s="80">
        <v>0.58697</v>
      </c>
      <c r="P32" s="8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80" t="s">
        <v>302</v>
      </c>
      <c r="I33" s="80" t="s">
        <v>302</v>
      </c>
      <c r="J33" s="80" t="s">
        <v>302</v>
      </c>
      <c r="K33" s="80" t="s">
        <v>302</v>
      </c>
      <c r="L33" s="80">
        <v>0.07207</v>
      </c>
      <c r="M33" s="80">
        <v>0.07207</v>
      </c>
      <c r="N33" s="80">
        <v>0.07207</v>
      </c>
      <c r="O33" s="80">
        <v>0.07207</v>
      </c>
      <c r="P33" s="8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80" t="s">
        <v>302</v>
      </c>
      <c r="I34" s="80" t="s">
        <v>302</v>
      </c>
      <c r="J34" s="80" t="s">
        <v>302</v>
      </c>
      <c r="K34" s="80" t="s">
        <v>302</v>
      </c>
      <c r="L34" s="80">
        <v>0.07207</v>
      </c>
      <c r="M34" s="80">
        <v>0.07207</v>
      </c>
      <c r="N34" s="80">
        <v>0.07207</v>
      </c>
      <c r="O34" s="80">
        <v>0.07207</v>
      </c>
      <c r="P34" s="8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80" t="s">
        <v>302</v>
      </c>
      <c r="I35" s="80" t="s">
        <v>302</v>
      </c>
      <c r="J35" s="80" t="s">
        <v>302</v>
      </c>
      <c r="K35" s="80" t="s">
        <v>302</v>
      </c>
      <c r="L35" s="80">
        <v>0.313</v>
      </c>
      <c r="M35" s="80">
        <v>0.313</v>
      </c>
      <c r="N35" s="80">
        <v>0.313</v>
      </c>
      <c r="O35" s="80">
        <v>0.313</v>
      </c>
      <c r="P35" s="8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80" t="s">
        <v>302</v>
      </c>
      <c r="I36" s="80" t="s">
        <v>302</v>
      </c>
      <c r="J36" s="80" t="s">
        <v>302</v>
      </c>
      <c r="K36" s="80" t="s">
        <v>302</v>
      </c>
      <c r="L36" s="80">
        <v>0.08</v>
      </c>
      <c r="M36" s="80">
        <v>0.08</v>
      </c>
      <c r="N36" s="80">
        <v>0.08</v>
      </c>
      <c r="O36" s="80">
        <v>0.08</v>
      </c>
      <c r="P36" s="8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80" t="s">
        <v>302</v>
      </c>
      <c r="I37" s="80" t="s">
        <v>302</v>
      </c>
      <c r="J37" s="80" t="s">
        <v>302</v>
      </c>
      <c r="K37" s="80" t="s">
        <v>302</v>
      </c>
      <c r="L37" s="80">
        <v>0.08</v>
      </c>
      <c r="M37" s="80">
        <v>0.08</v>
      </c>
      <c r="N37" s="80">
        <v>0.08</v>
      </c>
      <c r="O37" s="80">
        <v>0.08</v>
      </c>
      <c r="P37" s="8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80" t="s">
        <v>302</v>
      </c>
      <c r="I38" s="80" t="s">
        <v>302</v>
      </c>
      <c r="J38" s="80" t="s">
        <v>302</v>
      </c>
      <c r="K38" s="80" t="s">
        <v>302</v>
      </c>
      <c r="L38" s="80">
        <v>0.076</v>
      </c>
      <c r="M38" s="80">
        <v>0.076</v>
      </c>
      <c r="N38" s="80">
        <v>0.076</v>
      </c>
      <c r="O38" s="80">
        <v>0.076</v>
      </c>
      <c r="P38" s="8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80" t="s">
        <v>302</v>
      </c>
      <c r="I39" s="80" t="s">
        <v>302</v>
      </c>
      <c r="J39" s="80" t="s">
        <v>302</v>
      </c>
      <c r="K39" s="80" t="s">
        <v>302</v>
      </c>
      <c r="L39" s="80">
        <v>0.0612</v>
      </c>
      <c r="M39" s="80">
        <v>0.0612</v>
      </c>
      <c r="N39" s="80">
        <v>0.0612</v>
      </c>
      <c r="O39" s="80">
        <v>0.0612</v>
      </c>
      <c r="P39" s="8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80" t="s">
        <v>302</v>
      </c>
      <c r="I40" s="80" t="s">
        <v>302</v>
      </c>
      <c r="J40" s="80" t="s">
        <v>302</v>
      </c>
      <c r="K40" s="80" t="s">
        <v>302</v>
      </c>
      <c r="L40" s="80">
        <v>0.527722806887128</v>
      </c>
      <c r="M40" s="80">
        <v>0.527722806887128</v>
      </c>
      <c r="N40" s="80">
        <v>0.527722806887128</v>
      </c>
      <c r="O40" s="80">
        <v>0.527722806887128</v>
      </c>
      <c r="P40" s="8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80" t="s">
        <v>302</v>
      </c>
      <c r="I41" s="80" t="s">
        <v>302</v>
      </c>
      <c r="J41" s="80" t="s">
        <v>302</v>
      </c>
      <c r="K41" s="80" t="s">
        <v>302</v>
      </c>
      <c r="L41" s="80">
        <v>0.527722806887128</v>
      </c>
      <c r="M41" s="80">
        <v>0.527722806887128</v>
      </c>
      <c r="N41" s="80">
        <v>0.527722806887128</v>
      </c>
      <c r="O41" s="80">
        <v>0.527722806887128</v>
      </c>
      <c r="P41" s="8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80" t="s">
        <v>302</v>
      </c>
      <c r="I42" s="80" t="s">
        <v>302</v>
      </c>
      <c r="J42" s="80" t="s">
        <v>302</v>
      </c>
      <c r="K42" s="80" t="s">
        <v>302</v>
      </c>
      <c r="L42" s="80">
        <v>0.932105736023111</v>
      </c>
      <c r="M42" s="80">
        <v>0.932105736023111</v>
      </c>
      <c r="N42" s="80">
        <v>0.932105736023111</v>
      </c>
      <c r="O42" s="80">
        <v>0.932105736023111</v>
      </c>
      <c r="P42" s="8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80" t="s">
        <v>302</v>
      </c>
      <c r="I43" s="80" t="s">
        <v>302</v>
      </c>
      <c r="J43" s="80" t="s">
        <v>302</v>
      </c>
      <c r="K43" s="80" t="s">
        <v>302</v>
      </c>
      <c r="L43" s="80">
        <v>0.466052868011556</v>
      </c>
      <c r="M43" s="80">
        <v>0.466052868011556</v>
      </c>
      <c r="N43" s="80">
        <v>0.466052868011556</v>
      </c>
      <c r="O43" s="80">
        <v>0.466052868011556</v>
      </c>
      <c r="P43" s="8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80" t="s">
        <v>302</v>
      </c>
      <c r="I44" s="80" t="s">
        <v>302</v>
      </c>
      <c r="J44" s="80" t="s">
        <v>302</v>
      </c>
      <c r="K44" s="80" t="s">
        <v>302</v>
      </c>
      <c r="L44" s="80">
        <v>0.466052868011556</v>
      </c>
      <c r="M44" s="80">
        <v>0.466052868011556</v>
      </c>
      <c r="N44" s="80">
        <v>0.466052868011556</v>
      </c>
      <c r="O44" s="80">
        <v>0.466052868011556</v>
      </c>
      <c r="P44" s="8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80" t="s">
        <v>302</v>
      </c>
      <c r="I45" s="80" t="s">
        <v>302</v>
      </c>
      <c r="J45" s="80" t="s">
        <v>302</v>
      </c>
      <c r="K45" s="80" t="s">
        <v>302</v>
      </c>
      <c r="L45" s="80">
        <v>0.475531491178995</v>
      </c>
      <c r="M45" s="80">
        <v>0.475531491178995</v>
      </c>
      <c r="N45" s="80">
        <v>0.475531491178995</v>
      </c>
      <c r="O45" s="80">
        <v>0.475531491178995</v>
      </c>
      <c r="P45" s="8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80" t="s">
        <v>302</v>
      </c>
      <c r="I46" s="80" t="s">
        <v>302</v>
      </c>
      <c r="J46" s="80" t="s">
        <v>302</v>
      </c>
      <c r="K46" s="80" t="s">
        <v>302</v>
      </c>
      <c r="L46" s="80">
        <v>0.429345439465179</v>
      </c>
      <c r="M46" s="80">
        <v>0.429345439465179</v>
      </c>
      <c r="N46" s="80">
        <v>0.429345439465179</v>
      </c>
      <c r="O46" s="80">
        <v>0.429345439465179</v>
      </c>
      <c r="P46" s="8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80" t="s">
        <v>302</v>
      </c>
      <c r="I47" s="80" t="s">
        <v>302</v>
      </c>
      <c r="J47" s="80" t="s">
        <v>302</v>
      </c>
      <c r="K47" s="80" t="s">
        <v>302</v>
      </c>
      <c r="L47" s="80">
        <v>0.139365903767697</v>
      </c>
      <c r="M47" s="80">
        <v>0.139365903767697</v>
      </c>
      <c r="N47" s="80">
        <v>0.139365903767697</v>
      </c>
      <c r="O47" s="80">
        <v>0.139365903767697</v>
      </c>
      <c r="P47" s="8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80" t="s">
        <v>302</v>
      </c>
      <c r="I48" s="80" t="s">
        <v>302</v>
      </c>
      <c r="J48" s="80" t="s">
        <v>302</v>
      </c>
      <c r="K48" s="80" t="s">
        <v>302</v>
      </c>
      <c r="L48" s="80">
        <v>0.139365903767697</v>
      </c>
      <c r="M48" s="80">
        <v>0.139365903767697</v>
      </c>
      <c r="N48" s="80">
        <v>0.139365903767697</v>
      </c>
      <c r="O48" s="80">
        <v>0.139365903767697</v>
      </c>
      <c r="P48" s="8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80" t="s">
        <v>302</v>
      </c>
      <c r="I49" s="80" t="s">
        <v>302</v>
      </c>
      <c r="J49" s="80" t="s">
        <v>302</v>
      </c>
      <c r="K49" s="80" t="s">
        <v>302</v>
      </c>
      <c r="L49" s="80">
        <v>0.139365903767697</v>
      </c>
      <c r="M49" s="80">
        <v>0.139365903767697</v>
      </c>
      <c r="N49" s="80">
        <v>0.139365903767697</v>
      </c>
      <c r="O49" s="80">
        <v>0.139365903767697</v>
      </c>
      <c r="P49" s="8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80" t="s">
        <v>302</v>
      </c>
      <c r="I50" s="80" t="s">
        <v>302</v>
      </c>
      <c r="J50" s="80" t="s">
        <v>302</v>
      </c>
      <c r="K50" s="80" t="s">
        <v>302</v>
      </c>
      <c r="L50" s="80">
        <v>0.379626024625345</v>
      </c>
      <c r="M50" s="80">
        <v>0.379626024625345</v>
      </c>
      <c r="N50" s="80">
        <v>0.379626024625345</v>
      </c>
      <c r="O50" s="80">
        <v>0.379626024625345</v>
      </c>
      <c r="P50" s="8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80" t="s">
        <v>302</v>
      </c>
      <c r="I51" s="80" t="s">
        <v>302</v>
      </c>
      <c r="J51" s="80" t="s">
        <v>302</v>
      </c>
      <c r="K51" s="80" t="s">
        <v>302</v>
      </c>
      <c r="L51" s="80">
        <v>0.379626024625345</v>
      </c>
      <c r="M51" s="80">
        <v>0.379626024625345</v>
      </c>
      <c r="N51" s="80">
        <v>0.379626024625345</v>
      </c>
      <c r="O51" s="80">
        <v>0.379626024625345</v>
      </c>
      <c r="P51" s="8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80" t="s">
        <v>302</v>
      </c>
      <c r="I52" s="80" t="s">
        <v>302</v>
      </c>
      <c r="J52" s="80" t="s">
        <v>302</v>
      </c>
      <c r="K52" s="80" t="s">
        <v>302</v>
      </c>
      <c r="L52" s="80">
        <v>0.745426473864409</v>
      </c>
      <c r="M52" s="80">
        <v>0.745426473864409</v>
      </c>
      <c r="N52" s="80">
        <v>0.745426473864409</v>
      </c>
      <c r="O52" s="80">
        <v>0.745426473864409</v>
      </c>
      <c r="P52" s="8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80" t="s">
        <v>302</v>
      </c>
      <c r="I53" s="80" t="s">
        <v>302</v>
      </c>
      <c r="J53" s="80" t="s">
        <v>302</v>
      </c>
      <c r="K53" s="80" t="s">
        <v>302</v>
      </c>
      <c r="L53" s="80">
        <v>0.372713236932204</v>
      </c>
      <c r="M53" s="80">
        <v>0.372713236932204</v>
      </c>
      <c r="N53" s="80">
        <v>0.372713236932204</v>
      </c>
      <c r="O53" s="80">
        <v>0.372713236932204</v>
      </c>
      <c r="P53" s="8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80" t="s">
        <v>302</v>
      </c>
      <c r="I54" s="80" t="s">
        <v>302</v>
      </c>
      <c r="J54" s="80" t="s">
        <v>302</v>
      </c>
      <c r="K54" s="80" t="s">
        <v>302</v>
      </c>
      <c r="L54" s="80">
        <v>0.440757335287194</v>
      </c>
      <c r="M54" s="80">
        <v>0.440757335287194</v>
      </c>
      <c r="N54" s="80">
        <v>0.440757335287194</v>
      </c>
      <c r="O54" s="80">
        <v>0.440757335287194</v>
      </c>
      <c r="P54" s="8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80" t="s">
        <v>302</v>
      </c>
      <c r="I55" s="80" t="s">
        <v>302</v>
      </c>
      <c r="J55" s="80" t="s">
        <v>302</v>
      </c>
      <c r="K55" s="80" t="s">
        <v>302</v>
      </c>
      <c r="L55" s="80">
        <v>0.329484430322726</v>
      </c>
      <c r="M55" s="80">
        <v>0.329484430322726</v>
      </c>
      <c r="N55" s="80">
        <v>0.329484430322726</v>
      </c>
      <c r="O55" s="80">
        <v>0.329484430322726</v>
      </c>
      <c r="P55" s="8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8" customFormat="1" ht="14.5" spans="4:55">
      <c r="D4" s="60"/>
      <c r="E4" s="60"/>
      <c r="F4" s="60"/>
      <c r="G4" s="60"/>
      <c r="H4" s="61"/>
      <c r="I4" s="61"/>
      <c r="J4" s="60"/>
      <c r="K4" s="60"/>
      <c r="L4" s="21" t="s">
        <v>326</v>
      </c>
      <c r="M4" s="60"/>
      <c r="N4" s="61"/>
      <c r="O4" s="61"/>
      <c r="P4" s="61"/>
      <c r="Q4" s="61"/>
      <c r="R4" s="21" t="s">
        <v>326</v>
      </c>
      <c r="S4" s="61"/>
      <c r="T4" s="61"/>
      <c r="U4" s="61"/>
      <c r="V4" s="61"/>
      <c r="W4" s="61"/>
      <c r="X4" s="21" t="s">
        <v>326</v>
      </c>
      <c r="Y4" s="61"/>
      <c r="Z4" s="61"/>
      <c r="AA4" s="61"/>
      <c r="AB4" s="61"/>
      <c r="AC4" s="61"/>
      <c r="AD4" s="21" t="s">
        <v>326</v>
      </c>
      <c r="AE4" s="61"/>
      <c r="AF4" s="61"/>
      <c r="AG4" s="61"/>
      <c r="AH4" s="61"/>
      <c r="AI4" s="61"/>
      <c r="AJ4" s="21" t="s">
        <v>326</v>
      </c>
      <c r="AK4" s="61"/>
      <c r="AL4" s="61"/>
      <c r="AM4" s="61"/>
      <c r="AN4" s="61"/>
      <c r="AO4" s="61"/>
      <c r="AP4" s="21" t="s">
        <v>326</v>
      </c>
      <c r="AQ4" s="61"/>
      <c r="AT4" s="61"/>
      <c r="AU4" s="61"/>
      <c r="AV4" s="21" t="s">
        <v>326</v>
      </c>
      <c r="AW4" s="61"/>
      <c r="AZ4" s="4"/>
      <c r="BA4" s="4"/>
      <c r="BB4" s="4"/>
      <c r="BC4" s="4"/>
    </row>
    <row r="5" s="58" customFormat="1" ht="14.5" spans="4:55">
      <c r="D5" s="60"/>
      <c r="E5" s="60"/>
      <c r="F5" s="62"/>
      <c r="G5" s="60"/>
      <c r="H5" s="61"/>
      <c r="I5" s="61"/>
      <c r="J5" s="21" t="s">
        <v>137</v>
      </c>
      <c r="K5" s="21" t="s">
        <v>65</v>
      </c>
      <c r="L5" s="21" t="s">
        <v>112</v>
      </c>
      <c r="M5" s="21" t="s">
        <v>25</v>
      </c>
      <c r="N5" s="61" t="s">
        <v>41</v>
      </c>
      <c r="O5" s="61"/>
      <c r="P5" s="21" t="s">
        <v>137</v>
      </c>
      <c r="Q5" s="21" t="s">
        <v>65</v>
      </c>
      <c r="R5" s="21" t="s">
        <v>112</v>
      </c>
      <c r="S5" s="21" t="s">
        <v>25</v>
      </c>
      <c r="T5" s="61" t="s">
        <v>41</v>
      </c>
      <c r="U5" s="61"/>
      <c r="V5" s="21" t="s">
        <v>137</v>
      </c>
      <c r="W5" s="21" t="s">
        <v>65</v>
      </c>
      <c r="X5" s="21" t="s">
        <v>112</v>
      </c>
      <c r="Y5" s="21" t="s">
        <v>25</v>
      </c>
      <c r="Z5" s="61" t="s">
        <v>41</v>
      </c>
      <c r="AA5" s="61"/>
      <c r="AB5" s="21" t="s">
        <v>137</v>
      </c>
      <c r="AC5" s="21" t="s">
        <v>65</v>
      </c>
      <c r="AD5" s="21" t="s">
        <v>112</v>
      </c>
      <c r="AE5" s="21" t="s">
        <v>25</v>
      </c>
      <c r="AF5" s="61" t="s">
        <v>41</v>
      </c>
      <c r="AG5" s="61"/>
      <c r="AH5" s="21" t="s">
        <v>137</v>
      </c>
      <c r="AI5" s="21" t="s">
        <v>65</v>
      </c>
      <c r="AJ5" s="21" t="s">
        <v>112</v>
      </c>
      <c r="AK5" s="21" t="s">
        <v>25</v>
      </c>
      <c r="AL5" s="61" t="s">
        <v>41</v>
      </c>
      <c r="AM5" s="61"/>
      <c r="AN5" s="21" t="s">
        <v>137</v>
      </c>
      <c r="AO5" s="21" t="s">
        <v>65</v>
      </c>
      <c r="AP5" s="21" t="s">
        <v>112</v>
      </c>
      <c r="AQ5" s="21" t="s">
        <v>25</v>
      </c>
      <c r="AR5" s="61" t="s">
        <v>41</v>
      </c>
      <c r="AT5" s="21" t="s">
        <v>137</v>
      </c>
      <c r="AU5" s="21" t="s">
        <v>65</v>
      </c>
      <c r="AV5" s="21" t="s">
        <v>112</v>
      </c>
      <c r="AW5" s="21" t="s">
        <v>25</v>
      </c>
      <c r="AX5" s="61" t="s">
        <v>41</v>
      </c>
      <c r="AZ5" s="4"/>
      <c r="BA5" s="4"/>
      <c r="BB5" s="4"/>
      <c r="BC5" s="4"/>
    </row>
    <row r="6" s="58" customFormat="1" ht="16" spans="4:55">
      <c r="D6" s="60"/>
      <c r="E6" s="63"/>
      <c r="F6" s="62"/>
      <c r="G6" s="64"/>
      <c r="H6" s="61"/>
      <c r="I6" s="61"/>
      <c r="J6" s="60" t="s">
        <v>141</v>
      </c>
      <c r="K6" s="63" t="s">
        <v>81</v>
      </c>
      <c r="L6" s="55" t="s">
        <v>327</v>
      </c>
      <c r="M6" s="65">
        <f t="shared" ref="M6:M9" si="0">M16/1000</f>
        <v>0.0768000000000001</v>
      </c>
      <c r="N6" s="61">
        <v>2019</v>
      </c>
      <c r="O6" s="61"/>
      <c r="P6" s="60" t="s">
        <v>141</v>
      </c>
      <c r="Q6" s="63" t="s">
        <v>86</v>
      </c>
      <c r="R6" s="55" t="s">
        <v>327</v>
      </c>
      <c r="S6" s="65">
        <f t="shared" ref="S6:S9" si="1">S16/1000</f>
        <v>0.0713</v>
      </c>
      <c r="T6" s="61">
        <v>2019</v>
      </c>
      <c r="U6" s="61"/>
      <c r="V6" s="60" t="s">
        <v>141</v>
      </c>
      <c r="W6" s="63" t="s">
        <v>90</v>
      </c>
      <c r="X6" s="55" t="s">
        <v>327</v>
      </c>
      <c r="Y6" s="65">
        <f t="shared" ref="Y6:Y9" si="2">Y16/1000</f>
        <v>0.0712</v>
      </c>
      <c r="Z6" s="61">
        <v>2019</v>
      </c>
      <c r="AA6" s="61"/>
      <c r="AB6" s="60" t="s">
        <v>141</v>
      </c>
      <c r="AC6" s="63" t="s">
        <v>94</v>
      </c>
      <c r="AD6" s="55" t="s">
        <v>327</v>
      </c>
      <c r="AE6" s="65">
        <f t="shared" ref="AE6:AE9" si="3">AE16/1000</f>
        <v>0.0725</v>
      </c>
      <c r="AF6" s="61">
        <v>2019</v>
      </c>
      <c r="AG6" s="61"/>
      <c r="AH6" s="60" t="s">
        <v>141</v>
      </c>
      <c r="AI6" s="63" t="s">
        <v>77</v>
      </c>
      <c r="AJ6" s="55" t="s">
        <v>327</v>
      </c>
      <c r="AK6" s="65">
        <f t="shared" ref="AK6:AK9" si="4">AK16/1000</f>
        <v>0.077</v>
      </c>
      <c r="AL6" s="61">
        <v>2019</v>
      </c>
      <c r="AM6" s="61"/>
      <c r="AN6" s="60" t="s">
        <v>141</v>
      </c>
      <c r="AO6" s="63" t="s">
        <v>73</v>
      </c>
      <c r="AP6" s="55" t="s">
        <v>327</v>
      </c>
      <c r="AQ6" s="65">
        <f t="shared" ref="AQ6:AQ9" si="5">AQ16/1000</f>
        <v>0.0424</v>
      </c>
      <c r="AR6" s="61">
        <v>2019</v>
      </c>
      <c r="AT6" s="60" t="s">
        <v>141</v>
      </c>
      <c r="AU6" s="63" t="s">
        <v>68</v>
      </c>
      <c r="AV6" s="55" t="s">
        <v>327</v>
      </c>
      <c r="AW6" s="65">
        <f t="shared" ref="AW6:AW9" si="6">AW16/1000</f>
        <v>0.0472</v>
      </c>
      <c r="AX6" s="61">
        <v>2019</v>
      </c>
      <c r="AZ6" s="4"/>
      <c r="BA6" s="4"/>
      <c r="BB6" s="4"/>
      <c r="BC6" s="4"/>
    </row>
    <row r="7" s="58" customFormat="1" ht="16" spans="4:55">
      <c r="D7" s="60"/>
      <c r="E7" s="63"/>
      <c r="F7" s="62"/>
      <c r="G7" s="64"/>
      <c r="H7" s="61"/>
      <c r="I7" s="61"/>
      <c r="J7" s="60" t="s">
        <v>141</v>
      </c>
      <c r="K7" s="63" t="s">
        <v>81</v>
      </c>
      <c r="L7" s="55" t="s">
        <v>328</v>
      </c>
      <c r="M7" s="65">
        <f t="shared" si="0"/>
        <v>0.2026</v>
      </c>
      <c r="N7" s="61">
        <v>2019</v>
      </c>
      <c r="O7" s="61"/>
      <c r="P7" s="60" t="s">
        <v>141</v>
      </c>
      <c r="Q7" s="63" t="s">
        <v>86</v>
      </c>
      <c r="R7" s="55" t="s">
        <v>328</v>
      </c>
      <c r="S7" s="65">
        <f t="shared" si="1"/>
        <v>0.1913</v>
      </c>
      <c r="T7" s="61">
        <v>2019</v>
      </c>
      <c r="U7" s="61"/>
      <c r="V7" s="60" t="s">
        <v>141</v>
      </c>
      <c r="W7" s="63" t="s">
        <v>90</v>
      </c>
      <c r="X7" s="55" t="s">
        <v>328</v>
      </c>
      <c r="Y7" s="65">
        <f t="shared" si="2"/>
        <v>0.1915</v>
      </c>
      <c r="Z7" s="61">
        <v>2019</v>
      </c>
      <c r="AA7" s="61"/>
      <c r="AB7" s="60" t="s">
        <v>141</v>
      </c>
      <c r="AC7" s="63" t="s">
        <v>94</v>
      </c>
      <c r="AD7" s="55" t="s">
        <v>328</v>
      </c>
      <c r="AE7" s="65">
        <f t="shared" si="3"/>
        <v>0.1859</v>
      </c>
      <c r="AF7" s="61">
        <v>2019</v>
      </c>
      <c r="AG7" s="61"/>
      <c r="AH7" s="60" t="s">
        <v>141</v>
      </c>
      <c r="AI7" s="63" t="s">
        <v>77</v>
      </c>
      <c r="AJ7" s="55" t="s">
        <v>328</v>
      </c>
      <c r="AK7" s="65">
        <f t="shared" si="4"/>
        <v>0.1982</v>
      </c>
      <c r="AL7" s="61">
        <v>2019</v>
      </c>
      <c r="AM7" s="61"/>
      <c r="AN7" s="60" t="s">
        <v>141</v>
      </c>
      <c r="AO7" s="63" t="s">
        <v>73</v>
      </c>
      <c r="AP7" s="55" t="s">
        <v>328</v>
      </c>
      <c r="AQ7" s="65">
        <f t="shared" si="5"/>
        <v>0.0768</v>
      </c>
      <c r="AR7" s="61">
        <v>2019</v>
      </c>
      <c r="AT7" s="60" t="s">
        <v>141</v>
      </c>
      <c r="AU7" s="63" t="s">
        <v>68</v>
      </c>
      <c r="AV7" s="55" t="s">
        <v>328</v>
      </c>
      <c r="AW7" s="65">
        <f t="shared" si="6"/>
        <v>0.1555</v>
      </c>
      <c r="AX7" s="61">
        <v>2019</v>
      </c>
      <c r="AZ7" s="4"/>
      <c r="BA7" s="4"/>
      <c r="BB7" s="4"/>
      <c r="BC7" s="4"/>
    </row>
    <row r="8" s="58" customFormat="1" ht="14.5" customHeight="1" spans="4:55">
      <c r="D8" s="60"/>
      <c r="E8" s="63"/>
      <c r="F8" s="62"/>
      <c r="G8" s="64"/>
      <c r="H8" s="61"/>
      <c r="I8" s="61"/>
      <c r="J8" s="60" t="s">
        <v>141</v>
      </c>
      <c r="K8" s="63" t="s">
        <v>81</v>
      </c>
      <c r="L8" s="55" t="s">
        <v>329</v>
      </c>
      <c r="M8" s="65">
        <f t="shared" si="0"/>
        <v>0.5838</v>
      </c>
      <c r="N8" s="61">
        <v>2019</v>
      </c>
      <c r="O8" s="61"/>
      <c r="P8" s="60" t="s">
        <v>141</v>
      </c>
      <c r="Q8" s="63" t="s">
        <v>86</v>
      </c>
      <c r="R8" s="55" t="s">
        <v>329</v>
      </c>
      <c r="S8" s="65">
        <f t="shared" si="1"/>
        <v>0.5561</v>
      </c>
      <c r="T8" s="61">
        <v>2019</v>
      </c>
      <c r="U8" s="61"/>
      <c r="V8" s="60" t="s">
        <v>141</v>
      </c>
      <c r="W8" s="63" t="s">
        <v>90</v>
      </c>
      <c r="X8" s="55" t="s">
        <v>329</v>
      </c>
      <c r="Y8" s="65">
        <f t="shared" si="2"/>
        <v>0.5579</v>
      </c>
      <c r="Z8" s="61">
        <v>2019</v>
      </c>
      <c r="AA8" s="61"/>
      <c r="AB8" s="60" t="s">
        <v>141</v>
      </c>
      <c r="AC8" s="63" t="s">
        <v>94</v>
      </c>
      <c r="AD8" s="55" t="s">
        <v>329</v>
      </c>
      <c r="AE8" s="65">
        <f t="shared" si="3"/>
        <v>0.5505</v>
      </c>
      <c r="AF8" s="61">
        <v>2019</v>
      </c>
      <c r="AG8" s="61"/>
      <c r="AH8" s="60" t="s">
        <v>141</v>
      </c>
      <c r="AI8" s="63" t="s">
        <v>77</v>
      </c>
      <c r="AJ8" s="55" t="s">
        <v>329</v>
      </c>
      <c r="AK8" s="65">
        <f t="shared" si="4"/>
        <v>0.5942</v>
      </c>
      <c r="AL8" s="61">
        <v>2019</v>
      </c>
      <c r="AM8" s="61"/>
      <c r="AN8" s="60" t="s">
        <v>141</v>
      </c>
      <c r="AO8" s="63" t="s">
        <v>73</v>
      </c>
      <c r="AP8" s="55" t="s">
        <v>329</v>
      </c>
      <c r="AQ8" s="65">
        <f t="shared" si="5"/>
        <v>0.4099</v>
      </c>
      <c r="AR8" s="61">
        <v>2019</v>
      </c>
      <c r="AT8" s="60" t="s">
        <v>141</v>
      </c>
      <c r="AU8" s="63" t="s">
        <v>68</v>
      </c>
      <c r="AV8" s="55" t="s">
        <v>329</v>
      </c>
      <c r="AW8" s="65">
        <f t="shared" si="6"/>
        <v>0.477</v>
      </c>
      <c r="AX8" s="61">
        <v>2019</v>
      </c>
      <c r="AZ8" s="4"/>
      <c r="BA8" s="4"/>
      <c r="BB8" s="4"/>
      <c r="BC8" s="4"/>
    </row>
    <row r="9" s="58" customFormat="1" ht="16" spans="4:55">
      <c r="D9" s="60"/>
      <c r="E9" s="63"/>
      <c r="F9" s="62"/>
      <c r="G9" s="64"/>
      <c r="H9" s="61"/>
      <c r="I9" s="61"/>
      <c r="J9" s="60" t="s">
        <v>141</v>
      </c>
      <c r="K9" s="63" t="s">
        <v>81</v>
      </c>
      <c r="L9" s="55" t="s">
        <v>330</v>
      </c>
      <c r="M9" s="65">
        <f t="shared" si="0"/>
        <v>0.1275</v>
      </c>
      <c r="N9" s="61">
        <v>2019</v>
      </c>
      <c r="O9" s="61"/>
      <c r="P9" s="60" t="s">
        <v>141</v>
      </c>
      <c r="Q9" s="63" t="s">
        <v>86</v>
      </c>
      <c r="R9" s="55" t="s">
        <v>330</v>
      </c>
      <c r="S9" s="65">
        <f t="shared" si="1"/>
        <v>0.1337</v>
      </c>
      <c r="T9" s="61">
        <v>2019</v>
      </c>
      <c r="U9" s="61"/>
      <c r="V9" s="60" t="s">
        <v>141</v>
      </c>
      <c r="W9" s="63" t="s">
        <v>90</v>
      </c>
      <c r="X9" s="55" t="s">
        <v>330</v>
      </c>
      <c r="Y9" s="65">
        <f t="shared" si="2"/>
        <v>0.1403</v>
      </c>
      <c r="Z9" s="61">
        <v>2019</v>
      </c>
      <c r="AA9" s="61"/>
      <c r="AB9" s="60" t="s">
        <v>141</v>
      </c>
      <c r="AC9" s="63" t="s">
        <v>94</v>
      </c>
      <c r="AD9" s="55" t="s">
        <v>330</v>
      </c>
      <c r="AE9" s="65">
        <f t="shared" si="3"/>
        <v>0.1499</v>
      </c>
      <c r="AF9" s="61">
        <v>2019</v>
      </c>
      <c r="AG9" s="61"/>
      <c r="AH9" s="60" t="s">
        <v>141</v>
      </c>
      <c r="AI9" s="63" t="s">
        <v>77</v>
      </c>
      <c r="AJ9" s="55" t="s">
        <v>330</v>
      </c>
      <c r="AK9" s="65">
        <f t="shared" si="4"/>
        <v>0.1608</v>
      </c>
      <c r="AL9" s="61">
        <v>2019</v>
      </c>
      <c r="AM9" s="61"/>
      <c r="AN9" s="60" t="s">
        <v>141</v>
      </c>
      <c r="AO9" s="63" t="s">
        <v>73</v>
      </c>
      <c r="AP9" s="55" t="s">
        <v>330</v>
      </c>
      <c r="AQ9" s="65">
        <f t="shared" si="5"/>
        <v>0.057</v>
      </c>
      <c r="AR9" s="61">
        <v>2019</v>
      </c>
      <c r="AT9" s="60" t="s">
        <v>141</v>
      </c>
      <c r="AU9" s="63" t="s">
        <v>68</v>
      </c>
      <c r="AV9" s="55" t="s">
        <v>330</v>
      </c>
      <c r="AW9" s="65">
        <f t="shared" si="6"/>
        <v>0.0952</v>
      </c>
      <c r="AX9" s="61">
        <v>2019</v>
      </c>
      <c r="AZ9" s="4"/>
      <c r="BA9" s="4"/>
      <c r="BB9" s="4"/>
      <c r="BC9" s="4"/>
    </row>
    <row r="10" s="58" customFormat="1" ht="16" spans="4:55">
      <c r="D10" s="61"/>
      <c r="E10" s="63"/>
      <c r="G10" s="64"/>
      <c r="H10" s="61"/>
      <c r="I10" s="61"/>
    </row>
    <row r="13" s="59" customFormat="1"/>
    <row r="14" s="1" customFormat="1" ht="14.5" spans="4:55">
      <c r="D14" s="66"/>
      <c r="E14" s="66"/>
      <c r="F14" s="66"/>
      <c r="G14" s="66"/>
      <c r="H14" s="67"/>
      <c r="I14" s="67"/>
      <c r="J14" s="66"/>
      <c r="K14" s="66"/>
      <c r="L14" s="4"/>
      <c r="M14" s="66"/>
      <c r="N14" s="67"/>
      <c r="O14" s="67"/>
      <c r="P14" s="67"/>
      <c r="Q14" s="67"/>
      <c r="R14" s="4"/>
      <c r="S14" s="67"/>
      <c r="T14" s="67"/>
      <c r="U14" s="67"/>
      <c r="V14" s="67"/>
      <c r="W14" s="67"/>
      <c r="X14" s="4"/>
      <c r="Y14" s="67"/>
      <c r="Z14" s="67"/>
      <c r="AA14" s="67"/>
      <c r="AB14" s="67"/>
      <c r="AC14" s="67"/>
      <c r="AD14" s="4"/>
      <c r="AE14" s="67"/>
      <c r="AF14" s="67"/>
      <c r="AG14" s="67"/>
      <c r="AH14" s="67"/>
      <c r="AI14" s="67"/>
      <c r="AJ14" s="4"/>
      <c r="AK14" s="67"/>
      <c r="AL14" s="67"/>
      <c r="AM14" s="67"/>
      <c r="AN14" s="67"/>
      <c r="AO14" s="67"/>
      <c r="AP14" s="4"/>
      <c r="AQ14" s="67"/>
      <c r="AT14" s="67"/>
      <c r="AU14" s="67"/>
      <c r="AV14" s="4"/>
      <c r="AW14" s="67"/>
    </row>
    <row r="15" s="1" customFormat="1" ht="14.5" spans="4:55">
      <c r="D15" s="66"/>
      <c r="E15" s="66"/>
      <c r="F15" s="51"/>
      <c r="G15" s="66"/>
      <c r="H15" s="67"/>
      <c r="I15" s="67"/>
      <c r="J15" s="4"/>
      <c r="K15" s="4"/>
      <c r="L15" s="4"/>
      <c r="M15" s="4"/>
      <c r="N15" s="67"/>
      <c r="O15" s="67"/>
      <c r="P15" s="4"/>
      <c r="Q15" s="4"/>
      <c r="R15" s="4"/>
      <c r="S15" s="4"/>
      <c r="T15" s="67"/>
      <c r="U15" s="67"/>
      <c r="V15" s="4"/>
      <c r="W15" s="4"/>
      <c r="X15" s="4"/>
      <c r="Y15" s="4"/>
      <c r="Z15" s="67"/>
      <c r="AA15" s="67"/>
      <c r="AB15" s="4"/>
      <c r="AC15" s="4"/>
      <c r="AD15" s="4"/>
      <c r="AE15" s="4"/>
      <c r="AF15" s="67"/>
      <c r="AG15" s="67"/>
      <c r="AH15" s="4"/>
      <c r="AI15" s="4"/>
      <c r="AJ15" s="4"/>
      <c r="AK15" s="4"/>
      <c r="AL15" s="67"/>
      <c r="AM15" s="67"/>
      <c r="AN15" s="4"/>
      <c r="AO15" s="4"/>
      <c r="AP15" s="4"/>
      <c r="AQ15" s="4"/>
      <c r="AT15" s="4"/>
      <c r="AU15" s="4"/>
      <c r="AV15" s="4"/>
      <c r="AW15" s="4"/>
    </row>
    <row r="16" s="59" customFormat="1" ht="16" spans="4:55">
      <c r="J16" s="66"/>
      <c r="K16" s="68"/>
      <c r="L16" s="51"/>
      <c r="M16" s="64">
        <f t="shared" ref="M16:M19" si="7">T65</f>
        <v>76.8000000000001</v>
      </c>
      <c r="N16" s="67"/>
      <c r="O16" s="67"/>
      <c r="P16" s="66"/>
      <c r="Q16" s="68"/>
      <c r="R16" s="51"/>
      <c r="S16" s="69">
        <f t="shared" ref="S16:S19" si="8">U65</f>
        <v>71.3</v>
      </c>
      <c r="T16" s="67"/>
      <c r="U16" s="67"/>
      <c r="V16" s="66"/>
      <c r="W16" s="68"/>
      <c r="X16" s="51"/>
      <c r="Y16" s="69">
        <f t="shared" ref="Y16:Y19" si="9">V65</f>
        <v>71.2</v>
      </c>
      <c r="Z16" s="67"/>
      <c r="AA16" s="67"/>
      <c r="AB16" s="66"/>
      <c r="AC16" s="68"/>
      <c r="AD16" s="51"/>
      <c r="AE16" s="69">
        <f t="shared" ref="AE16:AE19" si="10">W65</f>
        <v>72.5</v>
      </c>
      <c r="AF16" s="67"/>
      <c r="AG16" s="67"/>
      <c r="AH16" s="66"/>
      <c r="AI16" s="68"/>
      <c r="AJ16" s="51"/>
      <c r="AK16" s="69">
        <f t="shared" ref="AK16:AK19" si="11">X65</f>
        <v>77</v>
      </c>
      <c r="AL16" s="67"/>
      <c r="AM16" s="67"/>
      <c r="AN16" s="66"/>
      <c r="AO16" s="68"/>
      <c r="AP16" s="51"/>
      <c r="AQ16" s="69">
        <f t="shared" ref="AQ16:AQ19" si="12">Y65</f>
        <v>42.4</v>
      </c>
      <c r="AR16" s="1"/>
      <c r="AS16" s="1"/>
      <c r="AT16" s="66"/>
      <c r="AU16" s="68"/>
      <c r="AV16" s="51"/>
      <c r="AW16" s="69">
        <f t="shared" ref="AW16:AW19" si="13">Z65</f>
        <v>47.2</v>
      </c>
    </row>
    <row r="17" s="59" customFormat="1" ht="16" spans="4:55">
      <c r="J17" s="66"/>
      <c r="K17" s="68"/>
      <c r="L17" s="51"/>
      <c r="M17" s="64">
        <f t="shared" si="7"/>
        <v>202.6</v>
      </c>
      <c r="N17" s="67"/>
      <c r="O17" s="67"/>
      <c r="P17" s="66"/>
      <c r="Q17" s="68"/>
      <c r="R17" s="51"/>
      <c r="S17" s="69">
        <f t="shared" si="8"/>
        <v>191.3</v>
      </c>
      <c r="T17" s="67"/>
      <c r="U17" s="67"/>
      <c r="V17" s="66"/>
      <c r="W17" s="68"/>
      <c r="X17" s="51"/>
      <c r="Y17" s="69">
        <f t="shared" si="9"/>
        <v>191.5</v>
      </c>
      <c r="Z17" s="67"/>
      <c r="AA17" s="67"/>
      <c r="AB17" s="66"/>
      <c r="AC17" s="68"/>
      <c r="AD17" s="51"/>
      <c r="AE17" s="69">
        <f t="shared" si="10"/>
        <v>185.9</v>
      </c>
      <c r="AF17" s="67"/>
      <c r="AG17" s="67"/>
      <c r="AH17" s="66"/>
      <c r="AI17" s="68"/>
      <c r="AJ17" s="51"/>
      <c r="AK17" s="69">
        <f t="shared" si="11"/>
        <v>198.2</v>
      </c>
      <c r="AL17" s="67"/>
      <c r="AM17" s="67"/>
      <c r="AN17" s="66"/>
      <c r="AO17" s="68"/>
      <c r="AP17" s="51"/>
      <c r="AQ17" s="69">
        <f t="shared" si="12"/>
        <v>76.8</v>
      </c>
      <c r="AR17" s="1"/>
      <c r="AS17" s="1"/>
      <c r="AT17" s="66"/>
      <c r="AU17" s="68"/>
      <c r="AV17" s="51"/>
      <c r="AW17" s="69">
        <f t="shared" si="13"/>
        <v>155.5</v>
      </c>
    </row>
    <row r="18" s="59" customFormat="1" ht="16" spans="4:55">
      <c r="J18" s="66"/>
      <c r="K18" s="68"/>
      <c r="L18" s="51"/>
      <c r="M18" s="64">
        <f t="shared" si="7"/>
        <v>583.8</v>
      </c>
      <c r="N18" s="67"/>
      <c r="O18" s="67"/>
      <c r="P18" s="66"/>
      <c r="Q18" s="68"/>
      <c r="R18" s="51"/>
      <c r="S18" s="69">
        <f t="shared" si="8"/>
        <v>556.1</v>
      </c>
      <c r="T18" s="67"/>
      <c r="U18" s="67"/>
      <c r="V18" s="66"/>
      <c r="W18" s="68"/>
      <c r="X18" s="51"/>
      <c r="Y18" s="69">
        <f t="shared" si="9"/>
        <v>557.9</v>
      </c>
      <c r="Z18" s="67"/>
      <c r="AA18" s="67"/>
      <c r="AB18" s="66"/>
      <c r="AC18" s="68"/>
      <c r="AD18" s="51"/>
      <c r="AE18" s="69">
        <f t="shared" si="10"/>
        <v>550.5</v>
      </c>
      <c r="AF18" s="67"/>
      <c r="AG18" s="67"/>
      <c r="AH18" s="66"/>
      <c r="AI18" s="68"/>
      <c r="AJ18" s="51"/>
      <c r="AK18" s="69">
        <f t="shared" si="11"/>
        <v>594.2</v>
      </c>
      <c r="AL18" s="67"/>
      <c r="AM18" s="67"/>
      <c r="AN18" s="66"/>
      <c r="AO18" s="68"/>
      <c r="AP18" s="51"/>
      <c r="AQ18" s="69">
        <f t="shared" si="12"/>
        <v>409.9</v>
      </c>
      <c r="AR18" s="1"/>
      <c r="AS18" s="1"/>
      <c r="AT18" s="66"/>
      <c r="AU18" s="68"/>
      <c r="AV18" s="51"/>
      <c r="AW18" s="69">
        <f t="shared" si="13"/>
        <v>477</v>
      </c>
    </row>
    <row r="19" s="59" customFormat="1" ht="16" spans="4:55">
      <c r="J19" s="66"/>
      <c r="K19" s="68"/>
      <c r="L19" s="51"/>
      <c r="M19" s="64">
        <f t="shared" si="7"/>
        <v>127.5</v>
      </c>
      <c r="N19" s="67"/>
      <c r="O19" s="67"/>
      <c r="P19" s="66"/>
      <c r="Q19" s="68"/>
      <c r="R19" s="51"/>
      <c r="S19" s="69">
        <f t="shared" si="8"/>
        <v>133.7</v>
      </c>
      <c r="T19" s="67"/>
      <c r="U19" s="67"/>
      <c r="V19" s="66"/>
      <c r="W19" s="68"/>
      <c r="X19" s="51"/>
      <c r="Y19" s="69">
        <f t="shared" si="9"/>
        <v>140.3</v>
      </c>
      <c r="Z19" s="67"/>
      <c r="AA19" s="67"/>
      <c r="AB19" s="66"/>
      <c r="AC19" s="68"/>
      <c r="AD19" s="51"/>
      <c r="AE19" s="69">
        <f t="shared" si="10"/>
        <v>149.9</v>
      </c>
      <c r="AF19" s="67"/>
      <c r="AG19" s="67"/>
      <c r="AH19" s="66"/>
      <c r="AI19" s="68"/>
      <c r="AJ19" s="51"/>
      <c r="AK19" s="69">
        <f t="shared" si="11"/>
        <v>160.8</v>
      </c>
      <c r="AL19" s="67"/>
      <c r="AM19" s="67"/>
      <c r="AN19" s="66"/>
      <c r="AO19" s="68"/>
      <c r="AP19" s="51"/>
      <c r="AQ19" s="69">
        <f t="shared" si="12"/>
        <v>57</v>
      </c>
      <c r="AR19" s="1"/>
      <c r="AS19" s="1"/>
      <c r="AT19" s="66"/>
      <c r="AU19" s="68"/>
      <c r="AV19" s="51"/>
      <c r="AW19" s="69">
        <f t="shared" si="13"/>
        <v>95.2</v>
      </c>
    </row>
    <row r="20" s="59" customFormat="1"/>
    <row r="21" s="59" customFormat="1"/>
    <row r="24" s="58" customFormat="1" ht="14.5" spans="4:55">
      <c r="D24" s="60"/>
      <c r="E24" s="60"/>
      <c r="F24" s="60"/>
      <c r="G24" s="60"/>
      <c r="H24" s="61"/>
      <c r="I24" s="61"/>
      <c r="J24" s="60"/>
      <c r="K24" s="60"/>
      <c r="L24" s="21" t="s">
        <v>326</v>
      </c>
      <c r="M24" s="60"/>
      <c r="N24" s="61"/>
      <c r="O24" s="61"/>
      <c r="P24" s="61"/>
      <c r="Q24" s="61"/>
      <c r="R24" s="21" t="s">
        <v>326</v>
      </c>
      <c r="S24" s="61"/>
      <c r="T24" s="61"/>
      <c r="U24" s="61"/>
      <c r="V24" s="61"/>
      <c r="W24" s="61"/>
      <c r="X24" s="21" t="s">
        <v>326</v>
      </c>
      <c r="Y24" s="61"/>
      <c r="Z24" s="61"/>
      <c r="AA24" s="61"/>
      <c r="AB24" s="61"/>
      <c r="AC24" s="61"/>
      <c r="AD24" s="21" t="s">
        <v>326</v>
      </c>
      <c r="AE24" s="61"/>
      <c r="AF24" s="61"/>
      <c r="AG24" s="61"/>
      <c r="AH24" s="61"/>
      <c r="AI24" s="61"/>
      <c r="AJ24" s="21" t="s">
        <v>326</v>
      </c>
      <c r="AK24" s="61"/>
      <c r="AL24" s="61"/>
      <c r="AM24" s="61"/>
      <c r="AN24" s="61"/>
      <c r="AO24" s="61"/>
      <c r="AP24" s="21" t="s">
        <v>326</v>
      </c>
      <c r="AQ24" s="61"/>
      <c r="AT24" s="61"/>
      <c r="AU24" s="61"/>
      <c r="AV24" s="21" t="s">
        <v>326</v>
      </c>
      <c r="AW24" s="61"/>
      <c r="AZ24" s="4"/>
      <c r="BA24" s="4"/>
      <c r="BB24" s="4"/>
      <c r="BC24" s="4"/>
    </row>
    <row r="25" s="58" customFormat="1" ht="14.5" spans="4:55">
      <c r="D25" s="60"/>
      <c r="E25" s="60"/>
      <c r="F25" s="62"/>
      <c r="G25" s="60"/>
      <c r="H25" s="61"/>
      <c r="I25" s="61"/>
      <c r="J25" s="21" t="s">
        <v>137</v>
      </c>
      <c r="K25" s="21" t="s">
        <v>65</v>
      </c>
      <c r="L25" s="21" t="s">
        <v>112</v>
      </c>
      <c r="M25" s="21" t="s">
        <v>11</v>
      </c>
      <c r="N25" s="61" t="s">
        <v>41</v>
      </c>
      <c r="O25" s="61"/>
      <c r="P25" s="21" t="s">
        <v>137</v>
      </c>
      <c r="Q25" s="21" t="s">
        <v>65</v>
      </c>
      <c r="R25" s="21" t="s">
        <v>112</v>
      </c>
      <c r="S25" s="21" t="s">
        <v>11</v>
      </c>
      <c r="T25" s="61" t="s">
        <v>41</v>
      </c>
      <c r="U25" s="61"/>
      <c r="V25" s="21" t="s">
        <v>137</v>
      </c>
      <c r="W25" s="21" t="s">
        <v>65</v>
      </c>
      <c r="X25" s="21" t="s">
        <v>112</v>
      </c>
      <c r="Y25" s="21" t="s">
        <v>11</v>
      </c>
      <c r="Z25" s="61" t="s">
        <v>41</v>
      </c>
      <c r="AA25" s="61"/>
      <c r="AB25" s="21" t="s">
        <v>137</v>
      </c>
      <c r="AC25" s="21" t="s">
        <v>65</v>
      </c>
      <c r="AD25" s="21" t="s">
        <v>112</v>
      </c>
      <c r="AE25" s="21" t="s">
        <v>11</v>
      </c>
      <c r="AF25" s="61" t="s">
        <v>41</v>
      </c>
      <c r="AG25" s="61"/>
      <c r="AH25" s="21" t="s">
        <v>137</v>
      </c>
      <c r="AI25" s="21" t="s">
        <v>65</v>
      </c>
      <c r="AJ25" s="21" t="s">
        <v>112</v>
      </c>
      <c r="AK25" s="21" t="s">
        <v>11</v>
      </c>
      <c r="AL25" s="61" t="s">
        <v>41</v>
      </c>
      <c r="AM25" s="61"/>
      <c r="AN25" s="21" t="s">
        <v>137</v>
      </c>
      <c r="AO25" s="21" t="s">
        <v>65</v>
      </c>
      <c r="AP25" s="21" t="s">
        <v>112</v>
      </c>
      <c r="AQ25" s="21" t="s">
        <v>11</v>
      </c>
      <c r="AR25" s="61" t="s">
        <v>41</v>
      </c>
      <c r="AT25" s="21" t="s">
        <v>137</v>
      </c>
      <c r="AU25" s="21" t="s">
        <v>65</v>
      </c>
      <c r="AV25" s="21" t="s">
        <v>112</v>
      </c>
      <c r="AW25" s="21" t="s">
        <v>11</v>
      </c>
      <c r="AX25" s="61" t="s">
        <v>41</v>
      </c>
      <c r="AZ25" s="4"/>
      <c r="BA25" s="4"/>
      <c r="BB25" s="4"/>
      <c r="BC25" s="4"/>
    </row>
    <row r="26" ht="16" spans="4:55">
      <c r="J26" s="60" t="s">
        <v>141</v>
      </c>
      <c r="K26" s="63" t="str">
        <f t="shared" ref="K26:K29" si="14">K6</f>
        <v>Tra_EV_Batt-NMC111_virgin</v>
      </c>
      <c r="L26" s="55" t="s">
        <v>327</v>
      </c>
      <c r="M26" s="64">
        <f t="shared" ref="M26:M29" si="15">T73/1000</f>
        <v>0.0774</v>
      </c>
      <c r="N26" s="61">
        <v>2019</v>
      </c>
      <c r="O26" s="61"/>
      <c r="P26" s="60" t="s">
        <v>141</v>
      </c>
      <c r="Q26" s="63" t="str">
        <f t="shared" ref="Q26:Q29" si="16">Q6</f>
        <v>Tra_EV_Batt-NMC532_virgin</v>
      </c>
      <c r="R26" s="55" t="s">
        <v>327</v>
      </c>
      <c r="S26" s="70">
        <f t="shared" ref="S26:S29" si="17">S32/1000</f>
        <v>0.072</v>
      </c>
      <c r="T26" s="61">
        <v>2019</v>
      </c>
      <c r="U26" s="61"/>
      <c r="V26" s="60" t="s">
        <v>141</v>
      </c>
      <c r="W26" s="63" t="str">
        <f t="shared" ref="W26:W29" si="18">W6</f>
        <v>Tra_EV_Batt-NMC622_virgin</v>
      </c>
      <c r="X26" s="55" t="s">
        <v>327</v>
      </c>
      <c r="Y26" s="70">
        <f t="shared" ref="Y26:Y29" si="19">Y32/1000</f>
        <v>0.0719</v>
      </c>
      <c r="Z26" s="61">
        <v>2019</v>
      </c>
      <c r="AA26" s="61"/>
      <c r="AB26" s="60" t="s">
        <v>141</v>
      </c>
      <c r="AC26" s="63" t="str">
        <f t="shared" ref="AC26:AC29" si="20">AC6</f>
        <v>Tra_EV_Batt-NMC811_virgin</v>
      </c>
      <c r="AD26" s="55" t="s">
        <v>327</v>
      </c>
      <c r="AE26" s="70">
        <f t="shared" ref="AE26:AE29" si="21">AE32/1000</f>
        <v>0.0731</v>
      </c>
      <c r="AF26" s="61">
        <v>2019</v>
      </c>
      <c r="AG26" s="61"/>
      <c r="AH26" s="60" t="s">
        <v>141</v>
      </c>
      <c r="AI26" s="63" t="str">
        <f t="shared" ref="AI26:AI29" si="22">AI6</f>
        <v>Tra_EV_Batt-NCA_virgin</v>
      </c>
      <c r="AJ26" s="55" t="s">
        <v>327</v>
      </c>
      <c r="AK26" s="70">
        <f t="shared" ref="AK26:AK29" si="23">AK32/1000</f>
        <v>0.0776999999999999</v>
      </c>
      <c r="AL26" s="61">
        <v>2019</v>
      </c>
      <c r="AM26" s="61"/>
      <c r="AN26" s="60" t="s">
        <v>141</v>
      </c>
      <c r="AO26" s="63" t="str">
        <f t="shared" ref="AO26:AO29" si="24">AO6</f>
        <v>Tra_EV_Batt-LMO_virgin</v>
      </c>
      <c r="AP26" s="55" t="s">
        <v>327</v>
      </c>
      <c r="AQ26" s="70">
        <f t="shared" ref="AQ26:AQ29" si="25">AQ32/1000</f>
        <v>0.0431</v>
      </c>
      <c r="AR26" s="61">
        <v>2019</v>
      </c>
      <c r="AS26" s="58"/>
      <c r="AT26" s="60" t="s">
        <v>141</v>
      </c>
      <c r="AU26" s="63" t="str">
        <f t="shared" ref="AU26:AU29" si="26">AU6</f>
        <v>Tra_EV_Batt-LFP_virgin</v>
      </c>
      <c r="AV26" s="55" t="s">
        <v>327</v>
      </c>
      <c r="AW26" s="70">
        <f t="shared" ref="AW26:AW29" si="27">AW32/1000</f>
        <v>0.0478</v>
      </c>
      <c r="AX26" s="61">
        <v>2019</v>
      </c>
    </row>
    <row r="27" ht="16" spans="4:55">
      <c r="J27" s="60" t="s">
        <v>141</v>
      </c>
      <c r="K27" s="63" t="str">
        <f t="shared" si="14"/>
        <v>Tra_EV_Batt-NMC111_virgin</v>
      </c>
      <c r="L27" s="55" t="s">
        <v>328</v>
      </c>
      <c r="M27" s="64">
        <f t="shared" si="15"/>
        <v>0.2366</v>
      </c>
      <c r="N27" s="61">
        <v>2019</v>
      </c>
      <c r="O27" s="61"/>
      <c r="P27" s="60" t="s">
        <v>141</v>
      </c>
      <c r="Q27" s="63" t="str">
        <f t="shared" si="16"/>
        <v>Tra_EV_Batt-NMC532_virgin</v>
      </c>
      <c r="R27" s="55" t="s">
        <v>328</v>
      </c>
      <c r="S27" s="70">
        <f t="shared" si="17"/>
        <v>0.2252</v>
      </c>
      <c r="T27" s="61">
        <v>2019</v>
      </c>
      <c r="U27" s="61"/>
      <c r="V27" s="60" t="s">
        <v>141</v>
      </c>
      <c r="W27" s="63" t="str">
        <f t="shared" si="18"/>
        <v>Tra_EV_Batt-NMC622_virgin</v>
      </c>
      <c r="X27" s="55" t="s">
        <v>328</v>
      </c>
      <c r="Y27" s="70">
        <f t="shared" si="19"/>
        <v>0.2255</v>
      </c>
      <c r="Z27" s="61">
        <v>2019</v>
      </c>
      <c r="AA27" s="61"/>
      <c r="AB27" s="60" t="s">
        <v>141</v>
      </c>
      <c r="AC27" s="63" t="str">
        <f t="shared" si="20"/>
        <v>Tra_EV_Batt-NMC811_virgin</v>
      </c>
      <c r="AD27" s="55" t="s">
        <v>328</v>
      </c>
      <c r="AE27" s="70">
        <f t="shared" si="21"/>
        <v>0.2198</v>
      </c>
      <c r="AF27" s="61">
        <v>2019</v>
      </c>
      <c r="AG27" s="61"/>
      <c r="AH27" s="60" t="s">
        <v>141</v>
      </c>
      <c r="AI27" s="63" t="str">
        <f t="shared" si="22"/>
        <v>Tra_EV_Batt-NCA_virgin</v>
      </c>
      <c r="AJ27" s="55" t="s">
        <v>328</v>
      </c>
      <c r="AK27" s="70">
        <f t="shared" si="23"/>
        <v>0.2322</v>
      </c>
      <c r="AL27" s="61">
        <v>2019</v>
      </c>
      <c r="AM27" s="61"/>
      <c r="AN27" s="60" t="s">
        <v>141</v>
      </c>
      <c r="AO27" s="63" t="str">
        <f t="shared" si="24"/>
        <v>Tra_EV_Batt-LMO_virgin</v>
      </c>
      <c r="AP27" s="55" t="s">
        <v>328</v>
      </c>
      <c r="AQ27" s="70">
        <f t="shared" si="25"/>
        <v>0.1108</v>
      </c>
      <c r="AR27" s="61">
        <v>2019</v>
      </c>
      <c r="AS27" s="58"/>
      <c r="AT27" s="60" t="s">
        <v>141</v>
      </c>
      <c r="AU27" s="63" t="str">
        <f t="shared" si="26"/>
        <v>Tra_EV_Batt-LFP_virgin</v>
      </c>
      <c r="AV27" s="55" t="s">
        <v>328</v>
      </c>
      <c r="AW27" s="70">
        <f t="shared" si="27"/>
        <v>0.1895</v>
      </c>
      <c r="AX27" s="61">
        <v>2019</v>
      </c>
    </row>
    <row r="28" ht="16" spans="4:55">
      <c r="J28" s="60" t="s">
        <v>141</v>
      </c>
      <c r="K28" s="63" t="str">
        <f t="shared" si="14"/>
        <v>Tra_EV_Batt-NMC111_virgin</v>
      </c>
      <c r="L28" s="55" t="s">
        <v>329</v>
      </c>
      <c r="M28" s="64">
        <f t="shared" si="15"/>
        <v>0.5598</v>
      </c>
      <c r="N28" s="61">
        <v>2019</v>
      </c>
      <c r="O28" s="61"/>
      <c r="P28" s="60" t="s">
        <v>141</v>
      </c>
      <c r="Q28" s="63" t="str">
        <f t="shared" si="16"/>
        <v>Tra_EV_Batt-NMC532_virgin</v>
      </c>
      <c r="R28" s="55" t="s">
        <v>329</v>
      </c>
      <c r="S28" s="70">
        <f t="shared" si="17"/>
        <v>0.5321</v>
      </c>
      <c r="T28" s="61">
        <v>2019</v>
      </c>
      <c r="U28" s="61"/>
      <c r="V28" s="60" t="s">
        <v>141</v>
      </c>
      <c r="W28" s="63" t="str">
        <f t="shared" si="18"/>
        <v>Tra_EV_Batt-NMC622_virgin</v>
      </c>
      <c r="X28" s="55" t="s">
        <v>329</v>
      </c>
      <c r="Y28" s="70">
        <f t="shared" si="19"/>
        <v>0.5339</v>
      </c>
      <c r="Z28" s="61">
        <v>2019</v>
      </c>
      <c r="AA28" s="61"/>
      <c r="AB28" s="60" t="s">
        <v>141</v>
      </c>
      <c r="AC28" s="63" t="str">
        <f t="shared" si="20"/>
        <v>Tra_EV_Batt-NMC811_virgin</v>
      </c>
      <c r="AD28" s="55" t="s">
        <v>329</v>
      </c>
      <c r="AE28" s="70">
        <f t="shared" si="21"/>
        <v>0.5264</v>
      </c>
      <c r="AF28" s="61">
        <v>2019</v>
      </c>
      <c r="AG28" s="61"/>
      <c r="AH28" s="60" t="s">
        <v>141</v>
      </c>
      <c r="AI28" s="63" t="str">
        <f t="shared" si="22"/>
        <v>Tra_EV_Batt-NCA_virgin</v>
      </c>
      <c r="AJ28" s="55" t="s">
        <v>329</v>
      </c>
      <c r="AK28" s="70">
        <f t="shared" si="23"/>
        <v>0.5702</v>
      </c>
      <c r="AL28" s="61">
        <v>2019</v>
      </c>
      <c r="AM28" s="61"/>
      <c r="AN28" s="60" t="s">
        <v>141</v>
      </c>
      <c r="AO28" s="63" t="str">
        <f t="shared" si="24"/>
        <v>Tra_EV_Batt-LMO_virgin</v>
      </c>
      <c r="AP28" s="55" t="s">
        <v>329</v>
      </c>
      <c r="AQ28" s="70">
        <f t="shared" si="25"/>
        <v>0.3858</v>
      </c>
      <c r="AR28" s="61">
        <v>2019</v>
      </c>
      <c r="AS28" s="58"/>
      <c r="AT28" s="60" t="s">
        <v>141</v>
      </c>
      <c r="AU28" s="63" t="str">
        <f t="shared" si="26"/>
        <v>Tra_EV_Batt-LFP_virgin</v>
      </c>
      <c r="AV28" s="55" t="s">
        <v>329</v>
      </c>
      <c r="AW28" s="70">
        <f t="shared" si="27"/>
        <v>0.453</v>
      </c>
      <c r="AX28" s="61">
        <v>2019</v>
      </c>
    </row>
    <row r="29" ht="16" spans="4:55">
      <c r="J29" s="60" t="s">
        <v>141</v>
      </c>
      <c r="K29" s="63" t="str">
        <f t="shared" si="14"/>
        <v>Tra_EV_Batt-NMC111_virgin</v>
      </c>
      <c r="L29" s="55" t="s">
        <v>330</v>
      </c>
      <c r="M29" s="64">
        <f t="shared" si="15"/>
        <v>0.1277</v>
      </c>
      <c r="N29" s="61">
        <v>2019</v>
      </c>
      <c r="O29" s="61"/>
      <c r="P29" s="60" t="s">
        <v>141</v>
      </c>
      <c r="Q29" s="63" t="str">
        <f t="shared" si="16"/>
        <v>Tra_EV_Batt-NMC532_virgin</v>
      </c>
      <c r="R29" s="55" t="s">
        <v>330</v>
      </c>
      <c r="S29" s="70">
        <f t="shared" si="17"/>
        <v>0.134</v>
      </c>
      <c r="T29" s="61">
        <v>2019</v>
      </c>
      <c r="U29" s="61"/>
      <c r="V29" s="60" t="s">
        <v>141</v>
      </c>
      <c r="W29" s="63" t="str">
        <f t="shared" si="18"/>
        <v>Tra_EV_Batt-NMC622_virgin</v>
      </c>
      <c r="X29" s="55" t="s">
        <v>330</v>
      </c>
      <c r="Y29" s="70">
        <f t="shared" si="19"/>
        <v>0.1406</v>
      </c>
      <c r="Z29" s="61">
        <v>2019</v>
      </c>
      <c r="AA29" s="61"/>
      <c r="AB29" s="60" t="s">
        <v>141</v>
      </c>
      <c r="AC29" s="63" t="str">
        <f t="shared" si="20"/>
        <v>Tra_EV_Batt-NMC811_virgin</v>
      </c>
      <c r="AD29" s="55" t="s">
        <v>330</v>
      </c>
      <c r="AE29" s="70">
        <f t="shared" si="21"/>
        <v>0.1502</v>
      </c>
      <c r="AF29" s="61">
        <v>2019</v>
      </c>
      <c r="AG29" s="61"/>
      <c r="AH29" s="60" t="s">
        <v>141</v>
      </c>
      <c r="AI29" s="63" t="str">
        <f t="shared" si="22"/>
        <v>Tra_EV_Batt-NCA_virgin</v>
      </c>
      <c r="AJ29" s="55" t="s">
        <v>330</v>
      </c>
      <c r="AK29" s="70">
        <f t="shared" si="23"/>
        <v>0.1611</v>
      </c>
      <c r="AL29" s="61">
        <v>2019</v>
      </c>
      <c r="AM29" s="61"/>
      <c r="AN29" s="60" t="s">
        <v>141</v>
      </c>
      <c r="AO29" s="63" t="str">
        <f t="shared" si="24"/>
        <v>Tra_EV_Batt-LMO_virgin</v>
      </c>
      <c r="AP29" s="55" t="s">
        <v>330</v>
      </c>
      <c r="AQ29" s="70">
        <f t="shared" si="25"/>
        <v>0.0572</v>
      </c>
      <c r="AR29" s="61">
        <v>2019</v>
      </c>
      <c r="AS29" s="58"/>
      <c r="AT29" s="60" t="s">
        <v>141</v>
      </c>
      <c r="AU29" s="63" t="str">
        <f t="shared" si="26"/>
        <v>Tra_EV_Batt-LFP_virgin</v>
      </c>
      <c r="AV29" s="55" t="s">
        <v>330</v>
      </c>
      <c r="AW29" s="70">
        <f t="shared" si="27"/>
        <v>0.0955</v>
      </c>
      <c r="AX29" s="61">
        <v>2019</v>
      </c>
    </row>
    <row r="32" ht="14.5" spans="4:55">
      <c r="S32" s="69">
        <f t="shared" ref="S32:S35" si="28">U73</f>
        <v>72</v>
      </c>
      <c r="Y32" s="69">
        <f t="shared" ref="Y32:Y35" si="29">V73</f>
        <v>71.9</v>
      </c>
      <c r="AE32" s="69">
        <f t="shared" ref="AE32:AE35" si="30">W73</f>
        <v>73.1</v>
      </c>
      <c r="AK32" s="69">
        <f t="shared" ref="AK32:AK35" si="31">X73</f>
        <v>77.6999999999999</v>
      </c>
      <c r="AQ32" s="69">
        <f t="shared" ref="AQ32:AQ35" si="32">Y73</f>
        <v>43.1</v>
      </c>
      <c r="AW32" s="69">
        <f t="shared" ref="AW32:AW35" si="33">Z73</f>
        <v>47.8</v>
      </c>
    </row>
    <row r="33" ht="14.5" spans="17:49">
      <c r="S33" s="69">
        <f t="shared" si="28"/>
        <v>225.2</v>
      </c>
      <c r="Y33" s="69">
        <f t="shared" si="29"/>
        <v>225.5</v>
      </c>
      <c r="AE33" s="69">
        <f t="shared" si="30"/>
        <v>219.8</v>
      </c>
      <c r="AK33" s="69">
        <f t="shared" si="31"/>
        <v>232.2</v>
      </c>
      <c r="AQ33" s="69">
        <f t="shared" si="32"/>
        <v>110.8</v>
      </c>
      <c r="AW33" s="69">
        <f t="shared" si="33"/>
        <v>189.5</v>
      </c>
    </row>
    <row r="34" ht="14.5" spans="17:49">
      <c r="S34" s="69">
        <f t="shared" si="28"/>
        <v>532.1</v>
      </c>
      <c r="Y34" s="69">
        <f t="shared" si="29"/>
        <v>533.9</v>
      </c>
      <c r="AE34" s="69">
        <f t="shared" si="30"/>
        <v>526.4</v>
      </c>
      <c r="AK34" s="69">
        <f t="shared" si="31"/>
        <v>570.2</v>
      </c>
      <c r="AQ34" s="69">
        <f t="shared" si="32"/>
        <v>385.8</v>
      </c>
      <c r="AW34" s="69">
        <f t="shared" si="33"/>
        <v>453</v>
      </c>
    </row>
    <row r="35" ht="14.5" spans="17:49">
      <c r="S35" s="69">
        <f t="shared" si="28"/>
        <v>134</v>
      </c>
      <c r="Y35" s="69">
        <f t="shared" si="29"/>
        <v>140.6</v>
      </c>
      <c r="AE35" s="69">
        <f t="shared" si="30"/>
        <v>150.2</v>
      </c>
      <c r="AK35" s="69">
        <f t="shared" si="31"/>
        <v>161.1</v>
      </c>
      <c r="AQ35" s="69">
        <f t="shared" si="32"/>
        <v>57.2</v>
      </c>
      <c r="AW35" s="69">
        <f t="shared" si="33"/>
        <v>95.5</v>
      </c>
    </row>
    <row r="42" ht="14.5" spans="17:49">
      <c r="Q42" s="1" t="s">
        <v>331</v>
      </c>
      <c r="R42" s="1"/>
      <c r="S42" s="1"/>
      <c r="T42" s="1"/>
      <c r="U42" s="1"/>
      <c r="V42" s="1"/>
      <c r="W42" s="1"/>
      <c r="X42" s="1"/>
      <c r="Y42" s="1"/>
      <c r="Z42" s="1"/>
    </row>
    <row r="43" ht="15.5" spans="17:49">
      <c r="Q43" s="71" t="s">
        <v>332</v>
      </c>
      <c r="R43" s="71" t="s">
        <v>333</v>
      </c>
      <c r="S43" s="72" t="s">
        <v>334</v>
      </c>
      <c r="T43" s="72"/>
      <c r="U43" s="72"/>
      <c r="V43" s="72"/>
      <c r="W43" s="72"/>
      <c r="X43" s="72"/>
      <c r="Y43" s="72"/>
      <c r="Z43" s="72"/>
    </row>
    <row r="44" ht="15.5" spans="17:49">
      <c r="Q44" s="71"/>
      <c r="R44" s="71"/>
      <c r="S44" s="72" t="s">
        <v>335</v>
      </c>
      <c r="T44" s="72" t="s">
        <v>336</v>
      </c>
      <c r="U44" s="72" t="s">
        <v>337</v>
      </c>
      <c r="V44" s="72" t="s">
        <v>338</v>
      </c>
      <c r="W44" s="72" t="s">
        <v>339</v>
      </c>
      <c r="X44" s="72" t="s">
        <v>340</v>
      </c>
      <c r="Y44" s="72" t="s">
        <v>341</v>
      </c>
      <c r="Z44" s="72" t="s">
        <v>342</v>
      </c>
    </row>
    <row r="45" ht="15.5" spans="17:49">
      <c r="Q45" s="71" t="s">
        <v>343</v>
      </c>
      <c r="R45" s="73" t="s">
        <v>344</v>
      </c>
      <c r="S45" s="74">
        <v>1211.3</v>
      </c>
      <c r="T45" s="74">
        <v>990.7</v>
      </c>
      <c r="U45" s="74">
        <v>952.4</v>
      </c>
      <c r="V45" s="74">
        <v>961</v>
      </c>
      <c r="W45" s="74">
        <v>958.7</v>
      </c>
      <c r="X45" s="74">
        <v>1030.2</v>
      </c>
      <c r="Y45" s="74">
        <v>586.1</v>
      </c>
      <c r="Z45" s="74">
        <v>775</v>
      </c>
    </row>
    <row r="46" ht="15.5" spans="17:49">
      <c r="Q46" s="71"/>
      <c r="R46" s="73" t="s">
        <v>345</v>
      </c>
      <c r="S46" s="74">
        <v>1103.7</v>
      </c>
      <c r="T46" s="74">
        <v>913.9</v>
      </c>
      <c r="U46" s="74">
        <v>881.1</v>
      </c>
      <c r="V46" s="74">
        <v>889.8</v>
      </c>
      <c r="W46" s="74">
        <v>886.2</v>
      </c>
      <c r="X46" s="74">
        <v>953.2</v>
      </c>
      <c r="Y46" s="74">
        <v>543.7</v>
      </c>
      <c r="Z46" s="74">
        <v>727.8</v>
      </c>
    </row>
    <row r="47" ht="15.5" spans="17:49">
      <c r="Q47" s="71"/>
      <c r="R47" s="73" t="s">
        <v>346</v>
      </c>
      <c r="S47" s="74">
        <v>267.3</v>
      </c>
      <c r="T47" s="74">
        <v>202.6</v>
      </c>
      <c r="U47" s="74">
        <v>191.3</v>
      </c>
      <c r="V47" s="74">
        <v>191.5</v>
      </c>
      <c r="W47" s="74">
        <v>185.9</v>
      </c>
      <c r="X47" s="74">
        <v>198.2</v>
      </c>
      <c r="Y47" s="74">
        <v>76.8</v>
      </c>
      <c r="Z47" s="74">
        <v>155.5</v>
      </c>
    </row>
    <row r="48" ht="15.5" spans="17:49">
      <c r="Q48" s="71"/>
      <c r="R48" s="73" t="s">
        <v>347</v>
      </c>
      <c r="S48" s="74">
        <v>692.5</v>
      </c>
      <c r="T48" s="74">
        <v>583.8</v>
      </c>
      <c r="U48" s="74">
        <v>556.1</v>
      </c>
      <c r="V48" s="74">
        <v>557.9</v>
      </c>
      <c r="W48" s="74">
        <v>550.5</v>
      </c>
      <c r="X48" s="74">
        <v>594.2</v>
      </c>
      <c r="Y48" s="74">
        <v>409.9</v>
      </c>
      <c r="Z48" s="74">
        <v>477</v>
      </c>
    </row>
    <row r="49" ht="15.5" spans="17:26">
      <c r="Q49" s="71"/>
      <c r="R49" s="73" t="s">
        <v>348</v>
      </c>
      <c r="S49" s="74">
        <v>144</v>
      </c>
      <c r="T49" s="74">
        <v>127.5</v>
      </c>
      <c r="U49" s="74">
        <v>133.7</v>
      </c>
      <c r="V49" s="74">
        <v>140.3</v>
      </c>
      <c r="W49" s="74">
        <v>149.9</v>
      </c>
      <c r="X49" s="74">
        <v>160.8</v>
      </c>
      <c r="Y49" s="74">
        <v>57</v>
      </c>
      <c r="Z49" s="74">
        <v>95.2</v>
      </c>
    </row>
    <row r="50" ht="15.5" spans="17:26">
      <c r="Q50" s="71" t="s">
        <v>241</v>
      </c>
      <c r="R50" s="73" t="s">
        <v>344</v>
      </c>
      <c r="S50" s="74">
        <v>1217.1</v>
      </c>
      <c r="T50" s="74">
        <v>996.4</v>
      </c>
      <c r="U50" s="74">
        <v>958.2</v>
      </c>
      <c r="V50" s="74">
        <v>966.8</v>
      </c>
      <c r="W50" s="74">
        <v>964.4</v>
      </c>
      <c r="X50" s="74">
        <v>1036</v>
      </c>
      <c r="Y50" s="74">
        <v>591.9</v>
      </c>
      <c r="Z50" s="74">
        <v>780.8</v>
      </c>
    </row>
    <row r="51" ht="15.5" spans="17:26">
      <c r="Q51" s="71"/>
      <c r="R51" s="73" t="s">
        <v>345</v>
      </c>
      <c r="S51" s="74">
        <v>1109.8</v>
      </c>
      <c r="T51" s="74">
        <v>920</v>
      </c>
      <c r="U51" s="74">
        <v>887.2</v>
      </c>
      <c r="V51" s="74">
        <v>895.9</v>
      </c>
      <c r="W51" s="74">
        <v>892.3</v>
      </c>
      <c r="X51" s="74">
        <v>959.3</v>
      </c>
      <c r="Y51" s="74">
        <v>549.8</v>
      </c>
      <c r="Z51" s="74">
        <v>733.9</v>
      </c>
    </row>
    <row r="52" ht="15.5" spans="17:26">
      <c r="Q52" s="71"/>
      <c r="R52" s="73" t="s">
        <v>346</v>
      </c>
      <c r="S52" s="74">
        <v>280.2</v>
      </c>
      <c r="T52" s="74">
        <v>215.6</v>
      </c>
      <c r="U52" s="74">
        <v>204.2</v>
      </c>
      <c r="V52" s="74">
        <v>204.5</v>
      </c>
      <c r="W52" s="74">
        <v>198.8</v>
      </c>
      <c r="X52" s="74">
        <v>211.1</v>
      </c>
      <c r="Y52" s="74">
        <v>89.8</v>
      </c>
      <c r="Z52" s="74">
        <v>168.5</v>
      </c>
    </row>
    <row r="53" ht="15.5" spans="17:26">
      <c r="Q53" s="71"/>
      <c r="R53" s="73" t="s">
        <v>347</v>
      </c>
      <c r="S53" s="74">
        <v>684.6</v>
      </c>
      <c r="T53" s="74">
        <v>575.9</v>
      </c>
      <c r="U53" s="74">
        <v>548.2</v>
      </c>
      <c r="V53" s="74">
        <v>550</v>
      </c>
      <c r="W53" s="74">
        <v>542.6</v>
      </c>
      <c r="X53" s="74">
        <v>586.3</v>
      </c>
      <c r="Y53" s="74">
        <v>402</v>
      </c>
      <c r="Z53" s="74">
        <v>469.1</v>
      </c>
    </row>
    <row r="54" ht="15.5" spans="17:26">
      <c r="Q54" s="71"/>
      <c r="R54" s="73" t="s">
        <v>348</v>
      </c>
      <c r="S54" s="74">
        <v>145</v>
      </c>
      <c r="T54" s="74">
        <v>128.5</v>
      </c>
      <c r="U54" s="74">
        <v>134.7</v>
      </c>
      <c r="V54" s="74">
        <v>141.3</v>
      </c>
      <c r="W54" s="74">
        <v>150.9</v>
      </c>
      <c r="X54" s="74">
        <v>161.9</v>
      </c>
      <c r="Y54" s="74">
        <v>58</v>
      </c>
      <c r="Z54" s="74">
        <v>96.3</v>
      </c>
    </row>
    <row r="55" ht="15.5" spans="17:26">
      <c r="Q55" s="71" t="s">
        <v>11</v>
      </c>
      <c r="R55" s="73" t="s">
        <v>344</v>
      </c>
      <c r="S55" s="74">
        <v>1222.2</v>
      </c>
      <c r="T55" s="74">
        <v>1001.5</v>
      </c>
      <c r="U55" s="74">
        <v>963.3</v>
      </c>
      <c r="V55" s="74">
        <v>971.9</v>
      </c>
      <c r="W55" s="74">
        <v>969.5</v>
      </c>
      <c r="X55" s="74">
        <v>1041.1</v>
      </c>
      <c r="Y55" s="74">
        <v>597</v>
      </c>
      <c r="Z55" s="74">
        <v>785.8</v>
      </c>
    </row>
    <row r="56" ht="15.5" spans="17:26">
      <c r="Q56" s="71"/>
      <c r="R56" s="73" t="s">
        <v>345</v>
      </c>
      <c r="S56" s="74">
        <v>1113.9</v>
      </c>
      <c r="T56" s="74">
        <v>924.1</v>
      </c>
      <c r="U56" s="74">
        <v>891.3</v>
      </c>
      <c r="V56" s="74">
        <v>900</v>
      </c>
      <c r="W56" s="74">
        <v>896.4</v>
      </c>
      <c r="X56" s="74">
        <v>963.4</v>
      </c>
      <c r="Y56" s="74">
        <v>553.9</v>
      </c>
      <c r="Z56" s="74">
        <v>738</v>
      </c>
    </row>
    <row r="57" ht="15.5" spans="17:26">
      <c r="Q57" s="71"/>
      <c r="R57" s="73" t="s">
        <v>346</v>
      </c>
      <c r="S57" s="74">
        <v>301.2</v>
      </c>
      <c r="T57" s="74">
        <v>236.6</v>
      </c>
      <c r="U57" s="74">
        <v>225.2</v>
      </c>
      <c r="V57" s="74">
        <v>225.5</v>
      </c>
      <c r="W57" s="74">
        <v>219.8</v>
      </c>
      <c r="X57" s="74">
        <v>232.2</v>
      </c>
      <c r="Y57" s="74">
        <v>110.8</v>
      </c>
      <c r="Z57" s="74">
        <v>189.5</v>
      </c>
    </row>
    <row r="58" ht="15.5" spans="17:26">
      <c r="Q58" s="71"/>
      <c r="R58" s="73" t="s">
        <v>347</v>
      </c>
      <c r="S58" s="74">
        <v>668.4</v>
      </c>
      <c r="T58" s="74">
        <v>559.8</v>
      </c>
      <c r="U58" s="74">
        <v>532.1</v>
      </c>
      <c r="V58" s="74">
        <v>533.9</v>
      </c>
      <c r="W58" s="74">
        <v>526.4</v>
      </c>
      <c r="X58" s="74">
        <v>570.2</v>
      </c>
      <c r="Y58" s="74">
        <v>385.8</v>
      </c>
      <c r="Z58" s="74">
        <v>453</v>
      </c>
    </row>
    <row r="59" ht="15.5" spans="17:26">
      <c r="Q59" s="71"/>
      <c r="R59" s="73" t="s">
        <v>348</v>
      </c>
      <c r="S59" s="74">
        <v>144.2</v>
      </c>
      <c r="T59" s="74">
        <v>127.7</v>
      </c>
      <c r="U59" s="74">
        <v>134</v>
      </c>
      <c r="V59" s="74">
        <v>140.6</v>
      </c>
      <c r="W59" s="74">
        <v>150.2</v>
      </c>
      <c r="X59" s="74">
        <v>161.1</v>
      </c>
      <c r="Y59" s="74">
        <v>57.2</v>
      </c>
      <c r="Z59" s="74">
        <v>95.5</v>
      </c>
    </row>
    <row r="60" ht="15.5" spans="17:26">
      <c r="Q60" s="72"/>
      <c r="R60" s="72"/>
      <c r="S60" s="74"/>
      <c r="T60" s="74"/>
      <c r="U60" s="74"/>
      <c r="V60" s="74"/>
      <c r="W60" s="74"/>
      <c r="X60" s="74"/>
      <c r="Y60" s="74"/>
      <c r="Z60" s="74"/>
    </row>
    <row r="61" ht="15.5" spans="17:26">
      <c r="Q61" s="72" t="s">
        <v>349</v>
      </c>
      <c r="R61" s="72"/>
      <c r="S61" s="72"/>
      <c r="T61" s="72"/>
      <c r="U61" s="72"/>
      <c r="V61" s="72"/>
      <c r="W61" s="72"/>
      <c r="X61" s="72"/>
      <c r="Y61" s="72"/>
      <c r="Z61" s="72"/>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2" t="s">
        <v>335</v>
      </c>
      <c r="T64" s="72" t="s">
        <v>336</v>
      </c>
      <c r="U64" s="72" t="s">
        <v>337</v>
      </c>
      <c r="V64" s="72" t="s">
        <v>338</v>
      </c>
      <c r="W64" s="72" t="s">
        <v>339</v>
      </c>
      <c r="X64" s="72" t="s">
        <v>340</v>
      </c>
      <c r="Y64" s="72" t="s">
        <v>341</v>
      </c>
      <c r="Z64" s="72" t="s">
        <v>342</v>
      </c>
    </row>
    <row r="65" ht="14.5" spans="17:26">
      <c r="Q65" s="75" t="s">
        <v>343</v>
      </c>
      <c r="R65" s="75" t="s">
        <v>122</v>
      </c>
      <c r="S65" s="76">
        <f t="shared" ref="S65:Z65" si="34">S45-S46</f>
        <v>107.6</v>
      </c>
      <c r="T65" s="77">
        <f t="shared" si="34"/>
        <v>76.8000000000001</v>
      </c>
      <c r="U65" s="77">
        <f t="shared" si="34"/>
        <v>71.3</v>
      </c>
      <c r="V65" s="77">
        <f t="shared" si="34"/>
        <v>71.2</v>
      </c>
      <c r="W65" s="77">
        <f t="shared" si="34"/>
        <v>72.5</v>
      </c>
      <c r="X65" s="77">
        <f t="shared" si="34"/>
        <v>77</v>
      </c>
      <c r="Y65" s="77">
        <f t="shared" si="34"/>
        <v>42.4</v>
      </c>
      <c r="Z65" s="77">
        <f t="shared" si="34"/>
        <v>47.2</v>
      </c>
    </row>
    <row r="66" ht="15.5" spans="17:26">
      <c r="Q66" s="75"/>
      <c r="R66" s="78" t="s">
        <v>346</v>
      </c>
      <c r="S66" s="76">
        <f t="shared" ref="S66:Z66" si="35">S47</f>
        <v>267.3</v>
      </c>
      <c r="T66" s="77">
        <f t="shared" si="35"/>
        <v>202.6</v>
      </c>
      <c r="U66" s="77">
        <f t="shared" si="35"/>
        <v>191.3</v>
      </c>
      <c r="V66" s="77">
        <f t="shared" si="35"/>
        <v>191.5</v>
      </c>
      <c r="W66" s="77">
        <f t="shared" si="35"/>
        <v>185.9</v>
      </c>
      <c r="X66" s="77">
        <f t="shared" si="35"/>
        <v>198.2</v>
      </c>
      <c r="Y66" s="77">
        <f t="shared" si="35"/>
        <v>76.8</v>
      </c>
      <c r="Z66" s="77">
        <f t="shared" si="35"/>
        <v>155.5</v>
      </c>
    </row>
    <row r="67" ht="15.5" spans="17:26">
      <c r="Q67" s="75"/>
      <c r="R67" s="78" t="s">
        <v>347</v>
      </c>
      <c r="S67" s="76">
        <f t="shared" ref="S67:Z67" si="36">S48</f>
        <v>692.5</v>
      </c>
      <c r="T67" s="77">
        <f t="shared" si="36"/>
        <v>583.8</v>
      </c>
      <c r="U67" s="77">
        <f t="shared" si="36"/>
        <v>556.1</v>
      </c>
      <c r="V67" s="77">
        <f t="shared" si="36"/>
        <v>557.9</v>
      </c>
      <c r="W67" s="77">
        <f t="shared" si="36"/>
        <v>550.5</v>
      </c>
      <c r="X67" s="77">
        <f t="shared" si="36"/>
        <v>594.2</v>
      </c>
      <c r="Y67" s="77">
        <f t="shared" si="36"/>
        <v>409.9</v>
      </c>
      <c r="Z67" s="77">
        <f t="shared" si="36"/>
        <v>477</v>
      </c>
    </row>
    <row r="68" ht="15.5" spans="17:26">
      <c r="Q68" s="75"/>
      <c r="R68" s="78" t="s">
        <v>348</v>
      </c>
      <c r="S68" s="76">
        <f t="shared" ref="S68:Z68" si="37">S49</f>
        <v>144</v>
      </c>
      <c r="T68" s="77">
        <f t="shared" si="37"/>
        <v>127.5</v>
      </c>
      <c r="U68" s="77">
        <f t="shared" si="37"/>
        <v>133.7</v>
      </c>
      <c r="V68" s="77">
        <f t="shared" si="37"/>
        <v>140.3</v>
      </c>
      <c r="W68" s="77">
        <f t="shared" si="37"/>
        <v>149.9</v>
      </c>
      <c r="X68" s="77">
        <f t="shared" si="37"/>
        <v>160.8</v>
      </c>
      <c r="Y68" s="77">
        <f t="shared" si="37"/>
        <v>57</v>
      </c>
      <c r="Z68" s="77">
        <f t="shared" si="37"/>
        <v>95.2</v>
      </c>
    </row>
    <row r="69" ht="14.5" spans="17:26">
      <c r="Q69" s="75" t="s">
        <v>241</v>
      </c>
      <c r="R69" s="75" t="s">
        <v>122</v>
      </c>
      <c r="S69" s="76">
        <f t="shared" ref="S69:Z69" si="38">S50-S51</f>
        <v>107.3</v>
      </c>
      <c r="T69" s="77">
        <f t="shared" si="38"/>
        <v>76.4</v>
      </c>
      <c r="U69" s="77">
        <f t="shared" si="38"/>
        <v>71</v>
      </c>
      <c r="V69" s="77">
        <f t="shared" si="38"/>
        <v>70.9</v>
      </c>
      <c r="W69" s="77">
        <f t="shared" si="38"/>
        <v>72.1</v>
      </c>
      <c r="X69" s="77">
        <f t="shared" si="38"/>
        <v>76.7</v>
      </c>
      <c r="Y69" s="77">
        <f t="shared" si="38"/>
        <v>42.1</v>
      </c>
      <c r="Z69" s="77">
        <f t="shared" si="38"/>
        <v>46.9</v>
      </c>
    </row>
    <row r="70" ht="15.5" spans="17:26">
      <c r="Q70" s="75"/>
      <c r="R70" s="78" t="s">
        <v>346</v>
      </c>
      <c r="S70" s="76">
        <f t="shared" ref="S70:Z70" si="39">S52</f>
        <v>280.2</v>
      </c>
      <c r="T70" s="77">
        <f t="shared" si="39"/>
        <v>215.6</v>
      </c>
      <c r="U70" s="77">
        <f t="shared" si="39"/>
        <v>204.2</v>
      </c>
      <c r="V70" s="77">
        <f t="shared" si="39"/>
        <v>204.5</v>
      </c>
      <c r="W70" s="77">
        <f t="shared" si="39"/>
        <v>198.8</v>
      </c>
      <c r="X70" s="77">
        <f t="shared" si="39"/>
        <v>211.1</v>
      </c>
      <c r="Y70" s="77">
        <f t="shared" si="39"/>
        <v>89.8</v>
      </c>
      <c r="Z70" s="77">
        <f t="shared" si="39"/>
        <v>168.5</v>
      </c>
    </row>
    <row r="71" ht="15.5" spans="17:26">
      <c r="Q71" s="75"/>
      <c r="R71" s="78" t="s">
        <v>347</v>
      </c>
      <c r="S71" s="76">
        <f t="shared" ref="S71:Z71" si="40">S53</f>
        <v>684.6</v>
      </c>
      <c r="T71" s="77">
        <f t="shared" si="40"/>
        <v>575.9</v>
      </c>
      <c r="U71" s="77">
        <f t="shared" si="40"/>
        <v>548.2</v>
      </c>
      <c r="V71" s="77">
        <f t="shared" si="40"/>
        <v>550</v>
      </c>
      <c r="W71" s="77">
        <f t="shared" si="40"/>
        <v>542.6</v>
      </c>
      <c r="X71" s="77">
        <f t="shared" si="40"/>
        <v>586.3</v>
      </c>
      <c r="Y71" s="77">
        <f t="shared" si="40"/>
        <v>402</v>
      </c>
      <c r="Z71" s="77">
        <f t="shared" si="40"/>
        <v>469.1</v>
      </c>
    </row>
    <row r="72" ht="15.5" spans="17:26">
      <c r="Q72" s="75"/>
      <c r="R72" s="78" t="s">
        <v>348</v>
      </c>
      <c r="S72" s="76">
        <f t="shared" ref="S72:Z72" si="41">S54</f>
        <v>145</v>
      </c>
      <c r="T72" s="77">
        <f t="shared" si="41"/>
        <v>128.5</v>
      </c>
      <c r="U72" s="77">
        <f t="shared" si="41"/>
        <v>134.7</v>
      </c>
      <c r="V72" s="77">
        <f t="shared" si="41"/>
        <v>141.3</v>
      </c>
      <c r="W72" s="77">
        <f t="shared" si="41"/>
        <v>150.9</v>
      </c>
      <c r="X72" s="77">
        <f t="shared" si="41"/>
        <v>161.9</v>
      </c>
      <c r="Y72" s="77">
        <f t="shared" si="41"/>
        <v>58</v>
      </c>
      <c r="Z72" s="77">
        <f t="shared" si="41"/>
        <v>96.3</v>
      </c>
    </row>
    <row r="73" ht="14.5" spans="17:26">
      <c r="Q73" s="75" t="s">
        <v>11</v>
      </c>
      <c r="R73" s="75" t="s">
        <v>122</v>
      </c>
      <c r="S73" s="76">
        <f t="shared" ref="S73:Z73" si="42">S55-S56</f>
        <v>108.3</v>
      </c>
      <c r="T73" s="77">
        <f t="shared" si="42"/>
        <v>77.4</v>
      </c>
      <c r="U73" s="77">
        <f t="shared" si="42"/>
        <v>72</v>
      </c>
      <c r="V73" s="77">
        <f t="shared" si="42"/>
        <v>71.9</v>
      </c>
      <c r="W73" s="77">
        <f t="shared" si="42"/>
        <v>73.1</v>
      </c>
      <c r="X73" s="77">
        <f t="shared" si="42"/>
        <v>77.6999999999999</v>
      </c>
      <c r="Y73" s="77">
        <f t="shared" si="42"/>
        <v>43.1</v>
      </c>
      <c r="Z73" s="77">
        <f t="shared" si="42"/>
        <v>47.8</v>
      </c>
    </row>
    <row r="74" ht="15.5" spans="17:26">
      <c r="Q74" s="75"/>
      <c r="R74" s="78" t="s">
        <v>346</v>
      </c>
      <c r="S74" s="76">
        <f t="shared" ref="S74:Z74" si="43">S57</f>
        <v>301.2</v>
      </c>
      <c r="T74" s="77">
        <f t="shared" si="43"/>
        <v>236.6</v>
      </c>
      <c r="U74" s="77">
        <f t="shared" si="43"/>
        <v>225.2</v>
      </c>
      <c r="V74" s="77">
        <f t="shared" si="43"/>
        <v>225.5</v>
      </c>
      <c r="W74" s="77">
        <f t="shared" si="43"/>
        <v>219.8</v>
      </c>
      <c r="X74" s="77">
        <f t="shared" si="43"/>
        <v>232.2</v>
      </c>
      <c r="Y74" s="77">
        <f t="shared" si="43"/>
        <v>110.8</v>
      </c>
      <c r="Z74" s="77">
        <f t="shared" si="43"/>
        <v>189.5</v>
      </c>
    </row>
    <row r="75" ht="15.5" spans="17:26">
      <c r="Q75" s="75"/>
      <c r="R75" s="78" t="s">
        <v>347</v>
      </c>
      <c r="S75" s="76">
        <f t="shared" ref="S75:Z75" si="44">S58</f>
        <v>668.4</v>
      </c>
      <c r="T75" s="77">
        <f t="shared" si="44"/>
        <v>559.8</v>
      </c>
      <c r="U75" s="77">
        <f t="shared" si="44"/>
        <v>532.1</v>
      </c>
      <c r="V75" s="77">
        <f t="shared" si="44"/>
        <v>533.9</v>
      </c>
      <c r="W75" s="77">
        <f t="shared" si="44"/>
        <v>526.4</v>
      </c>
      <c r="X75" s="77">
        <f t="shared" si="44"/>
        <v>570.2</v>
      </c>
      <c r="Y75" s="77">
        <f t="shared" si="44"/>
        <v>385.8</v>
      </c>
      <c r="Z75" s="77">
        <f t="shared" si="44"/>
        <v>453</v>
      </c>
    </row>
    <row r="76" ht="15.5" spans="17:26">
      <c r="Q76" s="75"/>
      <c r="R76" s="78" t="s">
        <v>348</v>
      </c>
      <c r="S76" s="76">
        <f t="shared" ref="S76:Z76" si="45">S59</f>
        <v>144.2</v>
      </c>
      <c r="T76" s="77">
        <f t="shared" si="45"/>
        <v>127.7</v>
      </c>
      <c r="U76" s="77">
        <f t="shared" si="45"/>
        <v>134</v>
      </c>
      <c r="V76" s="77">
        <f t="shared" si="45"/>
        <v>140.6</v>
      </c>
      <c r="W76" s="77">
        <f t="shared" si="45"/>
        <v>150.2</v>
      </c>
      <c r="X76" s="77">
        <f t="shared" si="45"/>
        <v>161.1</v>
      </c>
      <c r="Y76" s="77">
        <f t="shared" si="45"/>
        <v>57.2</v>
      </c>
      <c r="Z76" s="77">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5" t="s">
        <v>350</v>
      </c>
      <c r="R79" s="75" t="s">
        <v>122</v>
      </c>
      <c r="S79" s="79">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5"/>
      <c r="R80" s="78" t="s">
        <v>346</v>
      </c>
      <c r="S80" s="79">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5"/>
      <c r="R81" s="78" t="s">
        <v>347</v>
      </c>
      <c r="S81" s="79">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5"/>
      <c r="R82" s="78" t="s">
        <v>348</v>
      </c>
      <c r="S82" s="79">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5" t="s">
        <v>352</v>
      </c>
      <c r="B1" s="35"/>
      <c r="C1" s="35"/>
      <c r="D1" s="35"/>
      <c r="E1" s="35"/>
      <c r="F1" s="35"/>
      <c r="G1" s="35"/>
      <c r="H1" s="35"/>
      <c r="I1" s="35"/>
      <c r="J1" s="35"/>
      <c r="K1" s="36"/>
      <c r="L1" s="36" t="s">
        <v>353</v>
      </c>
      <c r="M1" s="36"/>
      <c r="N1" s="36"/>
      <c r="O1" s="36"/>
      <c r="P1" s="36"/>
      <c r="Q1" s="36"/>
      <c r="R1" s="36"/>
      <c r="S1" s="36"/>
      <c r="T1" s="36"/>
      <c r="U1" s="36"/>
      <c r="V1" s="36"/>
      <c r="W1" s="36" t="s">
        <v>354</v>
      </c>
      <c r="X1" s="36"/>
      <c r="Y1" s="36"/>
      <c r="Z1" s="36"/>
      <c r="AA1" s="36"/>
      <c r="AB1" s="37" t="s">
        <v>355</v>
      </c>
      <c r="AC1" s="37"/>
      <c r="AD1" s="36"/>
      <c r="AE1" s="36"/>
      <c r="AF1" s="36" t="s">
        <v>356</v>
      </c>
      <c r="AG1" s="36"/>
      <c r="AH1" s="36"/>
      <c r="AI1" s="36"/>
      <c r="AJ1" s="36"/>
      <c r="AK1" s="36"/>
      <c r="AL1" s="36"/>
      <c r="AM1" s="36"/>
      <c r="AN1" s="36"/>
      <c r="AO1" s="36" t="s">
        <v>357</v>
      </c>
      <c r="AP1" s="36"/>
      <c r="AQ1" s="36"/>
      <c r="AR1" s="36"/>
      <c r="AS1" s="36"/>
      <c r="AT1" s="36"/>
      <c r="AU1" s="36"/>
      <c r="AZ1" s="35" t="s">
        <v>352</v>
      </c>
      <c r="BA1" s="35"/>
      <c r="BB1" s="35"/>
      <c r="BC1" s="35"/>
      <c r="BD1" s="35"/>
      <c r="BE1" s="35"/>
      <c r="BF1" s="35"/>
      <c r="BG1" s="35"/>
      <c r="BH1" s="35"/>
      <c r="BI1" s="35"/>
      <c r="BJ1" s="36"/>
      <c r="BK1" s="36"/>
      <c r="BL1" s="36"/>
      <c r="BM1" s="36"/>
      <c r="BN1" s="36"/>
      <c r="BO1" s="36"/>
    </row>
    <row r="2" ht="30" spans="1:67">
      <c r="A2" s="35" t="s">
        <v>332</v>
      </c>
      <c r="B2" s="35" t="s">
        <v>358</v>
      </c>
      <c r="C2" s="35" t="s">
        <v>334</v>
      </c>
      <c r="D2" s="35"/>
      <c r="E2" s="35"/>
      <c r="F2" s="35"/>
      <c r="G2" s="35"/>
      <c r="H2" s="35"/>
      <c r="I2" s="35"/>
      <c r="J2" s="35"/>
      <c r="K2" s="36"/>
      <c r="L2" s="36"/>
      <c r="M2" s="36"/>
      <c r="N2" s="36"/>
      <c r="O2" s="36"/>
      <c r="P2" s="36"/>
      <c r="Q2" s="36"/>
      <c r="R2" s="36"/>
      <c r="S2" s="36"/>
      <c r="T2" s="36"/>
      <c r="U2" s="36"/>
      <c r="V2" s="38" t="s">
        <v>359</v>
      </c>
      <c r="W2" s="36"/>
      <c r="X2" s="36"/>
      <c r="Y2" s="36"/>
      <c r="Z2" s="36"/>
      <c r="AA2" s="36"/>
      <c r="AB2" s="36"/>
      <c r="AC2" s="36"/>
      <c r="AD2" s="36"/>
      <c r="AE2" s="36"/>
      <c r="AF2" s="36"/>
      <c r="AG2" s="36"/>
      <c r="AH2" s="36"/>
      <c r="AI2" s="36"/>
      <c r="AJ2" s="36"/>
      <c r="AK2" s="36"/>
      <c r="AL2" s="36"/>
      <c r="AM2" s="36"/>
      <c r="AN2" s="36"/>
      <c r="AO2" s="36"/>
      <c r="AP2" s="36"/>
      <c r="AQ2" s="36"/>
      <c r="AR2" s="36"/>
      <c r="AS2" s="36"/>
      <c r="AT2" s="36"/>
      <c r="AU2" s="36"/>
      <c r="AZ2" s="35" t="s">
        <v>332</v>
      </c>
      <c r="BA2" s="35" t="s">
        <v>358</v>
      </c>
      <c r="BB2" s="35" t="s">
        <v>334</v>
      </c>
      <c r="BC2" s="35"/>
      <c r="BD2" s="35"/>
      <c r="BE2" s="35"/>
      <c r="BF2" s="35"/>
      <c r="BG2" s="35"/>
      <c r="BH2" s="35"/>
      <c r="BI2" s="35"/>
      <c r="BJ2" s="36"/>
      <c r="BK2" s="36"/>
      <c r="BL2" s="36"/>
      <c r="BM2" s="36"/>
      <c r="BN2" s="36"/>
      <c r="BO2" s="36"/>
    </row>
    <row r="3" ht="30" spans="1:67">
      <c r="A3" s="35"/>
      <c r="B3" s="35"/>
      <c r="C3" s="39" t="s">
        <v>335</v>
      </c>
      <c r="D3" s="36" t="s">
        <v>336</v>
      </c>
      <c r="E3" s="36" t="s">
        <v>337</v>
      </c>
      <c r="F3" s="40" t="s">
        <v>338</v>
      </c>
      <c r="G3" s="36" t="s">
        <v>339</v>
      </c>
      <c r="H3" s="36" t="s">
        <v>340</v>
      </c>
      <c r="I3" s="36" t="s">
        <v>341</v>
      </c>
      <c r="J3" s="36" t="s">
        <v>342</v>
      </c>
      <c r="K3" s="36"/>
      <c r="L3" s="41" t="s">
        <v>335</v>
      </c>
      <c r="M3" s="36" t="s">
        <v>336</v>
      </c>
      <c r="N3" s="36" t="s">
        <v>337</v>
      </c>
      <c r="O3" s="36" t="s">
        <v>338</v>
      </c>
      <c r="P3" s="36" t="s">
        <v>339</v>
      </c>
      <c r="Q3" s="36" t="s">
        <v>340</v>
      </c>
      <c r="R3" s="36" t="s">
        <v>341</v>
      </c>
      <c r="S3" s="36" t="s">
        <v>342</v>
      </c>
      <c r="T3" s="36"/>
      <c r="U3" s="36"/>
      <c r="V3" s="38" t="s">
        <v>360</v>
      </c>
      <c r="W3" s="36" t="s">
        <v>336</v>
      </c>
      <c r="X3" s="36" t="s">
        <v>337</v>
      </c>
      <c r="Y3" s="40" t="s">
        <v>338</v>
      </c>
      <c r="Z3" s="36" t="s">
        <v>339</v>
      </c>
      <c r="AA3" s="36" t="s">
        <v>340</v>
      </c>
      <c r="AB3" s="42" t="s">
        <v>341</v>
      </c>
      <c r="AC3" s="42" t="s">
        <v>342</v>
      </c>
      <c r="AD3" s="36"/>
      <c r="AE3" s="36"/>
      <c r="AF3" s="36" t="s">
        <v>336</v>
      </c>
      <c r="AG3" s="36" t="s">
        <v>337</v>
      </c>
      <c r="AH3" s="40" t="s">
        <v>338</v>
      </c>
      <c r="AI3" s="36" t="s">
        <v>339</v>
      </c>
      <c r="AJ3" s="36" t="s">
        <v>340</v>
      </c>
      <c r="AK3" s="42" t="s">
        <v>341</v>
      </c>
      <c r="AL3" s="42" t="s">
        <v>342</v>
      </c>
      <c r="AM3" s="36"/>
      <c r="AN3" s="36"/>
      <c r="AO3" s="36" t="s">
        <v>336</v>
      </c>
      <c r="AP3" s="36" t="s">
        <v>337</v>
      </c>
      <c r="AQ3" s="40" t="s">
        <v>338</v>
      </c>
      <c r="AR3" s="36" t="s">
        <v>339</v>
      </c>
      <c r="AS3" s="36" t="s">
        <v>340</v>
      </c>
      <c r="AT3" s="42" t="s">
        <v>341</v>
      </c>
      <c r="AU3" s="42" t="s">
        <v>342</v>
      </c>
      <c r="AZ3" s="35"/>
      <c r="BA3" s="35"/>
      <c r="BB3" s="39" t="s">
        <v>335</v>
      </c>
      <c r="BC3" s="36" t="s">
        <v>336</v>
      </c>
      <c r="BD3" s="36" t="s">
        <v>337</v>
      </c>
      <c r="BE3" s="40" t="s">
        <v>338</v>
      </c>
      <c r="BF3" s="36" t="s">
        <v>339</v>
      </c>
      <c r="BG3" s="36" t="s">
        <v>340</v>
      </c>
      <c r="BH3" s="36" t="s">
        <v>341</v>
      </c>
      <c r="BI3" s="36" t="s">
        <v>342</v>
      </c>
      <c r="BJ3" s="36"/>
      <c r="BK3" s="41"/>
      <c r="BL3" s="36"/>
      <c r="BM3" s="36"/>
      <c r="BN3" s="36"/>
      <c r="BO3" s="36"/>
    </row>
    <row r="4" ht="15.5" spans="1:67">
      <c r="A4" s="35" t="s">
        <v>343</v>
      </c>
      <c r="B4" s="43" t="s">
        <v>344</v>
      </c>
      <c r="C4" s="44">
        <f t="shared" ref="C4:J4" si="0">BB4/1000</f>
        <v>0.8374</v>
      </c>
      <c r="D4" s="44">
        <f t="shared" si="0"/>
        <v>0.8081</v>
      </c>
      <c r="E4" s="44">
        <f t="shared" si="0"/>
        <v>0.7705</v>
      </c>
      <c r="F4" s="44">
        <f t="shared" si="0"/>
        <v>0.76</v>
      </c>
      <c r="G4" s="44">
        <f t="shared" si="0"/>
        <v>0.7551</v>
      </c>
      <c r="H4" s="44">
        <f t="shared" si="0"/>
        <v>0.796</v>
      </c>
      <c r="I4" s="44">
        <f t="shared" si="0"/>
        <v>0.76</v>
      </c>
      <c r="J4" s="44">
        <f t="shared" si="0"/>
        <v>0.76</v>
      </c>
      <c r="K4" s="36"/>
      <c r="L4" s="41"/>
      <c r="M4" s="45">
        <v>5.937</v>
      </c>
      <c r="N4" s="45">
        <v>5.845</v>
      </c>
      <c r="O4" s="45">
        <v>5.575</v>
      </c>
      <c r="P4" s="45">
        <v>5.276</v>
      </c>
      <c r="Q4" s="45">
        <v>5.363</v>
      </c>
      <c r="R4" s="45">
        <v>6.645</v>
      </c>
      <c r="S4" s="45">
        <v>5.654</v>
      </c>
      <c r="T4" s="45"/>
      <c r="U4" s="35" t="s">
        <v>343</v>
      </c>
      <c r="V4" s="43" t="s">
        <v>344</v>
      </c>
      <c r="W4" s="46">
        <f t="shared" ref="W4:AC4" si="1">D4/M4</f>
        <v>0.136112514738083</v>
      </c>
      <c r="X4" s="46">
        <f t="shared" si="1"/>
        <v>0.131822070145423</v>
      </c>
      <c r="Y4" s="46">
        <f t="shared" si="1"/>
        <v>0.136322869955157</v>
      </c>
      <c r="Z4" s="46">
        <f t="shared" si="1"/>
        <v>0.143119787717968</v>
      </c>
      <c r="AA4" s="46">
        <f t="shared" si="1"/>
        <v>0.148424389334328</v>
      </c>
      <c r="AB4" s="47">
        <f t="shared" si="1"/>
        <v>0.114371708051166</v>
      </c>
      <c r="AC4" s="47">
        <f t="shared" si="1"/>
        <v>0.134418111071808</v>
      </c>
      <c r="AD4" s="36"/>
      <c r="AE4" s="36"/>
      <c r="AF4" s="46">
        <f t="shared" ref="AF4:AJ4" si="2">W4</f>
        <v>0.136112514738083</v>
      </c>
      <c r="AG4" s="46">
        <f t="shared" si="2"/>
        <v>0.131822070145423</v>
      </c>
      <c r="AH4" s="46">
        <f t="shared" si="2"/>
        <v>0.136322869955157</v>
      </c>
      <c r="AI4" s="46">
        <f t="shared" si="2"/>
        <v>0.143119787717968</v>
      </c>
      <c r="AJ4" s="46">
        <f t="shared" si="2"/>
        <v>0.148424389334328</v>
      </c>
      <c r="AK4" s="48">
        <f t="shared" ref="AK4:AK18" si="3">AB4*1.15</f>
        <v>0.131527464258841</v>
      </c>
      <c r="AL4" s="48">
        <f t="shared" ref="AL4:AL18" si="4">AC4*1.15</f>
        <v>0.154580827732579</v>
      </c>
      <c r="AM4" s="36"/>
      <c r="AN4" s="36"/>
      <c r="AO4" s="46">
        <f t="shared" ref="AO4:AS4" si="5">W4</f>
        <v>0.136112514738083</v>
      </c>
      <c r="AP4" s="46">
        <f t="shared" si="5"/>
        <v>0.131822070145423</v>
      </c>
      <c r="AQ4" s="46">
        <f t="shared" si="5"/>
        <v>0.136322869955157</v>
      </c>
      <c r="AR4" s="46">
        <f t="shared" si="5"/>
        <v>0.143119787717968</v>
      </c>
      <c r="AS4" s="46">
        <f t="shared" si="5"/>
        <v>0.148424389334328</v>
      </c>
      <c r="AT4" s="48">
        <f t="shared" ref="AT4:AT18" si="6">AB4*0.85</f>
        <v>0.0972159518434914</v>
      </c>
      <c r="AU4" s="48">
        <f t="shared" ref="AU4:AU18" si="7">AC4*0.85</f>
        <v>0.114255394411036</v>
      </c>
      <c r="AZ4" s="35" t="s">
        <v>343</v>
      </c>
      <c r="BA4" s="43" t="s">
        <v>344</v>
      </c>
      <c r="BB4" s="44">
        <v>837.4</v>
      </c>
      <c r="BC4" s="46">
        <v>808.1</v>
      </c>
      <c r="BD4" s="46">
        <v>770.5</v>
      </c>
      <c r="BE4" s="46">
        <v>760</v>
      </c>
      <c r="BF4" s="46">
        <v>755.1</v>
      </c>
      <c r="BG4" s="46">
        <v>796</v>
      </c>
      <c r="BH4" s="46">
        <v>760</v>
      </c>
      <c r="BI4" s="46">
        <v>760</v>
      </c>
      <c r="BJ4" s="36"/>
      <c r="BK4" s="41"/>
      <c r="BL4" s="45"/>
      <c r="BM4" s="45"/>
      <c r="BN4" s="45"/>
      <c r="BO4" s="45"/>
    </row>
    <row r="5" ht="15.5" spans="1:67">
      <c r="A5" s="35"/>
      <c r="B5" s="43" t="s">
        <v>345</v>
      </c>
      <c r="C5" s="44">
        <f t="shared" ref="C5:J5" si="8">BB5/1000</f>
        <v>0.7701</v>
      </c>
      <c r="D5" s="44">
        <f t="shared" si="8"/>
        <v>0.7457</v>
      </c>
      <c r="E5" s="44">
        <f t="shared" si="8"/>
        <v>0.7115</v>
      </c>
      <c r="F5" s="44">
        <f t="shared" si="8"/>
        <v>0.7021</v>
      </c>
      <c r="G5" s="44">
        <f t="shared" si="8"/>
        <v>0.6948</v>
      </c>
      <c r="H5" s="44">
        <f t="shared" si="8"/>
        <v>0.7338</v>
      </c>
      <c r="I5" s="44">
        <f t="shared" si="8"/>
        <v>0.7021</v>
      </c>
      <c r="J5" s="44">
        <f t="shared" si="8"/>
        <v>0.7021</v>
      </c>
      <c r="K5" s="36"/>
      <c r="L5" s="36"/>
      <c r="M5" s="49">
        <v>5.937</v>
      </c>
      <c r="N5" s="49">
        <v>5.845</v>
      </c>
      <c r="O5" s="49">
        <v>5.575</v>
      </c>
      <c r="P5" s="49">
        <v>5.276</v>
      </c>
      <c r="Q5" s="49">
        <v>5.363</v>
      </c>
      <c r="R5" s="49">
        <v>6.645</v>
      </c>
      <c r="S5" s="49">
        <v>5.654</v>
      </c>
      <c r="T5" s="49"/>
      <c r="U5" s="35"/>
      <c r="V5" s="43" t="s">
        <v>345</v>
      </c>
      <c r="W5" s="46">
        <f t="shared" ref="W5:AC5" si="9">D5/M5</f>
        <v>0.125602155971029</v>
      </c>
      <c r="X5" s="46">
        <f t="shared" si="9"/>
        <v>0.121727972626176</v>
      </c>
      <c r="Y5" s="46">
        <f t="shared" si="9"/>
        <v>0.125937219730942</v>
      </c>
      <c r="Z5" s="46">
        <f t="shared" si="9"/>
        <v>0.131690674753601</v>
      </c>
      <c r="AA5" s="46">
        <f t="shared" si="9"/>
        <v>0.136826403132575</v>
      </c>
      <c r="AB5" s="47">
        <f t="shared" si="9"/>
        <v>0.105658389766742</v>
      </c>
      <c r="AC5" s="47">
        <f t="shared" si="9"/>
        <v>0.124177573399363</v>
      </c>
      <c r="AD5" s="36"/>
      <c r="AE5" s="36"/>
      <c r="AF5" s="46">
        <f t="shared" ref="AF5:AJ5" si="10">W5</f>
        <v>0.125602155971029</v>
      </c>
      <c r="AG5" s="46">
        <f t="shared" si="10"/>
        <v>0.121727972626176</v>
      </c>
      <c r="AH5" s="46">
        <f t="shared" si="10"/>
        <v>0.125937219730942</v>
      </c>
      <c r="AI5" s="46">
        <f t="shared" si="10"/>
        <v>0.131690674753601</v>
      </c>
      <c r="AJ5" s="46">
        <f t="shared" si="10"/>
        <v>0.136826403132575</v>
      </c>
      <c r="AK5" s="48">
        <f t="shared" si="3"/>
        <v>0.121507148231753</v>
      </c>
      <c r="AL5" s="48">
        <f t="shared" si="4"/>
        <v>0.142804209409268</v>
      </c>
      <c r="AM5" s="36"/>
      <c r="AN5" s="36"/>
      <c r="AO5" s="46">
        <f t="shared" ref="AO5:AS5" si="11">W5</f>
        <v>0.125602155971029</v>
      </c>
      <c r="AP5" s="46">
        <f t="shared" si="11"/>
        <v>0.121727972626176</v>
      </c>
      <c r="AQ5" s="46">
        <f t="shared" si="11"/>
        <v>0.125937219730942</v>
      </c>
      <c r="AR5" s="46">
        <f t="shared" si="11"/>
        <v>0.131690674753601</v>
      </c>
      <c r="AS5" s="46">
        <f t="shared" si="11"/>
        <v>0.136826403132575</v>
      </c>
      <c r="AT5" s="48">
        <f t="shared" si="6"/>
        <v>0.0898096313017306</v>
      </c>
      <c r="AU5" s="48">
        <f t="shared" si="7"/>
        <v>0.105550937389459</v>
      </c>
      <c r="AZ5" s="35"/>
      <c r="BA5" s="43" t="s">
        <v>345</v>
      </c>
      <c r="BB5" s="44">
        <v>770.1</v>
      </c>
      <c r="BC5" s="46">
        <v>745.7</v>
      </c>
      <c r="BD5" s="46">
        <v>711.5</v>
      </c>
      <c r="BE5" s="46">
        <v>702.1</v>
      </c>
      <c r="BF5" s="46">
        <v>694.8</v>
      </c>
      <c r="BG5" s="46">
        <v>733.8</v>
      </c>
      <c r="BH5" s="46">
        <v>702.1</v>
      </c>
      <c r="BI5" s="46">
        <v>702.1</v>
      </c>
      <c r="BJ5" s="36"/>
      <c r="BK5" s="36"/>
      <c r="BL5" s="49"/>
      <c r="BM5" s="49"/>
      <c r="BN5" s="49"/>
      <c r="BO5" s="49"/>
    </row>
    <row r="6" ht="15.5" spans="1:67">
      <c r="A6" s="35"/>
      <c r="B6" s="43" t="s">
        <v>346</v>
      </c>
      <c r="C6" s="44">
        <f t="shared" ref="C6:J6" si="12">BB6/1000</f>
        <v>0.1986</v>
      </c>
      <c r="D6" s="44">
        <f t="shared" si="12"/>
        <v>0.1717</v>
      </c>
      <c r="E6" s="44">
        <f t="shared" si="12"/>
        <v>0.1611</v>
      </c>
      <c r="F6" s="44">
        <f t="shared" si="12"/>
        <v>0.1579</v>
      </c>
      <c r="G6" s="44">
        <f t="shared" si="12"/>
        <v>0.1521</v>
      </c>
      <c r="H6" s="44">
        <f t="shared" si="12"/>
        <v>0.1588</v>
      </c>
      <c r="I6" s="44">
        <f t="shared" si="12"/>
        <v>0.1579</v>
      </c>
      <c r="J6" s="44">
        <f t="shared" si="12"/>
        <v>0.1579</v>
      </c>
      <c r="K6" s="36"/>
      <c r="L6" s="36"/>
      <c r="M6" s="49">
        <v>5.937</v>
      </c>
      <c r="N6" s="49">
        <v>5.845</v>
      </c>
      <c r="O6" s="49">
        <v>5.575</v>
      </c>
      <c r="P6" s="49">
        <v>5.276</v>
      </c>
      <c r="Q6" s="49">
        <v>5.363</v>
      </c>
      <c r="R6" s="49">
        <v>6.645</v>
      </c>
      <c r="S6" s="49">
        <v>5.654</v>
      </c>
      <c r="T6" s="49"/>
      <c r="U6" s="35"/>
      <c r="V6" s="43" t="s">
        <v>346</v>
      </c>
      <c r="W6" s="46">
        <f t="shared" ref="W6:AC6" si="13">D6/M6</f>
        <v>0.0289203301330638</v>
      </c>
      <c r="X6" s="46">
        <f t="shared" si="13"/>
        <v>0.0275620188195039</v>
      </c>
      <c r="Y6" s="46">
        <f t="shared" si="13"/>
        <v>0.028322869955157</v>
      </c>
      <c r="Z6" s="46">
        <f t="shared" si="13"/>
        <v>0.0288286580742987</v>
      </c>
      <c r="AA6" s="46">
        <f t="shared" si="13"/>
        <v>0.0296102927465971</v>
      </c>
      <c r="AB6" s="47">
        <f t="shared" si="13"/>
        <v>0.0237622272385252</v>
      </c>
      <c r="AC6" s="47">
        <f t="shared" si="13"/>
        <v>0.0279271312345242</v>
      </c>
      <c r="AD6" s="36"/>
      <c r="AE6" s="36"/>
      <c r="AF6" s="46">
        <f t="shared" ref="AF6:AJ6" si="14">W6</f>
        <v>0.0289203301330638</v>
      </c>
      <c r="AG6" s="46">
        <f t="shared" si="14"/>
        <v>0.0275620188195039</v>
      </c>
      <c r="AH6" s="46">
        <f t="shared" si="14"/>
        <v>0.028322869955157</v>
      </c>
      <c r="AI6" s="46">
        <f t="shared" si="14"/>
        <v>0.0288286580742987</v>
      </c>
      <c r="AJ6" s="46">
        <f t="shared" si="14"/>
        <v>0.0296102927465971</v>
      </c>
      <c r="AK6" s="48">
        <f t="shared" si="3"/>
        <v>0.027326561324304</v>
      </c>
      <c r="AL6" s="48">
        <f t="shared" si="4"/>
        <v>0.0321162009197029</v>
      </c>
      <c r="AM6" s="36"/>
      <c r="AN6" s="36"/>
      <c r="AO6" s="46">
        <f t="shared" ref="AO6:AS6" si="15">W6</f>
        <v>0.0289203301330638</v>
      </c>
      <c r="AP6" s="46">
        <f t="shared" si="15"/>
        <v>0.0275620188195039</v>
      </c>
      <c r="AQ6" s="46">
        <f t="shared" si="15"/>
        <v>0.028322869955157</v>
      </c>
      <c r="AR6" s="46">
        <f t="shared" si="15"/>
        <v>0.0288286580742987</v>
      </c>
      <c r="AS6" s="46">
        <f t="shared" si="15"/>
        <v>0.0296102927465971</v>
      </c>
      <c r="AT6" s="48">
        <f t="shared" si="6"/>
        <v>0.0201978931527464</v>
      </c>
      <c r="AU6" s="48">
        <f t="shared" si="7"/>
        <v>0.0237380615493456</v>
      </c>
      <c r="AZ6" s="35"/>
      <c r="BA6" s="43" t="s">
        <v>346</v>
      </c>
      <c r="BB6" s="44">
        <v>198.6</v>
      </c>
      <c r="BC6" s="46">
        <v>171.7</v>
      </c>
      <c r="BD6" s="46">
        <v>161.1</v>
      </c>
      <c r="BE6" s="46">
        <v>157.9</v>
      </c>
      <c r="BF6" s="46">
        <v>152.1</v>
      </c>
      <c r="BG6" s="46">
        <v>158.8</v>
      </c>
      <c r="BH6" s="46">
        <v>157.9</v>
      </c>
      <c r="BI6" s="46">
        <v>157.9</v>
      </c>
      <c r="BJ6" s="36"/>
      <c r="BK6" s="36"/>
      <c r="BL6" s="49"/>
      <c r="BM6" s="49"/>
      <c r="BN6" s="49"/>
      <c r="BO6" s="49"/>
    </row>
    <row r="7" ht="15.5" spans="1:67">
      <c r="A7" s="35"/>
      <c r="B7" s="43" t="s">
        <v>347</v>
      </c>
      <c r="C7" s="44">
        <f t="shared" ref="C7:J7" si="16">BB7/1000</f>
        <v>0.487</v>
      </c>
      <c r="D7" s="44">
        <f t="shared" si="16"/>
        <v>0.4967</v>
      </c>
      <c r="E7" s="44">
        <f t="shared" si="16"/>
        <v>0.4758</v>
      </c>
      <c r="F7" s="44">
        <f t="shared" si="16"/>
        <v>0.4705</v>
      </c>
      <c r="G7" s="44">
        <f t="shared" si="16"/>
        <v>0.4665</v>
      </c>
      <c r="H7" s="44">
        <f t="shared" si="16"/>
        <v>0.496</v>
      </c>
      <c r="I7" s="44">
        <f t="shared" si="16"/>
        <v>0.4705</v>
      </c>
      <c r="J7" s="44">
        <f t="shared" si="16"/>
        <v>0.4705</v>
      </c>
      <c r="K7" s="36"/>
      <c r="L7" s="36"/>
      <c r="M7" s="49">
        <v>5.937</v>
      </c>
      <c r="N7" s="49">
        <v>5.845</v>
      </c>
      <c r="O7" s="49">
        <v>5.575</v>
      </c>
      <c r="P7" s="49">
        <v>5.276</v>
      </c>
      <c r="Q7" s="49">
        <v>5.363</v>
      </c>
      <c r="R7" s="49">
        <v>6.645</v>
      </c>
      <c r="S7" s="49">
        <v>5.654</v>
      </c>
      <c r="T7" s="49"/>
      <c r="U7" s="35"/>
      <c r="V7" s="43" t="s">
        <v>347</v>
      </c>
      <c r="W7" s="46">
        <f t="shared" ref="W7:AC7" si="17">D7/M7</f>
        <v>0.0836617820448038</v>
      </c>
      <c r="X7" s="46">
        <f t="shared" si="17"/>
        <v>0.0814029084687767</v>
      </c>
      <c r="Y7" s="46">
        <f t="shared" si="17"/>
        <v>0.0843946188340807</v>
      </c>
      <c r="Z7" s="46">
        <f t="shared" si="17"/>
        <v>0.0884192570128886</v>
      </c>
      <c r="AA7" s="46">
        <f t="shared" si="17"/>
        <v>0.092485549132948</v>
      </c>
      <c r="AB7" s="47">
        <f t="shared" si="17"/>
        <v>0.0708051166290444</v>
      </c>
      <c r="AC7" s="47">
        <f t="shared" si="17"/>
        <v>0.0832154227095861</v>
      </c>
      <c r="AD7" s="36"/>
      <c r="AE7" s="36"/>
      <c r="AF7" s="46">
        <f t="shared" ref="AF7:AJ7" si="18">W7</f>
        <v>0.0836617820448038</v>
      </c>
      <c r="AG7" s="46">
        <f t="shared" si="18"/>
        <v>0.0814029084687767</v>
      </c>
      <c r="AH7" s="46">
        <f t="shared" si="18"/>
        <v>0.0843946188340807</v>
      </c>
      <c r="AI7" s="46">
        <f t="shared" si="18"/>
        <v>0.0884192570128886</v>
      </c>
      <c r="AJ7" s="46">
        <f t="shared" si="18"/>
        <v>0.092485549132948</v>
      </c>
      <c r="AK7" s="48">
        <f t="shared" si="3"/>
        <v>0.0814258841234011</v>
      </c>
      <c r="AL7" s="48">
        <f t="shared" si="4"/>
        <v>0.0956977361160241</v>
      </c>
      <c r="AM7" s="36"/>
      <c r="AN7" s="36"/>
      <c r="AO7" s="46">
        <f t="shared" ref="AO7:AS7" si="19">W7</f>
        <v>0.0836617820448038</v>
      </c>
      <c r="AP7" s="46">
        <f t="shared" si="19"/>
        <v>0.0814029084687767</v>
      </c>
      <c r="AQ7" s="46">
        <f t="shared" si="19"/>
        <v>0.0843946188340807</v>
      </c>
      <c r="AR7" s="46">
        <f t="shared" si="19"/>
        <v>0.0884192570128886</v>
      </c>
      <c r="AS7" s="46">
        <f t="shared" si="19"/>
        <v>0.092485549132948</v>
      </c>
      <c r="AT7" s="48">
        <f t="shared" si="6"/>
        <v>0.0601843491346877</v>
      </c>
      <c r="AU7" s="48">
        <f t="shared" si="7"/>
        <v>0.0707331093031482</v>
      </c>
      <c r="AZ7" s="35"/>
      <c r="BA7" s="43" t="s">
        <v>347</v>
      </c>
      <c r="BB7" s="44">
        <v>487</v>
      </c>
      <c r="BC7" s="46">
        <v>496.7</v>
      </c>
      <c r="BD7" s="46">
        <v>475.8</v>
      </c>
      <c r="BE7" s="46">
        <v>470.5</v>
      </c>
      <c r="BF7" s="46">
        <v>466.5</v>
      </c>
      <c r="BG7" s="46">
        <v>496</v>
      </c>
      <c r="BH7" s="46">
        <v>470.5</v>
      </c>
      <c r="BI7" s="46">
        <v>470.5</v>
      </c>
      <c r="BJ7" s="36"/>
      <c r="BK7" s="36"/>
      <c r="BL7" s="49"/>
      <c r="BM7" s="49"/>
      <c r="BN7" s="49"/>
      <c r="BO7" s="49"/>
    </row>
    <row r="8" ht="15.5" spans="1:67">
      <c r="A8" s="35"/>
      <c r="B8" s="43" t="s">
        <v>348</v>
      </c>
      <c r="C8" s="44">
        <f t="shared" ref="C8:J8" si="20">BB8/1000</f>
        <v>0.0845</v>
      </c>
      <c r="D8" s="44">
        <f t="shared" si="20"/>
        <v>0.0773</v>
      </c>
      <c r="E8" s="44">
        <f t="shared" si="20"/>
        <v>0.0745</v>
      </c>
      <c r="F8" s="44">
        <f t="shared" si="20"/>
        <v>0.0736</v>
      </c>
      <c r="G8" s="44">
        <f t="shared" si="20"/>
        <v>0.0761</v>
      </c>
      <c r="H8" s="44">
        <f t="shared" si="20"/>
        <v>0.0789</v>
      </c>
      <c r="I8" s="44">
        <f t="shared" si="20"/>
        <v>0.0736</v>
      </c>
      <c r="J8" s="44">
        <f t="shared" si="20"/>
        <v>0.0736</v>
      </c>
      <c r="K8" s="36"/>
      <c r="L8" s="36"/>
      <c r="M8" s="49">
        <v>5.937</v>
      </c>
      <c r="N8" s="49">
        <v>5.845</v>
      </c>
      <c r="O8" s="49">
        <v>5.575</v>
      </c>
      <c r="P8" s="49">
        <v>5.276</v>
      </c>
      <c r="Q8" s="49">
        <v>5.363</v>
      </c>
      <c r="R8" s="49">
        <v>6.645</v>
      </c>
      <c r="S8" s="49">
        <v>5.654</v>
      </c>
      <c r="T8" s="49"/>
      <c r="U8" s="35"/>
      <c r="V8" s="43" t="s">
        <v>348</v>
      </c>
      <c r="W8" s="46">
        <f t="shared" ref="W8:AC8" si="21">D8/M8</f>
        <v>0.0130200437931615</v>
      </c>
      <c r="X8" s="46">
        <f t="shared" si="21"/>
        <v>0.0127459366980325</v>
      </c>
      <c r="Y8" s="46">
        <f t="shared" si="21"/>
        <v>0.0132017937219731</v>
      </c>
      <c r="Z8" s="46">
        <f t="shared" si="21"/>
        <v>0.0144238059135709</v>
      </c>
      <c r="AA8" s="46">
        <f t="shared" si="21"/>
        <v>0.0147119149729629</v>
      </c>
      <c r="AB8" s="47">
        <f t="shared" si="21"/>
        <v>0.0110759969902182</v>
      </c>
      <c r="AC8" s="47">
        <f t="shared" si="21"/>
        <v>0.0130173328616908</v>
      </c>
      <c r="AD8" s="36"/>
      <c r="AE8" s="36"/>
      <c r="AF8" s="46">
        <f t="shared" ref="AF8:AJ8" si="22">W8</f>
        <v>0.0130200437931615</v>
      </c>
      <c r="AG8" s="46">
        <f t="shared" si="22"/>
        <v>0.0127459366980325</v>
      </c>
      <c r="AH8" s="46">
        <f t="shared" si="22"/>
        <v>0.0132017937219731</v>
      </c>
      <c r="AI8" s="46">
        <f t="shared" si="22"/>
        <v>0.0144238059135709</v>
      </c>
      <c r="AJ8" s="46">
        <f t="shared" si="22"/>
        <v>0.0147119149729629</v>
      </c>
      <c r="AK8" s="48">
        <f t="shared" si="3"/>
        <v>0.0127373965387509</v>
      </c>
      <c r="AL8" s="48">
        <f t="shared" si="4"/>
        <v>0.0149699327909445</v>
      </c>
      <c r="AM8" s="36"/>
      <c r="AN8" s="36"/>
      <c r="AO8" s="46">
        <f t="shared" ref="AO8:AS8" si="23">W8</f>
        <v>0.0130200437931615</v>
      </c>
      <c r="AP8" s="46">
        <f t="shared" si="23"/>
        <v>0.0127459366980325</v>
      </c>
      <c r="AQ8" s="46">
        <f t="shared" si="23"/>
        <v>0.0132017937219731</v>
      </c>
      <c r="AR8" s="46">
        <f t="shared" si="23"/>
        <v>0.0144238059135709</v>
      </c>
      <c r="AS8" s="46">
        <f t="shared" si="23"/>
        <v>0.0147119149729629</v>
      </c>
      <c r="AT8" s="48">
        <f t="shared" si="6"/>
        <v>0.00941459744168548</v>
      </c>
      <c r="AU8" s="48">
        <f t="shared" si="7"/>
        <v>0.0110647329324372</v>
      </c>
      <c r="AZ8" s="35"/>
      <c r="BA8" s="43" t="s">
        <v>348</v>
      </c>
      <c r="BB8" s="44">
        <v>84.5</v>
      </c>
      <c r="BC8" s="46">
        <v>77.3</v>
      </c>
      <c r="BD8" s="46">
        <v>74.5</v>
      </c>
      <c r="BE8" s="46">
        <v>73.6</v>
      </c>
      <c r="BF8" s="46">
        <v>76.1</v>
      </c>
      <c r="BG8" s="46">
        <v>78.9</v>
      </c>
      <c r="BH8" s="46">
        <v>73.6</v>
      </c>
      <c r="BI8" s="46">
        <v>73.6</v>
      </c>
      <c r="BJ8" s="36"/>
      <c r="BK8" s="36"/>
      <c r="BL8" s="49"/>
      <c r="BM8" s="49"/>
      <c r="BN8" s="49"/>
      <c r="BO8" s="49"/>
    </row>
    <row r="9" ht="15.5" spans="1:67">
      <c r="A9" s="35" t="s">
        <v>241</v>
      </c>
      <c r="B9" s="43" t="s">
        <v>344</v>
      </c>
      <c r="C9" s="44">
        <f t="shared" ref="C9:J9" si="24">BB9/1000</f>
        <v>0.855</v>
      </c>
      <c r="D9" s="44">
        <f t="shared" si="24"/>
        <v>0.8241</v>
      </c>
      <c r="E9" s="44">
        <f t="shared" si="24"/>
        <v>0.7857</v>
      </c>
      <c r="F9" s="44">
        <f t="shared" si="24"/>
        <v>0.775</v>
      </c>
      <c r="G9" s="44">
        <f t="shared" si="24"/>
        <v>0.7702</v>
      </c>
      <c r="H9" s="44">
        <f t="shared" si="24"/>
        <v>0.8116</v>
      </c>
      <c r="I9" s="44">
        <f t="shared" si="24"/>
        <v>0.775</v>
      </c>
      <c r="J9" s="44">
        <f t="shared" si="24"/>
        <v>0.775</v>
      </c>
      <c r="K9" s="36"/>
      <c r="L9" s="36"/>
      <c r="M9" s="49">
        <v>5.937</v>
      </c>
      <c r="N9" s="49">
        <v>5.845</v>
      </c>
      <c r="O9" s="49">
        <v>5.575</v>
      </c>
      <c r="P9" s="49">
        <v>5.276</v>
      </c>
      <c r="Q9" s="49">
        <v>5.363</v>
      </c>
      <c r="R9" s="49">
        <v>6.645</v>
      </c>
      <c r="S9" s="49">
        <v>5.654</v>
      </c>
      <c r="T9" s="49"/>
      <c r="U9" s="35" t="s">
        <v>241</v>
      </c>
      <c r="V9" s="43" t="s">
        <v>344</v>
      </c>
      <c r="W9" s="46">
        <f t="shared" ref="W9:AC9" si="25">D9/M9</f>
        <v>0.138807478524507</v>
      </c>
      <c r="X9" s="46">
        <f t="shared" si="25"/>
        <v>0.134422583404619</v>
      </c>
      <c r="Y9" s="46">
        <f t="shared" si="25"/>
        <v>0.139013452914798</v>
      </c>
      <c r="Z9" s="46">
        <f t="shared" si="25"/>
        <v>0.145981804397271</v>
      </c>
      <c r="AA9" s="46">
        <f t="shared" si="25"/>
        <v>0.1513332090248</v>
      </c>
      <c r="AB9" s="47">
        <f t="shared" si="25"/>
        <v>0.116629044394281</v>
      </c>
      <c r="AC9" s="47">
        <f t="shared" si="25"/>
        <v>0.13707110010612</v>
      </c>
      <c r="AD9" s="36"/>
      <c r="AE9" s="36"/>
      <c r="AF9" s="46">
        <f t="shared" ref="AF9:AJ9" si="26">W9</f>
        <v>0.138807478524507</v>
      </c>
      <c r="AG9" s="46">
        <f t="shared" si="26"/>
        <v>0.134422583404619</v>
      </c>
      <c r="AH9" s="46">
        <f t="shared" si="26"/>
        <v>0.139013452914798</v>
      </c>
      <c r="AI9" s="46">
        <f t="shared" si="26"/>
        <v>0.145981804397271</v>
      </c>
      <c r="AJ9" s="46">
        <f t="shared" si="26"/>
        <v>0.1513332090248</v>
      </c>
      <c r="AK9" s="48">
        <f t="shared" si="3"/>
        <v>0.134123401053424</v>
      </c>
      <c r="AL9" s="48">
        <f t="shared" si="4"/>
        <v>0.157631765122037</v>
      </c>
      <c r="AM9" s="36"/>
      <c r="AN9" s="36"/>
      <c r="AO9" s="46">
        <f t="shared" ref="AO9:AS9" si="27">W9</f>
        <v>0.138807478524507</v>
      </c>
      <c r="AP9" s="46">
        <f t="shared" si="27"/>
        <v>0.134422583404619</v>
      </c>
      <c r="AQ9" s="46">
        <f t="shared" si="27"/>
        <v>0.139013452914798</v>
      </c>
      <c r="AR9" s="46">
        <f t="shared" si="27"/>
        <v>0.145981804397271</v>
      </c>
      <c r="AS9" s="46">
        <f t="shared" si="27"/>
        <v>0.1513332090248</v>
      </c>
      <c r="AT9" s="48">
        <f t="shared" si="6"/>
        <v>0.0991346877351392</v>
      </c>
      <c r="AU9" s="48">
        <f t="shared" si="7"/>
        <v>0.116510435090202</v>
      </c>
      <c r="AZ9" s="35" t="s">
        <v>241</v>
      </c>
      <c r="BA9" s="43" t="s">
        <v>344</v>
      </c>
      <c r="BB9" s="44">
        <v>855</v>
      </c>
      <c r="BC9" s="46">
        <v>824.1</v>
      </c>
      <c r="BD9" s="46">
        <v>785.7</v>
      </c>
      <c r="BE9" s="46">
        <v>775</v>
      </c>
      <c r="BF9" s="46">
        <v>770.2</v>
      </c>
      <c r="BG9" s="46">
        <v>811.6</v>
      </c>
      <c r="BH9" s="46">
        <v>775</v>
      </c>
      <c r="BI9" s="46">
        <v>775</v>
      </c>
      <c r="BJ9" s="36"/>
      <c r="BK9" s="36"/>
      <c r="BL9" s="49"/>
      <c r="BM9" s="49"/>
      <c r="BN9" s="49"/>
      <c r="BO9" s="49"/>
    </row>
    <row r="10" ht="15.5" spans="1:67">
      <c r="A10" s="35"/>
      <c r="B10" s="43" t="s">
        <v>345</v>
      </c>
      <c r="C10" s="44">
        <f t="shared" ref="C10:J10" si="28">BB10/1000</f>
        <v>0.7888</v>
      </c>
      <c r="D10" s="44">
        <f t="shared" si="28"/>
        <v>0.7626</v>
      </c>
      <c r="E10" s="44">
        <f t="shared" si="28"/>
        <v>0.7275</v>
      </c>
      <c r="F10" s="44">
        <f t="shared" si="28"/>
        <v>0.7179</v>
      </c>
      <c r="G10" s="44">
        <f t="shared" si="28"/>
        <v>0.7107</v>
      </c>
      <c r="H10" s="44">
        <f t="shared" si="28"/>
        <v>0.7503</v>
      </c>
      <c r="I10" s="44">
        <f t="shared" si="28"/>
        <v>0.7179</v>
      </c>
      <c r="J10" s="44">
        <f t="shared" si="28"/>
        <v>0.7179</v>
      </c>
      <c r="K10" s="36"/>
      <c r="L10" s="36"/>
      <c r="M10" s="49">
        <v>5.937</v>
      </c>
      <c r="N10" s="49">
        <v>5.845</v>
      </c>
      <c r="O10" s="49">
        <v>5.575</v>
      </c>
      <c r="P10" s="49">
        <v>5.276</v>
      </c>
      <c r="Q10" s="49">
        <v>5.363</v>
      </c>
      <c r="R10" s="49">
        <v>6.645</v>
      </c>
      <c r="S10" s="49">
        <v>5.654</v>
      </c>
      <c r="T10" s="49"/>
      <c r="U10" s="35"/>
      <c r="V10" s="43" t="s">
        <v>345</v>
      </c>
      <c r="W10" s="46">
        <f t="shared" ref="W10:AC10" si="29">D10/M10</f>
        <v>0.12844871147044</v>
      </c>
      <c r="X10" s="46">
        <f t="shared" si="29"/>
        <v>0.124465355004277</v>
      </c>
      <c r="Y10" s="46">
        <f t="shared" si="29"/>
        <v>0.12877130044843</v>
      </c>
      <c r="Z10" s="46">
        <f t="shared" si="29"/>
        <v>0.134704321455648</v>
      </c>
      <c r="AA10" s="46">
        <f t="shared" si="29"/>
        <v>0.139903039343651</v>
      </c>
      <c r="AB10" s="47">
        <f t="shared" si="29"/>
        <v>0.10803611738149</v>
      </c>
      <c r="AC10" s="47">
        <f t="shared" si="29"/>
        <v>0.126972055182172</v>
      </c>
      <c r="AD10" s="36"/>
      <c r="AE10" s="36"/>
      <c r="AF10" s="46">
        <f t="shared" ref="AF10:AJ10" si="30">W10</f>
        <v>0.12844871147044</v>
      </c>
      <c r="AG10" s="46">
        <f t="shared" si="30"/>
        <v>0.124465355004277</v>
      </c>
      <c r="AH10" s="46">
        <f t="shared" si="30"/>
        <v>0.12877130044843</v>
      </c>
      <c r="AI10" s="46">
        <f t="shared" si="30"/>
        <v>0.134704321455648</v>
      </c>
      <c r="AJ10" s="46">
        <f t="shared" si="30"/>
        <v>0.139903039343651</v>
      </c>
      <c r="AK10" s="48">
        <f t="shared" si="3"/>
        <v>0.124241534988713</v>
      </c>
      <c r="AL10" s="48">
        <f t="shared" si="4"/>
        <v>0.146017863459498</v>
      </c>
      <c r="AM10" s="36"/>
      <c r="AN10" s="36"/>
      <c r="AO10" s="46">
        <f t="shared" ref="AO10:AS10" si="31">W10</f>
        <v>0.12844871147044</v>
      </c>
      <c r="AP10" s="46">
        <f t="shared" si="31"/>
        <v>0.124465355004277</v>
      </c>
      <c r="AQ10" s="46">
        <f t="shared" si="31"/>
        <v>0.12877130044843</v>
      </c>
      <c r="AR10" s="46">
        <f t="shared" si="31"/>
        <v>0.134704321455648</v>
      </c>
      <c r="AS10" s="46">
        <f t="shared" si="31"/>
        <v>0.139903039343651</v>
      </c>
      <c r="AT10" s="48">
        <f t="shared" si="6"/>
        <v>0.0918306997742664</v>
      </c>
      <c r="AU10" s="48">
        <f t="shared" si="7"/>
        <v>0.107926246904846</v>
      </c>
      <c r="AZ10" s="35"/>
      <c r="BA10" s="43" t="s">
        <v>345</v>
      </c>
      <c r="BB10" s="44">
        <v>788.8</v>
      </c>
      <c r="BC10" s="46">
        <v>762.6</v>
      </c>
      <c r="BD10" s="46">
        <v>727.5</v>
      </c>
      <c r="BE10" s="46">
        <v>717.9</v>
      </c>
      <c r="BF10" s="46">
        <v>710.7</v>
      </c>
      <c r="BG10" s="46">
        <v>750.3</v>
      </c>
      <c r="BH10" s="46">
        <v>717.9</v>
      </c>
      <c r="BI10" s="46">
        <v>717.9</v>
      </c>
      <c r="BJ10" s="36"/>
      <c r="BK10" s="36"/>
      <c r="BL10" s="49"/>
      <c r="BM10" s="49"/>
      <c r="BN10" s="49"/>
      <c r="BO10" s="49"/>
    </row>
    <row r="11" ht="15.5" spans="1:67">
      <c r="A11" s="35"/>
      <c r="B11" s="43" t="s">
        <v>346</v>
      </c>
      <c r="C11" s="44">
        <f t="shared" ref="C11:J11" si="32">BB11/1000</f>
        <v>0.2381</v>
      </c>
      <c r="D11" s="44">
        <f t="shared" si="32"/>
        <v>0.2075</v>
      </c>
      <c r="E11" s="44">
        <f t="shared" si="32"/>
        <v>0.1951</v>
      </c>
      <c r="F11" s="44">
        <f t="shared" si="32"/>
        <v>0.1916</v>
      </c>
      <c r="G11" s="44">
        <f t="shared" si="32"/>
        <v>0.186</v>
      </c>
      <c r="H11" s="44">
        <f t="shared" si="32"/>
        <v>0.1938</v>
      </c>
      <c r="I11" s="44">
        <f t="shared" si="32"/>
        <v>0.1916</v>
      </c>
      <c r="J11" s="44">
        <f t="shared" si="32"/>
        <v>0.1916</v>
      </c>
      <c r="K11" s="36"/>
      <c r="L11" s="36"/>
      <c r="M11" s="49">
        <v>5.937</v>
      </c>
      <c r="N11" s="49">
        <v>5.845</v>
      </c>
      <c r="O11" s="49">
        <v>5.575</v>
      </c>
      <c r="P11" s="49">
        <v>5.276</v>
      </c>
      <c r="Q11" s="49">
        <v>5.363</v>
      </c>
      <c r="R11" s="49">
        <v>6.645</v>
      </c>
      <c r="S11" s="49">
        <v>5.654</v>
      </c>
      <c r="T11" s="49"/>
      <c r="U11" s="35"/>
      <c r="V11" s="43" t="s">
        <v>346</v>
      </c>
      <c r="W11" s="46">
        <f t="shared" ref="W11:AC11" si="33">D11/M11</f>
        <v>0.0349503116051878</v>
      </c>
      <c r="X11" s="46">
        <f t="shared" si="33"/>
        <v>0.0333789563729684</v>
      </c>
      <c r="Y11" s="46">
        <f t="shared" si="33"/>
        <v>0.0343677130044843</v>
      </c>
      <c r="Z11" s="46">
        <f t="shared" si="33"/>
        <v>0.035253980288097</v>
      </c>
      <c r="AA11" s="46">
        <f t="shared" si="33"/>
        <v>0.0361364907700914</v>
      </c>
      <c r="AB11" s="47">
        <f t="shared" si="33"/>
        <v>0.0288337095560572</v>
      </c>
      <c r="AC11" s="47">
        <f t="shared" si="33"/>
        <v>0.0338875132649452</v>
      </c>
      <c r="AD11" s="36"/>
      <c r="AE11" s="36"/>
      <c r="AF11" s="46">
        <f t="shared" ref="AF11:AJ11" si="34">W11</f>
        <v>0.0349503116051878</v>
      </c>
      <c r="AG11" s="46">
        <f t="shared" si="34"/>
        <v>0.0333789563729684</v>
      </c>
      <c r="AH11" s="46">
        <f t="shared" si="34"/>
        <v>0.0343677130044843</v>
      </c>
      <c r="AI11" s="46">
        <f t="shared" si="34"/>
        <v>0.035253980288097</v>
      </c>
      <c r="AJ11" s="46">
        <f t="shared" si="34"/>
        <v>0.0361364907700914</v>
      </c>
      <c r="AK11" s="48">
        <f t="shared" si="3"/>
        <v>0.0331587659894658</v>
      </c>
      <c r="AL11" s="48">
        <f t="shared" si="4"/>
        <v>0.0389706402546869</v>
      </c>
      <c r="AM11" s="36"/>
      <c r="AN11" s="36"/>
      <c r="AO11" s="46">
        <f t="shared" ref="AO11:AS11" si="35">W11</f>
        <v>0.0349503116051878</v>
      </c>
      <c r="AP11" s="46">
        <f t="shared" si="35"/>
        <v>0.0333789563729684</v>
      </c>
      <c r="AQ11" s="46">
        <f t="shared" si="35"/>
        <v>0.0343677130044843</v>
      </c>
      <c r="AR11" s="46">
        <f t="shared" si="35"/>
        <v>0.035253980288097</v>
      </c>
      <c r="AS11" s="46">
        <f t="shared" si="35"/>
        <v>0.0361364907700914</v>
      </c>
      <c r="AT11" s="48">
        <f t="shared" si="6"/>
        <v>0.0245086531226486</v>
      </c>
      <c r="AU11" s="48">
        <f t="shared" si="7"/>
        <v>0.0288043862752034</v>
      </c>
      <c r="AZ11" s="35"/>
      <c r="BA11" s="43" t="s">
        <v>346</v>
      </c>
      <c r="BB11" s="44">
        <v>238.1</v>
      </c>
      <c r="BC11" s="46">
        <v>207.5</v>
      </c>
      <c r="BD11" s="46">
        <v>195.1</v>
      </c>
      <c r="BE11" s="46">
        <v>191.6</v>
      </c>
      <c r="BF11" s="46">
        <v>186</v>
      </c>
      <c r="BG11" s="46">
        <v>193.8</v>
      </c>
      <c r="BH11" s="46">
        <v>191.6</v>
      </c>
      <c r="BI11" s="46">
        <v>191.6</v>
      </c>
      <c r="BJ11" s="36"/>
      <c r="BK11" s="36"/>
      <c r="BL11" s="49"/>
      <c r="BM11" s="49"/>
      <c r="BN11" s="49"/>
      <c r="BO11" s="49"/>
    </row>
    <row r="12" ht="15.5" spans="1:67">
      <c r="A12" s="35"/>
      <c r="B12" s="43" t="s">
        <v>347</v>
      </c>
      <c r="C12" s="44">
        <f t="shared" ref="C12:J12" si="36">BB12/1000</f>
        <v>0.4629</v>
      </c>
      <c r="D12" s="44">
        <f t="shared" si="36"/>
        <v>0.4749</v>
      </c>
      <c r="E12" s="44">
        <f t="shared" si="36"/>
        <v>0.4551</v>
      </c>
      <c r="F12" s="44">
        <f t="shared" si="36"/>
        <v>0.45</v>
      </c>
      <c r="G12" s="44">
        <f t="shared" si="36"/>
        <v>0.4459</v>
      </c>
      <c r="H12" s="44">
        <f t="shared" si="36"/>
        <v>0.4747</v>
      </c>
      <c r="I12" s="44">
        <f t="shared" si="36"/>
        <v>0.45</v>
      </c>
      <c r="J12" s="44">
        <f t="shared" si="36"/>
        <v>0.45</v>
      </c>
      <c r="K12" s="36"/>
      <c r="L12" s="36"/>
      <c r="M12" s="49">
        <v>5.937</v>
      </c>
      <c r="N12" s="49">
        <v>5.845</v>
      </c>
      <c r="O12" s="49">
        <v>5.575</v>
      </c>
      <c r="P12" s="49">
        <v>5.276</v>
      </c>
      <c r="Q12" s="49">
        <v>5.363</v>
      </c>
      <c r="R12" s="49">
        <v>6.645</v>
      </c>
      <c r="S12" s="49">
        <v>5.654</v>
      </c>
      <c r="T12" s="49"/>
      <c r="U12" s="35"/>
      <c r="V12" s="43" t="s">
        <v>347</v>
      </c>
      <c r="W12" s="46">
        <f t="shared" ref="W12:AC12" si="37">D12/M12</f>
        <v>0.0799898938858009</v>
      </c>
      <c r="X12" s="46">
        <f t="shared" si="37"/>
        <v>0.0778614200171086</v>
      </c>
      <c r="Y12" s="46">
        <f t="shared" si="37"/>
        <v>0.0807174887892377</v>
      </c>
      <c r="Z12" s="46">
        <f t="shared" si="37"/>
        <v>0.0845147839272176</v>
      </c>
      <c r="AA12" s="46">
        <f t="shared" si="37"/>
        <v>0.08851389147865</v>
      </c>
      <c r="AB12" s="47">
        <f t="shared" si="37"/>
        <v>0.0677200902934537</v>
      </c>
      <c r="AC12" s="47">
        <f t="shared" si="37"/>
        <v>0.0795896710293598</v>
      </c>
      <c r="AD12" s="36"/>
      <c r="AE12" s="36"/>
      <c r="AF12" s="46">
        <f t="shared" ref="AF12:AJ12" si="38">W12</f>
        <v>0.0799898938858009</v>
      </c>
      <c r="AG12" s="46">
        <f t="shared" si="38"/>
        <v>0.0778614200171086</v>
      </c>
      <c r="AH12" s="46">
        <f t="shared" si="38"/>
        <v>0.0807174887892377</v>
      </c>
      <c r="AI12" s="46">
        <f t="shared" si="38"/>
        <v>0.0845147839272176</v>
      </c>
      <c r="AJ12" s="46">
        <f t="shared" si="38"/>
        <v>0.08851389147865</v>
      </c>
      <c r="AK12" s="48">
        <f t="shared" si="3"/>
        <v>0.0778781038374718</v>
      </c>
      <c r="AL12" s="48">
        <f t="shared" si="4"/>
        <v>0.0915281216837637</v>
      </c>
      <c r="AM12" s="36"/>
      <c r="AN12" s="36"/>
      <c r="AO12" s="46">
        <f t="shared" ref="AO12:AS12" si="39">W12</f>
        <v>0.0799898938858009</v>
      </c>
      <c r="AP12" s="46">
        <f t="shared" si="39"/>
        <v>0.0778614200171086</v>
      </c>
      <c r="AQ12" s="46">
        <f t="shared" si="39"/>
        <v>0.0807174887892377</v>
      </c>
      <c r="AR12" s="46">
        <f t="shared" si="39"/>
        <v>0.0845147839272176</v>
      </c>
      <c r="AS12" s="46">
        <f t="shared" si="39"/>
        <v>0.08851389147865</v>
      </c>
      <c r="AT12" s="48">
        <f t="shared" si="6"/>
        <v>0.0575620767494357</v>
      </c>
      <c r="AU12" s="48">
        <f t="shared" si="7"/>
        <v>0.0676512203749558</v>
      </c>
      <c r="AZ12" s="35"/>
      <c r="BA12" s="43" t="s">
        <v>347</v>
      </c>
      <c r="BB12" s="44">
        <v>462.9</v>
      </c>
      <c r="BC12" s="46">
        <v>474.9</v>
      </c>
      <c r="BD12" s="46">
        <v>455.1</v>
      </c>
      <c r="BE12" s="46">
        <v>450</v>
      </c>
      <c r="BF12" s="46">
        <v>445.9</v>
      </c>
      <c r="BG12" s="46">
        <v>474.7</v>
      </c>
      <c r="BH12" s="46">
        <v>450</v>
      </c>
      <c r="BI12" s="46">
        <v>450</v>
      </c>
      <c r="BJ12" s="36"/>
      <c r="BK12" s="36"/>
      <c r="BL12" s="49"/>
      <c r="BM12" s="49"/>
      <c r="BN12" s="49"/>
      <c r="BO12" s="49"/>
    </row>
    <row r="13" ht="15.5" spans="1:67">
      <c r="A13" s="35"/>
      <c r="B13" s="43" t="s">
        <v>348</v>
      </c>
      <c r="C13" s="44">
        <f t="shared" ref="C13:J13" si="40">BB13/1000</f>
        <v>0.0877</v>
      </c>
      <c r="D13" s="44">
        <f t="shared" si="40"/>
        <v>0.0802</v>
      </c>
      <c r="E13" s="44">
        <f t="shared" si="40"/>
        <v>0.0772</v>
      </c>
      <c r="F13" s="44">
        <f t="shared" si="40"/>
        <v>0.0763</v>
      </c>
      <c r="G13" s="44">
        <f t="shared" si="40"/>
        <v>0.0789</v>
      </c>
      <c r="H13" s="44">
        <f t="shared" si="40"/>
        <v>0.0817</v>
      </c>
      <c r="I13" s="44">
        <f t="shared" si="40"/>
        <v>0.0763</v>
      </c>
      <c r="J13" s="44">
        <f t="shared" si="40"/>
        <v>0.0763</v>
      </c>
      <c r="K13" s="36"/>
      <c r="L13" s="36"/>
      <c r="M13" s="49">
        <v>5.937</v>
      </c>
      <c r="N13" s="49">
        <v>5.845</v>
      </c>
      <c r="O13" s="49">
        <v>5.575</v>
      </c>
      <c r="P13" s="49">
        <v>5.276</v>
      </c>
      <c r="Q13" s="49">
        <v>5.363</v>
      </c>
      <c r="R13" s="49">
        <v>6.645</v>
      </c>
      <c r="S13" s="49">
        <v>5.654</v>
      </c>
      <c r="T13" s="49"/>
      <c r="U13" s="35"/>
      <c r="V13" s="43" t="s">
        <v>348</v>
      </c>
      <c r="W13" s="46">
        <f t="shared" ref="W13:AC13" si="41">D13/M13</f>
        <v>0.0135085059794509</v>
      </c>
      <c r="X13" s="46">
        <f t="shared" si="41"/>
        <v>0.013207869974337</v>
      </c>
      <c r="Y13" s="46">
        <f t="shared" si="41"/>
        <v>0.0136860986547085</v>
      </c>
      <c r="Z13" s="46">
        <f t="shared" si="41"/>
        <v>0.0149545109931767</v>
      </c>
      <c r="AA13" s="46">
        <f t="shared" si="41"/>
        <v>0.0152340108148424</v>
      </c>
      <c r="AB13" s="47">
        <f t="shared" si="41"/>
        <v>0.0114823175319789</v>
      </c>
      <c r="AC13" s="47">
        <f t="shared" si="41"/>
        <v>0.013494870887867</v>
      </c>
      <c r="AD13" s="36"/>
      <c r="AE13" s="36"/>
      <c r="AF13" s="46">
        <f t="shared" ref="AF13:AJ13" si="42">W13</f>
        <v>0.0135085059794509</v>
      </c>
      <c r="AG13" s="46">
        <f t="shared" si="42"/>
        <v>0.013207869974337</v>
      </c>
      <c r="AH13" s="46">
        <f t="shared" si="42"/>
        <v>0.0136860986547085</v>
      </c>
      <c r="AI13" s="46">
        <f t="shared" si="42"/>
        <v>0.0149545109931767</v>
      </c>
      <c r="AJ13" s="46">
        <f t="shared" si="42"/>
        <v>0.0152340108148424</v>
      </c>
      <c r="AK13" s="48">
        <f t="shared" si="3"/>
        <v>0.0132046651617758</v>
      </c>
      <c r="AL13" s="48">
        <f t="shared" si="4"/>
        <v>0.015519101521047</v>
      </c>
      <c r="AM13" s="36"/>
      <c r="AN13" s="36"/>
      <c r="AO13" s="46">
        <f t="shared" ref="AO13:AS13" si="43">W13</f>
        <v>0.0135085059794509</v>
      </c>
      <c r="AP13" s="46">
        <f t="shared" si="43"/>
        <v>0.013207869974337</v>
      </c>
      <c r="AQ13" s="46">
        <f t="shared" si="43"/>
        <v>0.0136860986547085</v>
      </c>
      <c r="AR13" s="46">
        <f t="shared" si="43"/>
        <v>0.0149545109931767</v>
      </c>
      <c r="AS13" s="46">
        <f t="shared" si="43"/>
        <v>0.0152340108148424</v>
      </c>
      <c r="AT13" s="48">
        <f t="shared" si="6"/>
        <v>0.00975996990218209</v>
      </c>
      <c r="AU13" s="48">
        <f t="shared" si="7"/>
        <v>0.0114706402546869</v>
      </c>
      <c r="AZ13" s="35"/>
      <c r="BA13" s="43" t="s">
        <v>348</v>
      </c>
      <c r="BB13" s="44">
        <v>87.7</v>
      </c>
      <c r="BC13" s="46">
        <v>80.2</v>
      </c>
      <c r="BD13" s="46">
        <v>77.2</v>
      </c>
      <c r="BE13" s="46">
        <v>76.3</v>
      </c>
      <c r="BF13" s="46">
        <v>78.9</v>
      </c>
      <c r="BG13" s="46">
        <v>81.7</v>
      </c>
      <c r="BH13" s="46">
        <v>76.3</v>
      </c>
      <c r="BI13" s="46">
        <v>76.3</v>
      </c>
      <c r="BJ13" s="36"/>
      <c r="BK13" s="36"/>
      <c r="BL13" s="49"/>
      <c r="BM13" s="49"/>
      <c r="BN13" s="49"/>
      <c r="BO13" s="49"/>
    </row>
    <row r="14" ht="15.5" spans="1:67">
      <c r="A14" s="35" t="s">
        <v>11</v>
      </c>
      <c r="B14" s="43" t="s">
        <v>344</v>
      </c>
      <c r="C14" s="44">
        <f t="shared" ref="C14:J14" si="44">BB14/1000</f>
        <v>0.8705</v>
      </c>
      <c r="D14" s="44">
        <f t="shared" si="44"/>
        <v>0.8381</v>
      </c>
      <c r="E14" s="44">
        <f t="shared" si="44"/>
        <v>0.799</v>
      </c>
      <c r="F14" s="44">
        <f t="shared" si="44"/>
        <v>0.7882</v>
      </c>
      <c r="G14" s="44">
        <f t="shared" si="44"/>
        <v>0.7835</v>
      </c>
      <c r="H14" s="44">
        <f t="shared" si="44"/>
        <v>0.8253</v>
      </c>
      <c r="I14" s="44">
        <f t="shared" si="44"/>
        <v>0.7882</v>
      </c>
      <c r="J14" s="44">
        <f t="shared" si="44"/>
        <v>0.7882</v>
      </c>
      <c r="K14" s="36"/>
      <c r="L14" s="36"/>
      <c r="M14" s="49">
        <v>5.937</v>
      </c>
      <c r="N14" s="49">
        <v>5.845</v>
      </c>
      <c r="O14" s="49">
        <v>5.575</v>
      </c>
      <c r="P14" s="49">
        <v>5.276</v>
      </c>
      <c r="Q14" s="49">
        <v>5.363</v>
      </c>
      <c r="R14" s="49">
        <v>6.645</v>
      </c>
      <c r="S14" s="49">
        <v>5.654</v>
      </c>
      <c r="T14" s="49"/>
      <c r="U14" s="35" t="s">
        <v>11</v>
      </c>
      <c r="V14" s="43" t="s">
        <v>344</v>
      </c>
      <c r="W14" s="46">
        <f t="shared" ref="W14:AC14" si="45">D14/M14</f>
        <v>0.141165571837628</v>
      </c>
      <c r="X14" s="46">
        <f t="shared" si="45"/>
        <v>0.136698032506416</v>
      </c>
      <c r="Y14" s="46">
        <f t="shared" si="45"/>
        <v>0.141381165919283</v>
      </c>
      <c r="Z14" s="46">
        <f t="shared" si="45"/>
        <v>0.148502653525398</v>
      </c>
      <c r="AA14" s="46">
        <f t="shared" si="45"/>
        <v>0.153887749393996</v>
      </c>
      <c r="AB14" s="47">
        <f t="shared" si="45"/>
        <v>0.118615500376223</v>
      </c>
      <c r="AC14" s="47">
        <f t="shared" si="45"/>
        <v>0.139405730456314</v>
      </c>
      <c r="AD14" s="36"/>
      <c r="AE14" s="36"/>
      <c r="AF14" s="46">
        <f t="shared" ref="AF14:AJ14" si="46">W14</f>
        <v>0.141165571837628</v>
      </c>
      <c r="AG14" s="46">
        <f t="shared" si="46"/>
        <v>0.136698032506416</v>
      </c>
      <c r="AH14" s="46">
        <f t="shared" si="46"/>
        <v>0.141381165919283</v>
      </c>
      <c r="AI14" s="46">
        <f t="shared" si="46"/>
        <v>0.148502653525398</v>
      </c>
      <c r="AJ14" s="46">
        <f t="shared" si="46"/>
        <v>0.153887749393996</v>
      </c>
      <c r="AK14" s="48">
        <f t="shared" si="3"/>
        <v>0.136407825432656</v>
      </c>
      <c r="AL14" s="48">
        <f t="shared" si="4"/>
        <v>0.160316590024761</v>
      </c>
      <c r="AM14" s="36"/>
      <c r="AN14" s="36"/>
      <c r="AO14" s="46">
        <f t="shared" ref="AO14:AS14" si="47">W14</f>
        <v>0.141165571837628</v>
      </c>
      <c r="AP14" s="46">
        <f t="shared" si="47"/>
        <v>0.136698032506416</v>
      </c>
      <c r="AQ14" s="46">
        <f t="shared" si="47"/>
        <v>0.141381165919283</v>
      </c>
      <c r="AR14" s="46">
        <f t="shared" si="47"/>
        <v>0.148502653525398</v>
      </c>
      <c r="AS14" s="46">
        <f t="shared" si="47"/>
        <v>0.153887749393996</v>
      </c>
      <c r="AT14" s="48">
        <f t="shared" si="6"/>
        <v>0.100823175319789</v>
      </c>
      <c r="AU14" s="48">
        <f t="shared" si="7"/>
        <v>0.118494870887867</v>
      </c>
      <c r="AZ14" s="35" t="s">
        <v>11</v>
      </c>
      <c r="BA14" s="43" t="s">
        <v>344</v>
      </c>
      <c r="BB14" s="44">
        <v>870.5</v>
      </c>
      <c r="BC14" s="46">
        <v>838.1</v>
      </c>
      <c r="BD14" s="46">
        <v>799</v>
      </c>
      <c r="BE14" s="46">
        <v>788.2</v>
      </c>
      <c r="BF14" s="46">
        <v>783.5</v>
      </c>
      <c r="BG14" s="46">
        <v>825.3</v>
      </c>
      <c r="BH14" s="46">
        <v>788.2</v>
      </c>
      <c r="BI14" s="46">
        <v>788.2</v>
      </c>
      <c r="BJ14" s="36"/>
      <c r="BK14" s="36"/>
      <c r="BL14" s="49"/>
      <c r="BM14" s="49"/>
      <c r="BN14" s="49"/>
      <c r="BO14" s="49"/>
    </row>
    <row r="15" ht="15.5" spans="1:67">
      <c r="A15" s="35"/>
      <c r="B15" s="43" t="s">
        <v>345</v>
      </c>
      <c r="C15" s="44">
        <f t="shared" ref="C15:J15" si="48">BB15/1000</f>
        <v>0.8012</v>
      </c>
      <c r="D15" s="44">
        <f t="shared" si="48"/>
        <v>0.7738</v>
      </c>
      <c r="E15" s="44">
        <f t="shared" si="48"/>
        <v>0.7382</v>
      </c>
      <c r="F15" s="44">
        <f t="shared" si="48"/>
        <v>0.7285</v>
      </c>
      <c r="G15" s="44">
        <f t="shared" si="48"/>
        <v>0.7214</v>
      </c>
      <c r="H15" s="44">
        <f t="shared" si="48"/>
        <v>0.7613</v>
      </c>
      <c r="I15" s="44">
        <f t="shared" si="48"/>
        <v>0.7285</v>
      </c>
      <c r="J15" s="44">
        <f t="shared" si="48"/>
        <v>0.7285</v>
      </c>
      <c r="K15" s="36"/>
      <c r="L15" s="36"/>
      <c r="M15" s="49">
        <v>5.937</v>
      </c>
      <c r="N15" s="49">
        <v>5.845</v>
      </c>
      <c r="O15" s="49">
        <v>5.575</v>
      </c>
      <c r="P15" s="49">
        <v>5.276</v>
      </c>
      <c r="Q15" s="49">
        <v>5.363</v>
      </c>
      <c r="R15" s="49">
        <v>6.645</v>
      </c>
      <c r="S15" s="49">
        <v>5.654</v>
      </c>
      <c r="T15" s="49"/>
      <c r="U15" s="35"/>
      <c r="V15" s="43" t="s">
        <v>345</v>
      </c>
      <c r="W15" s="46">
        <f t="shared" ref="W15:AC15" si="49">D15/M15</f>
        <v>0.130335186120936</v>
      </c>
      <c r="X15" s="46">
        <f t="shared" si="49"/>
        <v>0.126295979469632</v>
      </c>
      <c r="Y15" s="46">
        <f t="shared" si="49"/>
        <v>0.13067264573991</v>
      </c>
      <c r="Z15" s="46">
        <f t="shared" si="49"/>
        <v>0.136732373009856</v>
      </c>
      <c r="AA15" s="46">
        <f t="shared" si="49"/>
        <v>0.141954130151035</v>
      </c>
      <c r="AB15" s="47">
        <f t="shared" si="49"/>
        <v>0.109631301730625</v>
      </c>
      <c r="AC15" s="47">
        <f t="shared" si="49"/>
        <v>0.128846834099752</v>
      </c>
      <c r="AD15" s="36"/>
      <c r="AE15" s="36"/>
      <c r="AF15" s="46">
        <f t="shared" ref="AF15:AJ15" si="50">W15</f>
        <v>0.130335186120936</v>
      </c>
      <c r="AG15" s="46">
        <f t="shared" si="50"/>
        <v>0.126295979469632</v>
      </c>
      <c r="AH15" s="46">
        <f t="shared" si="50"/>
        <v>0.13067264573991</v>
      </c>
      <c r="AI15" s="46">
        <f t="shared" si="50"/>
        <v>0.136732373009856</v>
      </c>
      <c r="AJ15" s="46">
        <f t="shared" si="50"/>
        <v>0.141954130151035</v>
      </c>
      <c r="AK15" s="48">
        <f t="shared" si="3"/>
        <v>0.126075996990218</v>
      </c>
      <c r="AL15" s="48">
        <f t="shared" si="4"/>
        <v>0.148173859214715</v>
      </c>
      <c r="AM15" s="36"/>
      <c r="AN15" s="36"/>
      <c r="AO15" s="46">
        <f t="shared" ref="AO15:AS15" si="51">W15</f>
        <v>0.130335186120936</v>
      </c>
      <c r="AP15" s="46">
        <f t="shared" si="51"/>
        <v>0.126295979469632</v>
      </c>
      <c r="AQ15" s="46">
        <f t="shared" si="51"/>
        <v>0.13067264573991</v>
      </c>
      <c r="AR15" s="46">
        <f t="shared" si="51"/>
        <v>0.136732373009856</v>
      </c>
      <c r="AS15" s="46">
        <f t="shared" si="51"/>
        <v>0.141954130151035</v>
      </c>
      <c r="AT15" s="48">
        <f t="shared" si="6"/>
        <v>0.0931866064710309</v>
      </c>
      <c r="AU15" s="48">
        <f t="shared" si="7"/>
        <v>0.10951980898479</v>
      </c>
      <c r="AZ15" s="35"/>
      <c r="BA15" s="43" t="s">
        <v>345</v>
      </c>
      <c r="BB15" s="44">
        <v>801.2</v>
      </c>
      <c r="BC15" s="46">
        <v>773.8</v>
      </c>
      <c r="BD15" s="46">
        <v>738.2</v>
      </c>
      <c r="BE15" s="46">
        <v>728.5</v>
      </c>
      <c r="BF15" s="46">
        <v>721.4</v>
      </c>
      <c r="BG15" s="46">
        <v>761.3</v>
      </c>
      <c r="BH15" s="46">
        <v>728.5</v>
      </c>
      <c r="BI15" s="46">
        <v>728.5</v>
      </c>
      <c r="BJ15" s="36"/>
      <c r="BK15" s="36"/>
      <c r="BL15" s="49"/>
      <c r="BM15" s="49"/>
      <c r="BN15" s="49"/>
      <c r="BO15" s="49"/>
    </row>
    <row r="16" ht="15.5" spans="1:67">
      <c r="A16" s="35"/>
      <c r="B16" s="43" t="s">
        <v>346</v>
      </c>
      <c r="C16" s="44">
        <f t="shared" ref="C16:J16" si="52">BB16/1000</f>
        <v>0.3021</v>
      </c>
      <c r="D16" s="44">
        <f t="shared" si="52"/>
        <v>0.2654</v>
      </c>
      <c r="E16" s="44">
        <f t="shared" si="52"/>
        <v>0.2502</v>
      </c>
      <c r="F16" s="44">
        <f t="shared" si="52"/>
        <v>0.246</v>
      </c>
      <c r="G16" s="44">
        <f t="shared" si="52"/>
        <v>0.2408</v>
      </c>
      <c r="H16" s="44">
        <f t="shared" si="52"/>
        <v>0.2506</v>
      </c>
      <c r="I16" s="44">
        <f t="shared" si="52"/>
        <v>0.246</v>
      </c>
      <c r="J16" s="44">
        <f t="shared" si="52"/>
        <v>0.246</v>
      </c>
      <c r="K16" s="36"/>
      <c r="L16" s="36"/>
      <c r="M16" s="49">
        <v>5.937</v>
      </c>
      <c r="N16" s="49">
        <v>5.845</v>
      </c>
      <c r="O16" s="49">
        <v>5.575</v>
      </c>
      <c r="P16" s="49">
        <v>5.276</v>
      </c>
      <c r="Q16" s="49">
        <v>5.363</v>
      </c>
      <c r="R16" s="49">
        <v>6.645</v>
      </c>
      <c r="S16" s="49">
        <v>5.654</v>
      </c>
      <c r="T16" s="49"/>
      <c r="U16" s="35"/>
      <c r="V16" s="43" t="s">
        <v>346</v>
      </c>
      <c r="W16" s="46">
        <f t="shared" ref="W16:AC16" si="53">D16/M16</f>
        <v>0.0447027118073101</v>
      </c>
      <c r="X16" s="46">
        <f t="shared" si="53"/>
        <v>0.0428058169375535</v>
      </c>
      <c r="Y16" s="46">
        <f t="shared" si="53"/>
        <v>0.0441255605381166</v>
      </c>
      <c r="Z16" s="46">
        <f t="shared" si="53"/>
        <v>0.0456406368460955</v>
      </c>
      <c r="AA16" s="46">
        <f t="shared" si="53"/>
        <v>0.0467275778482193</v>
      </c>
      <c r="AB16" s="47">
        <f t="shared" si="53"/>
        <v>0.037020316027088</v>
      </c>
      <c r="AC16" s="47">
        <f t="shared" si="53"/>
        <v>0.0435090201627167</v>
      </c>
      <c r="AD16" s="36"/>
      <c r="AE16" s="36"/>
      <c r="AF16" s="46">
        <f t="shared" ref="AF16:AJ16" si="54">W16</f>
        <v>0.0447027118073101</v>
      </c>
      <c r="AG16" s="46">
        <f t="shared" si="54"/>
        <v>0.0428058169375535</v>
      </c>
      <c r="AH16" s="46">
        <f t="shared" si="54"/>
        <v>0.0441255605381166</v>
      </c>
      <c r="AI16" s="46">
        <f t="shared" si="54"/>
        <v>0.0456406368460955</v>
      </c>
      <c r="AJ16" s="46">
        <f t="shared" si="54"/>
        <v>0.0467275778482193</v>
      </c>
      <c r="AK16" s="48">
        <f t="shared" si="3"/>
        <v>0.0425733634311512</v>
      </c>
      <c r="AL16" s="48">
        <f t="shared" si="4"/>
        <v>0.0500353731871242</v>
      </c>
      <c r="AM16" s="36"/>
      <c r="AN16" s="36"/>
      <c r="AO16" s="46">
        <f t="shared" ref="AO16:AS16" si="55">W16</f>
        <v>0.0447027118073101</v>
      </c>
      <c r="AP16" s="46">
        <f t="shared" si="55"/>
        <v>0.0428058169375535</v>
      </c>
      <c r="AQ16" s="46">
        <f t="shared" si="55"/>
        <v>0.0441255605381166</v>
      </c>
      <c r="AR16" s="46">
        <f t="shared" si="55"/>
        <v>0.0456406368460955</v>
      </c>
      <c r="AS16" s="46">
        <f t="shared" si="55"/>
        <v>0.0467275778482193</v>
      </c>
      <c r="AT16" s="48">
        <f t="shared" si="6"/>
        <v>0.0314672686230248</v>
      </c>
      <c r="AU16" s="48">
        <f t="shared" si="7"/>
        <v>0.0369826671383092</v>
      </c>
      <c r="AZ16" s="35"/>
      <c r="BA16" s="43" t="s">
        <v>346</v>
      </c>
      <c r="BB16" s="44">
        <v>302.1</v>
      </c>
      <c r="BC16" s="46">
        <v>265.4</v>
      </c>
      <c r="BD16" s="46">
        <v>250.2</v>
      </c>
      <c r="BE16" s="46">
        <v>246</v>
      </c>
      <c r="BF16" s="46">
        <v>240.8</v>
      </c>
      <c r="BG16" s="46">
        <v>250.6</v>
      </c>
      <c r="BH16" s="46">
        <v>246</v>
      </c>
      <c r="BI16" s="46">
        <v>246</v>
      </c>
      <c r="BJ16" s="36"/>
      <c r="BK16" s="36"/>
      <c r="BL16" s="49"/>
      <c r="BM16" s="49"/>
      <c r="BN16" s="49"/>
      <c r="BO16" s="49"/>
    </row>
    <row r="17" ht="15.5" spans="1:67">
      <c r="A17" s="35"/>
      <c r="B17" s="43" t="s">
        <v>347</v>
      </c>
      <c r="C17" s="44">
        <f t="shared" ref="C17:J17" si="56">BB17/1000</f>
        <v>0.4137</v>
      </c>
      <c r="D17" s="44">
        <f t="shared" si="56"/>
        <v>0.4304</v>
      </c>
      <c r="E17" s="44">
        <f t="shared" si="56"/>
        <v>0.4127</v>
      </c>
      <c r="F17" s="44">
        <f t="shared" si="56"/>
        <v>0.4081</v>
      </c>
      <c r="G17" s="44">
        <f t="shared" si="56"/>
        <v>0.4037</v>
      </c>
      <c r="H17" s="44">
        <f t="shared" si="56"/>
        <v>0.4311</v>
      </c>
      <c r="I17" s="44">
        <f t="shared" si="56"/>
        <v>0.4081</v>
      </c>
      <c r="J17" s="44">
        <f t="shared" si="56"/>
        <v>0.4081</v>
      </c>
      <c r="K17" s="36"/>
      <c r="L17" s="36"/>
      <c r="M17" s="49">
        <v>5.937</v>
      </c>
      <c r="N17" s="49">
        <v>5.845</v>
      </c>
      <c r="O17" s="49">
        <v>5.575</v>
      </c>
      <c r="P17" s="49">
        <v>5.276</v>
      </c>
      <c r="Q17" s="49">
        <v>5.363</v>
      </c>
      <c r="R17" s="49">
        <v>6.645</v>
      </c>
      <c r="S17" s="49">
        <v>5.654</v>
      </c>
      <c r="T17" s="49"/>
      <c r="U17" s="35"/>
      <c r="V17" s="43" t="s">
        <v>347</v>
      </c>
      <c r="W17" s="46">
        <f t="shared" ref="W17:AC17" si="57">D17/M17</f>
        <v>0.0724945258548088</v>
      </c>
      <c r="X17" s="46">
        <f t="shared" si="57"/>
        <v>0.0706073567151412</v>
      </c>
      <c r="Y17" s="46">
        <f t="shared" si="57"/>
        <v>0.0732017937219731</v>
      </c>
      <c r="Z17" s="46">
        <f t="shared" si="57"/>
        <v>0.076516300227445</v>
      </c>
      <c r="AA17" s="46">
        <f t="shared" si="57"/>
        <v>0.0803841133693828</v>
      </c>
      <c r="AB17" s="47">
        <f t="shared" si="57"/>
        <v>0.0614145974416855</v>
      </c>
      <c r="AC17" s="47">
        <f t="shared" si="57"/>
        <v>0.0721789883268483</v>
      </c>
      <c r="AD17" s="36"/>
      <c r="AE17" s="36"/>
      <c r="AF17" s="46">
        <f t="shared" ref="AF17:AJ17" si="58">W17</f>
        <v>0.0724945258548088</v>
      </c>
      <c r="AG17" s="46">
        <f t="shared" si="58"/>
        <v>0.0706073567151412</v>
      </c>
      <c r="AH17" s="46">
        <f t="shared" si="58"/>
        <v>0.0732017937219731</v>
      </c>
      <c r="AI17" s="46">
        <f t="shared" si="58"/>
        <v>0.076516300227445</v>
      </c>
      <c r="AJ17" s="46">
        <f t="shared" si="58"/>
        <v>0.0803841133693828</v>
      </c>
      <c r="AK17" s="48">
        <f t="shared" si="3"/>
        <v>0.0706267870579383</v>
      </c>
      <c r="AL17" s="48">
        <f t="shared" si="4"/>
        <v>0.0830058365758755</v>
      </c>
      <c r="AM17" s="36"/>
      <c r="AN17" s="36"/>
      <c r="AO17" s="46">
        <f t="shared" ref="AO17:AS17" si="59">W17</f>
        <v>0.0724945258548088</v>
      </c>
      <c r="AP17" s="46">
        <f t="shared" si="59"/>
        <v>0.0706073567151412</v>
      </c>
      <c r="AQ17" s="46">
        <f t="shared" si="59"/>
        <v>0.0732017937219731</v>
      </c>
      <c r="AR17" s="46">
        <f t="shared" si="59"/>
        <v>0.076516300227445</v>
      </c>
      <c r="AS17" s="46">
        <f t="shared" si="59"/>
        <v>0.0803841133693828</v>
      </c>
      <c r="AT17" s="48">
        <f t="shared" si="6"/>
        <v>0.0522024078254327</v>
      </c>
      <c r="AU17" s="48">
        <f t="shared" si="7"/>
        <v>0.061352140077821</v>
      </c>
      <c r="AZ17" s="35"/>
      <c r="BA17" s="43" t="s">
        <v>347</v>
      </c>
      <c r="BB17" s="44">
        <v>413.7</v>
      </c>
      <c r="BC17" s="46">
        <v>430.4</v>
      </c>
      <c r="BD17" s="46">
        <v>412.7</v>
      </c>
      <c r="BE17" s="46">
        <v>408.1</v>
      </c>
      <c r="BF17" s="46">
        <v>403.7</v>
      </c>
      <c r="BG17" s="46">
        <v>431.1</v>
      </c>
      <c r="BH17" s="46">
        <v>408.1</v>
      </c>
      <c r="BI17" s="46">
        <v>408.1</v>
      </c>
      <c r="BJ17" s="36"/>
      <c r="BK17" s="36"/>
      <c r="BL17" s="49"/>
      <c r="BM17" s="49"/>
      <c r="BN17" s="49"/>
      <c r="BO17" s="49"/>
    </row>
    <row r="18" ht="15.5" spans="1:67">
      <c r="A18" s="35"/>
      <c r="B18" s="43" t="s">
        <v>348</v>
      </c>
      <c r="C18" s="44">
        <f t="shared" ref="C18:J18" si="60">BB18/1000</f>
        <v>0.0853</v>
      </c>
      <c r="D18" s="44">
        <f t="shared" si="60"/>
        <v>0.0781</v>
      </c>
      <c r="E18" s="44">
        <f t="shared" si="60"/>
        <v>0.0752</v>
      </c>
      <c r="F18" s="44">
        <f t="shared" si="60"/>
        <v>0.0743</v>
      </c>
      <c r="G18" s="44">
        <f t="shared" si="60"/>
        <v>0.0768</v>
      </c>
      <c r="H18" s="44">
        <f t="shared" si="60"/>
        <v>0.0797</v>
      </c>
      <c r="I18" s="44">
        <f t="shared" si="60"/>
        <v>0.0743</v>
      </c>
      <c r="J18" s="44">
        <f t="shared" si="60"/>
        <v>0.0743</v>
      </c>
      <c r="K18" s="36"/>
      <c r="L18" s="36"/>
      <c r="M18" s="49">
        <v>5.937</v>
      </c>
      <c r="N18" s="49">
        <v>5.845</v>
      </c>
      <c r="O18" s="49">
        <v>5.575</v>
      </c>
      <c r="P18" s="49">
        <v>5.276</v>
      </c>
      <c r="Q18" s="49">
        <v>5.363</v>
      </c>
      <c r="R18" s="49">
        <v>6.645</v>
      </c>
      <c r="S18" s="49">
        <v>5.654</v>
      </c>
      <c r="T18" s="49"/>
      <c r="U18" s="35"/>
      <c r="V18" s="43" t="s">
        <v>348</v>
      </c>
      <c r="W18" s="46">
        <f t="shared" ref="W18:AC18" si="61">D18/M18</f>
        <v>0.0131547919824827</v>
      </c>
      <c r="X18" s="46">
        <f t="shared" si="61"/>
        <v>0.0128656971770744</v>
      </c>
      <c r="Y18" s="46">
        <f t="shared" si="61"/>
        <v>0.0133273542600897</v>
      </c>
      <c r="Z18" s="46">
        <f t="shared" si="61"/>
        <v>0.0145564821834723</v>
      </c>
      <c r="AA18" s="46">
        <f t="shared" si="61"/>
        <v>0.0148610852134999</v>
      </c>
      <c r="AB18" s="47">
        <f t="shared" si="61"/>
        <v>0.0111813393528969</v>
      </c>
      <c r="AC18" s="47">
        <f t="shared" si="61"/>
        <v>0.0131411390166254</v>
      </c>
      <c r="AD18" s="36"/>
      <c r="AE18" s="36"/>
      <c r="AF18" s="46">
        <f t="shared" ref="AF18:AJ18" si="62">W18</f>
        <v>0.0131547919824827</v>
      </c>
      <c r="AG18" s="46">
        <f t="shared" si="62"/>
        <v>0.0128656971770744</v>
      </c>
      <c r="AH18" s="46">
        <f t="shared" si="62"/>
        <v>0.0133273542600897</v>
      </c>
      <c r="AI18" s="46">
        <f t="shared" si="62"/>
        <v>0.0145564821834723</v>
      </c>
      <c r="AJ18" s="46">
        <f t="shared" si="62"/>
        <v>0.0148610852134999</v>
      </c>
      <c r="AK18" s="48">
        <f t="shared" si="3"/>
        <v>0.0128585402558315</v>
      </c>
      <c r="AL18" s="48">
        <f t="shared" si="4"/>
        <v>0.0151123098691192</v>
      </c>
      <c r="AM18" s="36"/>
      <c r="AN18" s="36"/>
      <c r="AO18" s="46">
        <f t="shared" ref="AO18:AS18" si="63">W18</f>
        <v>0.0131547919824827</v>
      </c>
      <c r="AP18" s="46">
        <f t="shared" si="63"/>
        <v>0.0128656971770744</v>
      </c>
      <c r="AQ18" s="46">
        <f t="shared" si="63"/>
        <v>0.0133273542600897</v>
      </c>
      <c r="AR18" s="46">
        <f t="shared" si="63"/>
        <v>0.0145564821834723</v>
      </c>
      <c r="AS18" s="46">
        <f t="shared" si="63"/>
        <v>0.0148610852134999</v>
      </c>
      <c r="AT18" s="48">
        <f t="shared" si="6"/>
        <v>0.00950413844996238</v>
      </c>
      <c r="AU18" s="48">
        <f t="shared" si="7"/>
        <v>0.0111699681641316</v>
      </c>
      <c r="AZ18" s="35"/>
      <c r="BA18" s="43" t="s">
        <v>348</v>
      </c>
      <c r="BB18" s="44">
        <v>85.3</v>
      </c>
      <c r="BC18" s="46">
        <v>78.1</v>
      </c>
      <c r="BD18" s="46">
        <v>75.2</v>
      </c>
      <c r="BE18" s="46">
        <v>74.3</v>
      </c>
      <c r="BF18" s="46">
        <v>76.8</v>
      </c>
      <c r="BG18" s="46">
        <v>79.7</v>
      </c>
      <c r="BH18" s="46">
        <v>74.3</v>
      </c>
      <c r="BI18" s="46">
        <v>74.3</v>
      </c>
      <c r="BJ18" s="36"/>
      <c r="BK18" s="36"/>
      <c r="BL18" s="49"/>
      <c r="BM18" s="49"/>
      <c r="BN18" s="49"/>
      <c r="BO18" s="49"/>
    </row>
    <row r="19" ht="15.5" spans="1:67">
      <c r="A19" s="36"/>
      <c r="B19" s="36"/>
      <c r="C19" s="39"/>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Z19" s="36"/>
      <c r="BA19" s="36"/>
      <c r="BB19" s="39"/>
      <c r="BC19" s="36"/>
      <c r="BD19" s="36"/>
      <c r="BE19" s="36"/>
      <c r="BF19" s="36"/>
      <c r="BG19" s="36"/>
      <c r="BH19" s="36"/>
      <c r="BI19" s="36"/>
      <c r="BJ19" s="36"/>
      <c r="BK19" s="36"/>
      <c r="BL19" s="36"/>
      <c r="BM19" s="36"/>
      <c r="BN19" s="36"/>
      <c r="BO19" s="36"/>
    </row>
    <row r="20" ht="15.5" spans="1:67">
      <c r="A20" s="36"/>
      <c r="B20" s="36"/>
      <c r="C20" s="39"/>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Z20" s="36"/>
      <c r="BA20" s="36"/>
      <c r="BB20" s="39"/>
      <c r="BC20" s="36"/>
      <c r="BD20" s="36"/>
      <c r="BE20" s="36"/>
      <c r="BF20" s="36"/>
      <c r="BG20" s="36"/>
      <c r="BH20" s="36"/>
      <c r="BI20" s="36"/>
      <c r="BJ20" s="36"/>
      <c r="BK20" s="36"/>
      <c r="BL20" s="36"/>
      <c r="BM20" s="36"/>
      <c r="BN20" s="36"/>
      <c r="BO20" s="36"/>
    </row>
    <row r="21" ht="15.5" spans="1:67">
      <c r="A21" s="35" t="s">
        <v>361</v>
      </c>
      <c r="B21" s="35"/>
      <c r="C21" s="35"/>
      <c r="D21" s="35"/>
      <c r="E21" s="35"/>
      <c r="F21" s="35"/>
      <c r="G21" s="35"/>
      <c r="H21" s="35"/>
      <c r="I21" s="35"/>
      <c r="J21" s="35"/>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Z21" s="35" t="s">
        <v>361</v>
      </c>
      <c r="BA21" s="35"/>
      <c r="BB21" s="35"/>
      <c r="BC21" s="35"/>
      <c r="BD21" s="35"/>
      <c r="BE21" s="35"/>
      <c r="BF21" s="35"/>
      <c r="BG21" s="35"/>
      <c r="BH21" s="35"/>
      <c r="BI21" s="35"/>
      <c r="BJ21" s="36"/>
      <c r="BK21" s="36"/>
      <c r="BL21" s="36"/>
      <c r="BM21" s="36"/>
      <c r="BN21" s="36"/>
      <c r="BO21" s="36"/>
    </row>
    <row r="22" ht="15.5" spans="1:67">
      <c r="A22" s="35" t="s">
        <v>332</v>
      </c>
      <c r="B22" s="35" t="s">
        <v>362</v>
      </c>
      <c r="C22" s="35" t="s">
        <v>334</v>
      </c>
      <c r="D22" s="35"/>
      <c r="E22" s="35"/>
      <c r="F22" s="35"/>
      <c r="G22" s="35"/>
      <c r="H22" s="35"/>
      <c r="I22" s="35"/>
      <c r="J22" s="35"/>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Z22" s="35" t="s">
        <v>332</v>
      </c>
      <c r="BA22" s="35" t="s">
        <v>362</v>
      </c>
      <c r="BB22" s="35" t="s">
        <v>334</v>
      </c>
      <c r="BC22" s="35"/>
      <c r="BD22" s="35"/>
      <c r="BE22" s="35"/>
      <c r="BF22" s="35"/>
      <c r="BG22" s="35"/>
      <c r="BH22" s="35"/>
      <c r="BI22" s="35"/>
      <c r="BJ22" s="36"/>
      <c r="BK22" s="36"/>
      <c r="BL22" s="36"/>
      <c r="BM22" s="36"/>
      <c r="BN22" s="36"/>
      <c r="BO22" s="36"/>
    </row>
    <row r="23" ht="30" spans="1:67">
      <c r="A23" s="35"/>
      <c r="B23" s="35"/>
      <c r="C23" s="39" t="s">
        <v>335</v>
      </c>
      <c r="D23" s="36" t="s">
        <v>336</v>
      </c>
      <c r="E23" s="36" t="s">
        <v>337</v>
      </c>
      <c r="F23" s="40" t="s">
        <v>338</v>
      </c>
      <c r="G23" s="36" t="s">
        <v>339</v>
      </c>
      <c r="H23" s="36" t="s">
        <v>340</v>
      </c>
      <c r="I23" s="36" t="s">
        <v>341</v>
      </c>
      <c r="J23" s="36" t="s">
        <v>342</v>
      </c>
      <c r="K23" s="36"/>
      <c r="L23" s="36"/>
      <c r="M23" s="36" t="s">
        <v>336</v>
      </c>
      <c r="N23" s="36" t="s">
        <v>337</v>
      </c>
      <c r="O23" s="36" t="s">
        <v>338</v>
      </c>
      <c r="P23" s="36" t="s">
        <v>339</v>
      </c>
      <c r="Q23" s="36" t="s">
        <v>340</v>
      </c>
      <c r="R23" s="36" t="s">
        <v>341</v>
      </c>
      <c r="S23" s="36" t="s">
        <v>342</v>
      </c>
      <c r="T23" s="36"/>
      <c r="U23" s="36"/>
      <c r="V23" s="38" t="s">
        <v>360</v>
      </c>
      <c r="W23" s="36" t="s">
        <v>336</v>
      </c>
      <c r="X23" s="36" t="s">
        <v>337</v>
      </c>
      <c r="Y23" s="40" t="s">
        <v>338</v>
      </c>
      <c r="Z23" s="36" t="s">
        <v>339</v>
      </c>
      <c r="AA23" s="36" t="s">
        <v>340</v>
      </c>
      <c r="AB23" s="42" t="s">
        <v>341</v>
      </c>
      <c r="AC23" s="42" t="s">
        <v>342</v>
      </c>
      <c r="AD23" s="36"/>
      <c r="AE23" s="36"/>
      <c r="AF23" s="36" t="s">
        <v>336</v>
      </c>
      <c r="AG23" s="36" t="s">
        <v>337</v>
      </c>
      <c r="AH23" s="40" t="s">
        <v>338</v>
      </c>
      <c r="AI23" s="36" t="s">
        <v>339</v>
      </c>
      <c r="AJ23" s="36" t="s">
        <v>340</v>
      </c>
      <c r="AK23" s="42" t="s">
        <v>341</v>
      </c>
      <c r="AL23" s="42" t="s">
        <v>342</v>
      </c>
      <c r="AM23" s="36"/>
      <c r="AN23" s="36"/>
      <c r="AO23" s="36" t="s">
        <v>336</v>
      </c>
      <c r="AP23" s="36" t="s">
        <v>337</v>
      </c>
      <c r="AQ23" s="40" t="s">
        <v>338</v>
      </c>
      <c r="AR23" s="36" t="s">
        <v>339</v>
      </c>
      <c r="AS23" s="36" t="s">
        <v>340</v>
      </c>
      <c r="AT23" s="42" t="s">
        <v>341</v>
      </c>
      <c r="AU23" s="42" t="s">
        <v>342</v>
      </c>
      <c r="AZ23" s="35"/>
      <c r="BA23" s="35"/>
      <c r="BB23" s="39" t="s">
        <v>335</v>
      </c>
      <c r="BC23" s="36" t="s">
        <v>336</v>
      </c>
      <c r="BD23" s="36" t="s">
        <v>337</v>
      </c>
      <c r="BE23" s="40" t="s">
        <v>338</v>
      </c>
      <c r="BF23" s="36" t="s">
        <v>339</v>
      </c>
      <c r="BG23" s="36" t="s">
        <v>340</v>
      </c>
      <c r="BH23" s="36" t="s">
        <v>341</v>
      </c>
      <c r="BI23" s="36" t="s">
        <v>342</v>
      </c>
      <c r="BJ23" s="36"/>
      <c r="BK23" s="36"/>
      <c r="BL23" s="36"/>
      <c r="BM23" s="36"/>
      <c r="BN23" s="36"/>
      <c r="BO23" s="36"/>
    </row>
    <row r="24" ht="15.5" spans="1:67">
      <c r="A24" s="35" t="s">
        <v>343</v>
      </c>
      <c r="B24" s="43" t="s">
        <v>344</v>
      </c>
      <c r="C24" s="44">
        <f t="shared" ref="C24:J24" si="64">BB24/1000</f>
        <v>0.8898</v>
      </c>
      <c r="D24" s="44">
        <f t="shared" si="64"/>
        <v>0.8432</v>
      </c>
      <c r="E24" s="44">
        <f t="shared" si="64"/>
        <v>0.8038</v>
      </c>
      <c r="F24" s="44">
        <f t="shared" si="64"/>
        <v>0.7946</v>
      </c>
      <c r="G24" s="44">
        <f t="shared" si="64"/>
        <v>0.7665</v>
      </c>
      <c r="H24" s="44">
        <f t="shared" si="64"/>
        <v>0.8066</v>
      </c>
      <c r="I24" s="44">
        <f t="shared" si="64"/>
        <v>0.7946</v>
      </c>
      <c r="J24" s="44">
        <f t="shared" si="64"/>
        <v>0.7946</v>
      </c>
      <c r="K24" s="36"/>
      <c r="L24" s="36"/>
      <c r="M24" s="45">
        <v>5.937</v>
      </c>
      <c r="N24" s="45">
        <v>5.845</v>
      </c>
      <c r="O24" s="45">
        <v>5.575</v>
      </c>
      <c r="P24" s="45">
        <v>5.276</v>
      </c>
      <c r="Q24" s="45">
        <v>5.363</v>
      </c>
      <c r="R24" s="45">
        <v>6.645</v>
      </c>
      <c r="S24" s="45">
        <v>5.654</v>
      </c>
      <c r="T24" s="45"/>
      <c r="U24" s="35" t="s">
        <v>343</v>
      </c>
      <c r="V24" s="43" t="s">
        <v>344</v>
      </c>
      <c r="W24" s="46">
        <f t="shared" ref="W24:AC24" si="65">D24/M24</f>
        <v>0.142024591544551</v>
      </c>
      <c r="X24" s="46">
        <f t="shared" si="65"/>
        <v>0.137519247219846</v>
      </c>
      <c r="Y24" s="46">
        <f t="shared" si="65"/>
        <v>0.142529147982063</v>
      </c>
      <c r="Z24" s="46">
        <f t="shared" si="65"/>
        <v>0.145280515542077</v>
      </c>
      <c r="AA24" s="46">
        <f t="shared" si="65"/>
        <v>0.150400895021443</v>
      </c>
      <c r="AB24" s="47">
        <f t="shared" si="65"/>
        <v>0.119578630549285</v>
      </c>
      <c r="AC24" s="47">
        <f t="shared" si="65"/>
        <v>0.140537672444287</v>
      </c>
      <c r="AD24" s="36"/>
      <c r="AE24" s="36"/>
      <c r="AF24" s="46">
        <f t="shared" ref="AF24:AJ24" si="66">W24</f>
        <v>0.142024591544551</v>
      </c>
      <c r="AG24" s="46">
        <f t="shared" si="66"/>
        <v>0.137519247219846</v>
      </c>
      <c r="AH24" s="46">
        <f t="shared" si="66"/>
        <v>0.142529147982063</v>
      </c>
      <c r="AI24" s="46">
        <f t="shared" si="66"/>
        <v>0.145280515542077</v>
      </c>
      <c r="AJ24" s="46">
        <f t="shared" si="66"/>
        <v>0.150400895021443</v>
      </c>
      <c r="AK24" s="48">
        <f t="shared" ref="AK24:AK38" si="67">AB24*1.15</f>
        <v>0.137515425131678</v>
      </c>
      <c r="AL24" s="48">
        <f t="shared" ref="AL24:AL38" si="68">AC24*1.15</f>
        <v>0.16161832331093</v>
      </c>
      <c r="AM24" s="36"/>
      <c r="AN24" s="36"/>
      <c r="AO24" s="46">
        <f t="shared" ref="AO24:AS24" si="69">W24</f>
        <v>0.142024591544551</v>
      </c>
      <c r="AP24" s="46">
        <f t="shared" si="69"/>
        <v>0.137519247219846</v>
      </c>
      <c r="AQ24" s="46">
        <f t="shared" si="69"/>
        <v>0.142529147982063</v>
      </c>
      <c r="AR24" s="46">
        <f t="shared" si="69"/>
        <v>0.145280515542077</v>
      </c>
      <c r="AS24" s="46">
        <f t="shared" si="69"/>
        <v>0.150400895021443</v>
      </c>
      <c r="AT24" s="48">
        <f t="shared" ref="AT24:AT38" si="70">AB24*0.85</f>
        <v>0.101641835966892</v>
      </c>
      <c r="AU24" s="48">
        <f t="shared" ref="AU24:AU38" si="71">AC24*0.85</f>
        <v>0.119457021577644</v>
      </c>
      <c r="AZ24" s="35" t="s">
        <v>343</v>
      </c>
      <c r="BA24" s="43" t="s">
        <v>344</v>
      </c>
      <c r="BB24" s="44">
        <v>889.8</v>
      </c>
      <c r="BC24" s="46">
        <v>843.2</v>
      </c>
      <c r="BD24" s="46">
        <v>803.8</v>
      </c>
      <c r="BE24" s="46">
        <v>794.6</v>
      </c>
      <c r="BF24" s="46">
        <v>766.5</v>
      </c>
      <c r="BG24" s="46">
        <v>806.6</v>
      </c>
      <c r="BH24" s="46">
        <v>794.6</v>
      </c>
      <c r="BI24" s="46">
        <v>794.6</v>
      </c>
      <c r="BJ24" s="36"/>
      <c r="BK24" s="36"/>
      <c r="BL24" s="45"/>
      <c r="BM24" s="45"/>
      <c r="BN24" s="45"/>
      <c r="BO24" s="45"/>
    </row>
    <row r="25" ht="15.5" spans="1:67">
      <c r="A25" s="35"/>
      <c r="B25" s="43" t="s">
        <v>345</v>
      </c>
      <c r="C25" s="44">
        <f t="shared" ref="C25:J25" si="72">BB25/1000</f>
        <v>0.8124</v>
      </c>
      <c r="D25" s="44">
        <f t="shared" si="72"/>
        <v>0.7746</v>
      </c>
      <c r="E25" s="44">
        <f t="shared" si="72"/>
        <v>0.739</v>
      </c>
      <c r="F25" s="44">
        <f t="shared" si="72"/>
        <v>0.7307</v>
      </c>
      <c r="G25" s="44">
        <f t="shared" si="72"/>
        <v>0.7045</v>
      </c>
      <c r="H25" s="44">
        <f t="shared" si="72"/>
        <v>0.7424</v>
      </c>
      <c r="I25" s="44">
        <f t="shared" si="72"/>
        <v>0.7307</v>
      </c>
      <c r="J25" s="44">
        <f t="shared" si="72"/>
        <v>0.7307</v>
      </c>
      <c r="K25" s="36"/>
      <c r="L25" s="36"/>
      <c r="M25" s="49">
        <v>5.937</v>
      </c>
      <c r="N25" s="49">
        <v>5.845</v>
      </c>
      <c r="O25" s="49">
        <v>5.575</v>
      </c>
      <c r="P25" s="49">
        <v>5.276</v>
      </c>
      <c r="Q25" s="49">
        <v>5.363</v>
      </c>
      <c r="R25" s="49">
        <v>6.645</v>
      </c>
      <c r="S25" s="49">
        <v>5.654</v>
      </c>
      <c r="T25" s="49"/>
      <c r="U25" s="35"/>
      <c r="V25" s="43" t="s">
        <v>345</v>
      </c>
      <c r="W25" s="46">
        <f t="shared" ref="W25:AC25" si="73">D25/M25</f>
        <v>0.130469934310258</v>
      </c>
      <c r="X25" s="46">
        <f t="shared" si="73"/>
        <v>0.126432848588537</v>
      </c>
      <c r="Y25" s="46">
        <f t="shared" si="73"/>
        <v>0.131067264573991</v>
      </c>
      <c r="Z25" s="46">
        <f t="shared" si="73"/>
        <v>0.133529188779378</v>
      </c>
      <c r="AA25" s="46">
        <f t="shared" si="73"/>
        <v>0.138429983218348</v>
      </c>
      <c r="AB25" s="47">
        <f t="shared" si="73"/>
        <v>0.109962377727615</v>
      </c>
      <c r="AC25" s="47">
        <f t="shared" si="73"/>
        <v>0.129235939158118</v>
      </c>
      <c r="AD25" s="36"/>
      <c r="AE25" s="36"/>
      <c r="AF25" s="46">
        <f t="shared" ref="AF25:AJ25" si="74">W25</f>
        <v>0.130469934310258</v>
      </c>
      <c r="AG25" s="46">
        <f t="shared" si="74"/>
        <v>0.126432848588537</v>
      </c>
      <c r="AH25" s="46">
        <f t="shared" si="74"/>
        <v>0.131067264573991</v>
      </c>
      <c r="AI25" s="46">
        <f t="shared" si="74"/>
        <v>0.133529188779378</v>
      </c>
      <c r="AJ25" s="46">
        <f t="shared" si="74"/>
        <v>0.138429983218348</v>
      </c>
      <c r="AK25" s="48">
        <f t="shared" si="67"/>
        <v>0.126456734386757</v>
      </c>
      <c r="AL25" s="48">
        <f t="shared" si="68"/>
        <v>0.148621330031836</v>
      </c>
      <c r="AM25" s="36"/>
      <c r="AN25" s="36"/>
      <c r="AO25" s="46">
        <f t="shared" ref="AO25:AS25" si="75">W25</f>
        <v>0.130469934310258</v>
      </c>
      <c r="AP25" s="46">
        <f t="shared" si="75"/>
        <v>0.126432848588537</v>
      </c>
      <c r="AQ25" s="46">
        <f t="shared" si="75"/>
        <v>0.131067264573991</v>
      </c>
      <c r="AR25" s="46">
        <f t="shared" si="75"/>
        <v>0.133529188779378</v>
      </c>
      <c r="AS25" s="46">
        <f t="shared" si="75"/>
        <v>0.138429983218348</v>
      </c>
      <c r="AT25" s="48">
        <f t="shared" si="70"/>
        <v>0.0934680210684725</v>
      </c>
      <c r="AU25" s="48">
        <f t="shared" si="71"/>
        <v>0.1098505482844</v>
      </c>
      <c r="AZ25" s="35"/>
      <c r="BA25" s="43" t="s">
        <v>345</v>
      </c>
      <c r="BB25" s="44">
        <v>812.4</v>
      </c>
      <c r="BC25" s="46">
        <v>774.6</v>
      </c>
      <c r="BD25" s="46">
        <v>739</v>
      </c>
      <c r="BE25" s="46">
        <v>730.7</v>
      </c>
      <c r="BF25" s="46">
        <v>704.5</v>
      </c>
      <c r="BG25" s="46">
        <v>742.4</v>
      </c>
      <c r="BH25" s="46">
        <v>730.7</v>
      </c>
      <c r="BI25" s="46">
        <v>730.7</v>
      </c>
      <c r="BJ25" s="36"/>
      <c r="BK25" s="36"/>
      <c r="BL25" s="49"/>
      <c r="BM25" s="49"/>
      <c r="BN25" s="49"/>
      <c r="BO25" s="49"/>
    </row>
    <row r="26" ht="15.5" spans="1:67">
      <c r="A26" s="35"/>
      <c r="B26" s="43" t="s">
        <v>346</v>
      </c>
      <c r="C26" s="44">
        <f t="shared" ref="C26:J26" si="76">BB26/1000</f>
        <v>0.1699</v>
      </c>
      <c r="D26" s="44">
        <f t="shared" si="76"/>
        <v>0.1497</v>
      </c>
      <c r="E26" s="44">
        <f t="shared" si="76"/>
        <v>0.1418</v>
      </c>
      <c r="F26" s="44">
        <f t="shared" si="76"/>
        <v>0.1399</v>
      </c>
      <c r="G26" s="44">
        <f t="shared" si="76"/>
        <v>0.1359</v>
      </c>
      <c r="H26" s="44">
        <f t="shared" si="76"/>
        <v>0.1408</v>
      </c>
      <c r="I26" s="44">
        <f t="shared" si="76"/>
        <v>0.1399</v>
      </c>
      <c r="J26" s="44">
        <f t="shared" si="76"/>
        <v>0.1399</v>
      </c>
      <c r="K26" s="36"/>
      <c r="L26" s="36"/>
      <c r="M26" s="49">
        <v>5.937</v>
      </c>
      <c r="N26" s="49">
        <v>5.845</v>
      </c>
      <c r="O26" s="49">
        <v>5.575</v>
      </c>
      <c r="P26" s="49">
        <v>5.276</v>
      </c>
      <c r="Q26" s="49">
        <v>5.363</v>
      </c>
      <c r="R26" s="49">
        <v>6.645</v>
      </c>
      <c r="S26" s="49">
        <v>5.654</v>
      </c>
      <c r="T26" s="49"/>
      <c r="U26" s="35"/>
      <c r="V26" s="43" t="s">
        <v>346</v>
      </c>
      <c r="W26" s="46">
        <f t="shared" ref="W26:AC26" si="77">D26/M26</f>
        <v>0.0252147549267307</v>
      </c>
      <c r="X26" s="46">
        <f t="shared" si="77"/>
        <v>0.0242600513259196</v>
      </c>
      <c r="Y26" s="46">
        <f t="shared" si="77"/>
        <v>0.0250941704035874</v>
      </c>
      <c r="Z26" s="46">
        <f t="shared" si="77"/>
        <v>0.0257581501137225</v>
      </c>
      <c r="AA26" s="46">
        <f t="shared" si="77"/>
        <v>0.0262539623345143</v>
      </c>
      <c r="AB26" s="47">
        <f t="shared" si="77"/>
        <v>0.0210534236267871</v>
      </c>
      <c r="AC26" s="47">
        <f t="shared" si="77"/>
        <v>0.0247435443933498</v>
      </c>
      <c r="AD26" s="36"/>
      <c r="AE26" s="36"/>
      <c r="AF26" s="46">
        <f t="shared" ref="AF26:AJ26" si="78">W26</f>
        <v>0.0252147549267307</v>
      </c>
      <c r="AG26" s="46">
        <f t="shared" si="78"/>
        <v>0.0242600513259196</v>
      </c>
      <c r="AH26" s="46">
        <f t="shared" si="78"/>
        <v>0.0250941704035874</v>
      </c>
      <c r="AI26" s="46">
        <f t="shared" si="78"/>
        <v>0.0257581501137225</v>
      </c>
      <c r="AJ26" s="46">
        <f t="shared" si="78"/>
        <v>0.0262539623345143</v>
      </c>
      <c r="AK26" s="48">
        <f t="shared" si="67"/>
        <v>0.0242114371708051</v>
      </c>
      <c r="AL26" s="48">
        <f t="shared" si="68"/>
        <v>0.0284550760523523</v>
      </c>
      <c r="AM26" s="36"/>
      <c r="AN26" s="36"/>
      <c r="AO26" s="46">
        <f t="shared" ref="AO26:AS26" si="79">W26</f>
        <v>0.0252147549267307</v>
      </c>
      <c r="AP26" s="46">
        <f t="shared" si="79"/>
        <v>0.0242600513259196</v>
      </c>
      <c r="AQ26" s="46">
        <f t="shared" si="79"/>
        <v>0.0250941704035874</v>
      </c>
      <c r="AR26" s="46">
        <f t="shared" si="79"/>
        <v>0.0257581501137225</v>
      </c>
      <c r="AS26" s="46">
        <f t="shared" si="79"/>
        <v>0.0262539623345143</v>
      </c>
      <c r="AT26" s="48">
        <f t="shared" si="70"/>
        <v>0.017895410082769</v>
      </c>
      <c r="AU26" s="48">
        <f t="shared" si="71"/>
        <v>0.0210320127343474</v>
      </c>
      <c r="AZ26" s="35"/>
      <c r="BA26" s="43" t="s">
        <v>346</v>
      </c>
      <c r="BB26" s="44">
        <v>169.9</v>
      </c>
      <c r="BC26" s="46">
        <v>149.7</v>
      </c>
      <c r="BD26" s="46">
        <v>141.8</v>
      </c>
      <c r="BE26" s="46">
        <v>139.9</v>
      </c>
      <c r="BF26" s="46">
        <v>135.9</v>
      </c>
      <c r="BG26" s="46">
        <v>140.8</v>
      </c>
      <c r="BH26" s="46">
        <v>139.9</v>
      </c>
      <c r="BI26" s="46">
        <v>139.9</v>
      </c>
      <c r="BJ26" s="36"/>
      <c r="BK26" s="36"/>
      <c r="BL26" s="49"/>
      <c r="BM26" s="49"/>
      <c r="BN26" s="49"/>
      <c r="BO26" s="49"/>
    </row>
    <row r="27" ht="15.5" spans="1:67">
      <c r="A27" s="35"/>
      <c r="B27" s="43" t="s">
        <v>347</v>
      </c>
      <c r="C27" s="44">
        <f t="shared" ref="C27:J27" si="80">BB27/1000</f>
        <v>0.5978</v>
      </c>
      <c r="D27" s="44">
        <f t="shared" si="80"/>
        <v>0.5807</v>
      </c>
      <c r="E27" s="44">
        <f t="shared" si="80"/>
        <v>0.554</v>
      </c>
      <c r="F27" s="44">
        <f t="shared" si="80"/>
        <v>0.5478</v>
      </c>
      <c r="G27" s="44">
        <f t="shared" si="80"/>
        <v>0.526</v>
      </c>
      <c r="H27" s="44">
        <f t="shared" si="80"/>
        <v>0.5575</v>
      </c>
      <c r="I27" s="44">
        <f t="shared" si="80"/>
        <v>0.5478</v>
      </c>
      <c r="J27" s="44">
        <f t="shared" si="80"/>
        <v>0.5478</v>
      </c>
      <c r="K27" s="36"/>
      <c r="L27" s="36"/>
      <c r="M27" s="49">
        <v>5.937</v>
      </c>
      <c r="N27" s="49">
        <v>5.845</v>
      </c>
      <c r="O27" s="49">
        <v>5.575</v>
      </c>
      <c r="P27" s="49">
        <v>5.276</v>
      </c>
      <c r="Q27" s="49">
        <v>5.363</v>
      </c>
      <c r="R27" s="49">
        <v>6.645</v>
      </c>
      <c r="S27" s="49">
        <v>5.654</v>
      </c>
      <c r="T27" s="49"/>
      <c r="U27" s="35"/>
      <c r="V27" s="43" t="s">
        <v>347</v>
      </c>
      <c r="W27" s="46">
        <f t="shared" ref="W27:AC27" si="81">D27/M27</f>
        <v>0.0978103419235304</v>
      </c>
      <c r="X27" s="46">
        <f t="shared" si="81"/>
        <v>0.0947818648417451</v>
      </c>
      <c r="Y27" s="46">
        <f t="shared" si="81"/>
        <v>0.0982600896860986</v>
      </c>
      <c r="Z27" s="46">
        <f t="shared" si="81"/>
        <v>0.099696739954511</v>
      </c>
      <c r="AA27" s="46">
        <f t="shared" si="81"/>
        <v>0.103953011374231</v>
      </c>
      <c r="AB27" s="47">
        <f t="shared" si="81"/>
        <v>0.0824379232505643</v>
      </c>
      <c r="AC27" s="47">
        <f t="shared" si="81"/>
        <v>0.0968871595330739</v>
      </c>
      <c r="AD27" s="36"/>
      <c r="AE27" s="36"/>
      <c r="AF27" s="46">
        <f t="shared" ref="AF27:AJ27" si="82">W27</f>
        <v>0.0978103419235304</v>
      </c>
      <c r="AG27" s="46">
        <f t="shared" si="82"/>
        <v>0.0947818648417451</v>
      </c>
      <c r="AH27" s="46">
        <f t="shared" si="82"/>
        <v>0.0982600896860986</v>
      </c>
      <c r="AI27" s="46">
        <f t="shared" si="82"/>
        <v>0.099696739954511</v>
      </c>
      <c r="AJ27" s="46">
        <f t="shared" si="82"/>
        <v>0.103953011374231</v>
      </c>
      <c r="AK27" s="48">
        <f t="shared" si="67"/>
        <v>0.094803611738149</v>
      </c>
      <c r="AL27" s="48">
        <f t="shared" si="68"/>
        <v>0.111420233463035</v>
      </c>
      <c r="AM27" s="36"/>
      <c r="AN27" s="36"/>
      <c r="AO27" s="46">
        <f t="shared" ref="AO27:AS27" si="83">W27</f>
        <v>0.0978103419235304</v>
      </c>
      <c r="AP27" s="46">
        <f t="shared" si="83"/>
        <v>0.0947818648417451</v>
      </c>
      <c r="AQ27" s="46">
        <f t="shared" si="83"/>
        <v>0.0982600896860986</v>
      </c>
      <c r="AR27" s="46">
        <f t="shared" si="83"/>
        <v>0.099696739954511</v>
      </c>
      <c r="AS27" s="46">
        <f t="shared" si="83"/>
        <v>0.103953011374231</v>
      </c>
      <c r="AT27" s="48">
        <f t="shared" si="70"/>
        <v>0.0700722347629797</v>
      </c>
      <c r="AU27" s="48">
        <f t="shared" si="71"/>
        <v>0.0823540856031128</v>
      </c>
      <c r="AZ27" s="35"/>
      <c r="BA27" s="43" t="s">
        <v>347</v>
      </c>
      <c r="BB27" s="44">
        <v>597.8</v>
      </c>
      <c r="BC27" s="46">
        <v>580.7</v>
      </c>
      <c r="BD27" s="46">
        <v>554</v>
      </c>
      <c r="BE27" s="46">
        <v>547.8</v>
      </c>
      <c r="BF27" s="46">
        <v>526</v>
      </c>
      <c r="BG27" s="46">
        <v>557.5</v>
      </c>
      <c r="BH27" s="46">
        <v>547.8</v>
      </c>
      <c r="BI27" s="46">
        <v>547.8</v>
      </c>
      <c r="BJ27" s="36"/>
      <c r="BK27" s="36"/>
      <c r="BL27" s="49"/>
      <c r="BM27" s="49"/>
      <c r="BN27" s="49"/>
      <c r="BO27" s="49"/>
    </row>
    <row r="28" ht="15.5" spans="1:67">
      <c r="A28" s="35"/>
      <c r="B28" s="43" t="s">
        <v>348</v>
      </c>
      <c r="C28" s="44">
        <f t="shared" ref="C28:J28" si="84">BB28/1000</f>
        <v>0.085</v>
      </c>
      <c r="D28" s="44">
        <f t="shared" si="84"/>
        <v>0.0786</v>
      </c>
      <c r="E28" s="44">
        <f t="shared" si="84"/>
        <v>0.0763</v>
      </c>
      <c r="F28" s="44">
        <f t="shared" si="84"/>
        <v>0.0759</v>
      </c>
      <c r="G28" s="44">
        <f t="shared" si="84"/>
        <v>0.0737</v>
      </c>
      <c r="H28" s="44">
        <f t="shared" si="84"/>
        <v>0.076</v>
      </c>
      <c r="I28" s="44">
        <f t="shared" si="84"/>
        <v>0.0759</v>
      </c>
      <c r="J28" s="44">
        <f t="shared" si="84"/>
        <v>0.0759</v>
      </c>
      <c r="K28" s="36"/>
      <c r="L28" s="36"/>
      <c r="M28" s="49">
        <v>5.937</v>
      </c>
      <c r="N28" s="49">
        <v>5.845</v>
      </c>
      <c r="O28" s="49">
        <v>5.575</v>
      </c>
      <c r="P28" s="49">
        <v>5.276</v>
      </c>
      <c r="Q28" s="49">
        <v>5.363</v>
      </c>
      <c r="R28" s="49">
        <v>6.645</v>
      </c>
      <c r="S28" s="49">
        <v>5.654</v>
      </c>
      <c r="T28" s="49"/>
      <c r="U28" s="35"/>
      <c r="V28" s="43" t="s">
        <v>348</v>
      </c>
      <c r="W28" s="46">
        <f t="shared" ref="W28:AC28" si="85">D28/M28</f>
        <v>0.0132390096008085</v>
      </c>
      <c r="X28" s="46">
        <f t="shared" si="85"/>
        <v>0.0130538922155689</v>
      </c>
      <c r="Y28" s="46">
        <f t="shared" si="85"/>
        <v>0.0136143497757848</v>
      </c>
      <c r="Z28" s="46">
        <f t="shared" si="85"/>
        <v>0.0139689158453374</v>
      </c>
      <c r="AA28" s="46">
        <f t="shared" si="85"/>
        <v>0.0141711728510162</v>
      </c>
      <c r="AB28" s="47">
        <f t="shared" si="85"/>
        <v>0.0114221218961625</v>
      </c>
      <c r="AC28" s="47">
        <f t="shared" si="85"/>
        <v>0.0134241245136187</v>
      </c>
      <c r="AD28" s="36"/>
      <c r="AE28" s="36"/>
      <c r="AF28" s="46">
        <f t="shared" ref="AF28:AJ28" si="86">W28</f>
        <v>0.0132390096008085</v>
      </c>
      <c r="AG28" s="46">
        <f t="shared" si="86"/>
        <v>0.0130538922155689</v>
      </c>
      <c r="AH28" s="46">
        <f t="shared" si="86"/>
        <v>0.0136143497757848</v>
      </c>
      <c r="AI28" s="46">
        <f t="shared" si="86"/>
        <v>0.0139689158453374</v>
      </c>
      <c r="AJ28" s="46">
        <f t="shared" si="86"/>
        <v>0.0141711728510162</v>
      </c>
      <c r="AK28" s="48">
        <f t="shared" si="67"/>
        <v>0.0131354401805869</v>
      </c>
      <c r="AL28" s="48">
        <f t="shared" si="68"/>
        <v>0.0154377431906615</v>
      </c>
      <c r="AM28" s="36"/>
      <c r="AN28" s="36"/>
      <c r="AO28" s="46">
        <f t="shared" ref="AO28:AS28" si="87">W28</f>
        <v>0.0132390096008085</v>
      </c>
      <c r="AP28" s="46">
        <f t="shared" si="87"/>
        <v>0.0130538922155689</v>
      </c>
      <c r="AQ28" s="46">
        <f t="shared" si="87"/>
        <v>0.0136143497757848</v>
      </c>
      <c r="AR28" s="46">
        <f t="shared" si="87"/>
        <v>0.0139689158453374</v>
      </c>
      <c r="AS28" s="46">
        <f t="shared" si="87"/>
        <v>0.0141711728510162</v>
      </c>
      <c r="AT28" s="48">
        <f t="shared" si="70"/>
        <v>0.00970880361173815</v>
      </c>
      <c r="AU28" s="48">
        <f t="shared" si="71"/>
        <v>0.0114105058365759</v>
      </c>
      <c r="AZ28" s="35"/>
      <c r="BA28" s="43" t="s">
        <v>348</v>
      </c>
      <c r="BB28" s="44">
        <v>85</v>
      </c>
      <c r="BC28" s="46">
        <v>78.6</v>
      </c>
      <c r="BD28" s="46">
        <v>76.3</v>
      </c>
      <c r="BE28" s="46">
        <v>75.9</v>
      </c>
      <c r="BF28" s="46">
        <v>73.7</v>
      </c>
      <c r="BG28" s="46">
        <v>76</v>
      </c>
      <c r="BH28" s="46">
        <v>75.9</v>
      </c>
      <c r="BI28" s="46">
        <v>75.9</v>
      </c>
      <c r="BJ28" s="36"/>
      <c r="BK28" s="36"/>
      <c r="BL28" s="49"/>
      <c r="BM28" s="49"/>
      <c r="BN28" s="49"/>
      <c r="BO28" s="49"/>
    </row>
    <row r="29" ht="15.5" spans="1:67">
      <c r="A29" s="35" t="s">
        <v>241</v>
      </c>
      <c r="B29" s="43" t="s">
        <v>344</v>
      </c>
      <c r="C29" s="44">
        <f t="shared" ref="C29:J29" si="88">BB29/1000</f>
        <v>0.9068</v>
      </c>
      <c r="D29" s="44">
        <f t="shared" si="88"/>
        <v>0.8586</v>
      </c>
      <c r="E29" s="44">
        <f t="shared" si="88"/>
        <v>0.8184</v>
      </c>
      <c r="F29" s="44">
        <f t="shared" si="88"/>
        <v>0.8091</v>
      </c>
      <c r="G29" s="44">
        <f t="shared" si="88"/>
        <v>0.7811</v>
      </c>
      <c r="H29" s="44">
        <f t="shared" si="88"/>
        <v>0.8217</v>
      </c>
      <c r="I29" s="44">
        <f t="shared" si="88"/>
        <v>0.8091</v>
      </c>
      <c r="J29" s="44">
        <f t="shared" si="88"/>
        <v>0.8091</v>
      </c>
      <c r="K29" s="36"/>
      <c r="L29" s="36"/>
      <c r="M29" s="49">
        <v>5.937</v>
      </c>
      <c r="N29" s="49">
        <v>5.845</v>
      </c>
      <c r="O29" s="49">
        <v>5.575</v>
      </c>
      <c r="P29" s="49">
        <v>5.276</v>
      </c>
      <c r="Q29" s="49">
        <v>5.363</v>
      </c>
      <c r="R29" s="49">
        <v>6.645</v>
      </c>
      <c r="S29" s="49">
        <v>5.654</v>
      </c>
      <c r="T29" s="49"/>
      <c r="U29" s="35" t="s">
        <v>241</v>
      </c>
      <c r="V29" s="43" t="s">
        <v>344</v>
      </c>
      <c r="W29" s="46">
        <f t="shared" ref="W29:AC29" si="89">D29/M29</f>
        <v>0.144618494188984</v>
      </c>
      <c r="X29" s="46">
        <f t="shared" si="89"/>
        <v>0.140017108639863</v>
      </c>
      <c r="Y29" s="46">
        <f t="shared" si="89"/>
        <v>0.145130044843049</v>
      </c>
      <c r="Z29" s="46">
        <f t="shared" si="89"/>
        <v>0.148047763457165</v>
      </c>
      <c r="AA29" s="46">
        <f t="shared" si="89"/>
        <v>0.153216483311579</v>
      </c>
      <c r="AB29" s="47">
        <f t="shared" si="89"/>
        <v>0.12176072234763</v>
      </c>
      <c r="AC29" s="47">
        <f t="shared" si="89"/>
        <v>0.143102228510789</v>
      </c>
      <c r="AD29" s="36"/>
      <c r="AE29" s="36"/>
      <c r="AF29" s="46">
        <f t="shared" ref="AF29:AJ29" si="90">W29</f>
        <v>0.144618494188984</v>
      </c>
      <c r="AG29" s="46">
        <f t="shared" si="90"/>
        <v>0.140017108639863</v>
      </c>
      <c r="AH29" s="46">
        <f t="shared" si="90"/>
        <v>0.145130044843049</v>
      </c>
      <c r="AI29" s="46">
        <f t="shared" si="90"/>
        <v>0.148047763457165</v>
      </c>
      <c r="AJ29" s="46">
        <f t="shared" si="90"/>
        <v>0.153216483311579</v>
      </c>
      <c r="AK29" s="48">
        <f t="shared" si="67"/>
        <v>0.140024830699774</v>
      </c>
      <c r="AL29" s="48">
        <f t="shared" si="68"/>
        <v>0.164567562787407</v>
      </c>
      <c r="AM29" s="36"/>
      <c r="AN29" s="36"/>
      <c r="AO29" s="46">
        <f t="shared" ref="AO29:AS29" si="91">W29</f>
        <v>0.144618494188984</v>
      </c>
      <c r="AP29" s="46">
        <f t="shared" si="91"/>
        <v>0.140017108639863</v>
      </c>
      <c r="AQ29" s="46">
        <f t="shared" si="91"/>
        <v>0.145130044843049</v>
      </c>
      <c r="AR29" s="46">
        <f t="shared" si="91"/>
        <v>0.148047763457165</v>
      </c>
      <c r="AS29" s="46">
        <f t="shared" si="91"/>
        <v>0.153216483311579</v>
      </c>
      <c r="AT29" s="48">
        <f t="shared" si="70"/>
        <v>0.103496613995485</v>
      </c>
      <c r="AU29" s="48">
        <f t="shared" si="71"/>
        <v>0.12163689423417</v>
      </c>
      <c r="AZ29" s="35" t="s">
        <v>241</v>
      </c>
      <c r="BA29" s="43" t="s">
        <v>344</v>
      </c>
      <c r="BB29" s="44">
        <v>906.8</v>
      </c>
      <c r="BC29" s="46">
        <v>858.6</v>
      </c>
      <c r="BD29" s="46">
        <v>818.4</v>
      </c>
      <c r="BE29" s="46">
        <v>809.1</v>
      </c>
      <c r="BF29" s="46">
        <v>781.1</v>
      </c>
      <c r="BG29" s="46">
        <v>821.7</v>
      </c>
      <c r="BH29" s="46">
        <v>809.1</v>
      </c>
      <c r="BI29" s="46">
        <v>809.1</v>
      </c>
      <c r="BJ29" s="36"/>
      <c r="BK29" s="36"/>
      <c r="BL29" s="49"/>
      <c r="BM29" s="49"/>
      <c r="BN29" s="49"/>
      <c r="BO29" s="49"/>
    </row>
    <row r="30" ht="15.5" spans="1:67">
      <c r="A30" s="35"/>
      <c r="B30" s="43" t="s">
        <v>345</v>
      </c>
      <c r="C30" s="44">
        <f t="shared" ref="C30:J30" si="92">BB30/1000</f>
        <v>0.8303</v>
      </c>
      <c r="D30" s="44">
        <f t="shared" si="92"/>
        <v>0.7909</v>
      </c>
      <c r="E30" s="44">
        <f t="shared" si="92"/>
        <v>0.7545</v>
      </c>
      <c r="F30" s="44">
        <f t="shared" si="92"/>
        <v>0.746</v>
      </c>
      <c r="G30" s="44">
        <f t="shared" si="92"/>
        <v>0.7199</v>
      </c>
      <c r="H30" s="44">
        <f t="shared" si="92"/>
        <v>0.7584</v>
      </c>
      <c r="I30" s="44">
        <f t="shared" si="92"/>
        <v>0.746</v>
      </c>
      <c r="J30" s="44">
        <f t="shared" si="92"/>
        <v>0.746</v>
      </c>
      <c r="K30" s="36"/>
      <c r="L30" s="36"/>
      <c r="M30" s="49">
        <v>5.937</v>
      </c>
      <c r="N30" s="49">
        <v>5.845</v>
      </c>
      <c r="O30" s="49">
        <v>5.575</v>
      </c>
      <c r="P30" s="49">
        <v>5.276</v>
      </c>
      <c r="Q30" s="49">
        <v>5.363</v>
      </c>
      <c r="R30" s="49">
        <v>6.645</v>
      </c>
      <c r="S30" s="49">
        <v>5.654</v>
      </c>
      <c r="T30" s="49"/>
      <c r="U30" s="35"/>
      <c r="V30" s="43" t="s">
        <v>345</v>
      </c>
      <c r="W30" s="46">
        <f t="shared" ref="W30:AC30" si="93">D30/M30</f>
        <v>0.133215428667677</v>
      </c>
      <c r="X30" s="46">
        <f t="shared" si="93"/>
        <v>0.129084687767322</v>
      </c>
      <c r="Y30" s="46">
        <f t="shared" si="93"/>
        <v>0.133811659192825</v>
      </c>
      <c r="Z30" s="46">
        <f t="shared" si="93"/>
        <v>0.13644806671721</v>
      </c>
      <c r="AA30" s="46">
        <f t="shared" si="93"/>
        <v>0.141413388029088</v>
      </c>
      <c r="AB30" s="47">
        <f t="shared" si="93"/>
        <v>0.112264860797592</v>
      </c>
      <c r="AC30" s="47">
        <f t="shared" si="93"/>
        <v>0.131941987973116</v>
      </c>
      <c r="AD30" s="36"/>
      <c r="AE30" s="36"/>
      <c r="AF30" s="46">
        <f t="shared" ref="AF30:AJ30" si="94">W30</f>
        <v>0.133215428667677</v>
      </c>
      <c r="AG30" s="46">
        <f t="shared" si="94"/>
        <v>0.129084687767322</v>
      </c>
      <c r="AH30" s="46">
        <f t="shared" si="94"/>
        <v>0.133811659192825</v>
      </c>
      <c r="AI30" s="46">
        <f t="shared" si="94"/>
        <v>0.13644806671721</v>
      </c>
      <c r="AJ30" s="46">
        <f t="shared" si="94"/>
        <v>0.141413388029088</v>
      </c>
      <c r="AK30" s="48">
        <f t="shared" si="67"/>
        <v>0.129104589917231</v>
      </c>
      <c r="AL30" s="48">
        <f t="shared" si="68"/>
        <v>0.151733286169084</v>
      </c>
      <c r="AM30" s="36"/>
      <c r="AN30" s="36"/>
      <c r="AO30" s="46">
        <f t="shared" ref="AO30:AS30" si="95">W30</f>
        <v>0.133215428667677</v>
      </c>
      <c r="AP30" s="46">
        <f t="shared" si="95"/>
        <v>0.129084687767322</v>
      </c>
      <c r="AQ30" s="46">
        <f t="shared" si="95"/>
        <v>0.133811659192825</v>
      </c>
      <c r="AR30" s="46">
        <f t="shared" si="95"/>
        <v>0.13644806671721</v>
      </c>
      <c r="AS30" s="46">
        <f t="shared" si="95"/>
        <v>0.141413388029088</v>
      </c>
      <c r="AT30" s="48">
        <f t="shared" si="70"/>
        <v>0.0954251316779534</v>
      </c>
      <c r="AU30" s="48">
        <f t="shared" si="71"/>
        <v>0.112150689777149</v>
      </c>
      <c r="AZ30" s="35"/>
      <c r="BA30" s="43" t="s">
        <v>345</v>
      </c>
      <c r="BB30" s="44">
        <v>830.3</v>
      </c>
      <c r="BC30" s="46">
        <v>790.9</v>
      </c>
      <c r="BD30" s="46">
        <v>754.5</v>
      </c>
      <c r="BE30" s="46">
        <v>746</v>
      </c>
      <c r="BF30" s="46">
        <v>719.9</v>
      </c>
      <c r="BG30" s="46">
        <v>758.4</v>
      </c>
      <c r="BH30" s="46">
        <v>746</v>
      </c>
      <c r="BI30" s="46">
        <v>746</v>
      </c>
      <c r="BJ30" s="36"/>
      <c r="BK30" s="36"/>
      <c r="BL30" s="49"/>
      <c r="BM30" s="49"/>
      <c r="BN30" s="49"/>
      <c r="BO30" s="49"/>
    </row>
    <row r="31" ht="15.5" spans="1:67">
      <c r="A31" s="35"/>
      <c r="B31" s="43" t="s">
        <v>346</v>
      </c>
      <c r="C31" s="44">
        <f t="shared" ref="C31:J31" si="96">BB31/1000</f>
        <v>0.2079</v>
      </c>
      <c r="D31" s="44">
        <f t="shared" si="96"/>
        <v>0.1842</v>
      </c>
      <c r="E31" s="44">
        <f t="shared" si="96"/>
        <v>0.1746</v>
      </c>
      <c r="F31" s="44">
        <f t="shared" si="96"/>
        <v>0.1724</v>
      </c>
      <c r="G31" s="44">
        <f t="shared" si="96"/>
        <v>0.1687</v>
      </c>
      <c r="H31" s="44">
        <f t="shared" si="96"/>
        <v>0.1747</v>
      </c>
      <c r="I31" s="44">
        <f t="shared" si="96"/>
        <v>0.1724</v>
      </c>
      <c r="J31" s="44">
        <f t="shared" si="96"/>
        <v>0.1724</v>
      </c>
      <c r="K31" s="36"/>
      <c r="L31" s="36"/>
      <c r="M31" s="49">
        <v>5.937</v>
      </c>
      <c r="N31" s="49">
        <v>5.845</v>
      </c>
      <c r="O31" s="49">
        <v>5.575</v>
      </c>
      <c r="P31" s="49">
        <v>5.276</v>
      </c>
      <c r="Q31" s="49">
        <v>5.363</v>
      </c>
      <c r="R31" s="49">
        <v>6.645</v>
      </c>
      <c r="S31" s="49">
        <v>5.654</v>
      </c>
      <c r="T31" s="49"/>
      <c r="U31" s="35"/>
      <c r="V31" s="43" t="s">
        <v>346</v>
      </c>
      <c r="W31" s="46">
        <f t="shared" ref="W31:AC31" si="97">D31/M31</f>
        <v>0.0310257705912077</v>
      </c>
      <c r="X31" s="46">
        <f t="shared" si="97"/>
        <v>0.0298716852010265</v>
      </c>
      <c r="Y31" s="46">
        <f t="shared" si="97"/>
        <v>0.0309237668161435</v>
      </c>
      <c r="Z31" s="46">
        <f t="shared" si="97"/>
        <v>0.0319749810462472</v>
      </c>
      <c r="AA31" s="46">
        <f t="shared" si="97"/>
        <v>0.0325750512772702</v>
      </c>
      <c r="AB31" s="47">
        <f t="shared" si="97"/>
        <v>0.0259443190368698</v>
      </c>
      <c r="AC31" s="47">
        <f t="shared" si="97"/>
        <v>0.0304916873010258</v>
      </c>
      <c r="AD31" s="36"/>
      <c r="AE31" s="36"/>
      <c r="AF31" s="46">
        <f t="shared" ref="AF31:AJ31" si="98">W31</f>
        <v>0.0310257705912077</v>
      </c>
      <c r="AG31" s="46">
        <f t="shared" si="98"/>
        <v>0.0298716852010265</v>
      </c>
      <c r="AH31" s="46">
        <f t="shared" si="98"/>
        <v>0.0309237668161435</v>
      </c>
      <c r="AI31" s="46">
        <f t="shared" si="98"/>
        <v>0.0319749810462472</v>
      </c>
      <c r="AJ31" s="46">
        <f t="shared" si="98"/>
        <v>0.0325750512772702</v>
      </c>
      <c r="AK31" s="48">
        <f t="shared" si="67"/>
        <v>0.0298359668924003</v>
      </c>
      <c r="AL31" s="48">
        <f t="shared" si="68"/>
        <v>0.0350654403961797</v>
      </c>
      <c r="AM31" s="36"/>
      <c r="AN31" s="36"/>
      <c r="AO31" s="46">
        <f t="shared" ref="AO31:AS31" si="99">W31</f>
        <v>0.0310257705912077</v>
      </c>
      <c r="AP31" s="46">
        <f t="shared" si="99"/>
        <v>0.0298716852010265</v>
      </c>
      <c r="AQ31" s="46">
        <f t="shared" si="99"/>
        <v>0.0309237668161435</v>
      </c>
      <c r="AR31" s="46">
        <f t="shared" si="99"/>
        <v>0.0319749810462472</v>
      </c>
      <c r="AS31" s="46">
        <f t="shared" si="99"/>
        <v>0.0325750512772702</v>
      </c>
      <c r="AT31" s="48">
        <f t="shared" si="70"/>
        <v>0.0220526711813394</v>
      </c>
      <c r="AU31" s="48">
        <f t="shared" si="71"/>
        <v>0.0259179342058719</v>
      </c>
      <c r="AZ31" s="35"/>
      <c r="BA31" s="43" t="s">
        <v>346</v>
      </c>
      <c r="BB31" s="44">
        <v>207.9</v>
      </c>
      <c r="BC31" s="46">
        <v>184.2</v>
      </c>
      <c r="BD31" s="46">
        <v>174.6</v>
      </c>
      <c r="BE31" s="46">
        <v>172.4</v>
      </c>
      <c r="BF31" s="46">
        <v>168.7</v>
      </c>
      <c r="BG31" s="46">
        <v>174.7</v>
      </c>
      <c r="BH31" s="46">
        <v>172.4</v>
      </c>
      <c r="BI31" s="46">
        <v>172.4</v>
      </c>
      <c r="BJ31" s="36"/>
      <c r="BK31" s="36"/>
      <c r="BL31" s="49"/>
      <c r="BM31" s="49"/>
      <c r="BN31" s="49"/>
      <c r="BO31" s="49"/>
    </row>
    <row r="32" ht="15.5" spans="1:67">
      <c r="A32" s="35"/>
      <c r="B32" s="43" t="s">
        <v>347</v>
      </c>
      <c r="C32" s="44">
        <f t="shared" ref="C32:J32" si="100">BB32/1000</f>
        <v>0.5747</v>
      </c>
      <c r="D32" s="44">
        <f t="shared" si="100"/>
        <v>0.5597</v>
      </c>
      <c r="E32" s="44">
        <f t="shared" si="100"/>
        <v>0.534</v>
      </c>
      <c r="F32" s="44">
        <f t="shared" si="100"/>
        <v>0.528</v>
      </c>
      <c r="G32" s="44">
        <f t="shared" si="100"/>
        <v>0.5061</v>
      </c>
      <c r="H32" s="44">
        <f t="shared" si="100"/>
        <v>0.5369</v>
      </c>
      <c r="I32" s="44">
        <f t="shared" si="100"/>
        <v>0.528</v>
      </c>
      <c r="J32" s="44">
        <f t="shared" si="100"/>
        <v>0.528</v>
      </c>
      <c r="K32" s="36"/>
      <c r="L32" s="36"/>
      <c r="M32" s="49">
        <v>5.937</v>
      </c>
      <c r="N32" s="49">
        <v>5.845</v>
      </c>
      <c r="O32" s="49">
        <v>5.575</v>
      </c>
      <c r="P32" s="49">
        <v>5.276</v>
      </c>
      <c r="Q32" s="49">
        <v>5.363</v>
      </c>
      <c r="R32" s="49">
        <v>6.645</v>
      </c>
      <c r="S32" s="49">
        <v>5.654</v>
      </c>
      <c r="T32" s="49"/>
      <c r="U32" s="35"/>
      <c r="V32" s="43" t="s">
        <v>347</v>
      </c>
      <c r="W32" s="46">
        <f t="shared" ref="W32:AC32" si="101">D32/M32</f>
        <v>0.0942732019538488</v>
      </c>
      <c r="X32" s="46">
        <f t="shared" si="101"/>
        <v>0.0913601368691189</v>
      </c>
      <c r="Y32" s="46">
        <f t="shared" si="101"/>
        <v>0.0947085201793722</v>
      </c>
      <c r="Z32" s="46">
        <f t="shared" si="101"/>
        <v>0.0959249431387415</v>
      </c>
      <c r="AA32" s="46">
        <f t="shared" si="101"/>
        <v>0.100111877680403</v>
      </c>
      <c r="AB32" s="47">
        <f t="shared" si="101"/>
        <v>0.0794582392776524</v>
      </c>
      <c r="AC32" s="47">
        <f t="shared" si="101"/>
        <v>0.0933852140077821</v>
      </c>
      <c r="AD32" s="36"/>
      <c r="AE32" s="36"/>
      <c r="AF32" s="46">
        <f t="shared" ref="AF32:AJ32" si="102">W32</f>
        <v>0.0942732019538488</v>
      </c>
      <c r="AG32" s="46">
        <f t="shared" si="102"/>
        <v>0.0913601368691189</v>
      </c>
      <c r="AH32" s="46">
        <f t="shared" si="102"/>
        <v>0.0947085201793722</v>
      </c>
      <c r="AI32" s="46">
        <f t="shared" si="102"/>
        <v>0.0959249431387415</v>
      </c>
      <c r="AJ32" s="46">
        <f t="shared" si="102"/>
        <v>0.100111877680403</v>
      </c>
      <c r="AK32" s="48">
        <f t="shared" si="67"/>
        <v>0.0913769751693002</v>
      </c>
      <c r="AL32" s="48">
        <f t="shared" si="68"/>
        <v>0.107392996108949</v>
      </c>
      <c r="AM32" s="36"/>
      <c r="AN32" s="36"/>
      <c r="AO32" s="46">
        <f t="shared" ref="AO32:AS32" si="103">W32</f>
        <v>0.0942732019538488</v>
      </c>
      <c r="AP32" s="46">
        <f t="shared" si="103"/>
        <v>0.0913601368691189</v>
      </c>
      <c r="AQ32" s="46">
        <f t="shared" si="103"/>
        <v>0.0947085201793722</v>
      </c>
      <c r="AR32" s="46">
        <f t="shared" si="103"/>
        <v>0.0959249431387415</v>
      </c>
      <c r="AS32" s="46">
        <f t="shared" si="103"/>
        <v>0.100111877680403</v>
      </c>
      <c r="AT32" s="48">
        <f t="shared" si="70"/>
        <v>0.0675395033860045</v>
      </c>
      <c r="AU32" s="48">
        <f t="shared" si="71"/>
        <v>0.0793774319066148</v>
      </c>
      <c r="AZ32" s="35"/>
      <c r="BA32" s="43" t="s">
        <v>347</v>
      </c>
      <c r="BB32" s="44">
        <v>574.7</v>
      </c>
      <c r="BC32" s="46">
        <v>559.7</v>
      </c>
      <c r="BD32" s="46">
        <v>534</v>
      </c>
      <c r="BE32" s="46">
        <v>528</v>
      </c>
      <c r="BF32" s="46">
        <v>506.1</v>
      </c>
      <c r="BG32" s="46">
        <v>536.9</v>
      </c>
      <c r="BH32" s="46">
        <v>528</v>
      </c>
      <c r="BI32" s="46">
        <v>528</v>
      </c>
      <c r="BJ32" s="36"/>
      <c r="BK32" s="36"/>
      <c r="BL32" s="49"/>
      <c r="BM32" s="49"/>
      <c r="BN32" s="49"/>
      <c r="BO32" s="49"/>
    </row>
    <row r="33" ht="15.5" spans="1:67">
      <c r="A33" s="35"/>
      <c r="B33" s="43" t="s">
        <v>348</v>
      </c>
      <c r="C33" s="44">
        <f t="shared" ref="C33:J33" si="104">BB33/1000</f>
        <v>0.088</v>
      </c>
      <c r="D33" s="44">
        <f t="shared" si="104"/>
        <v>0.0814</v>
      </c>
      <c r="E33" s="44">
        <f t="shared" si="104"/>
        <v>0.079</v>
      </c>
      <c r="F33" s="44">
        <f t="shared" si="104"/>
        <v>0.0785</v>
      </c>
      <c r="G33" s="44">
        <f t="shared" si="104"/>
        <v>0.0764</v>
      </c>
      <c r="H33" s="44">
        <f t="shared" si="104"/>
        <v>0.0787</v>
      </c>
      <c r="I33" s="44">
        <f t="shared" si="104"/>
        <v>0.0785</v>
      </c>
      <c r="J33" s="44">
        <f t="shared" si="104"/>
        <v>0.0785</v>
      </c>
      <c r="K33" s="36"/>
      <c r="L33" s="36"/>
      <c r="M33" s="49">
        <v>5.937</v>
      </c>
      <c r="N33" s="49">
        <v>5.845</v>
      </c>
      <c r="O33" s="49">
        <v>5.575</v>
      </c>
      <c r="P33" s="49">
        <v>5.276</v>
      </c>
      <c r="Q33" s="49">
        <v>5.363</v>
      </c>
      <c r="R33" s="49">
        <v>6.645</v>
      </c>
      <c r="S33" s="49">
        <v>5.654</v>
      </c>
      <c r="T33" s="49"/>
      <c r="U33" s="35"/>
      <c r="V33" s="43" t="s">
        <v>348</v>
      </c>
      <c r="W33" s="46">
        <f t="shared" ref="W33:AC33" si="105">D33/M33</f>
        <v>0.0137106282634327</v>
      </c>
      <c r="X33" s="46">
        <f t="shared" si="105"/>
        <v>0.0135158254918734</v>
      </c>
      <c r="Y33" s="46">
        <f t="shared" si="105"/>
        <v>0.0140807174887892</v>
      </c>
      <c r="Z33" s="46">
        <f t="shared" si="105"/>
        <v>0.0144806671721001</v>
      </c>
      <c r="AA33" s="46">
        <f t="shared" si="105"/>
        <v>0.0146746224128286</v>
      </c>
      <c r="AB33" s="47">
        <f t="shared" si="105"/>
        <v>0.0118133935289691</v>
      </c>
      <c r="AC33" s="47">
        <f t="shared" si="105"/>
        <v>0.0138839759462328</v>
      </c>
      <c r="AD33" s="36"/>
      <c r="AE33" s="36"/>
      <c r="AF33" s="46">
        <f t="shared" ref="AF33:AJ33" si="106">W33</f>
        <v>0.0137106282634327</v>
      </c>
      <c r="AG33" s="46">
        <f t="shared" si="106"/>
        <v>0.0135158254918734</v>
      </c>
      <c r="AH33" s="46">
        <f t="shared" si="106"/>
        <v>0.0140807174887892</v>
      </c>
      <c r="AI33" s="46">
        <f t="shared" si="106"/>
        <v>0.0144806671721001</v>
      </c>
      <c r="AJ33" s="46">
        <f t="shared" si="106"/>
        <v>0.0146746224128286</v>
      </c>
      <c r="AK33" s="48">
        <f t="shared" si="67"/>
        <v>0.0135854025583145</v>
      </c>
      <c r="AL33" s="48">
        <f t="shared" si="68"/>
        <v>0.0159665723381677</v>
      </c>
      <c r="AM33" s="36"/>
      <c r="AN33" s="36"/>
      <c r="AO33" s="46">
        <f t="shared" ref="AO33:AS33" si="107">W33</f>
        <v>0.0137106282634327</v>
      </c>
      <c r="AP33" s="46">
        <f t="shared" si="107"/>
        <v>0.0135158254918734</v>
      </c>
      <c r="AQ33" s="46">
        <f t="shared" si="107"/>
        <v>0.0140807174887892</v>
      </c>
      <c r="AR33" s="46">
        <f t="shared" si="107"/>
        <v>0.0144806671721001</v>
      </c>
      <c r="AS33" s="46">
        <f t="shared" si="107"/>
        <v>0.0146746224128286</v>
      </c>
      <c r="AT33" s="48">
        <f t="shared" si="70"/>
        <v>0.0100413844996238</v>
      </c>
      <c r="AU33" s="48">
        <f t="shared" si="71"/>
        <v>0.0118013795542978</v>
      </c>
      <c r="AZ33" s="35"/>
      <c r="BA33" s="43" t="s">
        <v>348</v>
      </c>
      <c r="BB33" s="44">
        <v>88</v>
      </c>
      <c r="BC33" s="46">
        <v>81.4</v>
      </c>
      <c r="BD33" s="46">
        <v>79</v>
      </c>
      <c r="BE33" s="46">
        <v>78.5</v>
      </c>
      <c r="BF33" s="46">
        <v>76.4</v>
      </c>
      <c r="BG33" s="46">
        <v>78.7</v>
      </c>
      <c r="BH33" s="46">
        <v>78.5</v>
      </c>
      <c r="BI33" s="46">
        <v>78.5</v>
      </c>
      <c r="BJ33" s="36"/>
      <c r="BK33" s="36"/>
      <c r="BL33" s="49"/>
      <c r="BM33" s="49"/>
      <c r="BN33" s="49"/>
      <c r="BO33" s="49"/>
    </row>
    <row r="34" ht="15.5" spans="1:67">
      <c r="A34" s="35" t="s">
        <v>11</v>
      </c>
      <c r="B34" s="43" t="s">
        <v>344</v>
      </c>
      <c r="C34" s="44">
        <f t="shared" ref="C34:J34" si="108">BB34/1000</f>
        <v>0.9217</v>
      </c>
      <c r="D34" s="44">
        <f t="shared" si="108"/>
        <v>0.8721</v>
      </c>
      <c r="E34" s="44">
        <f t="shared" si="108"/>
        <v>0.8313</v>
      </c>
      <c r="F34" s="44">
        <f t="shared" si="108"/>
        <v>0.8218</v>
      </c>
      <c r="G34" s="44">
        <f t="shared" si="108"/>
        <v>0.794</v>
      </c>
      <c r="H34" s="44">
        <f t="shared" si="108"/>
        <v>0.835</v>
      </c>
      <c r="I34" s="44">
        <f t="shared" si="108"/>
        <v>0.8218</v>
      </c>
      <c r="J34" s="44">
        <f t="shared" si="108"/>
        <v>0.8218</v>
      </c>
      <c r="K34" s="36"/>
      <c r="L34" s="36"/>
      <c r="M34" s="49">
        <v>5.937</v>
      </c>
      <c r="N34" s="49">
        <v>5.845</v>
      </c>
      <c r="O34" s="49">
        <v>5.575</v>
      </c>
      <c r="P34" s="49">
        <v>5.276</v>
      </c>
      <c r="Q34" s="49">
        <v>5.363</v>
      </c>
      <c r="R34" s="49">
        <v>6.645</v>
      </c>
      <c r="S34" s="49">
        <v>5.654</v>
      </c>
      <c r="T34" s="49"/>
      <c r="U34" s="35" t="s">
        <v>11</v>
      </c>
      <c r="V34" s="43" t="s">
        <v>344</v>
      </c>
      <c r="W34" s="46">
        <f t="shared" ref="W34:AC34" si="109">D34/M34</f>
        <v>0.14689236988378</v>
      </c>
      <c r="X34" s="46">
        <f t="shared" si="109"/>
        <v>0.142224123182207</v>
      </c>
      <c r="Y34" s="46">
        <f t="shared" si="109"/>
        <v>0.147408071748879</v>
      </c>
      <c r="Z34" s="46">
        <f t="shared" si="109"/>
        <v>0.15049279757392</v>
      </c>
      <c r="AA34" s="46">
        <f t="shared" si="109"/>
        <v>0.155696438560507</v>
      </c>
      <c r="AB34" s="47">
        <f t="shared" si="109"/>
        <v>0.123671933784801</v>
      </c>
      <c r="AC34" s="47">
        <f t="shared" si="109"/>
        <v>0.145348425893173</v>
      </c>
      <c r="AD34" s="36"/>
      <c r="AE34" s="36"/>
      <c r="AF34" s="46">
        <f t="shared" ref="AF34:AJ34" si="110">W34</f>
        <v>0.14689236988378</v>
      </c>
      <c r="AG34" s="46">
        <f t="shared" si="110"/>
        <v>0.142224123182207</v>
      </c>
      <c r="AH34" s="46">
        <f t="shared" si="110"/>
        <v>0.147408071748879</v>
      </c>
      <c r="AI34" s="46">
        <f t="shared" si="110"/>
        <v>0.15049279757392</v>
      </c>
      <c r="AJ34" s="46">
        <f t="shared" si="110"/>
        <v>0.155696438560507</v>
      </c>
      <c r="AK34" s="48">
        <f t="shared" si="67"/>
        <v>0.142222723852521</v>
      </c>
      <c r="AL34" s="48">
        <f t="shared" si="68"/>
        <v>0.167150689777149</v>
      </c>
      <c r="AM34" s="36"/>
      <c r="AN34" s="36"/>
      <c r="AO34" s="46">
        <f t="shared" ref="AO34:AS34" si="111">W34</f>
        <v>0.14689236988378</v>
      </c>
      <c r="AP34" s="46">
        <f t="shared" si="111"/>
        <v>0.142224123182207</v>
      </c>
      <c r="AQ34" s="46">
        <f t="shared" si="111"/>
        <v>0.147408071748879</v>
      </c>
      <c r="AR34" s="46">
        <f t="shared" si="111"/>
        <v>0.15049279757392</v>
      </c>
      <c r="AS34" s="46">
        <f t="shared" si="111"/>
        <v>0.155696438560507</v>
      </c>
      <c r="AT34" s="48">
        <f t="shared" si="70"/>
        <v>0.105121143717081</v>
      </c>
      <c r="AU34" s="48">
        <f t="shared" si="71"/>
        <v>0.123546162009197</v>
      </c>
      <c r="AZ34" s="35" t="s">
        <v>11</v>
      </c>
      <c r="BA34" s="43" t="s">
        <v>344</v>
      </c>
      <c r="BB34" s="44">
        <v>921.7</v>
      </c>
      <c r="BC34" s="46">
        <v>872.1</v>
      </c>
      <c r="BD34" s="46">
        <v>831.3</v>
      </c>
      <c r="BE34" s="46">
        <v>821.8</v>
      </c>
      <c r="BF34" s="46">
        <v>794</v>
      </c>
      <c r="BG34" s="46">
        <v>835</v>
      </c>
      <c r="BH34" s="46">
        <v>821.8</v>
      </c>
      <c r="BI34" s="46">
        <v>821.8</v>
      </c>
      <c r="BJ34" s="36"/>
      <c r="BK34" s="36"/>
      <c r="BL34" s="49"/>
      <c r="BM34" s="49"/>
      <c r="BN34" s="49"/>
      <c r="BO34" s="49"/>
    </row>
    <row r="35" ht="15.5" spans="1:67">
      <c r="A35" s="35"/>
      <c r="B35" s="43" t="s">
        <v>345</v>
      </c>
      <c r="C35" s="44">
        <f t="shared" ref="C35:J35" si="112">BB35/1000</f>
        <v>0.8422</v>
      </c>
      <c r="D35" s="44">
        <f t="shared" si="112"/>
        <v>0.8018</v>
      </c>
      <c r="E35" s="44">
        <f t="shared" si="112"/>
        <v>0.7648</v>
      </c>
      <c r="F35" s="44">
        <f t="shared" si="112"/>
        <v>0.7562</v>
      </c>
      <c r="G35" s="44">
        <f t="shared" si="112"/>
        <v>0.7302</v>
      </c>
      <c r="H35" s="44">
        <f t="shared" si="112"/>
        <v>0.7691</v>
      </c>
      <c r="I35" s="44">
        <f t="shared" si="112"/>
        <v>0.7562</v>
      </c>
      <c r="J35" s="44">
        <f t="shared" si="112"/>
        <v>0.7562</v>
      </c>
      <c r="K35" s="36"/>
      <c r="L35" s="36"/>
      <c r="M35" s="49">
        <v>5.937</v>
      </c>
      <c r="N35" s="49">
        <v>5.845</v>
      </c>
      <c r="O35" s="49">
        <v>5.575</v>
      </c>
      <c r="P35" s="49">
        <v>5.276</v>
      </c>
      <c r="Q35" s="49">
        <v>5.363</v>
      </c>
      <c r="R35" s="49">
        <v>6.645</v>
      </c>
      <c r="S35" s="49">
        <v>5.654</v>
      </c>
      <c r="T35" s="49"/>
      <c r="U35" s="35"/>
      <c r="V35" s="43" t="s">
        <v>345</v>
      </c>
      <c r="W35" s="46">
        <f t="shared" ref="W35:AC35" si="113">D35/M35</f>
        <v>0.135051372747179</v>
      </c>
      <c r="X35" s="46">
        <f t="shared" si="113"/>
        <v>0.130846877673225</v>
      </c>
      <c r="Y35" s="46">
        <f t="shared" si="113"/>
        <v>0.135641255605381</v>
      </c>
      <c r="Z35" s="46">
        <f t="shared" si="113"/>
        <v>0.138400303260046</v>
      </c>
      <c r="AA35" s="46">
        <f t="shared" si="113"/>
        <v>0.143408539996271</v>
      </c>
      <c r="AB35" s="47">
        <f t="shared" si="113"/>
        <v>0.11379984951091</v>
      </c>
      <c r="AC35" s="47">
        <f t="shared" si="113"/>
        <v>0.133746020516449</v>
      </c>
      <c r="AD35" s="36"/>
      <c r="AE35" s="36"/>
      <c r="AF35" s="46">
        <f t="shared" ref="AF35:AJ35" si="114">W35</f>
        <v>0.135051372747179</v>
      </c>
      <c r="AG35" s="46">
        <f t="shared" si="114"/>
        <v>0.130846877673225</v>
      </c>
      <c r="AH35" s="46">
        <f t="shared" si="114"/>
        <v>0.135641255605381</v>
      </c>
      <c r="AI35" s="46">
        <f t="shared" si="114"/>
        <v>0.138400303260046</v>
      </c>
      <c r="AJ35" s="46">
        <f t="shared" si="114"/>
        <v>0.143408539996271</v>
      </c>
      <c r="AK35" s="48">
        <f t="shared" si="67"/>
        <v>0.130869826937547</v>
      </c>
      <c r="AL35" s="48">
        <f t="shared" si="68"/>
        <v>0.153807923593916</v>
      </c>
      <c r="AM35" s="36"/>
      <c r="AN35" s="36"/>
      <c r="AO35" s="46">
        <f t="shared" ref="AO35:AS35" si="115">W35</f>
        <v>0.135051372747179</v>
      </c>
      <c r="AP35" s="46">
        <f t="shared" si="115"/>
        <v>0.130846877673225</v>
      </c>
      <c r="AQ35" s="46">
        <f t="shared" si="115"/>
        <v>0.135641255605381</v>
      </c>
      <c r="AR35" s="46">
        <f t="shared" si="115"/>
        <v>0.138400303260046</v>
      </c>
      <c r="AS35" s="46">
        <f t="shared" si="115"/>
        <v>0.143408539996271</v>
      </c>
      <c r="AT35" s="48">
        <f t="shared" si="70"/>
        <v>0.0967298720842739</v>
      </c>
      <c r="AU35" s="48">
        <f t="shared" si="71"/>
        <v>0.113684117438981</v>
      </c>
      <c r="AZ35" s="35"/>
      <c r="BA35" s="43" t="s">
        <v>345</v>
      </c>
      <c r="BB35" s="44">
        <v>842.2</v>
      </c>
      <c r="BC35" s="46">
        <v>801.8</v>
      </c>
      <c r="BD35" s="46">
        <v>764.8</v>
      </c>
      <c r="BE35" s="46">
        <v>756.2</v>
      </c>
      <c r="BF35" s="46">
        <v>730.2</v>
      </c>
      <c r="BG35" s="46">
        <v>769.1</v>
      </c>
      <c r="BH35" s="46">
        <v>756.2</v>
      </c>
      <c r="BI35" s="46">
        <v>756.2</v>
      </c>
      <c r="BJ35" s="36"/>
      <c r="BK35" s="36"/>
      <c r="BL35" s="49"/>
      <c r="BM35" s="49"/>
      <c r="BN35" s="49"/>
      <c r="BO35" s="49"/>
    </row>
    <row r="36" ht="15.5" spans="1:67">
      <c r="A36" s="35"/>
      <c r="B36" s="43" t="s">
        <v>346</v>
      </c>
      <c r="C36" s="44">
        <f t="shared" ref="C36:J36" si="116">BB36/1000</f>
        <v>0.2694</v>
      </c>
      <c r="D36" s="44">
        <f t="shared" si="116"/>
        <v>0.2401</v>
      </c>
      <c r="E36" s="44">
        <f t="shared" si="116"/>
        <v>0.2278</v>
      </c>
      <c r="F36" s="44">
        <f t="shared" si="116"/>
        <v>0.2249</v>
      </c>
      <c r="G36" s="44">
        <f t="shared" si="116"/>
        <v>0.2217</v>
      </c>
      <c r="H36" s="44">
        <f t="shared" si="116"/>
        <v>0.2296</v>
      </c>
      <c r="I36" s="44">
        <f t="shared" si="116"/>
        <v>0.2249</v>
      </c>
      <c r="J36" s="44">
        <f t="shared" si="116"/>
        <v>0.2249</v>
      </c>
      <c r="K36" s="36"/>
      <c r="L36" s="36"/>
      <c r="M36" s="49">
        <v>5.937</v>
      </c>
      <c r="N36" s="49">
        <v>5.845</v>
      </c>
      <c r="O36" s="49">
        <v>5.575</v>
      </c>
      <c r="P36" s="49">
        <v>5.276</v>
      </c>
      <c r="Q36" s="49">
        <v>5.363</v>
      </c>
      <c r="R36" s="49">
        <v>6.645</v>
      </c>
      <c r="S36" s="49">
        <v>5.654</v>
      </c>
      <c r="T36" s="49"/>
      <c r="U36" s="35"/>
      <c r="V36" s="43" t="s">
        <v>346</v>
      </c>
      <c r="W36" s="46">
        <f t="shared" ref="W36:AC36" si="117">D36/M36</f>
        <v>0.0404413003200269</v>
      </c>
      <c r="X36" s="46">
        <f t="shared" si="117"/>
        <v>0.0389734816082122</v>
      </c>
      <c r="Y36" s="46">
        <f t="shared" si="117"/>
        <v>0.0403408071748879</v>
      </c>
      <c r="Z36" s="46">
        <f t="shared" si="117"/>
        <v>0.0420204700530705</v>
      </c>
      <c r="AA36" s="46">
        <f t="shared" si="117"/>
        <v>0.0428118590341227</v>
      </c>
      <c r="AB36" s="47">
        <f t="shared" si="117"/>
        <v>0.0338449962377728</v>
      </c>
      <c r="AC36" s="47">
        <f t="shared" si="117"/>
        <v>0.0397771489211178</v>
      </c>
      <c r="AD36" s="36"/>
      <c r="AE36" s="36"/>
      <c r="AF36" s="46">
        <f t="shared" ref="AF36:AJ36" si="118">W36</f>
        <v>0.0404413003200269</v>
      </c>
      <c r="AG36" s="46">
        <f t="shared" si="118"/>
        <v>0.0389734816082122</v>
      </c>
      <c r="AH36" s="46">
        <f t="shared" si="118"/>
        <v>0.0403408071748879</v>
      </c>
      <c r="AI36" s="46">
        <f t="shared" si="118"/>
        <v>0.0420204700530705</v>
      </c>
      <c r="AJ36" s="46">
        <f t="shared" si="118"/>
        <v>0.0428118590341227</v>
      </c>
      <c r="AK36" s="48">
        <f t="shared" si="67"/>
        <v>0.0389217456734387</v>
      </c>
      <c r="AL36" s="48">
        <f t="shared" si="68"/>
        <v>0.0457437212592855</v>
      </c>
      <c r="AM36" s="36"/>
      <c r="AN36" s="36"/>
      <c r="AO36" s="46">
        <f t="shared" ref="AO36:AS36" si="119">W36</f>
        <v>0.0404413003200269</v>
      </c>
      <c r="AP36" s="46">
        <f t="shared" si="119"/>
        <v>0.0389734816082122</v>
      </c>
      <c r="AQ36" s="46">
        <f t="shared" si="119"/>
        <v>0.0403408071748879</v>
      </c>
      <c r="AR36" s="46">
        <f t="shared" si="119"/>
        <v>0.0420204700530705</v>
      </c>
      <c r="AS36" s="46">
        <f t="shared" si="119"/>
        <v>0.0428118590341227</v>
      </c>
      <c r="AT36" s="48">
        <f t="shared" si="70"/>
        <v>0.0287682468021069</v>
      </c>
      <c r="AU36" s="48">
        <f t="shared" si="71"/>
        <v>0.0338105765829501</v>
      </c>
      <c r="AZ36" s="35"/>
      <c r="BA36" s="43" t="s">
        <v>346</v>
      </c>
      <c r="BB36" s="44">
        <v>269.4</v>
      </c>
      <c r="BC36" s="46">
        <v>240.1</v>
      </c>
      <c r="BD36" s="46">
        <v>227.8</v>
      </c>
      <c r="BE36" s="46">
        <v>224.9</v>
      </c>
      <c r="BF36" s="46">
        <v>221.7</v>
      </c>
      <c r="BG36" s="46">
        <v>229.6</v>
      </c>
      <c r="BH36" s="46">
        <v>224.9</v>
      </c>
      <c r="BI36" s="46">
        <v>224.9</v>
      </c>
      <c r="BJ36" s="36"/>
      <c r="BK36" s="36"/>
      <c r="BL36" s="49"/>
      <c r="BM36" s="49"/>
      <c r="BN36" s="49"/>
      <c r="BO36" s="49"/>
    </row>
    <row r="37" ht="15.5" spans="1:67">
      <c r="A37" s="35"/>
      <c r="B37" s="43" t="s">
        <v>347</v>
      </c>
      <c r="C37" s="44">
        <f t="shared" ref="C37:J37" si="120">BB37/1000</f>
        <v>0.5273</v>
      </c>
      <c r="D37" s="44">
        <f t="shared" si="120"/>
        <v>0.5167</v>
      </c>
      <c r="E37" s="44">
        <f t="shared" si="120"/>
        <v>0.4931</v>
      </c>
      <c r="F37" s="44">
        <f t="shared" si="120"/>
        <v>0.4875</v>
      </c>
      <c r="G37" s="44">
        <f t="shared" si="120"/>
        <v>0.4653</v>
      </c>
      <c r="H37" s="44">
        <f t="shared" si="120"/>
        <v>0.4946</v>
      </c>
      <c r="I37" s="44">
        <f t="shared" si="120"/>
        <v>0.4875</v>
      </c>
      <c r="J37" s="44">
        <f t="shared" si="120"/>
        <v>0.4875</v>
      </c>
      <c r="K37" s="36"/>
      <c r="L37" s="36"/>
      <c r="M37" s="49">
        <v>5.937</v>
      </c>
      <c r="N37" s="49">
        <v>5.845</v>
      </c>
      <c r="O37" s="49">
        <v>5.575</v>
      </c>
      <c r="P37" s="49">
        <v>5.276</v>
      </c>
      <c r="Q37" s="49">
        <v>5.363</v>
      </c>
      <c r="R37" s="49">
        <v>6.645</v>
      </c>
      <c r="S37" s="49">
        <v>5.654</v>
      </c>
      <c r="T37" s="49"/>
      <c r="U37" s="35"/>
      <c r="V37" s="43" t="s">
        <v>347</v>
      </c>
      <c r="W37" s="46">
        <f t="shared" ref="W37:AC37" si="121">D37/M37</f>
        <v>0.0870304867778339</v>
      </c>
      <c r="X37" s="46">
        <f t="shared" si="121"/>
        <v>0.0843627031650984</v>
      </c>
      <c r="Y37" s="46">
        <f t="shared" si="121"/>
        <v>0.0874439461883408</v>
      </c>
      <c r="Z37" s="46">
        <f t="shared" si="121"/>
        <v>0.0881918119787718</v>
      </c>
      <c r="AA37" s="46">
        <f t="shared" si="121"/>
        <v>0.0922245012120082</v>
      </c>
      <c r="AB37" s="47">
        <f t="shared" si="121"/>
        <v>0.0733634311512415</v>
      </c>
      <c r="AC37" s="47">
        <f t="shared" si="121"/>
        <v>0.0862221436151397</v>
      </c>
      <c r="AD37" s="36"/>
      <c r="AE37" s="36"/>
      <c r="AF37" s="46">
        <f t="shared" ref="AF37:AJ37" si="122">W37</f>
        <v>0.0870304867778339</v>
      </c>
      <c r="AG37" s="46">
        <f t="shared" si="122"/>
        <v>0.0843627031650984</v>
      </c>
      <c r="AH37" s="46">
        <f t="shared" si="122"/>
        <v>0.0874439461883408</v>
      </c>
      <c r="AI37" s="46">
        <f t="shared" si="122"/>
        <v>0.0881918119787718</v>
      </c>
      <c r="AJ37" s="46">
        <f t="shared" si="122"/>
        <v>0.0922245012120082</v>
      </c>
      <c r="AK37" s="48">
        <f t="shared" si="67"/>
        <v>0.0843679458239278</v>
      </c>
      <c r="AL37" s="48">
        <f t="shared" si="68"/>
        <v>0.0991554651574107</v>
      </c>
      <c r="AM37" s="36"/>
      <c r="AN37" s="36"/>
      <c r="AO37" s="46">
        <f t="shared" ref="AO37:AS37" si="123">W37</f>
        <v>0.0870304867778339</v>
      </c>
      <c r="AP37" s="46">
        <f t="shared" si="123"/>
        <v>0.0843627031650984</v>
      </c>
      <c r="AQ37" s="46">
        <f t="shared" si="123"/>
        <v>0.0874439461883408</v>
      </c>
      <c r="AR37" s="46">
        <f t="shared" si="123"/>
        <v>0.0881918119787718</v>
      </c>
      <c r="AS37" s="46">
        <f t="shared" si="123"/>
        <v>0.0922245012120082</v>
      </c>
      <c r="AT37" s="48">
        <f t="shared" si="70"/>
        <v>0.0623589164785553</v>
      </c>
      <c r="AU37" s="48">
        <f t="shared" si="71"/>
        <v>0.0732888220728688</v>
      </c>
      <c r="AZ37" s="35"/>
      <c r="BA37" s="43" t="s">
        <v>347</v>
      </c>
      <c r="BB37" s="44">
        <v>527.3</v>
      </c>
      <c r="BC37" s="46">
        <v>516.7</v>
      </c>
      <c r="BD37" s="46">
        <v>493.1</v>
      </c>
      <c r="BE37" s="46">
        <v>487.5</v>
      </c>
      <c r="BF37" s="46">
        <v>465.3</v>
      </c>
      <c r="BG37" s="46">
        <v>494.6</v>
      </c>
      <c r="BH37" s="46">
        <v>487.5</v>
      </c>
      <c r="BI37" s="46">
        <v>487.5</v>
      </c>
      <c r="BJ37" s="36"/>
      <c r="BK37" s="36"/>
      <c r="BL37" s="49"/>
      <c r="BM37" s="49"/>
      <c r="BN37" s="49"/>
      <c r="BO37" s="49"/>
    </row>
    <row r="38" ht="15.5" spans="1:67">
      <c r="A38" s="35"/>
      <c r="B38" s="43" t="s">
        <v>348</v>
      </c>
      <c r="C38" s="44">
        <f t="shared" ref="C38:J38" si="124">BB38/1000</f>
        <v>0.0858</v>
      </c>
      <c r="D38" s="44">
        <f t="shared" si="124"/>
        <v>0.0793</v>
      </c>
      <c r="E38" s="44">
        <f t="shared" si="124"/>
        <v>0.0771</v>
      </c>
      <c r="F38" s="44">
        <f t="shared" si="124"/>
        <v>0.0766</v>
      </c>
      <c r="G38" s="44">
        <f t="shared" si="124"/>
        <v>0.0744</v>
      </c>
      <c r="H38" s="44">
        <f t="shared" si="124"/>
        <v>0.0767</v>
      </c>
      <c r="I38" s="44">
        <f t="shared" si="124"/>
        <v>0.0766</v>
      </c>
      <c r="J38" s="44">
        <f t="shared" si="124"/>
        <v>0.0766</v>
      </c>
      <c r="K38" s="36"/>
      <c r="L38" s="36"/>
      <c r="M38" s="49">
        <v>5.937</v>
      </c>
      <c r="N38" s="49">
        <v>5.845</v>
      </c>
      <c r="O38" s="49">
        <v>5.575</v>
      </c>
      <c r="P38" s="49">
        <v>5.276</v>
      </c>
      <c r="Q38" s="49">
        <v>5.363</v>
      </c>
      <c r="R38" s="49">
        <v>6.645</v>
      </c>
      <c r="S38" s="49">
        <v>5.654</v>
      </c>
      <c r="T38" s="49"/>
      <c r="U38" s="35"/>
      <c r="V38" s="43" t="s">
        <v>348</v>
      </c>
      <c r="W38" s="46">
        <f t="shared" ref="W38:AC38" si="125">D38/M38</f>
        <v>0.0133569142664645</v>
      </c>
      <c r="X38" s="46">
        <f t="shared" si="125"/>
        <v>0.0131907613344739</v>
      </c>
      <c r="Y38" s="46">
        <f t="shared" si="125"/>
        <v>0.0137399103139013</v>
      </c>
      <c r="Z38" s="46">
        <f t="shared" si="125"/>
        <v>0.0141015921152388</v>
      </c>
      <c r="AA38" s="46">
        <f t="shared" si="125"/>
        <v>0.0143016968114861</v>
      </c>
      <c r="AB38" s="47">
        <f t="shared" si="125"/>
        <v>0.0115274642588412</v>
      </c>
      <c r="AC38" s="47">
        <f t="shared" si="125"/>
        <v>0.0135479306685532</v>
      </c>
      <c r="AD38" s="36"/>
      <c r="AE38" s="36"/>
      <c r="AF38" s="46">
        <f t="shared" ref="AF38:AJ38" si="126">W38</f>
        <v>0.0133569142664645</v>
      </c>
      <c r="AG38" s="46">
        <f t="shared" si="126"/>
        <v>0.0131907613344739</v>
      </c>
      <c r="AH38" s="46">
        <f t="shared" si="126"/>
        <v>0.0137399103139013</v>
      </c>
      <c r="AI38" s="46">
        <f t="shared" si="126"/>
        <v>0.0141015921152388</v>
      </c>
      <c r="AJ38" s="46">
        <f t="shared" si="126"/>
        <v>0.0143016968114861</v>
      </c>
      <c r="AK38" s="48">
        <f t="shared" si="67"/>
        <v>0.0132565838976674</v>
      </c>
      <c r="AL38" s="48">
        <f t="shared" si="68"/>
        <v>0.0155801202688362</v>
      </c>
      <c r="AM38" s="36"/>
      <c r="AN38" s="36"/>
      <c r="AO38" s="46">
        <f t="shared" ref="AO38:AS38" si="127">W38</f>
        <v>0.0133569142664645</v>
      </c>
      <c r="AP38" s="46">
        <f t="shared" si="127"/>
        <v>0.0131907613344739</v>
      </c>
      <c r="AQ38" s="46">
        <f t="shared" si="127"/>
        <v>0.0137399103139013</v>
      </c>
      <c r="AR38" s="46">
        <f t="shared" si="127"/>
        <v>0.0141015921152388</v>
      </c>
      <c r="AS38" s="46">
        <f t="shared" si="127"/>
        <v>0.0143016968114861</v>
      </c>
      <c r="AT38" s="48">
        <f t="shared" si="70"/>
        <v>0.00979834462001505</v>
      </c>
      <c r="AU38" s="48">
        <f t="shared" si="71"/>
        <v>0.0115157410682703</v>
      </c>
      <c r="AZ38" s="35"/>
      <c r="BA38" s="43" t="s">
        <v>348</v>
      </c>
      <c r="BB38" s="44">
        <v>85.8</v>
      </c>
      <c r="BC38" s="46">
        <v>79.3</v>
      </c>
      <c r="BD38" s="46">
        <v>77.1</v>
      </c>
      <c r="BE38" s="46">
        <v>76.6</v>
      </c>
      <c r="BF38" s="46">
        <v>74.4</v>
      </c>
      <c r="BG38" s="46">
        <v>76.7</v>
      </c>
      <c r="BH38" s="46">
        <v>76.6</v>
      </c>
      <c r="BI38" s="46">
        <v>76.6</v>
      </c>
      <c r="BJ38" s="36"/>
      <c r="BK38" s="36"/>
      <c r="BL38" s="49"/>
      <c r="BM38" s="49"/>
      <c r="BN38" s="49"/>
      <c r="BO38" s="49"/>
    </row>
    <row r="39" ht="15.5" spans="1:67">
      <c r="A39" s="36"/>
      <c r="B39" s="36"/>
      <c r="C39" s="39"/>
      <c r="D39" s="36"/>
      <c r="E39" s="36"/>
      <c r="F39" s="36"/>
      <c r="G39" s="36"/>
      <c r="H39" s="36"/>
      <c r="I39" s="36"/>
      <c r="J39" s="36"/>
      <c r="K39" s="36"/>
      <c r="L39" s="36"/>
      <c r="M39" s="36"/>
      <c r="N39" s="36"/>
      <c r="O39" s="36"/>
      <c r="P39" s="36"/>
      <c r="Q39" s="36"/>
      <c r="R39" s="36"/>
      <c r="S39" s="36"/>
      <c r="T39" s="36"/>
      <c r="AZ39" s="36"/>
      <c r="BA39" s="36"/>
      <c r="BB39" s="39"/>
      <c r="BC39" s="36"/>
      <c r="BD39" s="36"/>
      <c r="BE39" s="36"/>
      <c r="BF39" s="36"/>
      <c r="BG39" s="36"/>
      <c r="BH39" s="36"/>
      <c r="BI39" s="36"/>
      <c r="BJ39" s="36"/>
      <c r="BK39" s="36"/>
      <c r="BL39" s="36"/>
      <c r="BM39" s="36"/>
      <c r="BN39" s="36"/>
      <c r="BO39" s="36"/>
    </row>
    <row r="40" ht="15.5" spans="1:67">
      <c r="A40" s="36"/>
      <c r="B40" s="36"/>
      <c r="C40" s="39"/>
      <c r="D40" s="36"/>
      <c r="E40" s="36"/>
      <c r="F40" s="36"/>
      <c r="G40" s="36"/>
      <c r="H40" s="36"/>
      <c r="I40" s="36"/>
      <c r="J40" s="36"/>
      <c r="K40" s="36"/>
      <c r="L40" s="36"/>
      <c r="M40" s="36"/>
      <c r="N40" s="36"/>
      <c r="O40" s="36"/>
      <c r="P40" s="36"/>
      <c r="Q40" s="36"/>
      <c r="R40" s="36"/>
      <c r="S40" s="36"/>
      <c r="T40" s="36"/>
      <c r="AZ40" s="36"/>
      <c r="BA40" s="36"/>
      <c r="BB40" s="39"/>
      <c r="BC40" s="36"/>
      <c r="BD40" s="36"/>
      <c r="BE40" s="36"/>
      <c r="BF40" s="36"/>
      <c r="BG40" s="36"/>
      <c r="BH40" s="36"/>
      <c r="BI40" s="36"/>
      <c r="BJ40" s="36"/>
      <c r="BK40" s="36"/>
      <c r="BL40" s="36"/>
      <c r="BM40" s="36"/>
      <c r="BN40" s="36"/>
      <c r="BO40" s="36"/>
    </row>
    <row r="41" ht="15.5" spans="1:67">
      <c r="A41" s="35" t="s">
        <v>363</v>
      </c>
      <c r="B41" s="35"/>
      <c r="C41" s="35"/>
      <c r="D41" s="35"/>
      <c r="E41" s="35"/>
      <c r="F41" s="35"/>
      <c r="G41" s="35"/>
      <c r="H41" s="35"/>
      <c r="I41" s="35"/>
      <c r="J41" s="35"/>
      <c r="K41" s="36"/>
      <c r="L41" s="36"/>
      <c r="M41" s="36"/>
      <c r="N41" s="36"/>
      <c r="O41" s="36"/>
      <c r="P41" s="36"/>
      <c r="Q41" s="36"/>
      <c r="R41" s="36"/>
      <c r="S41" s="36"/>
      <c r="T41" s="36"/>
      <c r="AZ41" s="35" t="s">
        <v>363</v>
      </c>
      <c r="BA41" s="35"/>
      <c r="BB41" s="35"/>
      <c r="BC41" s="35"/>
      <c r="BD41" s="35"/>
      <c r="BE41" s="35"/>
      <c r="BF41" s="35"/>
      <c r="BG41" s="35"/>
      <c r="BH41" s="35"/>
      <c r="BI41" s="35"/>
      <c r="BJ41" s="36"/>
      <c r="BK41" s="36"/>
      <c r="BL41" s="36"/>
      <c r="BM41" s="36"/>
      <c r="BN41" s="36"/>
      <c r="BO41" s="36"/>
    </row>
    <row r="42" ht="15.5" spans="1:67">
      <c r="A42" s="35" t="s">
        <v>332</v>
      </c>
      <c r="B42" s="35" t="s">
        <v>362</v>
      </c>
      <c r="C42" s="35" t="s">
        <v>334</v>
      </c>
      <c r="D42" s="35"/>
      <c r="E42" s="35"/>
      <c r="F42" s="35"/>
      <c r="G42" s="35"/>
      <c r="H42" s="35"/>
      <c r="I42" s="35"/>
      <c r="J42" s="35"/>
      <c r="K42" s="36"/>
      <c r="L42" s="36"/>
      <c r="M42" s="36"/>
      <c r="N42" s="36"/>
      <c r="O42" s="36"/>
      <c r="P42" s="36"/>
      <c r="Q42" s="36"/>
      <c r="R42" s="36"/>
      <c r="S42" s="36"/>
      <c r="T42" s="36"/>
      <c r="AZ42" s="35" t="s">
        <v>332</v>
      </c>
      <c r="BA42" s="35" t="s">
        <v>362</v>
      </c>
      <c r="BB42" s="35" t="s">
        <v>334</v>
      </c>
      <c r="BC42" s="35"/>
      <c r="BD42" s="35"/>
      <c r="BE42" s="35"/>
      <c r="BF42" s="35"/>
      <c r="BG42" s="35"/>
      <c r="BH42" s="35"/>
      <c r="BI42" s="35"/>
      <c r="BJ42" s="36"/>
      <c r="BK42" s="36"/>
      <c r="BL42" s="36"/>
      <c r="BM42" s="36"/>
      <c r="BN42" s="36"/>
      <c r="BO42" s="36"/>
    </row>
    <row r="43" ht="30" spans="1:67">
      <c r="A43" s="35"/>
      <c r="B43" s="35"/>
      <c r="C43" s="39" t="s">
        <v>335</v>
      </c>
      <c r="D43" s="36" t="s">
        <v>336</v>
      </c>
      <c r="E43" s="36" t="s">
        <v>337</v>
      </c>
      <c r="F43" s="40" t="s">
        <v>338</v>
      </c>
      <c r="G43" s="36" t="s">
        <v>339</v>
      </c>
      <c r="H43" s="36" t="s">
        <v>340</v>
      </c>
      <c r="I43" s="36" t="s">
        <v>341</v>
      </c>
      <c r="J43" s="36" t="s">
        <v>342</v>
      </c>
      <c r="K43" s="36"/>
      <c r="L43" s="36"/>
      <c r="M43" s="36" t="s">
        <v>336</v>
      </c>
      <c r="N43" s="36" t="s">
        <v>337</v>
      </c>
      <c r="O43" s="36" t="s">
        <v>338</v>
      </c>
      <c r="P43" s="36" t="s">
        <v>339</v>
      </c>
      <c r="Q43" s="36" t="s">
        <v>340</v>
      </c>
      <c r="R43" s="36" t="s">
        <v>341</v>
      </c>
      <c r="S43" s="36" t="s">
        <v>342</v>
      </c>
      <c r="T43" s="36"/>
      <c r="U43" s="36"/>
      <c r="V43" s="38" t="s">
        <v>360</v>
      </c>
      <c r="W43" s="36" t="s">
        <v>336</v>
      </c>
      <c r="X43" s="36" t="s">
        <v>337</v>
      </c>
      <c r="Y43" s="40" t="s">
        <v>338</v>
      </c>
      <c r="Z43" s="36" t="s">
        <v>339</v>
      </c>
      <c r="AA43" s="36" t="s">
        <v>340</v>
      </c>
      <c r="AB43" s="42" t="s">
        <v>341</v>
      </c>
      <c r="AC43" s="42" t="s">
        <v>342</v>
      </c>
      <c r="AD43" s="36"/>
      <c r="AE43" s="36"/>
      <c r="AF43" s="36" t="s">
        <v>336</v>
      </c>
      <c r="AG43" s="36" t="s">
        <v>337</v>
      </c>
      <c r="AH43" s="40" t="s">
        <v>338</v>
      </c>
      <c r="AI43" s="36" t="s">
        <v>339</v>
      </c>
      <c r="AJ43" s="36" t="s">
        <v>340</v>
      </c>
      <c r="AK43" s="42" t="s">
        <v>341</v>
      </c>
      <c r="AL43" s="42" t="s">
        <v>342</v>
      </c>
      <c r="AO43" s="36" t="s">
        <v>336</v>
      </c>
      <c r="AP43" s="36" t="s">
        <v>337</v>
      </c>
      <c r="AQ43" s="40" t="s">
        <v>338</v>
      </c>
      <c r="AR43" s="36" t="s">
        <v>339</v>
      </c>
      <c r="AS43" s="36" t="s">
        <v>340</v>
      </c>
      <c r="AT43" s="42" t="s">
        <v>341</v>
      </c>
      <c r="AU43" s="42" t="s">
        <v>342</v>
      </c>
      <c r="AZ43" s="35"/>
      <c r="BA43" s="35"/>
      <c r="BB43" s="39" t="s">
        <v>335</v>
      </c>
      <c r="BC43" s="36" t="s">
        <v>336</v>
      </c>
      <c r="BD43" s="36" t="s">
        <v>337</v>
      </c>
      <c r="BE43" s="40" t="s">
        <v>338</v>
      </c>
      <c r="BF43" s="36" t="s">
        <v>339</v>
      </c>
      <c r="BG43" s="36" t="s">
        <v>340</v>
      </c>
      <c r="BH43" s="36" t="s">
        <v>341</v>
      </c>
      <c r="BI43" s="36" t="s">
        <v>342</v>
      </c>
      <c r="BJ43" s="36"/>
      <c r="BK43" s="36"/>
      <c r="BL43" s="36"/>
      <c r="BM43" s="36"/>
      <c r="BN43" s="36"/>
      <c r="BO43" s="36"/>
    </row>
    <row r="44" ht="15.5" spans="1:67">
      <c r="A44" s="35" t="s">
        <v>343</v>
      </c>
      <c r="B44" s="43" t="s">
        <v>344</v>
      </c>
      <c r="C44" s="44">
        <f t="shared" ref="C44:J44" si="128">BB44/1000</f>
        <v>0.6652</v>
      </c>
      <c r="D44" s="44">
        <f t="shared" si="128"/>
        <v>0.5864</v>
      </c>
      <c r="E44" s="44">
        <f t="shared" si="128"/>
        <v>0.5679</v>
      </c>
      <c r="F44" s="44">
        <f t="shared" si="128"/>
        <v>0.5636</v>
      </c>
      <c r="G44" s="44">
        <f t="shared" si="128"/>
        <v>0.5409</v>
      </c>
      <c r="H44" s="44">
        <f t="shared" si="128"/>
        <v>0.5521</v>
      </c>
      <c r="I44" s="44">
        <f t="shared" si="128"/>
        <v>0.5636</v>
      </c>
      <c r="J44" s="44">
        <f t="shared" si="128"/>
        <v>0.5636</v>
      </c>
      <c r="K44" s="36"/>
      <c r="L44" s="36"/>
      <c r="M44" s="45">
        <v>5.937</v>
      </c>
      <c r="N44" s="45">
        <v>5.845</v>
      </c>
      <c r="O44" s="45">
        <v>5.575</v>
      </c>
      <c r="P44" s="45">
        <v>5.276</v>
      </c>
      <c r="Q44" s="45">
        <v>5.363</v>
      </c>
      <c r="R44" s="45">
        <v>6.645</v>
      </c>
      <c r="S44" s="45">
        <v>5.654</v>
      </c>
      <c r="T44" s="45"/>
      <c r="U44" s="35" t="s">
        <v>343</v>
      </c>
      <c r="V44" s="43" t="s">
        <v>344</v>
      </c>
      <c r="W44" s="46">
        <f t="shared" ref="W44:AC44" si="129">D44/M44</f>
        <v>0.098770422772444</v>
      </c>
      <c r="X44" s="46">
        <f t="shared" si="129"/>
        <v>0.0971599657827203</v>
      </c>
      <c r="Y44" s="46">
        <f t="shared" si="129"/>
        <v>0.101094170403587</v>
      </c>
      <c r="Z44" s="46">
        <f t="shared" si="129"/>
        <v>0.102520849128127</v>
      </c>
      <c r="AA44" s="46">
        <f t="shared" si="129"/>
        <v>0.102946112250606</v>
      </c>
      <c r="AB44" s="47">
        <f t="shared" si="129"/>
        <v>0.0848156508653123</v>
      </c>
      <c r="AC44" s="47">
        <f t="shared" si="129"/>
        <v>0.0996816413158826</v>
      </c>
      <c r="AD44" s="36"/>
      <c r="AE44" s="36"/>
      <c r="AF44" s="46">
        <f t="shared" ref="AF44:AJ44" si="130">W44</f>
        <v>0.098770422772444</v>
      </c>
      <c r="AG44" s="46">
        <f t="shared" si="130"/>
        <v>0.0971599657827203</v>
      </c>
      <c r="AH44" s="46">
        <f t="shared" si="130"/>
        <v>0.101094170403587</v>
      </c>
      <c r="AI44" s="46">
        <f t="shared" si="130"/>
        <v>0.102520849128127</v>
      </c>
      <c r="AJ44" s="46">
        <f t="shared" si="130"/>
        <v>0.102946112250606</v>
      </c>
      <c r="AK44" s="48">
        <f t="shared" ref="AK44:AK58" si="131">AB44*1.15</f>
        <v>0.0975379984951091</v>
      </c>
      <c r="AL44" s="48">
        <f t="shared" ref="AL44:AL58" si="132">AC44*1.15</f>
        <v>0.114633887513265</v>
      </c>
      <c r="AO44" s="46">
        <f t="shared" ref="AO44:AS44" si="133">W44</f>
        <v>0.098770422772444</v>
      </c>
      <c r="AP44" s="46">
        <f t="shared" si="133"/>
        <v>0.0971599657827203</v>
      </c>
      <c r="AQ44" s="46">
        <f t="shared" si="133"/>
        <v>0.101094170403587</v>
      </c>
      <c r="AR44" s="46">
        <f t="shared" si="133"/>
        <v>0.102520849128127</v>
      </c>
      <c r="AS44" s="46">
        <f t="shared" si="133"/>
        <v>0.102946112250606</v>
      </c>
      <c r="AT44" s="48">
        <f t="shared" ref="AT44:AT58" si="134">AB44*0.85</f>
        <v>0.0720933032355154</v>
      </c>
      <c r="AU44" s="48">
        <f t="shared" ref="AU44:AU58" si="135">AC44*0.85</f>
        <v>0.0847293951185002</v>
      </c>
      <c r="AZ44" s="35" t="s">
        <v>343</v>
      </c>
      <c r="BA44" s="43" t="s">
        <v>344</v>
      </c>
      <c r="BB44" s="44">
        <v>665.2</v>
      </c>
      <c r="BC44" s="46">
        <v>586.4</v>
      </c>
      <c r="BD44" s="46">
        <v>567.9</v>
      </c>
      <c r="BE44" s="46">
        <v>563.6</v>
      </c>
      <c r="BF44" s="46">
        <v>540.9</v>
      </c>
      <c r="BG44" s="46">
        <v>552.1</v>
      </c>
      <c r="BH44" s="46">
        <v>563.6</v>
      </c>
      <c r="BI44" s="46">
        <v>563.6</v>
      </c>
      <c r="BJ44" s="36"/>
      <c r="BK44" s="36"/>
      <c r="BL44" s="45"/>
      <c r="BM44" s="45"/>
      <c r="BN44" s="45"/>
      <c r="BO44" s="45"/>
    </row>
    <row r="45" ht="15.5" spans="1:67">
      <c r="A45" s="35"/>
      <c r="B45" s="43" t="s">
        <v>345</v>
      </c>
      <c r="C45" s="44">
        <f t="shared" ref="C45:J45" si="136">BB45/1000</f>
        <v>0.6092</v>
      </c>
      <c r="D45" s="44">
        <f t="shared" si="136"/>
        <v>0.5396</v>
      </c>
      <c r="E45" s="44">
        <f t="shared" si="136"/>
        <v>0.5232</v>
      </c>
      <c r="F45" s="44">
        <f t="shared" si="136"/>
        <v>0.5193</v>
      </c>
      <c r="G45" s="44">
        <f t="shared" si="136"/>
        <v>0.499</v>
      </c>
      <c r="H45" s="44">
        <f t="shared" si="136"/>
        <v>0.5091</v>
      </c>
      <c r="I45" s="44">
        <f t="shared" si="136"/>
        <v>0.5193</v>
      </c>
      <c r="J45" s="44">
        <f t="shared" si="136"/>
        <v>0.5193</v>
      </c>
      <c r="K45" s="36"/>
      <c r="L45" s="36"/>
      <c r="M45" s="49">
        <v>5.937</v>
      </c>
      <c r="N45" s="49">
        <v>5.845</v>
      </c>
      <c r="O45" s="49">
        <v>5.575</v>
      </c>
      <c r="P45" s="49">
        <v>5.276</v>
      </c>
      <c r="Q45" s="49">
        <v>5.363</v>
      </c>
      <c r="R45" s="49">
        <v>6.645</v>
      </c>
      <c r="S45" s="49">
        <v>5.654</v>
      </c>
      <c r="T45" s="49"/>
      <c r="U45" s="35"/>
      <c r="V45" s="43" t="s">
        <v>345</v>
      </c>
      <c r="W45" s="46">
        <f t="shared" ref="W45:AC45" si="137">D45/M45</f>
        <v>0.0908876536971534</v>
      </c>
      <c r="X45" s="46">
        <f t="shared" si="137"/>
        <v>0.0895124037639008</v>
      </c>
      <c r="Y45" s="46">
        <f t="shared" si="137"/>
        <v>0.0931479820627803</v>
      </c>
      <c r="Z45" s="46">
        <f t="shared" si="137"/>
        <v>0.094579226686884</v>
      </c>
      <c r="AA45" s="46">
        <f t="shared" si="137"/>
        <v>0.0949282118217415</v>
      </c>
      <c r="AB45" s="47">
        <f t="shared" si="137"/>
        <v>0.0781489841986456</v>
      </c>
      <c r="AC45" s="47">
        <f t="shared" si="137"/>
        <v>0.0918464803678811</v>
      </c>
      <c r="AD45" s="36"/>
      <c r="AE45" s="36"/>
      <c r="AF45" s="46">
        <f t="shared" ref="AF45:AJ45" si="138">W45</f>
        <v>0.0908876536971534</v>
      </c>
      <c r="AG45" s="46">
        <f t="shared" si="138"/>
        <v>0.0895124037639008</v>
      </c>
      <c r="AH45" s="46">
        <f t="shared" si="138"/>
        <v>0.0931479820627803</v>
      </c>
      <c r="AI45" s="46">
        <f t="shared" si="138"/>
        <v>0.094579226686884</v>
      </c>
      <c r="AJ45" s="46">
        <f t="shared" si="138"/>
        <v>0.0949282118217415</v>
      </c>
      <c r="AK45" s="48">
        <f t="shared" si="131"/>
        <v>0.0898713318284424</v>
      </c>
      <c r="AL45" s="48">
        <f t="shared" si="132"/>
        <v>0.105623452423063</v>
      </c>
      <c r="AO45" s="46">
        <f t="shared" ref="AO45:AS45" si="139">W45</f>
        <v>0.0908876536971534</v>
      </c>
      <c r="AP45" s="46">
        <f t="shared" si="139"/>
        <v>0.0895124037639008</v>
      </c>
      <c r="AQ45" s="46">
        <f t="shared" si="139"/>
        <v>0.0931479820627803</v>
      </c>
      <c r="AR45" s="46">
        <f t="shared" si="139"/>
        <v>0.094579226686884</v>
      </c>
      <c r="AS45" s="46">
        <f t="shared" si="139"/>
        <v>0.0949282118217415</v>
      </c>
      <c r="AT45" s="48">
        <f t="shared" si="134"/>
        <v>0.0664266365688488</v>
      </c>
      <c r="AU45" s="48">
        <f t="shared" si="135"/>
        <v>0.078069508312699</v>
      </c>
      <c r="AZ45" s="35"/>
      <c r="BA45" s="43" t="s">
        <v>345</v>
      </c>
      <c r="BB45" s="44">
        <v>609.2</v>
      </c>
      <c r="BC45" s="46">
        <v>539.6</v>
      </c>
      <c r="BD45" s="46">
        <v>523.2</v>
      </c>
      <c r="BE45" s="46">
        <v>519.3</v>
      </c>
      <c r="BF45" s="46">
        <v>499</v>
      </c>
      <c r="BG45" s="46">
        <v>509.1</v>
      </c>
      <c r="BH45" s="46">
        <v>519.3</v>
      </c>
      <c r="BI45" s="46">
        <v>519.3</v>
      </c>
      <c r="BJ45" s="36"/>
      <c r="BK45" s="36"/>
      <c r="BL45" s="49"/>
      <c r="BM45" s="49"/>
      <c r="BN45" s="49"/>
      <c r="BO45" s="49"/>
    </row>
    <row r="46" ht="15.5" spans="1:67">
      <c r="A46" s="35"/>
      <c r="B46" s="43" t="s">
        <v>346</v>
      </c>
      <c r="C46" s="44">
        <f t="shared" ref="C46:J46" si="140">BB46/1000</f>
        <v>0.1429</v>
      </c>
      <c r="D46" s="44">
        <f t="shared" si="140"/>
        <v>0.1194</v>
      </c>
      <c r="E46" s="44">
        <f t="shared" si="140"/>
        <v>0.114</v>
      </c>
      <c r="F46" s="44">
        <f t="shared" si="140"/>
        <v>0.1127</v>
      </c>
      <c r="G46" s="44">
        <f t="shared" si="140"/>
        <v>0.1061</v>
      </c>
      <c r="H46" s="44">
        <f t="shared" si="140"/>
        <v>0.1094</v>
      </c>
      <c r="I46" s="44">
        <f t="shared" si="140"/>
        <v>0.1127</v>
      </c>
      <c r="J46" s="44">
        <f t="shared" si="140"/>
        <v>0.1127</v>
      </c>
      <c r="K46" s="36"/>
      <c r="L46" s="36"/>
      <c r="M46" s="49">
        <v>5.937</v>
      </c>
      <c r="N46" s="49">
        <v>5.845</v>
      </c>
      <c r="O46" s="49">
        <v>5.575</v>
      </c>
      <c r="P46" s="49">
        <v>5.276</v>
      </c>
      <c r="Q46" s="49">
        <v>5.363</v>
      </c>
      <c r="R46" s="49">
        <v>6.645</v>
      </c>
      <c r="S46" s="49">
        <v>5.654</v>
      </c>
      <c r="T46" s="49"/>
      <c r="U46" s="35"/>
      <c r="V46" s="43" t="s">
        <v>346</v>
      </c>
      <c r="W46" s="46">
        <f t="shared" ref="W46:AC46" si="141">D46/M46</f>
        <v>0.02011116725619</v>
      </c>
      <c r="X46" s="46">
        <f t="shared" si="141"/>
        <v>0.0195038494439692</v>
      </c>
      <c r="Y46" s="46">
        <f t="shared" si="141"/>
        <v>0.0202152466367713</v>
      </c>
      <c r="Z46" s="46">
        <f t="shared" si="141"/>
        <v>0.0201099317664898</v>
      </c>
      <c r="AA46" s="46">
        <f t="shared" si="141"/>
        <v>0.0203990303934365</v>
      </c>
      <c r="AB46" s="47">
        <f t="shared" si="141"/>
        <v>0.0169601203912716</v>
      </c>
      <c r="AC46" s="47">
        <f t="shared" si="141"/>
        <v>0.0199327909444641</v>
      </c>
      <c r="AD46" s="36"/>
      <c r="AE46" s="36"/>
      <c r="AF46" s="46">
        <f t="shared" ref="AF46:AJ46" si="142">W46</f>
        <v>0.02011116725619</v>
      </c>
      <c r="AG46" s="46">
        <f t="shared" si="142"/>
        <v>0.0195038494439692</v>
      </c>
      <c r="AH46" s="46">
        <f t="shared" si="142"/>
        <v>0.0202152466367713</v>
      </c>
      <c r="AI46" s="46">
        <f t="shared" si="142"/>
        <v>0.0201099317664898</v>
      </c>
      <c r="AJ46" s="46">
        <f t="shared" si="142"/>
        <v>0.0203990303934365</v>
      </c>
      <c r="AK46" s="48">
        <f t="shared" si="131"/>
        <v>0.0195041384499624</v>
      </c>
      <c r="AL46" s="48">
        <f t="shared" si="132"/>
        <v>0.0229227095861337</v>
      </c>
      <c r="AO46" s="46">
        <f t="shared" ref="AO46:AS46" si="143">W46</f>
        <v>0.02011116725619</v>
      </c>
      <c r="AP46" s="46">
        <f t="shared" si="143"/>
        <v>0.0195038494439692</v>
      </c>
      <c r="AQ46" s="46">
        <f t="shared" si="143"/>
        <v>0.0202152466367713</v>
      </c>
      <c r="AR46" s="46">
        <f t="shared" si="143"/>
        <v>0.0201099317664898</v>
      </c>
      <c r="AS46" s="46">
        <f t="shared" si="143"/>
        <v>0.0203990303934365</v>
      </c>
      <c r="AT46" s="48">
        <f t="shared" si="134"/>
        <v>0.0144161023325809</v>
      </c>
      <c r="AU46" s="48">
        <f t="shared" si="135"/>
        <v>0.0169428723027945</v>
      </c>
      <c r="AZ46" s="35"/>
      <c r="BA46" s="43" t="s">
        <v>346</v>
      </c>
      <c r="BB46" s="44">
        <v>142.9</v>
      </c>
      <c r="BC46" s="46">
        <v>119.4</v>
      </c>
      <c r="BD46" s="46">
        <v>114</v>
      </c>
      <c r="BE46" s="46">
        <v>112.7</v>
      </c>
      <c r="BF46" s="46">
        <v>106.1</v>
      </c>
      <c r="BG46" s="46">
        <v>109.4</v>
      </c>
      <c r="BH46" s="46">
        <v>112.7</v>
      </c>
      <c r="BI46" s="46">
        <v>112.7</v>
      </c>
      <c r="BJ46" s="36"/>
      <c r="BK46" s="36"/>
      <c r="BL46" s="49"/>
      <c r="BM46" s="49"/>
      <c r="BN46" s="49"/>
      <c r="BO46" s="49"/>
    </row>
    <row r="47" ht="15.5" spans="1:67">
      <c r="A47" s="35"/>
      <c r="B47" s="43" t="s">
        <v>347</v>
      </c>
      <c r="C47" s="44">
        <f t="shared" ref="C47:J47" si="144">BB47/1000</f>
        <v>0.4256</v>
      </c>
      <c r="D47" s="44">
        <f t="shared" si="144"/>
        <v>0.3807</v>
      </c>
      <c r="E47" s="44">
        <f t="shared" si="144"/>
        <v>0.3703</v>
      </c>
      <c r="F47" s="44">
        <f t="shared" si="144"/>
        <v>0.3679</v>
      </c>
      <c r="G47" s="44">
        <f t="shared" si="144"/>
        <v>0.3552</v>
      </c>
      <c r="H47" s="44">
        <f t="shared" si="144"/>
        <v>0.3613</v>
      </c>
      <c r="I47" s="44">
        <f t="shared" si="144"/>
        <v>0.3679</v>
      </c>
      <c r="J47" s="44">
        <f t="shared" si="144"/>
        <v>0.3679</v>
      </c>
      <c r="K47" s="36"/>
      <c r="L47" s="36"/>
      <c r="M47" s="49">
        <v>5.937</v>
      </c>
      <c r="N47" s="49">
        <v>5.845</v>
      </c>
      <c r="O47" s="49">
        <v>5.575</v>
      </c>
      <c r="P47" s="49">
        <v>5.276</v>
      </c>
      <c r="Q47" s="49">
        <v>5.363</v>
      </c>
      <c r="R47" s="49">
        <v>6.645</v>
      </c>
      <c r="S47" s="49">
        <v>5.654</v>
      </c>
      <c r="T47" s="49"/>
      <c r="U47" s="35"/>
      <c r="V47" s="43" t="s">
        <v>347</v>
      </c>
      <c r="W47" s="46">
        <f t="shared" ref="W47:AC47" si="145">D47/M47</f>
        <v>0.0641232945932289</v>
      </c>
      <c r="X47" s="46">
        <f t="shared" si="145"/>
        <v>0.0633532934131737</v>
      </c>
      <c r="Y47" s="46">
        <f t="shared" si="145"/>
        <v>0.0659910313901345</v>
      </c>
      <c r="Z47" s="46">
        <f t="shared" si="145"/>
        <v>0.0673237300985595</v>
      </c>
      <c r="AA47" s="46">
        <f t="shared" si="145"/>
        <v>0.0673690098825284</v>
      </c>
      <c r="AB47" s="47">
        <f t="shared" si="145"/>
        <v>0.055364936042137</v>
      </c>
      <c r="AC47" s="47">
        <f t="shared" si="145"/>
        <v>0.0650689777148921</v>
      </c>
      <c r="AD47" s="36"/>
      <c r="AE47" s="36"/>
      <c r="AF47" s="46">
        <f t="shared" ref="AF47:AJ47" si="146">W47</f>
        <v>0.0641232945932289</v>
      </c>
      <c r="AG47" s="46">
        <f t="shared" si="146"/>
        <v>0.0633532934131737</v>
      </c>
      <c r="AH47" s="46">
        <f t="shared" si="146"/>
        <v>0.0659910313901345</v>
      </c>
      <c r="AI47" s="46">
        <f t="shared" si="146"/>
        <v>0.0673237300985595</v>
      </c>
      <c r="AJ47" s="46">
        <f t="shared" si="146"/>
        <v>0.0673690098825284</v>
      </c>
      <c r="AK47" s="48">
        <f t="shared" si="131"/>
        <v>0.0636696764484575</v>
      </c>
      <c r="AL47" s="48">
        <f t="shared" si="132"/>
        <v>0.0748293243721259</v>
      </c>
      <c r="AO47" s="46">
        <f t="shared" ref="AO47:AS47" si="147">W47</f>
        <v>0.0641232945932289</v>
      </c>
      <c r="AP47" s="46">
        <f t="shared" si="147"/>
        <v>0.0633532934131737</v>
      </c>
      <c r="AQ47" s="46">
        <f t="shared" si="147"/>
        <v>0.0659910313901345</v>
      </c>
      <c r="AR47" s="46">
        <f t="shared" si="147"/>
        <v>0.0673237300985595</v>
      </c>
      <c r="AS47" s="46">
        <f t="shared" si="147"/>
        <v>0.0673690098825284</v>
      </c>
      <c r="AT47" s="48">
        <f t="shared" si="134"/>
        <v>0.0470601956358164</v>
      </c>
      <c r="AU47" s="48">
        <f t="shared" si="135"/>
        <v>0.0553086310576583</v>
      </c>
      <c r="AZ47" s="35"/>
      <c r="BA47" s="43" t="s">
        <v>347</v>
      </c>
      <c r="BB47" s="44">
        <v>425.6</v>
      </c>
      <c r="BC47" s="46">
        <v>380.7</v>
      </c>
      <c r="BD47" s="46">
        <v>370.3</v>
      </c>
      <c r="BE47" s="46">
        <v>367.9</v>
      </c>
      <c r="BF47" s="46">
        <v>355.2</v>
      </c>
      <c r="BG47" s="46">
        <v>361.3</v>
      </c>
      <c r="BH47" s="46">
        <v>367.9</v>
      </c>
      <c r="BI47" s="46">
        <v>367.9</v>
      </c>
      <c r="BJ47" s="36"/>
      <c r="BK47" s="36"/>
      <c r="BL47" s="49"/>
      <c r="BM47" s="49"/>
      <c r="BN47" s="49"/>
      <c r="BO47" s="49"/>
    </row>
    <row r="48" ht="15.5" spans="1:67">
      <c r="A48" s="35"/>
      <c r="B48" s="43" t="s">
        <v>348</v>
      </c>
      <c r="C48" s="44">
        <f t="shared" ref="C48:J48" si="148">BB48/1000</f>
        <v>0.0846</v>
      </c>
      <c r="D48" s="44">
        <f t="shared" si="148"/>
        <v>0.077</v>
      </c>
      <c r="E48" s="44">
        <f t="shared" si="148"/>
        <v>0.0749</v>
      </c>
      <c r="F48" s="44">
        <f t="shared" si="148"/>
        <v>0.0744</v>
      </c>
      <c r="G48" s="44">
        <f t="shared" si="148"/>
        <v>0.0717</v>
      </c>
      <c r="H48" s="44">
        <f t="shared" si="148"/>
        <v>0.0731</v>
      </c>
      <c r="I48" s="44">
        <f t="shared" si="148"/>
        <v>0.0744</v>
      </c>
      <c r="J48" s="44">
        <f t="shared" si="148"/>
        <v>0.0744</v>
      </c>
      <c r="K48" s="36"/>
      <c r="L48" s="36"/>
      <c r="M48" s="49">
        <v>5.937</v>
      </c>
      <c r="N48" s="49">
        <v>5.845</v>
      </c>
      <c r="O48" s="49">
        <v>5.575</v>
      </c>
      <c r="P48" s="49">
        <v>5.276</v>
      </c>
      <c r="Q48" s="49">
        <v>5.363</v>
      </c>
      <c r="R48" s="49">
        <v>6.645</v>
      </c>
      <c r="S48" s="49">
        <v>5.654</v>
      </c>
      <c r="T48" s="49"/>
      <c r="U48" s="35"/>
      <c r="V48" s="43" t="s">
        <v>348</v>
      </c>
      <c r="W48" s="46">
        <f t="shared" ref="W48:AC48" si="149">D48/M48</f>
        <v>0.0129695132221661</v>
      </c>
      <c r="X48" s="46">
        <f t="shared" si="149"/>
        <v>0.012814371257485</v>
      </c>
      <c r="Y48" s="46">
        <f t="shared" si="149"/>
        <v>0.0133452914798206</v>
      </c>
      <c r="Z48" s="46">
        <f t="shared" si="149"/>
        <v>0.0135898407884761</v>
      </c>
      <c r="AA48" s="46">
        <f t="shared" si="149"/>
        <v>0.0136304307290695</v>
      </c>
      <c r="AB48" s="47">
        <f t="shared" si="149"/>
        <v>0.011196388261851</v>
      </c>
      <c r="AC48" s="47">
        <f t="shared" si="149"/>
        <v>0.0131588256101875</v>
      </c>
      <c r="AD48" s="36"/>
      <c r="AE48" s="36"/>
      <c r="AF48" s="46">
        <f t="shared" ref="AF48:AJ48" si="150">W48</f>
        <v>0.0129695132221661</v>
      </c>
      <c r="AG48" s="46">
        <f t="shared" si="150"/>
        <v>0.012814371257485</v>
      </c>
      <c r="AH48" s="46">
        <f t="shared" si="150"/>
        <v>0.0133452914798206</v>
      </c>
      <c r="AI48" s="46">
        <f t="shared" si="150"/>
        <v>0.0135898407884761</v>
      </c>
      <c r="AJ48" s="46">
        <f t="shared" si="150"/>
        <v>0.0136304307290695</v>
      </c>
      <c r="AK48" s="48">
        <f t="shared" si="131"/>
        <v>0.0128758465011287</v>
      </c>
      <c r="AL48" s="48">
        <f t="shared" si="132"/>
        <v>0.0151326494517156</v>
      </c>
      <c r="AO48" s="46">
        <f t="shared" ref="AO48:AS48" si="151">W48</f>
        <v>0.0129695132221661</v>
      </c>
      <c r="AP48" s="46">
        <f t="shared" si="151"/>
        <v>0.012814371257485</v>
      </c>
      <c r="AQ48" s="46">
        <f t="shared" si="151"/>
        <v>0.0133452914798206</v>
      </c>
      <c r="AR48" s="46">
        <f t="shared" si="151"/>
        <v>0.0135898407884761</v>
      </c>
      <c r="AS48" s="46">
        <f t="shared" si="151"/>
        <v>0.0136304307290695</v>
      </c>
      <c r="AT48" s="48">
        <f t="shared" si="134"/>
        <v>0.00951693002257336</v>
      </c>
      <c r="AU48" s="48">
        <f t="shared" si="135"/>
        <v>0.0111850017686594</v>
      </c>
      <c r="AZ48" s="35"/>
      <c r="BA48" s="43" t="s">
        <v>348</v>
      </c>
      <c r="BB48" s="44">
        <v>84.6</v>
      </c>
      <c r="BC48" s="46">
        <v>77</v>
      </c>
      <c r="BD48" s="46">
        <v>74.9</v>
      </c>
      <c r="BE48" s="46">
        <v>74.4</v>
      </c>
      <c r="BF48" s="46">
        <v>71.7</v>
      </c>
      <c r="BG48" s="46">
        <v>73.1</v>
      </c>
      <c r="BH48" s="46">
        <v>74.4</v>
      </c>
      <c r="BI48" s="46">
        <v>74.4</v>
      </c>
      <c r="BJ48" s="36"/>
      <c r="BK48" s="36"/>
      <c r="BL48" s="49"/>
      <c r="BM48" s="49"/>
      <c r="BN48" s="49"/>
      <c r="BO48" s="49"/>
    </row>
    <row r="49" ht="15.5" spans="1:67">
      <c r="A49" s="35" t="s">
        <v>241</v>
      </c>
      <c r="B49" s="43" t="s">
        <v>344</v>
      </c>
      <c r="C49" s="44">
        <f t="shared" ref="C49:J49" si="152">BB49/1000</f>
        <v>0.6792</v>
      </c>
      <c r="D49" s="44">
        <f t="shared" si="152"/>
        <v>0.5984</v>
      </c>
      <c r="E49" s="44">
        <f t="shared" si="152"/>
        <v>0.5794</v>
      </c>
      <c r="F49" s="44">
        <f t="shared" si="152"/>
        <v>0.575</v>
      </c>
      <c r="G49" s="44">
        <f t="shared" si="152"/>
        <v>0.5517</v>
      </c>
      <c r="H49" s="44">
        <f t="shared" si="152"/>
        <v>0.5632</v>
      </c>
      <c r="I49" s="44">
        <f t="shared" si="152"/>
        <v>0.575</v>
      </c>
      <c r="J49" s="44">
        <f t="shared" si="152"/>
        <v>0.575</v>
      </c>
      <c r="K49" s="36"/>
      <c r="L49" s="36"/>
      <c r="M49" s="49">
        <v>5.937</v>
      </c>
      <c r="N49" s="49">
        <v>5.845</v>
      </c>
      <c r="O49" s="49">
        <v>5.575</v>
      </c>
      <c r="P49" s="49">
        <v>5.276</v>
      </c>
      <c r="Q49" s="49">
        <v>5.363</v>
      </c>
      <c r="R49" s="49">
        <v>6.645</v>
      </c>
      <c r="S49" s="49">
        <v>5.654</v>
      </c>
      <c r="T49" s="49"/>
      <c r="U49" s="35" t="s">
        <v>241</v>
      </c>
      <c r="V49" s="43" t="s">
        <v>344</v>
      </c>
      <c r="W49" s="46">
        <f t="shared" ref="W49:AC49" si="153">D49/M49</f>
        <v>0.100791645612262</v>
      </c>
      <c r="X49" s="46">
        <f t="shared" si="153"/>
        <v>0.0991274593669803</v>
      </c>
      <c r="Y49" s="46">
        <f t="shared" si="153"/>
        <v>0.103139013452915</v>
      </c>
      <c r="Z49" s="46">
        <f t="shared" si="153"/>
        <v>0.104567854435178</v>
      </c>
      <c r="AA49" s="46">
        <f t="shared" si="153"/>
        <v>0.105015849338057</v>
      </c>
      <c r="AB49" s="47">
        <f t="shared" si="153"/>
        <v>0.0865312264860798</v>
      </c>
      <c r="AC49" s="47">
        <f t="shared" si="153"/>
        <v>0.10169791298196</v>
      </c>
      <c r="AD49" s="36"/>
      <c r="AE49" s="36"/>
      <c r="AF49" s="46">
        <f t="shared" ref="AF49:AJ49" si="154">W49</f>
        <v>0.100791645612262</v>
      </c>
      <c r="AG49" s="46">
        <f t="shared" si="154"/>
        <v>0.0991274593669803</v>
      </c>
      <c r="AH49" s="46">
        <f t="shared" si="154"/>
        <v>0.103139013452915</v>
      </c>
      <c r="AI49" s="46">
        <f t="shared" si="154"/>
        <v>0.104567854435178</v>
      </c>
      <c r="AJ49" s="46">
        <f t="shared" si="154"/>
        <v>0.105015849338057</v>
      </c>
      <c r="AK49" s="48">
        <f t="shared" si="131"/>
        <v>0.0995109104589917</v>
      </c>
      <c r="AL49" s="48">
        <f t="shared" si="132"/>
        <v>0.116952599929254</v>
      </c>
      <c r="AO49" s="46">
        <f t="shared" ref="AO49:AS49" si="155">W49</f>
        <v>0.100791645612262</v>
      </c>
      <c r="AP49" s="46">
        <f t="shared" si="155"/>
        <v>0.0991274593669803</v>
      </c>
      <c r="AQ49" s="46">
        <f t="shared" si="155"/>
        <v>0.103139013452915</v>
      </c>
      <c r="AR49" s="46">
        <f t="shared" si="155"/>
        <v>0.104567854435178</v>
      </c>
      <c r="AS49" s="46">
        <f t="shared" si="155"/>
        <v>0.105015849338057</v>
      </c>
      <c r="AT49" s="48">
        <f t="shared" si="134"/>
        <v>0.0735515425131678</v>
      </c>
      <c r="AU49" s="48">
        <f t="shared" si="135"/>
        <v>0.0864432260346657</v>
      </c>
      <c r="AZ49" s="35" t="s">
        <v>241</v>
      </c>
      <c r="BA49" s="43" t="s">
        <v>344</v>
      </c>
      <c r="BB49" s="44">
        <v>679.2</v>
      </c>
      <c r="BC49" s="46">
        <v>598.4</v>
      </c>
      <c r="BD49" s="46">
        <v>579.4</v>
      </c>
      <c r="BE49" s="46">
        <v>575</v>
      </c>
      <c r="BF49" s="46">
        <v>551.7</v>
      </c>
      <c r="BG49" s="46">
        <v>563.2</v>
      </c>
      <c r="BH49" s="46">
        <v>575</v>
      </c>
      <c r="BI49" s="46">
        <v>575</v>
      </c>
      <c r="BJ49" s="36"/>
      <c r="BK49" s="36"/>
      <c r="BL49" s="49"/>
      <c r="BM49" s="49"/>
      <c r="BN49" s="49"/>
      <c r="BO49" s="49"/>
    </row>
    <row r="50" ht="15.5" spans="1:67">
      <c r="A50" s="35"/>
      <c r="B50" s="43" t="s">
        <v>345</v>
      </c>
      <c r="C50" s="44">
        <f t="shared" ref="C50:J50" si="156">BB50/1000</f>
        <v>0.6241</v>
      </c>
      <c r="D50" s="44">
        <f t="shared" si="156"/>
        <v>0.5523</v>
      </c>
      <c r="E50" s="44">
        <f t="shared" si="156"/>
        <v>0.5353</v>
      </c>
      <c r="F50" s="44">
        <f t="shared" si="156"/>
        <v>0.5314</v>
      </c>
      <c r="G50" s="44">
        <f t="shared" si="156"/>
        <v>0.5105</v>
      </c>
      <c r="H50" s="44">
        <f t="shared" si="156"/>
        <v>0.5209</v>
      </c>
      <c r="I50" s="44">
        <f t="shared" si="156"/>
        <v>0.5314</v>
      </c>
      <c r="J50" s="44">
        <f t="shared" si="156"/>
        <v>0.5314</v>
      </c>
      <c r="K50" s="36"/>
      <c r="L50" s="36"/>
      <c r="M50" s="49">
        <v>5.937</v>
      </c>
      <c r="N50" s="49">
        <v>5.845</v>
      </c>
      <c r="O50" s="49">
        <v>5.575</v>
      </c>
      <c r="P50" s="49">
        <v>5.276</v>
      </c>
      <c r="Q50" s="49">
        <v>5.363</v>
      </c>
      <c r="R50" s="49">
        <v>6.645</v>
      </c>
      <c r="S50" s="49">
        <v>5.654</v>
      </c>
      <c r="T50" s="49"/>
      <c r="U50" s="35"/>
      <c r="V50" s="43" t="s">
        <v>345</v>
      </c>
      <c r="W50" s="46">
        <f t="shared" ref="W50:AC50" si="157">D50/M50</f>
        <v>0.0930267812026276</v>
      </c>
      <c r="X50" s="46">
        <f t="shared" si="157"/>
        <v>0.0915825491873396</v>
      </c>
      <c r="Y50" s="46">
        <f t="shared" si="157"/>
        <v>0.0953183856502242</v>
      </c>
      <c r="Z50" s="46">
        <f t="shared" si="157"/>
        <v>0.0967589082638362</v>
      </c>
      <c r="AA50" s="46">
        <f t="shared" si="157"/>
        <v>0.0971284728696625</v>
      </c>
      <c r="AB50" s="47">
        <f t="shared" si="157"/>
        <v>0.0799699021820918</v>
      </c>
      <c r="AC50" s="47">
        <f t="shared" si="157"/>
        <v>0.0939865581888928</v>
      </c>
      <c r="AD50" s="36"/>
      <c r="AE50" s="36"/>
      <c r="AF50" s="46">
        <f t="shared" ref="AF50:AJ50" si="158">W50</f>
        <v>0.0930267812026276</v>
      </c>
      <c r="AG50" s="46">
        <f t="shared" si="158"/>
        <v>0.0915825491873396</v>
      </c>
      <c r="AH50" s="46">
        <f t="shared" si="158"/>
        <v>0.0953183856502242</v>
      </c>
      <c r="AI50" s="46">
        <f t="shared" si="158"/>
        <v>0.0967589082638362</v>
      </c>
      <c r="AJ50" s="46">
        <f t="shared" si="158"/>
        <v>0.0971284728696625</v>
      </c>
      <c r="AK50" s="48">
        <f t="shared" si="131"/>
        <v>0.0919653875094056</v>
      </c>
      <c r="AL50" s="48">
        <f t="shared" si="132"/>
        <v>0.108084541917227</v>
      </c>
      <c r="AO50" s="46">
        <f t="shared" ref="AO50:AS50" si="159">W50</f>
        <v>0.0930267812026276</v>
      </c>
      <c r="AP50" s="46">
        <f t="shared" si="159"/>
        <v>0.0915825491873396</v>
      </c>
      <c r="AQ50" s="46">
        <f t="shared" si="159"/>
        <v>0.0953183856502242</v>
      </c>
      <c r="AR50" s="46">
        <f t="shared" si="159"/>
        <v>0.0967589082638362</v>
      </c>
      <c r="AS50" s="46">
        <f t="shared" si="159"/>
        <v>0.0971284728696625</v>
      </c>
      <c r="AT50" s="48">
        <f t="shared" si="134"/>
        <v>0.067974416854778</v>
      </c>
      <c r="AU50" s="48">
        <f t="shared" si="135"/>
        <v>0.0798885744605589</v>
      </c>
      <c r="AZ50" s="35"/>
      <c r="BA50" s="43" t="s">
        <v>345</v>
      </c>
      <c r="BB50" s="44">
        <v>624.1</v>
      </c>
      <c r="BC50" s="46">
        <v>552.3</v>
      </c>
      <c r="BD50" s="46">
        <v>535.3</v>
      </c>
      <c r="BE50" s="46">
        <v>531.4</v>
      </c>
      <c r="BF50" s="46">
        <v>510.5</v>
      </c>
      <c r="BG50" s="46">
        <v>520.9</v>
      </c>
      <c r="BH50" s="46">
        <v>531.4</v>
      </c>
      <c r="BI50" s="46">
        <v>531.4</v>
      </c>
      <c r="BJ50" s="36"/>
      <c r="BK50" s="36"/>
      <c r="BL50" s="49"/>
      <c r="BM50" s="49"/>
      <c r="BN50" s="49"/>
      <c r="BO50" s="49"/>
    </row>
    <row r="51" ht="15.5" spans="1:67">
      <c r="A51" s="35"/>
      <c r="B51" s="43" t="s">
        <v>346</v>
      </c>
      <c r="C51" s="44">
        <f t="shared" ref="C51:J51" si="160">BB51/1000</f>
        <v>0.1745</v>
      </c>
      <c r="D51" s="44">
        <f t="shared" si="160"/>
        <v>0.1463</v>
      </c>
      <c r="E51" s="44">
        <f t="shared" si="160"/>
        <v>0.1398</v>
      </c>
      <c r="F51" s="44">
        <f t="shared" si="160"/>
        <v>0.1383</v>
      </c>
      <c r="G51" s="44">
        <f t="shared" si="160"/>
        <v>0.1304</v>
      </c>
      <c r="H51" s="44">
        <f t="shared" si="160"/>
        <v>0.1343</v>
      </c>
      <c r="I51" s="44">
        <f t="shared" si="160"/>
        <v>0.1383</v>
      </c>
      <c r="J51" s="44">
        <f t="shared" si="160"/>
        <v>0.1383</v>
      </c>
      <c r="K51" s="36"/>
      <c r="L51" s="36"/>
      <c r="M51" s="49">
        <v>5.937</v>
      </c>
      <c r="N51" s="49">
        <v>5.845</v>
      </c>
      <c r="O51" s="49">
        <v>5.575</v>
      </c>
      <c r="P51" s="49">
        <v>5.276</v>
      </c>
      <c r="Q51" s="49">
        <v>5.363</v>
      </c>
      <c r="R51" s="49">
        <v>6.645</v>
      </c>
      <c r="S51" s="49">
        <v>5.654</v>
      </c>
      <c r="T51" s="49"/>
      <c r="U51" s="35"/>
      <c r="V51" s="43" t="s">
        <v>346</v>
      </c>
      <c r="W51" s="46">
        <f t="shared" ref="W51:AC51" si="161">D51/M51</f>
        <v>0.0246420751221155</v>
      </c>
      <c r="X51" s="46">
        <f t="shared" si="161"/>
        <v>0.023917878528657</v>
      </c>
      <c r="Y51" s="46">
        <f t="shared" si="161"/>
        <v>0.0248071748878924</v>
      </c>
      <c r="Z51" s="46">
        <f t="shared" si="161"/>
        <v>0.0247156937073541</v>
      </c>
      <c r="AA51" s="46">
        <f t="shared" si="161"/>
        <v>0.025041954130151</v>
      </c>
      <c r="AB51" s="47">
        <f t="shared" si="161"/>
        <v>0.0208126410835214</v>
      </c>
      <c r="AC51" s="47">
        <f t="shared" si="161"/>
        <v>0.0244605588963566</v>
      </c>
      <c r="AD51" s="36"/>
      <c r="AE51" s="36"/>
      <c r="AF51" s="46">
        <f t="shared" ref="AF51:AJ51" si="162">W51</f>
        <v>0.0246420751221155</v>
      </c>
      <c r="AG51" s="46">
        <f t="shared" si="162"/>
        <v>0.023917878528657</v>
      </c>
      <c r="AH51" s="46">
        <f t="shared" si="162"/>
        <v>0.0248071748878924</v>
      </c>
      <c r="AI51" s="46">
        <f t="shared" si="162"/>
        <v>0.0247156937073541</v>
      </c>
      <c r="AJ51" s="46">
        <f t="shared" si="162"/>
        <v>0.025041954130151</v>
      </c>
      <c r="AK51" s="48">
        <f t="shared" si="131"/>
        <v>0.0239345372460497</v>
      </c>
      <c r="AL51" s="48">
        <f t="shared" si="132"/>
        <v>0.02812964273081</v>
      </c>
      <c r="AO51" s="46">
        <f t="shared" ref="AO51:AS51" si="163">W51</f>
        <v>0.0246420751221155</v>
      </c>
      <c r="AP51" s="46">
        <f t="shared" si="163"/>
        <v>0.023917878528657</v>
      </c>
      <c r="AQ51" s="46">
        <f t="shared" si="163"/>
        <v>0.0248071748878924</v>
      </c>
      <c r="AR51" s="46">
        <f t="shared" si="163"/>
        <v>0.0247156937073541</v>
      </c>
      <c r="AS51" s="46">
        <f t="shared" si="163"/>
        <v>0.025041954130151</v>
      </c>
      <c r="AT51" s="48">
        <f t="shared" si="134"/>
        <v>0.0176907449209932</v>
      </c>
      <c r="AU51" s="48">
        <f t="shared" si="135"/>
        <v>0.0207914750619031</v>
      </c>
      <c r="AZ51" s="35"/>
      <c r="BA51" s="43" t="s">
        <v>346</v>
      </c>
      <c r="BB51" s="44">
        <v>174.5</v>
      </c>
      <c r="BC51" s="46">
        <v>146.3</v>
      </c>
      <c r="BD51" s="46">
        <v>139.8</v>
      </c>
      <c r="BE51" s="46">
        <v>138.3</v>
      </c>
      <c r="BF51" s="46">
        <v>130.4</v>
      </c>
      <c r="BG51" s="46">
        <v>134.3</v>
      </c>
      <c r="BH51" s="46">
        <v>138.3</v>
      </c>
      <c r="BI51" s="46">
        <v>138.3</v>
      </c>
      <c r="BJ51" s="36"/>
      <c r="BK51" s="36"/>
      <c r="BL51" s="49"/>
      <c r="BM51" s="49"/>
      <c r="BN51" s="49"/>
      <c r="BO51" s="49"/>
    </row>
    <row r="52" ht="15.5" spans="1:67">
      <c r="A52" s="35"/>
      <c r="B52" s="43" t="s">
        <v>347</v>
      </c>
      <c r="C52" s="44">
        <f t="shared" ref="C52:J52" si="164">BB52/1000</f>
        <v>0.4064</v>
      </c>
      <c r="D52" s="44">
        <f t="shared" si="164"/>
        <v>0.3643</v>
      </c>
      <c r="E52" s="44">
        <f t="shared" si="164"/>
        <v>0.3546</v>
      </c>
      <c r="F52" s="44">
        <f t="shared" si="164"/>
        <v>0.3523</v>
      </c>
      <c r="G52" s="44">
        <f t="shared" si="164"/>
        <v>0.3404</v>
      </c>
      <c r="H52" s="44">
        <f t="shared" si="164"/>
        <v>0.3462</v>
      </c>
      <c r="I52" s="44">
        <f t="shared" si="164"/>
        <v>0.3523</v>
      </c>
      <c r="J52" s="44">
        <f t="shared" si="164"/>
        <v>0.3523</v>
      </c>
      <c r="K52" s="36"/>
      <c r="L52" s="36"/>
      <c r="M52" s="49">
        <v>5.937</v>
      </c>
      <c r="N52" s="49">
        <v>5.845</v>
      </c>
      <c r="O52" s="49">
        <v>5.575</v>
      </c>
      <c r="P52" s="49">
        <v>5.276</v>
      </c>
      <c r="Q52" s="49">
        <v>5.363</v>
      </c>
      <c r="R52" s="49">
        <v>6.645</v>
      </c>
      <c r="S52" s="49">
        <v>5.654</v>
      </c>
      <c r="T52" s="49"/>
      <c r="U52" s="35"/>
      <c r="V52" s="43" t="s">
        <v>347</v>
      </c>
      <c r="W52" s="46">
        <f t="shared" ref="W52:AC52" si="165">D52/M52</f>
        <v>0.0613609567121442</v>
      </c>
      <c r="X52" s="46">
        <f t="shared" si="165"/>
        <v>0.0606672369546621</v>
      </c>
      <c r="Y52" s="46">
        <f t="shared" si="165"/>
        <v>0.0631928251121076</v>
      </c>
      <c r="Z52" s="46">
        <f t="shared" si="165"/>
        <v>0.0645185746777862</v>
      </c>
      <c r="AA52" s="46">
        <f t="shared" si="165"/>
        <v>0.0645534215923923</v>
      </c>
      <c r="AB52" s="47">
        <f t="shared" si="165"/>
        <v>0.0530173062452972</v>
      </c>
      <c r="AC52" s="47">
        <f t="shared" si="165"/>
        <v>0.0623098691192076</v>
      </c>
      <c r="AD52" s="36"/>
      <c r="AE52" s="36"/>
      <c r="AF52" s="46">
        <f t="shared" ref="AF52:AJ52" si="166">W52</f>
        <v>0.0613609567121442</v>
      </c>
      <c r="AG52" s="46">
        <f t="shared" si="166"/>
        <v>0.0606672369546621</v>
      </c>
      <c r="AH52" s="46">
        <f t="shared" si="166"/>
        <v>0.0631928251121076</v>
      </c>
      <c r="AI52" s="46">
        <f t="shared" si="166"/>
        <v>0.0645185746777862</v>
      </c>
      <c r="AJ52" s="46">
        <f t="shared" si="166"/>
        <v>0.0645534215923923</v>
      </c>
      <c r="AK52" s="48">
        <f t="shared" si="131"/>
        <v>0.0609699021820918</v>
      </c>
      <c r="AL52" s="48">
        <f t="shared" si="132"/>
        <v>0.0716563494870888</v>
      </c>
      <c r="AO52" s="46">
        <f t="shared" ref="AO52:AS52" si="167">W52</f>
        <v>0.0613609567121442</v>
      </c>
      <c r="AP52" s="46">
        <f t="shared" si="167"/>
        <v>0.0606672369546621</v>
      </c>
      <c r="AQ52" s="46">
        <f t="shared" si="167"/>
        <v>0.0631928251121076</v>
      </c>
      <c r="AR52" s="46">
        <f t="shared" si="167"/>
        <v>0.0645185746777862</v>
      </c>
      <c r="AS52" s="46">
        <f t="shared" si="167"/>
        <v>0.0645534215923923</v>
      </c>
      <c r="AT52" s="48">
        <f t="shared" si="134"/>
        <v>0.0450647103085026</v>
      </c>
      <c r="AU52" s="48">
        <f t="shared" si="135"/>
        <v>0.0529633887513265</v>
      </c>
      <c r="AZ52" s="35"/>
      <c r="BA52" s="43" t="s">
        <v>347</v>
      </c>
      <c r="BB52" s="44">
        <v>406.4</v>
      </c>
      <c r="BC52" s="46">
        <v>364.3</v>
      </c>
      <c r="BD52" s="46">
        <v>354.6</v>
      </c>
      <c r="BE52" s="46">
        <v>352.3</v>
      </c>
      <c r="BF52" s="46">
        <v>340.4</v>
      </c>
      <c r="BG52" s="46">
        <v>346.2</v>
      </c>
      <c r="BH52" s="46">
        <v>352.3</v>
      </c>
      <c r="BI52" s="46">
        <v>352.3</v>
      </c>
      <c r="BJ52" s="36"/>
      <c r="BK52" s="36"/>
      <c r="BL52" s="49"/>
      <c r="BM52" s="49"/>
      <c r="BN52" s="49"/>
      <c r="BO52" s="49"/>
    </row>
    <row r="53" ht="15.5" spans="1:67">
      <c r="A53" s="35"/>
      <c r="B53" s="43" t="s">
        <v>348</v>
      </c>
      <c r="C53" s="44">
        <f t="shared" ref="C53:J53" si="168">BB53/1000</f>
        <v>0.0872</v>
      </c>
      <c r="D53" s="44">
        <f t="shared" si="168"/>
        <v>0.0791</v>
      </c>
      <c r="E53" s="44">
        <f t="shared" si="168"/>
        <v>0.077</v>
      </c>
      <c r="F53" s="44">
        <f t="shared" si="168"/>
        <v>0.0765</v>
      </c>
      <c r="G53" s="44">
        <f t="shared" si="168"/>
        <v>0.0737</v>
      </c>
      <c r="H53" s="44">
        <f t="shared" si="168"/>
        <v>0.0751</v>
      </c>
      <c r="I53" s="44">
        <f t="shared" si="168"/>
        <v>0.0765</v>
      </c>
      <c r="J53" s="44">
        <f t="shared" si="168"/>
        <v>0.0765</v>
      </c>
      <c r="K53" s="36"/>
      <c r="L53" s="36"/>
      <c r="M53" s="49">
        <v>5.937</v>
      </c>
      <c r="N53" s="49">
        <v>5.845</v>
      </c>
      <c r="O53" s="49">
        <v>5.575</v>
      </c>
      <c r="P53" s="49">
        <v>5.276</v>
      </c>
      <c r="Q53" s="49">
        <v>5.363</v>
      </c>
      <c r="R53" s="49">
        <v>6.645</v>
      </c>
      <c r="S53" s="49">
        <v>5.654</v>
      </c>
      <c r="T53" s="49"/>
      <c r="U53" s="35"/>
      <c r="V53" s="43" t="s">
        <v>348</v>
      </c>
      <c r="W53" s="46">
        <f t="shared" ref="W53:AC53" si="169">D53/M53</f>
        <v>0.0133232272191342</v>
      </c>
      <c r="X53" s="46">
        <f t="shared" si="169"/>
        <v>0.0131736526946108</v>
      </c>
      <c r="Y53" s="46">
        <f t="shared" si="169"/>
        <v>0.0137219730941704</v>
      </c>
      <c r="Z53" s="46">
        <f t="shared" si="169"/>
        <v>0.0139689158453374</v>
      </c>
      <c r="AA53" s="46">
        <f t="shared" si="169"/>
        <v>0.0140033563304121</v>
      </c>
      <c r="AB53" s="47">
        <f t="shared" si="169"/>
        <v>0.0115124153498871</v>
      </c>
      <c r="AC53" s="47">
        <f t="shared" si="169"/>
        <v>0.0135302440749912</v>
      </c>
      <c r="AD53" s="36"/>
      <c r="AE53" s="36"/>
      <c r="AF53" s="46">
        <f t="shared" ref="AF53:AJ53" si="170">W53</f>
        <v>0.0133232272191342</v>
      </c>
      <c r="AG53" s="46">
        <f t="shared" si="170"/>
        <v>0.0131736526946108</v>
      </c>
      <c r="AH53" s="46">
        <f t="shared" si="170"/>
        <v>0.0137219730941704</v>
      </c>
      <c r="AI53" s="46">
        <f t="shared" si="170"/>
        <v>0.0139689158453374</v>
      </c>
      <c r="AJ53" s="46">
        <f t="shared" si="170"/>
        <v>0.0140033563304121</v>
      </c>
      <c r="AK53" s="48">
        <f t="shared" si="131"/>
        <v>0.0132392776523702</v>
      </c>
      <c r="AL53" s="48">
        <f t="shared" si="132"/>
        <v>0.0155597806862398</v>
      </c>
      <c r="AO53" s="46">
        <f t="shared" ref="AO53:AS53" si="171">W53</f>
        <v>0.0133232272191342</v>
      </c>
      <c r="AP53" s="46">
        <f t="shared" si="171"/>
        <v>0.0131736526946108</v>
      </c>
      <c r="AQ53" s="46">
        <f t="shared" si="171"/>
        <v>0.0137219730941704</v>
      </c>
      <c r="AR53" s="46">
        <f t="shared" si="171"/>
        <v>0.0139689158453374</v>
      </c>
      <c r="AS53" s="46">
        <f t="shared" si="171"/>
        <v>0.0140033563304121</v>
      </c>
      <c r="AT53" s="48">
        <f t="shared" si="134"/>
        <v>0.00978555304740406</v>
      </c>
      <c r="AU53" s="48">
        <f t="shared" si="135"/>
        <v>0.0115007074637425</v>
      </c>
      <c r="AZ53" s="35"/>
      <c r="BA53" s="43" t="s">
        <v>348</v>
      </c>
      <c r="BB53" s="44">
        <v>87.2</v>
      </c>
      <c r="BC53" s="46">
        <v>79.1</v>
      </c>
      <c r="BD53" s="46">
        <v>77</v>
      </c>
      <c r="BE53" s="46">
        <v>76.5</v>
      </c>
      <c r="BF53" s="46">
        <v>73.7</v>
      </c>
      <c r="BG53" s="46">
        <v>75.1</v>
      </c>
      <c r="BH53" s="46">
        <v>76.5</v>
      </c>
      <c r="BI53" s="46">
        <v>76.5</v>
      </c>
      <c r="BJ53" s="36"/>
      <c r="BK53" s="36"/>
      <c r="BL53" s="49"/>
      <c r="BM53" s="49"/>
      <c r="BN53" s="49"/>
      <c r="BO53" s="49"/>
    </row>
    <row r="54" ht="15.5" spans="1:67">
      <c r="A54" s="35" t="s">
        <v>11</v>
      </c>
      <c r="B54" s="43" t="s">
        <v>344</v>
      </c>
      <c r="C54" s="44">
        <f t="shared" ref="C54:J54" si="172">BB54/1000</f>
        <v>0.6916</v>
      </c>
      <c r="D54" s="44">
        <f t="shared" si="172"/>
        <v>0.6089</v>
      </c>
      <c r="E54" s="44">
        <f t="shared" si="172"/>
        <v>0.5895</v>
      </c>
      <c r="F54" s="44">
        <f t="shared" si="172"/>
        <v>0.585</v>
      </c>
      <c r="G54" s="44">
        <f t="shared" si="172"/>
        <v>0.5612</v>
      </c>
      <c r="H54" s="44">
        <f t="shared" si="172"/>
        <v>0.573</v>
      </c>
      <c r="I54" s="44">
        <f t="shared" si="172"/>
        <v>0.585</v>
      </c>
      <c r="J54" s="44">
        <f t="shared" si="172"/>
        <v>0.585</v>
      </c>
      <c r="K54" s="36"/>
      <c r="L54" s="36"/>
      <c r="M54" s="49">
        <v>5.937</v>
      </c>
      <c r="N54" s="49">
        <v>5.845</v>
      </c>
      <c r="O54" s="49">
        <v>5.575</v>
      </c>
      <c r="P54" s="49">
        <v>5.276</v>
      </c>
      <c r="Q54" s="49">
        <v>5.363</v>
      </c>
      <c r="R54" s="49">
        <v>6.645</v>
      </c>
      <c r="S54" s="49">
        <v>5.654</v>
      </c>
      <c r="T54" s="49"/>
      <c r="U54" s="35" t="s">
        <v>11</v>
      </c>
      <c r="V54" s="43" t="s">
        <v>344</v>
      </c>
      <c r="W54" s="46">
        <f t="shared" ref="W54:AC54" si="173">D54/M54</f>
        <v>0.102560215597103</v>
      </c>
      <c r="X54" s="46">
        <f t="shared" si="173"/>
        <v>0.100855431993157</v>
      </c>
      <c r="Y54" s="46">
        <f t="shared" si="173"/>
        <v>0.104932735426009</v>
      </c>
      <c r="Z54" s="46">
        <f t="shared" si="173"/>
        <v>0.106368460955269</v>
      </c>
      <c r="AA54" s="46">
        <f t="shared" si="173"/>
        <v>0.106843184784635</v>
      </c>
      <c r="AB54" s="47">
        <f t="shared" si="173"/>
        <v>0.0880361173814898</v>
      </c>
      <c r="AC54" s="47">
        <f t="shared" si="173"/>
        <v>0.103466572338168</v>
      </c>
      <c r="AD54" s="36"/>
      <c r="AE54" s="36"/>
      <c r="AF54" s="46">
        <f t="shared" ref="AF54:AJ54" si="174">W54</f>
        <v>0.102560215597103</v>
      </c>
      <c r="AG54" s="46">
        <f t="shared" si="174"/>
        <v>0.100855431993157</v>
      </c>
      <c r="AH54" s="46">
        <f t="shared" si="174"/>
        <v>0.104932735426009</v>
      </c>
      <c r="AI54" s="46">
        <f t="shared" si="174"/>
        <v>0.106368460955269</v>
      </c>
      <c r="AJ54" s="46">
        <f t="shared" si="174"/>
        <v>0.106843184784635</v>
      </c>
      <c r="AK54" s="48">
        <f t="shared" si="131"/>
        <v>0.101241534988713</v>
      </c>
      <c r="AL54" s="48">
        <f t="shared" si="132"/>
        <v>0.118986558188893</v>
      </c>
      <c r="AO54" s="46">
        <f t="shared" ref="AO54:AS54" si="175">W54</f>
        <v>0.102560215597103</v>
      </c>
      <c r="AP54" s="46">
        <f t="shared" si="175"/>
        <v>0.100855431993157</v>
      </c>
      <c r="AQ54" s="46">
        <f t="shared" si="175"/>
        <v>0.104932735426009</v>
      </c>
      <c r="AR54" s="46">
        <f t="shared" si="175"/>
        <v>0.106368460955269</v>
      </c>
      <c r="AS54" s="46">
        <f t="shared" si="175"/>
        <v>0.106843184784635</v>
      </c>
      <c r="AT54" s="48">
        <f t="shared" si="134"/>
        <v>0.0748306997742664</v>
      </c>
      <c r="AU54" s="48">
        <f t="shared" si="135"/>
        <v>0.0879465864874425</v>
      </c>
      <c r="AZ54" s="35" t="s">
        <v>11</v>
      </c>
      <c r="BA54" s="43" t="s">
        <v>344</v>
      </c>
      <c r="BB54" s="44">
        <v>691.6</v>
      </c>
      <c r="BC54" s="46">
        <v>608.9</v>
      </c>
      <c r="BD54" s="46">
        <v>589.5</v>
      </c>
      <c r="BE54" s="46">
        <v>585</v>
      </c>
      <c r="BF54" s="46">
        <v>561.2</v>
      </c>
      <c r="BG54" s="46">
        <v>573</v>
      </c>
      <c r="BH54" s="46">
        <v>585</v>
      </c>
      <c r="BI54" s="46">
        <v>585</v>
      </c>
      <c r="BJ54" s="36"/>
      <c r="BK54" s="36"/>
      <c r="BL54" s="49"/>
      <c r="BM54" s="49"/>
      <c r="BN54" s="49"/>
      <c r="BO54" s="49"/>
    </row>
    <row r="55" ht="15.5" spans="1:67">
      <c r="A55" s="35"/>
      <c r="B55" s="43" t="s">
        <v>345</v>
      </c>
      <c r="C55" s="44">
        <f t="shared" ref="C55:J55" si="176">BB55/1000</f>
        <v>0.634</v>
      </c>
      <c r="D55" s="44">
        <f t="shared" si="176"/>
        <v>0.5608</v>
      </c>
      <c r="E55" s="44">
        <f t="shared" si="176"/>
        <v>0.5435</v>
      </c>
      <c r="F55" s="44">
        <f t="shared" si="176"/>
        <v>0.5394</v>
      </c>
      <c r="G55" s="44">
        <f t="shared" si="176"/>
        <v>0.5181</v>
      </c>
      <c r="H55" s="44">
        <f t="shared" si="176"/>
        <v>0.5287</v>
      </c>
      <c r="I55" s="44">
        <f t="shared" si="176"/>
        <v>0.5394</v>
      </c>
      <c r="J55" s="44">
        <f t="shared" si="176"/>
        <v>0.5394</v>
      </c>
      <c r="K55" s="36"/>
      <c r="L55" s="36"/>
      <c r="M55" s="49">
        <v>5.937</v>
      </c>
      <c r="N55" s="49">
        <v>5.845</v>
      </c>
      <c r="O55" s="49">
        <v>5.575</v>
      </c>
      <c r="P55" s="49">
        <v>5.276</v>
      </c>
      <c r="Q55" s="49">
        <v>5.363</v>
      </c>
      <c r="R55" s="49">
        <v>6.645</v>
      </c>
      <c r="S55" s="49">
        <v>5.654</v>
      </c>
      <c r="T55" s="49"/>
      <c r="U55" s="35"/>
      <c r="V55" s="43" t="s">
        <v>345</v>
      </c>
      <c r="W55" s="46">
        <f t="shared" ref="W55:AC55" si="177">D55/M55</f>
        <v>0.0944584807141654</v>
      </c>
      <c r="X55" s="46">
        <f t="shared" si="177"/>
        <v>0.0929854576561163</v>
      </c>
      <c r="Y55" s="46">
        <f t="shared" si="177"/>
        <v>0.0967533632286995</v>
      </c>
      <c r="Z55" s="46">
        <f t="shared" si="177"/>
        <v>0.098199393479909</v>
      </c>
      <c r="AA55" s="46">
        <f t="shared" si="177"/>
        <v>0.0985828827148984</v>
      </c>
      <c r="AB55" s="47">
        <f t="shared" si="177"/>
        <v>0.0811738148984199</v>
      </c>
      <c r="AC55" s="47">
        <f t="shared" si="177"/>
        <v>0.0954014856738592</v>
      </c>
      <c r="AD55" s="36"/>
      <c r="AE55" s="36"/>
      <c r="AF55" s="46">
        <f t="shared" ref="AF55:AJ55" si="178">W55</f>
        <v>0.0944584807141654</v>
      </c>
      <c r="AG55" s="46">
        <f t="shared" si="178"/>
        <v>0.0929854576561163</v>
      </c>
      <c r="AH55" s="46">
        <f t="shared" si="178"/>
        <v>0.0967533632286995</v>
      </c>
      <c r="AI55" s="46">
        <f t="shared" si="178"/>
        <v>0.098199393479909</v>
      </c>
      <c r="AJ55" s="46">
        <f t="shared" si="178"/>
        <v>0.0985828827148984</v>
      </c>
      <c r="AK55" s="48">
        <f t="shared" si="131"/>
        <v>0.0933498871331828</v>
      </c>
      <c r="AL55" s="48">
        <f t="shared" si="132"/>
        <v>0.109711708524938</v>
      </c>
      <c r="AO55" s="46">
        <f t="shared" ref="AO55:AS55" si="179">W55</f>
        <v>0.0944584807141654</v>
      </c>
      <c r="AP55" s="46">
        <f t="shared" si="179"/>
        <v>0.0929854576561163</v>
      </c>
      <c r="AQ55" s="46">
        <f t="shared" si="179"/>
        <v>0.0967533632286995</v>
      </c>
      <c r="AR55" s="46">
        <f t="shared" si="179"/>
        <v>0.098199393479909</v>
      </c>
      <c r="AS55" s="46">
        <f t="shared" si="179"/>
        <v>0.0985828827148984</v>
      </c>
      <c r="AT55" s="48">
        <f t="shared" si="134"/>
        <v>0.0689977426636569</v>
      </c>
      <c r="AU55" s="48">
        <f t="shared" si="135"/>
        <v>0.0810912628227803</v>
      </c>
      <c r="AZ55" s="35"/>
      <c r="BA55" s="43" t="s">
        <v>345</v>
      </c>
      <c r="BB55" s="44">
        <v>634</v>
      </c>
      <c r="BC55" s="46">
        <v>560.8</v>
      </c>
      <c r="BD55" s="46">
        <v>543.5</v>
      </c>
      <c r="BE55" s="46">
        <v>539.4</v>
      </c>
      <c r="BF55" s="46">
        <v>518.1</v>
      </c>
      <c r="BG55" s="46">
        <v>528.7</v>
      </c>
      <c r="BH55" s="46">
        <v>539.4</v>
      </c>
      <c r="BI55" s="46">
        <v>539.4</v>
      </c>
      <c r="BJ55" s="36"/>
      <c r="BK55" s="36"/>
      <c r="BL55" s="49"/>
      <c r="BM55" s="49"/>
      <c r="BN55" s="49"/>
      <c r="BO55" s="49"/>
    </row>
    <row r="56" ht="15.5" spans="1:67">
      <c r="A56" s="35"/>
      <c r="B56" s="43" t="s">
        <v>346</v>
      </c>
      <c r="C56" s="44">
        <f t="shared" ref="C56:J56" si="180">BB56/1000</f>
        <v>0.2256</v>
      </c>
      <c r="D56" s="44">
        <f t="shared" si="180"/>
        <v>0.1898</v>
      </c>
      <c r="E56" s="44">
        <f t="shared" si="180"/>
        <v>0.1816</v>
      </c>
      <c r="F56" s="44">
        <f t="shared" si="180"/>
        <v>0.1797</v>
      </c>
      <c r="G56" s="44">
        <f t="shared" si="180"/>
        <v>0.1697</v>
      </c>
      <c r="H56" s="44">
        <f t="shared" si="180"/>
        <v>0.1747</v>
      </c>
      <c r="I56" s="44">
        <f t="shared" si="180"/>
        <v>0.1797</v>
      </c>
      <c r="J56" s="44">
        <f t="shared" si="180"/>
        <v>0.1797</v>
      </c>
      <c r="K56" s="36"/>
      <c r="L56" s="36"/>
      <c r="M56" s="49">
        <v>5.937</v>
      </c>
      <c r="N56" s="49">
        <v>5.845</v>
      </c>
      <c r="O56" s="49">
        <v>5.575</v>
      </c>
      <c r="P56" s="49">
        <v>5.276</v>
      </c>
      <c r="Q56" s="49">
        <v>5.363</v>
      </c>
      <c r="R56" s="49">
        <v>6.645</v>
      </c>
      <c r="S56" s="49">
        <v>5.654</v>
      </c>
      <c r="T56" s="49"/>
      <c r="U56" s="35"/>
      <c r="V56" s="43" t="s">
        <v>346</v>
      </c>
      <c r="W56" s="46">
        <f t="shared" ref="W56:AC56" si="181">D56/M56</f>
        <v>0.0319690079164561</v>
      </c>
      <c r="X56" s="46">
        <f t="shared" si="181"/>
        <v>0.0310692899914457</v>
      </c>
      <c r="Y56" s="46">
        <f t="shared" si="181"/>
        <v>0.0322331838565022</v>
      </c>
      <c r="Z56" s="46">
        <f t="shared" si="181"/>
        <v>0.0321645185746778</v>
      </c>
      <c r="AA56" s="46">
        <f t="shared" si="181"/>
        <v>0.0325750512772702</v>
      </c>
      <c r="AB56" s="47">
        <f t="shared" si="181"/>
        <v>0.0270428893905192</v>
      </c>
      <c r="AC56" s="47">
        <f t="shared" si="181"/>
        <v>0.0317828086310577</v>
      </c>
      <c r="AD56" s="36"/>
      <c r="AE56" s="36"/>
      <c r="AF56" s="46">
        <f t="shared" ref="AF56:AJ56" si="182">W56</f>
        <v>0.0319690079164561</v>
      </c>
      <c r="AG56" s="46">
        <f t="shared" si="182"/>
        <v>0.0310692899914457</v>
      </c>
      <c r="AH56" s="46">
        <f t="shared" si="182"/>
        <v>0.0322331838565022</v>
      </c>
      <c r="AI56" s="46">
        <f t="shared" si="182"/>
        <v>0.0321645185746778</v>
      </c>
      <c r="AJ56" s="46">
        <f t="shared" si="182"/>
        <v>0.0325750512772702</v>
      </c>
      <c r="AK56" s="48">
        <f t="shared" si="131"/>
        <v>0.0310993227990971</v>
      </c>
      <c r="AL56" s="48">
        <f t="shared" si="132"/>
        <v>0.0365502299257163</v>
      </c>
      <c r="AO56" s="46">
        <f t="shared" ref="AO56:AS56" si="183">W56</f>
        <v>0.0319690079164561</v>
      </c>
      <c r="AP56" s="46">
        <f t="shared" si="183"/>
        <v>0.0310692899914457</v>
      </c>
      <c r="AQ56" s="46">
        <f t="shared" si="183"/>
        <v>0.0322331838565022</v>
      </c>
      <c r="AR56" s="46">
        <f t="shared" si="183"/>
        <v>0.0321645185746778</v>
      </c>
      <c r="AS56" s="46">
        <f t="shared" si="183"/>
        <v>0.0325750512772702</v>
      </c>
      <c r="AT56" s="48">
        <f t="shared" si="134"/>
        <v>0.0229864559819413</v>
      </c>
      <c r="AU56" s="48">
        <f t="shared" si="135"/>
        <v>0.027015387336399</v>
      </c>
      <c r="AZ56" s="35"/>
      <c r="BA56" s="43" t="s">
        <v>346</v>
      </c>
      <c r="BB56" s="44">
        <v>225.6</v>
      </c>
      <c r="BC56" s="46">
        <v>189.8</v>
      </c>
      <c r="BD56" s="46">
        <v>181.6</v>
      </c>
      <c r="BE56" s="46">
        <v>179.7</v>
      </c>
      <c r="BF56" s="46">
        <v>169.7</v>
      </c>
      <c r="BG56" s="46">
        <v>174.7</v>
      </c>
      <c r="BH56" s="46">
        <v>179.7</v>
      </c>
      <c r="BI56" s="46">
        <v>179.7</v>
      </c>
      <c r="BJ56" s="36"/>
      <c r="BK56" s="36"/>
      <c r="BL56" s="49"/>
      <c r="BM56" s="49"/>
      <c r="BN56" s="49"/>
      <c r="BO56" s="49"/>
    </row>
    <row r="57" ht="15.5" spans="1:67">
      <c r="A57" s="35"/>
      <c r="B57" s="43" t="s">
        <v>347</v>
      </c>
      <c r="C57" s="44">
        <f t="shared" ref="C57:J57" si="184">BB57/1000</f>
        <v>0.3671</v>
      </c>
      <c r="D57" s="44">
        <f t="shared" si="184"/>
        <v>0.3308</v>
      </c>
      <c r="E57" s="44">
        <f t="shared" si="184"/>
        <v>0.3224</v>
      </c>
      <c r="F57" s="44">
        <f t="shared" si="184"/>
        <v>0.3205</v>
      </c>
      <c r="G57" s="44">
        <f t="shared" si="184"/>
        <v>0.3101</v>
      </c>
      <c r="H57" s="44">
        <f t="shared" si="184"/>
        <v>0.3151</v>
      </c>
      <c r="I57" s="44">
        <f t="shared" si="184"/>
        <v>0.3205</v>
      </c>
      <c r="J57" s="44">
        <f t="shared" si="184"/>
        <v>0.3205</v>
      </c>
      <c r="K57" s="36"/>
      <c r="L57" s="36"/>
      <c r="M57" s="49">
        <v>5.937</v>
      </c>
      <c r="N57" s="49">
        <v>5.845</v>
      </c>
      <c r="O57" s="49">
        <v>5.575</v>
      </c>
      <c r="P57" s="49">
        <v>5.276</v>
      </c>
      <c r="Q57" s="49">
        <v>5.363</v>
      </c>
      <c r="R57" s="49">
        <v>6.645</v>
      </c>
      <c r="S57" s="49">
        <v>5.654</v>
      </c>
      <c r="T57" s="49"/>
      <c r="U57" s="35"/>
      <c r="V57" s="43" t="s">
        <v>347</v>
      </c>
      <c r="W57" s="46">
        <f t="shared" ref="W57:AC57" si="185">D57/M57</f>
        <v>0.0557183762843187</v>
      </c>
      <c r="X57" s="46">
        <f t="shared" si="185"/>
        <v>0.055158254918734</v>
      </c>
      <c r="Y57" s="46">
        <f t="shared" si="185"/>
        <v>0.0574887892376682</v>
      </c>
      <c r="Z57" s="46">
        <f t="shared" si="185"/>
        <v>0.0587755875663381</v>
      </c>
      <c r="AA57" s="46">
        <f t="shared" si="185"/>
        <v>0.0587544284915159</v>
      </c>
      <c r="AB57" s="47">
        <f t="shared" si="185"/>
        <v>0.0482317531978932</v>
      </c>
      <c r="AC57" s="47">
        <f t="shared" si="185"/>
        <v>0.0566855323664662</v>
      </c>
      <c r="AD57" s="36"/>
      <c r="AE57" s="36"/>
      <c r="AF57" s="46">
        <f t="shared" ref="AF57:AJ57" si="186">W57</f>
        <v>0.0557183762843187</v>
      </c>
      <c r="AG57" s="46">
        <f t="shared" si="186"/>
        <v>0.055158254918734</v>
      </c>
      <c r="AH57" s="46">
        <f t="shared" si="186"/>
        <v>0.0574887892376682</v>
      </c>
      <c r="AI57" s="46">
        <f t="shared" si="186"/>
        <v>0.0587755875663381</v>
      </c>
      <c r="AJ57" s="46">
        <f t="shared" si="186"/>
        <v>0.0587544284915159</v>
      </c>
      <c r="AK57" s="48">
        <f t="shared" si="131"/>
        <v>0.0554665161775771</v>
      </c>
      <c r="AL57" s="48">
        <f t="shared" si="132"/>
        <v>0.0651883622214361</v>
      </c>
      <c r="AO57" s="46">
        <f t="shared" ref="AO57:AS57" si="187">W57</f>
        <v>0.0557183762843187</v>
      </c>
      <c r="AP57" s="46">
        <f t="shared" si="187"/>
        <v>0.055158254918734</v>
      </c>
      <c r="AQ57" s="46">
        <f t="shared" si="187"/>
        <v>0.0574887892376682</v>
      </c>
      <c r="AR57" s="46">
        <f t="shared" si="187"/>
        <v>0.0587755875663381</v>
      </c>
      <c r="AS57" s="46">
        <f t="shared" si="187"/>
        <v>0.0587544284915159</v>
      </c>
      <c r="AT57" s="48">
        <f t="shared" si="134"/>
        <v>0.0409969902182092</v>
      </c>
      <c r="AU57" s="48">
        <f t="shared" si="135"/>
        <v>0.0481827025114963</v>
      </c>
      <c r="AZ57" s="35"/>
      <c r="BA57" s="43" t="s">
        <v>347</v>
      </c>
      <c r="BB57" s="44">
        <v>367.1</v>
      </c>
      <c r="BC57" s="46">
        <v>330.8</v>
      </c>
      <c r="BD57" s="46">
        <v>322.4</v>
      </c>
      <c r="BE57" s="46">
        <v>320.5</v>
      </c>
      <c r="BF57" s="46">
        <v>310.1</v>
      </c>
      <c r="BG57" s="46">
        <v>315.1</v>
      </c>
      <c r="BH57" s="46">
        <v>320.5</v>
      </c>
      <c r="BI57" s="46">
        <v>320.5</v>
      </c>
      <c r="BJ57" s="36"/>
      <c r="BK57" s="36"/>
      <c r="BL57" s="49"/>
      <c r="BM57" s="49"/>
      <c r="BN57" s="49"/>
      <c r="BO57" s="49"/>
    </row>
    <row r="58" ht="15.5" spans="1:67">
      <c r="A58" s="35"/>
      <c r="B58" s="43" t="s">
        <v>348</v>
      </c>
      <c r="C58" s="44">
        <f t="shared" ref="C58:J58" si="188">BB58/1000</f>
        <v>0.0853</v>
      </c>
      <c r="D58" s="44">
        <f t="shared" si="188"/>
        <v>0.0775</v>
      </c>
      <c r="E58" s="44">
        <f t="shared" si="188"/>
        <v>0.0755</v>
      </c>
      <c r="F58" s="44">
        <f t="shared" si="188"/>
        <v>0.075</v>
      </c>
      <c r="G58" s="44">
        <f t="shared" si="188"/>
        <v>0.0722</v>
      </c>
      <c r="H58" s="44">
        <f t="shared" si="188"/>
        <v>0.0736</v>
      </c>
      <c r="I58" s="44">
        <f t="shared" si="188"/>
        <v>0.075</v>
      </c>
      <c r="J58" s="44">
        <f t="shared" si="188"/>
        <v>0.075</v>
      </c>
      <c r="K58" s="36"/>
      <c r="L58" s="36"/>
      <c r="M58" s="49">
        <v>5.937</v>
      </c>
      <c r="N58" s="49">
        <v>5.845</v>
      </c>
      <c r="O58" s="49">
        <v>5.575</v>
      </c>
      <c r="P58" s="49">
        <v>5.276</v>
      </c>
      <c r="Q58" s="49">
        <v>5.363</v>
      </c>
      <c r="R58" s="49">
        <v>6.645</v>
      </c>
      <c r="S58" s="49">
        <v>5.654</v>
      </c>
      <c r="T58" s="49"/>
      <c r="U58" s="35"/>
      <c r="V58" s="43" t="s">
        <v>348</v>
      </c>
      <c r="W58" s="46">
        <f t="shared" ref="W58:AC58" si="189">D58/M58</f>
        <v>0.0130537308404918</v>
      </c>
      <c r="X58" s="46">
        <f t="shared" si="189"/>
        <v>0.0129170230966638</v>
      </c>
      <c r="Y58" s="46">
        <f t="shared" si="189"/>
        <v>0.0134529147982063</v>
      </c>
      <c r="Z58" s="46">
        <f t="shared" si="189"/>
        <v>0.0136846095526914</v>
      </c>
      <c r="AA58" s="46">
        <f t="shared" si="189"/>
        <v>0.0137236621294052</v>
      </c>
      <c r="AB58" s="47">
        <f t="shared" si="189"/>
        <v>0.0112866817155756</v>
      </c>
      <c r="AC58" s="47">
        <f t="shared" si="189"/>
        <v>0.01326494517156</v>
      </c>
      <c r="AD58" s="36"/>
      <c r="AE58" s="36"/>
      <c r="AF58" s="46">
        <f t="shared" ref="AF58:AJ58" si="190">W58</f>
        <v>0.0130537308404918</v>
      </c>
      <c r="AG58" s="46">
        <f t="shared" si="190"/>
        <v>0.0129170230966638</v>
      </c>
      <c r="AH58" s="46">
        <f t="shared" si="190"/>
        <v>0.0134529147982063</v>
      </c>
      <c r="AI58" s="46">
        <f t="shared" si="190"/>
        <v>0.0136846095526914</v>
      </c>
      <c r="AJ58" s="46">
        <f t="shared" si="190"/>
        <v>0.0137236621294052</v>
      </c>
      <c r="AK58" s="48">
        <f t="shared" si="131"/>
        <v>0.012979683972912</v>
      </c>
      <c r="AL58" s="48">
        <f t="shared" si="132"/>
        <v>0.0152546869472939</v>
      </c>
      <c r="AO58" s="46">
        <f t="shared" ref="AO58:AS58" si="191">W58</f>
        <v>0.0130537308404918</v>
      </c>
      <c r="AP58" s="46">
        <f t="shared" si="191"/>
        <v>0.0129170230966638</v>
      </c>
      <c r="AQ58" s="46">
        <f t="shared" si="191"/>
        <v>0.0134529147982063</v>
      </c>
      <c r="AR58" s="46">
        <f t="shared" si="191"/>
        <v>0.0136846095526914</v>
      </c>
      <c r="AS58" s="46">
        <f t="shared" si="191"/>
        <v>0.0137236621294052</v>
      </c>
      <c r="AT58" s="48">
        <f t="shared" si="134"/>
        <v>0.00959367945823928</v>
      </c>
      <c r="AU58" s="48">
        <f t="shared" si="135"/>
        <v>0.011275203395826</v>
      </c>
      <c r="AZ58" s="35"/>
      <c r="BA58" s="43" t="s">
        <v>348</v>
      </c>
      <c r="BB58" s="44">
        <v>85.3</v>
      </c>
      <c r="BC58" s="46">
        <v>77.5</v>
      </c>
      <c r="BD58" s="46">
        <v>75.5</v>
      </c>
      <c r="BE58" s="46">
        <v>75</v>
      </c>
      <c r="BF58" s="46">
        <v>72.2</v>
      </c>
      <c r="BG58" s="46">
        <v>73.6</v>
      </c>
      <c r="BH58" s="46">
        <v>75</v>
      </c>
      <c r="BI58" s="46">
        <v>75</v>
      </c>
      <c r="BJ58" s="36"/>
      <c r="BK58" s="36"/>
      <c r="BL58" s="49"/>
      <c r="BM58" s="49"/>
      <c r="BN58" s="49"/>
      <c r="BO58" s="49"/>
    </row>
    <row r="59" ht="15.5" spans="1:67">
      <c r="A59" s="36"/>
      <c r="B59" s="36"/>
      <c r="C59" s="39"/>
      <c r="D59" s="36"/>
      <c r="E59" s="36"/>
      <c r="F59" s="36"/>
      <c r="G59" s="36"/>
      <c r="H59" s="36"/>
      <c r="I59" s="36"/>
      <c r="J59" s="36"/>
      <c r="K59" s="36"/>
      <c r="L59" s="36"/>
      <c r="M59" s="36"/>
      <c r="N59" s="36"/>
      <c r="O59" s="36"/>
      <c r="P59" s="36"/>
      <c r="Q59" s="36"/>
      <c r="R59" s="36"/>
      <c r="S59" s="36"/>
      <c r="T59" s="36"/>
      <c r="AZ59" s="36"/>
      <c r="BA59" s="36"/>
      <c r="BB59" s="39"/>
      <c r="BC59" s="36"/>
      <c r="BD59" s="36"/>
      <c r="BE59" s="36"/>
      <c r="BF59" s="36"/>
      <c r="BG59" s="36"/>
      <c r="BH59" s="36"/>
      <c r="BI59" s="36"/>
      <c r="BJ59" s="36"/>
      <c r="BK59" s="36"/>
      <c r="BL59" s="36"/>
      <c r="BM59" s="36"/>
      <c r="BN59" s="36"/>
      <c r="BO59" s="36"/>
    </row>
    <row r="60" ht="15.5" spans="1:67">
      <c r="A60" s="36" t="s">
        <v>349</v>
      </c>
      <c r="B60" s="36"/>
      <c r="C60" s="39"/>
      <c r="D60" s="36"/>
      <c r="E60" s="36"/>
      <c r="F60" s="36"/>
      <c r="G60" s="36"/>
      <c r="H60" s="36"/>
      <c r="I60" s="36"/>
      <c r="J60" s="36"/>
      <c r="K60" s="36"/>
      <c r="L60" s="36"/>
      <c r="M60" s="36"/>
      <c r="N60" s="36"/>
      <c r="O60" s="36"/>
      <c r="P60" s="36"/>
      <c r="Q60" s="36"/>
      <c r="R60" s="36"/>
      <c r="S60" s="36"/>
      <c r="T60" s="36"/>
      <c r="AZ60" s="36" t="s">
        <v>349</v>
      </c>
      <c r="BA60" s="36"/>
      <c r="BB60" s="39"/>
      <c r="BC60" s="36"/>
      <c r="BD60" s="36"/>
      <c r="BE60" s="36"/>
      <c r="BF60" s="36"/>
      <c r="BG60" s="36"/>
      <c r="BH60" s="36"/>
      <c r="BI60" s="36"/>
      <c r="BJ60" s="36"/>
      <c r="BK60" s="36"/>
      <c r="BL60" s="36"/>
      <c r="BM60" s="36"/>
      <c r="BN60" s="36"/>
      <c r="BO60" s="36"/>
    </row>
    <row r="61" ht="15.5" spans="1:67">
      <c r="A61" s="36" t="s">
        <v>364</v>
      </c>
      <c r="B61" s="36"/>
      <c r="C61" s="39"/>
      <c r="D61" s="36"/>
      <c r="E61" s="36"/>
      <c r="F61" s="36"/>
      <c r="G61" s="36"/>
      <c r="H61" s="36"/>
      <c r="I61" s="36"/>
      <c r="J61" s="36"/>
      <c r="K61" s="36"/>
      <c r="L61" s="36"/>
      <c r="M61" s="36"/>
      <c r="N61" s="36"/>
      <c r="O61" s="36"/>
      <c r="P61" s="36"/>
      <c r="Q61" s="36"/>
      <c r="R61" s="36"/>
      <c r="S61" s="36"/>
      <c r="T61" s="36"/>
      <c r="AZ61" s="36" t="s">
        <v>364</v>
      </c>
      <c r="BA61" s="36"/>
      <c r="BB61" s="39"/>
      <c r="BC61" s="36"/>
      <c r="BD61" s="36"/>
      <c r="BE61" s="36"/>
      <c r="BF61" s="36"/>
      <c r="BG61" s="36"/>
      <c r="BH61" s="36"/>
      <c r="BI61" s="36"/>
      <c r="BJ61" s="36"/>
      <c r="BK61" s="36"/>
      <c r="BL61" s="36"/>
      <c r="BM61" s="36"/>
      <c r="BN61" s="36"/>
      <c r="BO61" s="36"/>
    </row>
    <row r="62" ht="15.5" spans="1:67">
      <c r="A62" s="36" t="s">
        <v>365</v>
      </c>
      <c r="B62" s="36"/>
      <c r="C62" s="39"/>
      <c r="D62" s="36"/>
      <c r="E62" s="36"/>
      <c r="F62" s="36"/>
      <c r="G62" s="36"/>
      <c r="H62" s="36"/>
      <c r="I62" s="36"/>
      <c r="J62" s="36"/>
      <c r="K62" s="36"/>
      <c r="L62" s="36"/>
      <c r="M62" s="36"/>
      <c r="N62" s="36"/>
      <c r="O62" s="36"/>
      <c r="P62" s="36"/>
      <c r="Q62" s="36"/>
      <c r="R62" s="36"/>
      <c r="S62" s="36"/>
      <c r="T62" s="36"/>
      <c r="AZ62" s="36" t="s">
        <v>365</v>
      </c>
      <c r="BA62" s="36"/>
      <c r="BB62" s="39"/>
      <c r="BC62" s="36"/>
      <c r="BD62" s="36"/>
      <c r="BE62" s="36"/>
      <c r="BF62" s="36"/>
      <c r="BG62" s="36"/>
      <c r="BH62" s="36"/>
      <c r="BI62" s="36"/>
      <c r="BJ62" s="36"/>
      <c r="BK62" s="36"/>
      <c r="BL62" s="36"/>
      <c r="BM62" s="36"/>
      <c r="BN62" s="36"/>
      <c r="BO62" s="36"/>
    </row>
    <row r="71" ht="15.5" spans="21:47">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row>
    <row r="72" ht="15.5" spans="21:47">
      <c r="U72" s="36"/>
      <c r="V72" s="36"/>
      <c r="W72" s="36" t="s">
        <v>336</v>
      </c>
      <c r="X72" s="36" t="s">
        <v>337</v>
      </c>
      <c r="Y72" s="40" t="s">
        <v>338</v>
      </c>
      <c r="Z72" s="36" t="s">
        <v>339</v>
      </c>
      <c r="AA72" s="36" t="s">
        <v>340</v>
      </c>
      <c r="AB72" s="42" t="s">
        <v>341</v>
      </c>
      <c r="AC72" s="42" t="s">
        <v>342</v>
      </c>
      <c r="AD72" s="36"/>
      <c r="AE72" s="36"/>
      <c r="AF72" s="36" t="s">
        <v>336</v>
      </c>
      <c r="AG72" s="36" t="s">
        <v>337</v>
      </c>
      <c r="AH72" s="40" t="s">
        <v>338</v>
      </c>
      <c r="AI72" s="36" t="s">
        <v>339</v>
      </c>
      <c r="AJ72" s="36" t="s">
        <v>340</v>
      </c>
      <c r="AK72" s="42" t="s">
        <v>341</v>
      </c>
      <c r="AL72" s="42" t="s">
        <v>342</v>
      </c>
      <c r="AM72" s="36"/>
      <c r="AN72" s="36"/>
      <c r="AO72" s="36" t="s">
        <v>336</v>
      </c>
      <c r="AP72" s="36" t="s">
        <v>337</v>
      </c>
      <c r="AQ72" s="40" t="s">
        <v>338</v>
      </c>
      <c r="AR72" s="36" t="s">
        <v>339</v>
      </c>
      <c r="AS72" s="36" t="s">
        <v>340</v>
      </c>
      <c r="AT72" s="42" t="s">
        <v>341</v>
      </c>
      <c r="AU72" s="42" t="s">
        <v>342</v>
      </c>
    </row>
    <row r="73" spans="21:47">
      <c r="U73" s="35" t="s">
        <v>343</v>
      </c>
      <c r="V73" s="50"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5"/>
      <c r="V74" s="51"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5"/>
      <c r="V75" s="50"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5"/>
      <c r="V76" s="50"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5" t="s">
        <v>241</v>
      </c>
      <c r="V77" s="50"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5"/>
      <c r="V78" s="51"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5"/>
      <c r="V79" s="50"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6"/>
      <c r="AE79" s="36"/>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6"/>
      <c r="AN79" s="36"/>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5"/>
      <c r="V80" s="50"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6"/>
      <c r="AE80" s="36"/>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6"/>
      <c r="AN80" s="36"/>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5" t="s">
        <v>369</v>
      </c>
      <c r="V81" s="50" t="s">
        <v>122</v>
      </c>
      <c r="W81" s="36">
        <f t="shared" ref="W81:AC81" si="216">W14-W15</f>
        <v>0.010830385716692</v>
      </c>
      <c r="X81" s="36">
        <f t="shared" si="216"/>
        <v>0.0104020530367836</v>
      </c>
      <c r="Y81" s="36">
        <f t="shared" si="216"/>
        <v>0.0107085201793722</v>
      </c>
      <c r="Z81" s="36">
        <f t="shared" si="216"/>
        <v>0.0117702805155421</v>
      </c>
      <c r="AA81" s="36">
        <f t="shared" si="216"/>
        <v>0.011933619242961</v>
      </c>
      <c r="AB81" s="36">
        <f t="shared" si="216"/>
        <v>0.00898419864559818</v>
      </c>
      <c r="AC81" s="36">
        <f t="shared" si="216"/>
        <v>0.0105588963565617</v>
      </c>
      <c r="AD81" s="36"/>
      <c r="AE81" s="36"/>
      <c r="AF81" s="36">
        <f t="shared" ref="AF81:AL81" si="217">AF14-AF15</f>
        <v>0.010830385716692</v>
      </c>
      <c r="AG81" s="36">
        <f t="shared" si="217"/>
        <v>0.0104020530367836</v>
      </c>
      <c r="AH81" s="36">
        <f t="shared" si="217"/>
        <v>0.0107085201793722</v>
      </c>
      <c r="AI81" s="36">
        <f t="shared" si="217"/>
        <v>0.0117702805155421</v>
      </c>
      <c r="AJ81" s="36">
        <f t="shared" si="217"/>
        <v>0.011933619242961</v>
      </c>
      <c r="AK81" s="36">
        <f t="shared" si="217"/>
        <v>0.0103318284424379</v>
      </c>
      <c r="AL81" s="36">
        <f t="shared" si="217"/>
        <v>0.012142730810046</v>
      </c>
      <c r="AM81" s="36"/>
      <c r="AN81" s="36"/>
      <c r="AO81" s="36">
        <f t="shared" ref="AO81:AU81" si="218">AO14-AO15</f>
        <v>0.010830385716692</v>
      </c>
      <c r="AP81" s="36">
        <f t="shared" si="218"/>
        <v>0.0104020530367836</v>
      </c>
      <c r="AQ81" s="36">
        <f t="shared" si="218"/>
        <v>0.0107085201793722</v>
      </c>
      <c r="AR81" s="36">
        <f t="shared" si="218"/>
        <v>0.0117702805155421</v>
      </c>
      <c r="AS81" s="36">
        <f t="shared" si="218"/>
        <v>0.011933619242961</v>
      </c>
      <c r="AT81" s="36">
        <f t="shared" si="218"/>
        <v>0.00763656884875846</v>
      </c>
      <c r="AU81" s="36">
        <f t="shared" si="218"/>
        <v>0.00897506190307747</v>
      </c>
    </row>
    <row r="82" ht="15.5" spans="21:47">
      <c r="U82" s="35"/>
      <c r="V82" s="51" t="s">
        <v>366</v>
      </c>
      <c r="W82" s="36">
        <f t="shared" ref="W82:AC82" si="219">W16</f>
        <v>0.0447027118073101</v>
      </c>
      <c r="X82" s="36">
        <f t="shared" si="219"/>
        <v>0.0428058169375535</v>
      </c>
      <c r="Y82" s="36">
        <f t="shared" si="219"/>
        <v>0.0441255605381166</v>
      </c>
      <c r="Z82" s="36">
        <f t="shared" si="219"/>
        <v>0.0456406368460955</v>
      </c>
      <c r="AA82" s="36">
        <f t="shared" si="219"/>
        <v>0.0467275778482193</v>
      </c>
      <c r="AB82" s="36">
        <f t="shared" si="219"/>
        <v>0.037020316027088</v>
      </c>
      <c r="AC82" s="36">
        <f t="shared" si="219"/>
        <v>0.0435090201627167</v>
      </c>
      <c r="AD82" s="36"/>
      <c r="AE82" s="36"/>
      <c r="AF82" s="36">
        <f t="shared" ref="AF82:AL82" si="220">AF16</f>
        <v>0.0447027118073101</v>
      </c>
      <c r="AG82" s="36">
        <f t="shared" si="220"/>
        <v>0.0428058169375535</v>
      </c>
      <c r="AH82" s="36">
        <f t="shared" si="220"/>
        <v>0.0441255605381166</v>
      </c>
      <c r="AI82" s="36">
        <f t="shared" si="220"/>
        <v>0.0456406368460955</v>
      </c>
      <c r="AJ82" s="36">
        <f t="shared" si="220"/>
        <v>0.0467275778482193</v>
      </c>
      <c r="AK82" s="36">
        <f t="shared" si="220"/>
        <v>0.0425733634311512</v>
      </c>
      <c r="AL82" s="36">
        <f t="shared" si="220"/>
        <v>0.0500353731871242</v>
      </c>
      <c r="AM82" s="36"/>
      <c r="AN82" s="36"/>
      <c r="AO82" s="36">
        <f t="shared" ref="AO82:AU82" si="221">AO16</f>
        <v>0.0447027118073101</v>
      </c>
      <c r="AP82" s="36">
        <f t="shared" si="221"/>
        <v>0.0428058169375535</v>
      </c>
      <c r="AQ82" s="36">
        <f t="shared" si="221"/>
        <v>0.0441255605381166</v>
      </c>
      <c r="AR82" s="36">
        <f t="shared" si="221"/>
        <v>0.0456406368460955</v>
      </c>
      <c r="AS82" s="36">
        <f t="shared" si="221"/>
        <v>0.0467275778482193</v>
      </c>
      <c r="AT82" s="36">
        <f t="shared" si="221"/>
        <v>0.0314672686230248</v>
      </c>
      <c r="AU82" s="36">
        <f t="shared" si="221"/>
        <v>0.0369826671383092</v>
      </c>
    </row>
    <row r="83" ht="15.5" spans="21:47">
      <c r="U83" s="35"/>
      <c r="V83" s="50" t="s">
        <v>367</v>
      </c>
      <c r="W83" s="36">
        <f t="shared" ref="W83:AC83" si="222">W17</f>
        <v>0.0724945258548088</v>
      </c>
      <c r="X83" s="36">
        <f t="shared" si="222"/>
        <v>0.0706073567151412</v>
      </c>
      <c r="Y83" s="36">
        <f t="shared" si="222"/>
        <v>0.0732017937219731</v>
      </c>
      <c r="Z83" s="36">
        <f t="shared" si="222"/>
        <v>0.076516300227445</v>
      </c>
      <c r="AA83" s="36">
        <f t="shared" si="222"/>
        <v>0.0803841133693828</v>
      </c>
      <c r="AB83" s="36">
        <f t="shared" si="222"/>
        <v>0.0614145974416855</v>
      </c>
      <c r="AC83" s="36">
        <f t="shared" si="222"/>
        <v>0.0721789883268483</v>
      </c>
      <c r="AD83" s="36"/>
      <c r="AE83" s="36"/>
      <c r="AF83" s="36">
        <f t="shared" ref="AF83:AL83" si="223">AF17</f>
        <v>0.0724945258548088</v>
      </c>
      <c r="AG83" s="36">
        <f t="shared" si="223"/>
        <v>0.0706073567151412</v>
      </c>
      <c r="AH83" s="36">
        <f t="shared" si="223"/>
        <v>0.0732017937219731</v>
      </c>
      <c r="AI83" s="36">
        <f t="shared" si="223"/>
        <v>0.076516300227445</v>
      </c>
      <c r="AJ83" s="36">
        <f t="shared" si="223"/>
        <v>0.0803841133693828</v>
      </c>
      <c r="AK83" s="36">
        <f t="shared" si="223"/>
        <v>0.0706267870579383</v>
      </c>
      <c r="AL83" s="36">
        <f t="shared" si="223"/>
        <v>0.0830058365758755</v>
      </c>
      <c r="AM83" s="36"/>
      <c r="AN83" s="36"/>
      <c r="AO83" s="36">
        <f t="shared" ref="AO83:AU83" si="224">AO17</f>
        <v>0.0724945258548088</v>
      </c>
      <c r="AP83" s="36">
        <f t="shared" si="224"/>
        <v>0.0706073567151412</v>
      </c>
      <c r="AQ83" s="36">
        <f t="shared" si="224"/>
        <v>0.0732017937219731</v>
      </c>
      <c r="AR83" s="36">
        <f t="shared" si="224"/>
        <v>0.076516300227445</v>
      </c>
      <c r="AS83" s="36">
        <f t="shared" si="224"/>
        <v>0.0803841133693828</v>
      </c>
      <c r="AT83" s="36">
        <f t="shared" si="224"/>
        <v>0.0522024078254327</v>
      </c>
      <c r="AU83" s="36">
        <f t="shared" si="224"/>
        <v>0.061352140077821</v>
      </c>
    </row>
    <row r="84" ht="15.5" spans="21:47">
      <c r="U84" s="35"/>
      <c r="V84" s="50" t="s">
        <v>368</v>
      </c>
      <c r="W84" s="36">
        <f t="shared" ref="W84:AC84" si="225">W18</f>
        <v>0.0131547919824827</v>
      </c>
      <c r="X84" s="36">
        <f t="shared" si="225"/>
        <v>0.0128656971770744</v>
      </c>
      <c r="Y84" s="36">
        <f t="shared" si="225"/>
        <v>0.0133273542600897</v>
      </c>
      <c r="Z84" s="36">
        <f t="shared" si="225"/>
        <v>0.0145564821834723</v>
      </c>
      <c r="AA84" s="36">
        <f t="shared" si="225"/>
        <v>0.0148610852134999</v>
      </c>
      <c r="AB84" s="36">
        <f t="shared" si="225"/>
        <v>0.0111813393528969</v>
      </c>
      <c r="AC84" s="36">
        <f t="shared" si="225"/>
        <v>0.0131411390166254</v>
      </c>
      <c r="AD84" s="36"/>
      <c r="AE84" s="36"/>
      <c r="AF84" s="36">
        <f t="shared" ref="AF84:AL84" si="226">AF18</f>
        <v>0.0131547919824827</v>
      </c>
      <c r="AG84" s="36">
        <f t="shared" si="226"/>
        <v>0.0128656971770744</v>
      </c>
      <c r="AH84" s="36">
        <f t="shared" si="226"/>
        <v>0.0133273542600897</v>
      </c>
      <c r="AI84" s="36">
        <f t="shared" si="226"/>
        <v>0.0145564821834723</v>
      </c>
      <c r="AJ84" s="36">
        <f t="shared" si="226"/>
        <v>0.0148610852134999</v>
      </c>
      <c r="AK84" s="36">
        <f t="shared" si="226"/>
        <v>0.0128585402558315</v>
      </c>
      <c r="AL84" s="36">
        <f t="shared" si="226"/>
        <v>0.0151123098691192</v>
      </c>
      <c r="AM84" s="36"/>
      <c r="AN84" s="36"/>
      <c r="AO84" s="36">
        <f t="shared" ref="AO84:AU84" si="227">AO18</f>
        <v>0.0131547919824827</v>
      </c>
      <c r="AP84" s="36">
        <f t="shared" si="227"/>
        <v>0.0128656971770744</v>
      </c>
      <c r="AQ84" s="36">
        <f t="shared" si="227"/>
        <v>0.0133273542600897</v>
      </c>
      <c r="AR84" s="36">
        <f t="shared" si="227"/>
        <v>0.0145564821834723</v>
      </c>
      <c r="AS84" s="36">
        <f t="shared" si="227"/>
        <v>0.0148610852134999</v>
      </c>
      <c r="AT84" s="36">
        <f t="shared" si="227"/>
        <v>0.00950413844996238</v>
      </c>
      <c r="AU84" s="36">
        <f t="shared" si="227"/>
        <v>0.0111699681641316</v>
      </c>
    </row>
    <row r="85" ht="15.5" spans="21:47">
      <c r="U85" s="57" t="s">
        <v>343</v>
      </c>
      <c r="V85" s="50" t="s">
        <v>122</v>
      </c>
      <c r="W85" s="52">
        <f t="shared" ref="W85:AC85" si="228">W73</f>
        <v>0.0105103587670541</v>
      </c>
      <c r="X85" s="52">
        <f t="shared" si="228"/>
        <v>0.0100940975192472</v>
      </c>
      <c r="Y85" s="52">
        <f t="shared" si="228"/>
        <v>0.0103856502242152</v>
      </c>
      <c r="Z85" s="52">
        <f t="shared" si="228"/>
        <v>0.0114291129643669</v>
      </c>
      <c r="AA85" s="52">
        <f t="shared" si="228"/>
        <v>0.0115979862017528</v>
      </c>
      <c r="AB85" s="52">
        <f t="shared" si="228"/>
        <v>0.00871331828442437</v>
      </c>
      <c r="AC85" s="52">
        <f t="shared" si="228"/>
        <v>0.0102405376724443</v>
      </c>
      <c r="AD85" s="36"/>
      <c r="AE85" s="36"/>
      <c r="AF85" s="52">
        <f t="shared" ref="AF85:AL85" si="229">AF73</f>
        <v>0.0105103587670541</v>
      </c>
      <c r="AG85" s="52">
        <f t="shared" si="229"/>
        <v>0.0100940975192472</v>
      </c>
      <c r="AH85" s="52">
        <f t="shared" si="229"/>
        <v>0.0103856502242152</v>
      </c>
      <c r="AI85" s="52">
        <f t="shared" si="229"/>
        <v>0.0114291129643669</v>
      </c>
      <c r="AJ85" s="52">
        <f t="shared" si="229"/>
        <v>0.0115979862017528</v>
      </c>
      <c r="AK85" s="52">
        <f t="shared" si="229"/>
        <v>0.010020316027088</v>
      </c>
      <c r="AL85" s="52">
        <f t="shared" si="229"/>
        <v>0.0117766183233109</v>
      </c>
      <c r="AM85" s="36"/>
      <c r="AN85" s="36"/>
      <c r="AO85" s="52">
        <f t="shared" ref="AO85:AU85" si="230">AO73</f>
        <v>0.0105103587670541</v>
      </c>
      <c r="AP85" s="52">
        <f t="shared" si="230"/>
        <v>0.0100940975192472</v>
      </c>
      <c r="AQ85" s="52">
        <f t="shared" si="230"/>
        <v>0.0103856502242152</v>
      </c>
      <c r="AR85" s="52">
        <f t="shared" si="230"/>
        <v>0.0114291129643669</v>
      </c>
      <c r="AS85" s="52">
        <f t="shared" si="230"/>
        <v>0.0115979862017528</v>
      </c>
      <c r="AT85" s="52">
        <f t="shared" si="230"/>
        <v>0.00740632054176073</v>
      </c>
      <c r="AU85" s="52">
        <f t="shared" si="230"/>
        <v>0.00870445702157763</v>
      </c>
    </row>
    <row r="86" ht="15.5" spans="21:47">
      <c r="U86" s="57"/>
      <c r="V86" s="51" t="s">
        <v>366</v>
      </c>
      <c r="W86" s="52">
        <f t="shared" ref="W86:AC86" si="231">W74</f>
        <v>0.0289203301330638</v>
      </c>
      <c r="X86" s="52">
        <f t="shared" si="231"/>
        <v>0.0275620188195039</v>
      </c>
      <c r="Y86" s="52">
        <f t="shared" si="231"/>
        <v>0.028322869955157</v>
      </c>
      <c r="Z86" s="52">
        <f t="shared" si="231"/>
        <v>0.0288286580742987</v>
      </c>
      <c r="AA86" s="52">
        <f t="shared" si="231"/>
        <v>0.0296102927465971</v>
      </c>
      <c r="AB86" s="52">
        <f t="shared" si="231"/>
        <v>0.0237622272385252</v>
      </c>
      <c r="AC86" s="52">
        <f t="shared" si="231"/>
        <v>0.0279271312345242</v>
      </c>
      <c r="AD86" s="36"/>
      <c r="AE86" s="36"/>
      <c r="AF86" s="52">
        <f t="shared" ref="AF86:AL86" si="232">AF74</f>
        <v>0.0289203301330638</v>
      </c>
      <c r="AG86" s="52">
        <f t="shared" si="232"/>
        <v>0.0275620188195039</v>
      </c>
      <c r="AH86" s="52">
        <f t="shared" si="232"/>
        <v>0.028322869955157</v>
      </c>
      <c r="AI86" s="52">
        <f t="shared" si="232"/>
        <v>0.0288286580742987</v>
      </c>
      <c r="AJ86" s="52">
        <f t="shared" si="232"/>
        <v>0.0296102927465971</v>
      </c>
      <c r="AK86" s="52">
        <f t="shared" si="232"/>
        <v>0.027326561324304</v>
      </c>
      <c r="AL86" s="52">
        <f t="shared" si="232"/>
        <v>0.0321162009197029</v>
      </c>
      <c r="AM86" s="36"/>
      <c r="AN86" s="36"/>
      <c r="AO86" s="52">
        <f t="shared" ref="AO86:AU86" si="233">AO74</f>
        <v>0.0289203301330638</v>
      </c>
      <c r="AP86" s="52">
        <f t="shared" si="233"/>
        <v>0.0275620188195039</v>
      </c>
      <c r="AQ86" s="52">
        <f t="shared" si="233"/>
        <v>0.028322869955157</v>
      </c>
      <c r="AR86" s="52">
        <f t="shared" si="233"/>
        <v>0.0288286580742987</v>
      </c>
      <c r="AS86" s="52">
        <f t="shared" si="233"/>
        <v>0.0296102927465971</v>
      </c>
      <c r="AT86" s="52">
        <f t="shared" si="233"/>
        <v>0.0201978931527464</v>
      </c>
      <c r="AU86" s="52">
        <f t="shared" si="233"/>
        <v>0.0237380615493456</v>
      </c>
    </row>
    <row r="87" ht="15.5" spans="21:47">
      <c r="U87" s="57"/>
      <c r="V87" s="50" t="s">
        <v>367</v>
      </c>
      <c r="W87" s="52">
        <f t="shared" ref="W87:AC87" si="234">W75</f>
        <v>0.0836617820448038</v>
      </c>
      <c r="X87" s="52">
        <f t="shared" si="234"/>
        <v>0.0814029084687767</v>
      </c>
      <c r="Y87" s="52">
        <f t="shared" si="234"/>
        <v>0.0843946188340807</v>
      </c>
      <c r="Z87" s="52">
        <f t="shared" si="234"/>
        <v>0.0884192570128886</v>
      </c>
      <c r="AA87" s="52">
        <f t="shared" si="234"/>
        <v>0.092485549132948</v>
      </c>
      <c r="AB87" s="52">
        <f t="shared" si="234"/>
        <v>0.0708051166290444</v>
      </c>
      <c r="AC87" s="52">
        <f t="shared" si="234"/>
        <v>0.0832154227095861</v>
      </c>
      <c r="AD87" s="36"/>
      <c r="AE87" s="36"/>
      <c r="AF87" s="52">
        <f t="shared" ref="AF87:AL87" si="235">AF75</f>
        <v>0.0836617820448038</v>
      </c>
      <c r="AG87" s="52">
        <f t="shared" si="235"/>
        <v>0.0814029084687767</v>
      </c>
      <c r="AH87" s="52">
        <f t="shared" si="235"/>
        <v>0.0843946188340807</v>
      </c>
      <c r="AI87" s="52">
        <f t="shared" si="235"/>
        <v>0.0884192570128886</v>
      </c>
      <c r="AJ87" s="52">
        <f t="shared" si="235"/>
        <v>0.092485549132948</v>
      </c>
      <c r="AK87" s="52">
        <f t="shared" si="235"/>
        <v>0.0814258841234011</v>
      </c>
      <c r="AL87" s="52">
        <f t="shared" si="235"/>
        <v>0.0956977361160241</v>
      </c>
      <c r="AM87" s="36"/>
      <c r="AN87" s="36"/>
      <c r="AO87" s="52">
        <f t="shared" ref="AO87:AU87" si="236">AO75</f>
        <v>0.0836617820448038</v>
      </c>
      <c r="AP87" s="52">
        <f t="shared" si="236"/>
        <v>0.0814029084687767</v>
      </c>
      <c r="AQ87" s="52">
        <f t="shared" si="236"/>
        <v>0.0843946188340807</v>
      </c>
      <c r="AR87" s="52">
        <f t="shared" si="236"/>
        <v>0.0884192570128886</v>
      </c>
      <c r="AS87" s="52">
        <f t="shared" si="236"/>
        <v>0.092485549132948</v>
      </c>
      <c r="AT87" s="52">
        <f t="shared" si="236"/>
        <v>0.0601843491346877</v>
      </c>
      <c r="AU87" s="52">
        <f t="shared" si="236"/>
        <v>0.0707331093031482</v>
      </c>
    </row>
    <row r="88" ht="15.5" spans="21:47">
      <c r="U88" s="57"/>
      <c r="V88" s="50" t="s">
        <v>368</v>
      </c>
      <c r="W88" s="52">
        <f t="shared" ref="W88:AC88" si="237">W76</f>
        <v>0.0130200437931615</v>
      </c>
      <c r="X88" s="52">
        <f t="shared" si="237"/>
        <v>0.0127459366980325</v>
      </c>
      <c r="Y88" s="52">
        <f t="shared" si="237"/>
        <v>0.0132017937219731</v>
      </c>
      <c r="Z88" s="52">
        <f t="shared" si="237"/>
        <v>0.0144238059135709</v>
      </c>
      <c r="AA88" s="52">
        <f t="shared" si="237"/>
        <v>0.0147119149729629</v>
      </c>
      <c r="AB88" s="52">
        <f t="shared" si="237"/>
        <v>0.0110759969902182</v>
      </c>
      <c r="AC88" s="52">
        <f t="shared" si="237"/>
        <v>0.0130173328616908</v>
      </c>
      <c r="AD88" s="36"/>
      <c r="AE88" s="36"/>
      <c r="AF88" s="52">
        <f t="shared" ref="AF88:AL88" si="238">AF76</f>
        <v>0.0130200437931615</v>
      </c>
      <c r="AG88" s="52">
        <f t="shared" si="238"/>
        <v>0.0127459366980325</v>
      </c>
      <c r="AH88" s="52">
        <f t="shared" si="238"/>
        <v>0.0132017937219731</v>
      </c>
      <c r="AI88" s="52">
        <f t="shared" si="238"/>
        <v>0.0144238059135709</v>
      </c>
      <c r="AJ88" s="52">
        <f t="shared" si="238"/>
        <v>0.0147119149729629</v>
      </c>
      <c r="AK88" s="52">
        <f t="shared" si="238"/>
        <v>0.0127373965387509</v>
      </c>
      <c r="AL88" s="52">
        <f t="shared" si="238"/>
        <v>0.0149699327909445</v>
      </c>
      <c r="AM88" s="36"/>
      <c r="AN88" s="36"/>
      <c r="AO88" s="52">
        <f t="shared" ref="AO88:AU88" si="239">AO76</f>
        <v>0.0130200437931615</v>
      </c>
      <c r="AP88" s="52">
        <f t="shared" si="239"/>
        <v>0.0127459366980325</v>
      </c>
      <c r="AQ88" s="52">
        <f t="shared" si="239"/>
        <v>0.0132017937219731</v>
      </c>
      <c r="AR88" s="52">
        <f t="shared" si="239"/>
        <v>0.0144238059135709</v>
      </c>
      <c r="AS88" s="52">
        <f t="shared" si="239"/>
        <v>0.0147119149729629</v>
      </c>
      <c r="AT88" s="52">
        <f t="shared" si="239"/>
        <v>0.00941459744168548</v>
      </c>
      <c r="AU88" s="52">
        <f t="shared" si="239"/>
        <v>0.0110647329324372</v>
      </c>
    </row>
    <row r="89" ht="15.5" spans="21:47">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row>
    <row r="90" ht="15.5" spans="21:47">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row>
    <row r="91" ht="15.5" spans="21:47">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row>
    <row r="92" ht="15.5" spans="21:47">
      <c r="U92" s="36"/>
      <c r="V92" s="36"/>
      <c r="W92" s="36" t="s">
        <v>336</v>
      </c>
      <c r="X92" s="36" t="s">
        <v>337</v>
      </c>
      <c r="Y92" s="40" t="s">
        <v>338</v>
      </c>
      <c r="Z92" s="36" t="s">
        <v>339</v>
      </c>
      <c r="AA92" s="36" t="s">
        <v>340</v>
      </c>
      <c r="AB92" s="42" t="s">
        <v>341</v>
      </c>
      <c r="AC92" s="42" t="s">
        <v>342</v>
      </c>
      <c r="AD92" s="36"/>
      <c r="AE92" s="36"/>
      <c r="AF92" s="36" t="s">
        <v>336</v>
      </c>
      <c r="AG92" s="36" t="s">
        <v>337</v>
      </c>
      <c r="AH92" s="40" t="s">
        <v>338</v>
      </c>
      <c r="AI92" s="36" t="s">
        <v>339</v>
      </c>
      <c r="AJ92" s="36" t="s">
        <v>340</v>
      </c>
      <c r="AK92" s="42" t="s">
        <v>341</v>
      </c>
      <c r="AL92" s="42" t="s">
        <v>342</v>
      </c>
      <c r="AM92" s="36"/>
      <c r="AN92" s="36"/>
      <c r="AO92" s="36" t="s">
        <v>336</v>
      </c>
      <c r="AP92" s="36" t="s">
        <v>337</v>
      </c>
      <c r="AQ92" s="40" t="s">
        <v>338</v>
      </c>
      <c r="AR92" s="36" t="s">
        <v>339</v>
      </c>
      <c r="AS92" s="36" t="s">
        <v>340</v>
      </c>
      <c r="AT92" s="42" t="s">
        <v>341</v>
      </c>
      <c r="AU92" s="42" t="s">
        <v>342</v>
      </c>
    </row>
    <row r="93" spans="21:47">
      <c r="U93" s="35" t="s">
        <v>343</v>
      </c>
      <c r="V93" s="50"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5"/>
      <c r="V94" s="51"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5"/>
      <c r="V95" s="50"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5"/>
      <c r="V96" s="50"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5" t="s">
        <v>241</v>
      </c>
      <c r="V97" s="50"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5"/>
      <c r="V98" s="51"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5"/>
      <c r="V99" s="50"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6"/>
      <c r="AE99" s="36"/>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6"/>
      <c r="AN99" s="36"/>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5"/>
      <c r="V100" s="50"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6"/>
      <c r="AE100" s="36"/>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6"/>
      <c r="AN100" s="36"/>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5" t="s">
        <v>369</v>
      </c>
      <c r="V101" s="50" t="s">
        <v>122</v>
      </c>
      <c r="W101" s="36">
        <f t="shared" ref="W101:AC101" si="264">W34-W35</f>
        <v>0.011840997136601</v>
      </c>
      <c r="X101" s="36">
        <f t="shared" si="264"/>
        <v>0.011377245508982</v>
      </c>
      <c r="Y101" s="36">
        <f t="shared" si="264"/>
        <v>0.0117668161434977</v>
      </c>
      <c r="Z101" s="36">
        <f t="shared" si="264"/>
        <v>0.0120924943138741</v>
      </c>
      <c r="AA101" s="36">
        <f t="shared" si="264"/>
        <v>0.0122878985642364</v>
      </c>
      <c r="AB101" s="36">
        <f t="shared" si="264"/>
        <v>0.00987208427389014</v>
      </c>
      <c r="AC101" s="36">
        <f t="shared" si="264"/>
        <v>0.0116024053767244</v>
      </c>
      <c r="AD101" s="36"/>
      <c r="AE101" s="36"/>
      <c r="AF101" s="36">
        <f t="shared" ref="AF101:AL101" si="265">AF34-AF35</f>
        <v>0.011840997136601</v>
      </c>
      <c r="AG101" s="36">
        <f t="shared" si="265"/>
        <v>0.011377245508982</v>
      </c>
      <c r="AH101" s="36">
        <f t="shared" si="265"/>
        <v>0.0117668161434977</v>
      </c>
      <c r="AI101" s="36">
        <f t="shared" si="265"/>
        <v>0.0120924943138741</v>
      </c>
      <c r="AJ101" s="36">
        <f t="shared" si="265"/>
        <v>0.0122878985642364</v>
      </c>
      <c r="AK101" s="36">
        <f t="shared" si="265"/>
        <v>0.0113528969149737</v>
      </c>
      <c r="AL101" s="36">
        <f t="shared" si="265"/>
        <v>0.0133427661832331</v>
      </c>
      <c r="AM101" s="36"/>
      <c r="AN101" s="36"/>
      <c r="AO101" s="36">
        <f t="shared" ref="AO101:AU101" si="266">AO34-AO35</f>
        <v>0.011840997136601</v>
      </c>
      <c r="AP101" s="36">
        <f t="shared" si="266"/>
        <v>0.011377245508982</v>
      </c>
      <c r="AQ101" s="36">
        <f t="shared" si="266"/>
        <v>0.0117668161434977</v>
      </c>
      <c r="AR101" s="36">
        <f t="shared" si="266"/>
        <v>0.0120924943138741</v>
      </c>
      <c r="AS101" s="36">
        <f t="shared" si="266"/>
        <v>0.0122878985642364</v>
      </c>
      <c r="AT101" s="36">
        <f t="shared" si="266"/>
        <v>0.00839127163280662</v>
      </c>
      <c r="AU101" s="36">
        <f t="shared" si="266"/>
        <v>0.00986204457021578</v>
      </c>
    </row>
    <row r="102" ht="15.5" spans="21:47">
      <c r="U102" s="35"/>
      <c r="V102" s="51" t="s">
        <v>366</v>
      </c>
      <c r="W102" s="36">
        <f t="shared" ref="W102:AC102" si="267">W36</f>
        <v>0.0404413003200269</v>
      </c>
      <c r="X102" s="36">
        <f t="shared" si="267"/>
        <v>0.0389734816082122</v>
      </c>
      <c r="Y102" s="36">
        <f t="shared" si="267"/>
        <v>0.0403408071748879</v>
      </c>
      <c r="Z102" s="36">
        <f t="shared" si="267"/>
        <v>0.0420204700530705</v>
      </c>
      <c r="AA102" s="36">
        <f t="shared" si="267"/>
        <v>0.0428118590341227</v>
      </c>
      <c r="AB102" s="36">
        <f t="shared" si="267"/>
        <v>0.0338449962377728</v>
      </c>
      <c r="AC102" s="36">
        <f t="shared" si="267"/>
        <v>0.0397771489211178</v>
      </c>
      <c r="AD102" s="36"/>
      <c r="AE102" s="36"/>
      <c r="AF102" s="36">
        <f t="shared" ref="AF102:AL102" si="268">AF36</f>
        <v>0.0404413003200269</v>
      </c>
      <c r="AG102" s="36">
        <f t="shared" si="268"/>
        <v>0.0389734816082122</v>
      </c>
      <c r="AH102" s="36">
        <f t="shared" si="268"/>
        <v>0.0403408071748879</v>
      </c>
      <c r="AI102" s="36">
        <f t="shared" si="268"/>
        <v>0.0420204700530705</v>
      </c>
      <c r="AJ102" s="36">
        <f t="shared" si="268"/>
        <v>0.0428118590341227</v>
      </c>
      <c r="AK102" s="36">
        <f t="shared" si="268"/>
        <v>0.0389217456734387</v>
      </c>
      <c r="AL102" s="36">
        <f t="shared" si="268"/>
        <v>0.0457437212592855</v>
      </c>
      <c r="AM102" s="36"/>
      <c r="AN102" s="36"/>
      <c r="AO102" s="36">
        <f t="shared" ref="AO102:AU102" si="269">AO36</f>
        <v>0.0404413003200269</v>
      </c>
      <c r="AP102" s="36">
        <f t="shared" si="269"/>
        <v>0.0389734816082122</v>
      </c>
      <c r="AQ102" s="36">
        <f t="shared" si="269"/>
        <v>0.0403408071748879</v>
      </c>
      <c r="AR102" s="36">
        <f t="shared" si="269"/>
        <v>0.0420204700530705</v>
      </c>
      <c r="AS102" s="36">
        <f t="shared" si="269"/>
        <v>0.0428118590341227</v>
      </c>
      <c r="AT102" s="36">
        <f t="shared" si="269"/>
        <v>0.0287682468021069</v>
      </c>
      <c r="AU102" s="36">
        <f t="shared" si="269"/>
        <v>0.0338105765829501</v>
      </c>
    </row>
    <row r="103" ht="15.5" spans="21:47">
      <c r="U103" s="35"/>
      <c r="V103" s="50" t="s">
        <v>367</v>
      </c>
      <c r="W103" s="36">
        <f t="shared" ref="W103:AC103" si="270">W37</f>
        <v>0.0870304867778339</v>
      </c>
      <c r="X103" s="36">
        <f t="shared" si="270"/>
        <v>0.0843627031650984</v>
      </c>
      <c r="Y103" s="36">
        <f t="shared" si="270"/>
        <v>0.0874439461883408</v>
      </c>
      <c r="Z103" s="36">
        <f t="shared" si="270"/>
        <v>0.0881918119787718</v>
      </c>
      <c r="AA103" s="36">
        <f t="shared" si="270"/>
        <v>0.0922245012120082</v>
      </c>
      <c r="AB103" s="36">
        <f t="shared" si="270"/>
        <v>0.0733634311512415</v>
      </c>
      <c r="AC103" s="36">
        <f t="shared" si="270"/>
        <v>0.0862221436151397</v>
      </c>
      <c r="AD103" s="36"/>
      <c r="AE103" s="36"/>
      <c r="AF103" s="36">
        <f t="shared" ref="AF103:AL103" si="271">AF37</f>
        <v>0.0870304867778339</v>
      </c>
      <c r="AG103" s="36">
        <f t="shared" si="271"/>
        <v>0.0843627031650984</v>
      </c>
      <c r="AH103" s="36">
        <f t="shared" si="271"/>
        <v>0.0874439461883408</v>
      </c>
      <c r="AI103" s="36">
        <f t="shared" si="271"/>
        <v>0.0881918119787718</v>
      </c>
      <c r="AJ103" s="36">
        <f t="shared" si="271"/>
        <v>0.0922245012120082</v>
      </c>
      <c r="AK103" s="36">
        <f t="shared" si="271"/>
        <v>0.0843679458239278</v>
      </c>
      <c r="AL103" s="36">
        <f t="shared" si="271"/>
        <v>0.0991554651574107</v>
      </c>
      <c r="AM103" s="36"/>
      <c r="AN103" s="36"/>
      <c r="AO103" s="36">
        <f t="shared" ref="AO103:AU103" si="272">AO37</f>
        <v>0.0870304867778339</v>
      </c>
      <c r="AP103" s="36">
        <f t="shared" si="272"/>
        <v>0.0843627031650984</v>
      </c>
      <c r="AQ103" s="36">
        <f t="shared" si="272"/>
        <v>0.0874439461883408</v>
      </c>
      <c r="AR103" s="36">
        <f t="shared" si="272"/>
        <v>0.0881918119787718</v>
      </c>
      <c r="AS103" s="36">
        <f t="shared" si="272"/>
        <v>0.0922245012120082</v>
      </c>
      <c r="AT103" s="36">
        <f t="shared" si="272"/>
        <v>0.0623589164785553</v>
      </c>
      <c r="AU103" s="36">
        <f t="shared" si="272"/>
        <v>0.0732888220728688</v>
      </c>
    </row>
    <row r="104" ht="15.5" spans="21:47">
      <c r="U104" s="35"/>
      <c r="V104" s="50" t="s">
        <v>368</v>
      </c>
      <c r="W104" s="36">
        <f t="shared" ref="W104:AC104" si="273">W38</f>
        <v>0.0133569142664645</v>
      </c>
      <c r="X104" s="36">
        <f t="shared" si="273"/>
        <v>0.0131907613344739</v>
      </c>
      <c r="Y104" s="36">
        <f t="shared" si="273"/>
        <v>0.0137399103139013</v>
      </c>
      <c r="Z104" s="36">
        <f t="shared" si="273"/>
        <v>0.0141015921152388</v>
      </c>
      <c r="AA104" s="36">
        <f t="shared" si="273"/>
        <v>0.0143016968114861</v>
      </c>
      <c r="AB104" s="36">
        <f t="shared" si="273"/>
        <v>0.0115274642588412</v>
      </c>
      <c r="AC104" s="36">
        <f t="shared" si="273"/>
        <v>0.0135479306685532</v>
      </c>
      <c r="AD104" s="36"/>
      <c r="AE104" s="36"/>
      <c r="AF104" s="36">
        <f t="shared" ref="AF104:AL104" si="274">AF38</f>
        <v>0.0133569142664645</v>
      </c>
      <c r="AG104" s="36">
        <f t="shared" si="274"/>
        <v>0.0131907613344739</v>
      </c>
      <c r="AH104" s="36">
        <f t="shared" si="274"/>
        <v>0.0137399103139013</v>
      </c>
      <c r="AI104" s="36">
        <f t="shared" si="274"/>
        <v>0.0141015921152388</v>
      </c>
      <c r="AJ104" s="36">
        <f t="shared" si="274"/>
        <v>0.0143016968114861</v>
      </c>
      <c r="AK104" s="36">
        <f t="shared" si="274"/>
        <v>0.0132565838976674</v>
      </c>
      <c r="AL104" s="36">
        <f t="shared" si="274"/>
        <v>0.0155801202688362</v>
      </c>
      <c r="AM104" s="36"/>
      <c r="AN104" s="36"/>
      <c r="AO104" s="36">
        <f t="shared" ref="AO104:AU104" si="275">AO38</f>
        <v>0.0133569142664645</v>
      </c>
      <c r="AP104" s="36">
        <f t="shared" si="275"/>
        <v>0.0131907613344739</v>
      </c>
      <c r="AQ104" s="36">
        <f t="shared" si="275"/>
        <v>0.0137399103139013</v>
      </c>
      <c r="AR104" s="36">
        <f t="shared" si="275"/>
        <v>0.0141015921152388</v>
      </c>
      <c r="AS104" s="36">
        <f t="shared" si="275"/>
        <v>0.0143016968114861</v>
      </c>
      <c r="AT104" s="36">
        <f t="shared" si="275"/>
        <v>0.00979834462001505</v>
      </c>
      <c r="AU104" s="36">
        <f t="shared" si="275"/>
        <v>0.0115157410682703</v>
      </c>
    </row>
    <row r="105" ht="15.5" spans="21:47">
      <c r="U105" s="57" t="s">
        <v>343</v>
      </c>
      <c r="V105" s="50" t="s">
        <v>122</v>
      </c>
      <c r="W105" s="52">
        <f t="shared" ref="W105:AC105" si="276">W93</f>
        <v>0.0115546572342934</v>
      </c>
      <c r="X105" s="52">
        <f t="shared" si="276"/>
        <v>0.0110863986313088</v>
      </c>
      <c r="Y105" s="52">
        <f t="shared" si="276"/>
        <v>0.0114618834080717</v>
      </c>
      <c r="Z105" s="52">
        <f t="shared" si="276"/>
        <v>0.011751326762699</v>
      </c>
      <c r="AA105" s="52">
        <f t="shared" si="276"/>
        <v>0.0119709118030953</v>
      </c>
      <c r="AB105" s="52">
        <f t="shared" si="276"/>
        <v>0.00961625282167042</v>
      </c>
      <c r="AC105" s="52">
        <f t="shared" si="276"/>
        <v>0.0113017332861691</v>
      </c>
      <c r="AD105" s="36"/>
      <c r="AE105" s="36"/>
      <c r="AF105" s="52">
        <f t="shared" ref="AF105:AL105" si="277">AF93</f>
        <v>0.0115546572342934</v>
      </c>
      <c r="AG105" s="52">
        <f t="shared" si="277"/>
        <v>0.0110863986313088</v>
      </c>
      <c r="AH105" s="52">
        <f t="shared" si="277"/>
        <v>0.0114618834080717</v>
      </c>
      <c r="AI105" s="52">
        <f t="shared" si="277"/>
        <v>0.011751326762699</v>
      </c>
      <c r="AJ105" s="52">
        <f t="shared" si="277"/>
        <v>0.0119709118030953</v>
      </c>
      <c r="AK105" s="52">
        <f t="shared" si="277"/>
        <v>0.011058690744921</v>
      </c>
      <c r="AL105" s="52">
        <f t="shared" si="277"/>
        <v>0.0129969932790944</v>
      </c>
      <c r="AM105" s="36"/>
      <c r="AN105" s="36"/>
      <c r="AO105" s="52">
        <f t="shared" ref="AO105:AU105" si="278">AO93</f>
        <v>0.0115546572342934</v>
      </c>
      <c r="AP105" s="52">
        <f t="shared" si="278"/>
        <v>0.0110863986313088</v>
      </c>
      <c r="AQ105" s="52">
        <f t="shared" si="278"/>
        <v>0.0114618834080717</v>
      </c>
      <c r="AR105" s="52">
        <f t="shared" si="278"/>
        <v>0.011751326762699</v>
      </c>
      <c r="AS105" s="52">
        <f t="shared" si="278"/>
        <v>0.0119709118030953</v>
      </c>
      <c r="AT105" s="52">
        <f t="shared" si="278"/>
        <v>0.00817381489841985</v>
      </c>
      <c r="AU105" s="52">
        <f t="shared" si="278"/>
        <v>0.00960647329324371</v>
      </c>
    </row>
    <row r="106" ht="15.5" spans="21:47">
      <c r="U106" s="57"/>
      <c r="V106" s="51" t="s">
        <v>366</v>
      </c>
      <c r="W106" s="52">
        <f t="shared" ref="W106:AC106" si="279">W94</f>
        <v>0.0252147549267307</v>
      </c>
      <c r="X106" s="52">
        <f t="shared" si="279"/>
        <v>0.0242600513259196</v>
      </c>
      <c r="Y106" s="52">
        <f t="shared" si="279"/>
        <v>0.0250941704035874</v>
      </c>
      <c r="Z106" s="52">
        <f t="shared" si="279"/>
        <v>0.0257581501137225</v>
      </c>
      <c r="AA106" s="52">
        <f t="shared" si="279"/>
        <v>0.0262539623345143</v>
      </c>
      <c r="AB106" s="52">
        <f t="shared" si="279"/>
        <v>0.0210534236267871</v>
      </c>
      <c r="AC106" s="52">
        <f t="shared" si="279"/>
        <v>0.0247435443933498</v>
      </c>
      <c r="AD106" s="36"/>
      <c r="AE106" s="36"/>
      <c r="AF106" s="52">
        <f t="shared" ref="AF106:AL106" si="280">AF94</f>
        <v>0.0252147549267307</v>
      </c>
      <c r="AG106" s="52">
        <f t="shared" si="280"/>
        <v>0.0242600513259196</v>
      </c>
      <c r="AH106" s="52">
        <f t="shared" si="280"/>
        <v>0.0250941704035874</v>
      </c>
      <c r="AI106" s="52">
        <f t="shared" si="280"/>
        <v>0.0257581501137225</v>
      </c>
      <c r="AJ106" s="52">
        <f t="shared" si="280"/>
        <v>0.0262539623345143</v>
      </c>
      <c r="AK106" s="52">
        <f t="shared" si="280"/>
        <v>0.0242114371708051</v>
      </c>
      <c r="AL106" s="52">
        <f t="shared" si="280"/>
        <v>0.0284550760523523</v>
      </c>
      <c r="AM106" s="36"/>
      <c r="AN106" s="36"/>
      <c r="AO106" s="52">
        <f t="shared" ref="AO106:AU106" si="281">AO94</f>
        <v>0.0252147549267307</v>
      </c>
      <c r="AP106" s="52">
        <f t="shared" si="281"/>
        <v>0.0242600513259196</v>
      </c>
      <c r="AQ106" s="52">
        <f t="shared" si="281"/>
        <v>0.0250941704035874</v>
      </c>
      <c r="AR106" s="52">
        <f t="shared" si="281"/>
        <v>0.0257581501137225</v>
      </c>
      <c r="AS106" s="52">
        <f t="shared" si="281"/>
        <v>0.0262539623345143</v>
      </c>
      <c r="AT106" s="52">
        <f t="shared" si="281"/>
        <v>0.017895410082769</v>
      </c>
      <c r="AU106" s="52">
        <f t="shared" si="281"/>
        <v>0.0210320127343474</v>
      </c>
    </row>
    <row r="107" ht="15.5" spans="21:47">
      <c r="U107" s="57"/>
      <c r="V107" s="50" t="s">
        <v>367</v>
      </c>
      <c r="W107" s="52">
        <f t="shared" ref="W107:AC107" si="282">W95</f>
        <v>0.0978103419235304</v>
      </c>
      <c r="X107" s="52">
        <f t="shared" si="282"/>
        <v>0.0947818648417451</v>
      </c>
      <c r="Y107" s="52">
        <f t="shared" si="282"/>
        <v>0.0982600896860986</v>
      </c>
      <c r="Z107" s="52">
        <f t="shared" si="282"/>
        <v>0.099696739954511</v>
      </c>
      <c r="AA107" s="52">
        <f t="shared" si="282"/>
        <v>0.103953011374231</v>
      </c>
      <c r="AB107" s="52">
        <f t="shared" si="282"/>
        <v>0.0824379232505643</v>
      </c>
      <c r="AC107" s="52">
        <f t="shared" si="282"/>
        <v>0.0968871595330739</v>
      </c>
      <c r="AD107" s="36"/>
      <c r="AE107" s="36"/>
      <c r="AF107" s="52">
        <f t="shared" ref="AF107:AL107" si="283">AF95</f>
        <v>0.0978103419235304</v>
      </c>
      <c r="AG107" s="52">
        <f t="shared" si="283"/>
        <v>0.0947818648417451</v>
      </c>
      <c r="AH107" s="52">
        <f t="shared" si="283"/>
        <v>0.0982600896860986</v>
      </c>
      <c r="AI107" s="52">
        <f t="shared" si="283"/>
        <v>0.099696739954511</v>
      </c>
      <c r="AJ107" s="52">
        <f t="shared" si="283"/>
        <v>0.103953011374231</v>
      </c>
      <c r="AK107" s="52">
        <f t="shared" si="283"/>
        <v>0.094803611738149</v>
      </c>
      <c r="AL107" s="52">
        <f t="shared" si="283"/>
        <v>0.111420233463035</v>
      </c>
      <c r="AM107" s="36"/>
      <c r="AN107" s="36"/>
      <c r="AO107" s="52">
        <f t="shared" ref="AO107:AU107" si="284">AO95</f>
        <v>0.0978103419235304</v>
      </c>
      <c r="AP107" s="52">
        <f t="shared" si="284"/>
        <v>0.0947818648417451</v>
      </c>
      <c r="AQ107" s="52">
        <f t="shared" si="284"/>
        <v>0.0982600896860986</v>
      </c>
      <c r="AR107" s="52">
        <f t="shared" si="284"/>
        <v>0.099696739954511</v>
      </c>
      <c r="AS107" s="52">
        <f t="shared" si="284"/>
        <v>0.103953011374231</v>
      </c>
      <c r="AT107" s="52">
        <f t="shared" si="284"/>
        <v>0.0700722347629797</v>
      </c>
      <c r="AU107" s="52">
        <f t="shared" si="284"/>
        <v>0.0823540856031128</v>
      </c>
    </row>
    <row r="108" ht="15.5" spans="21:47">
      <c r="U108" s="57"/>
      <c r="V108" s="50" t="s">
        <v>368</v>
      </c>
      <c r="W108" s="52">
        <f t="shared" ref="W108:AC108" si="285">W96</f>
        <v>0.0132390096008085</v>
      </c>
      <c r="X108" s="52">
        <f t="shared" si="285"/>
        <v>0.0130538922155689</v>
      </c>
      <c r="Y108" s="52">
        <f t="shared" si="285"/>
        <v>0.0136143497757848</v>
      </c>
      <c r="Z108" s="52">
        <f t="shared" si="285"/>
        <v>0.0139689158453374</v>
      </c>
      <c r="AA108" s="52">
        <f t="shared" si="285"/>
        <v>0.0141711728510162</v>
      </c>
      <c r="AB108" s="52">
        <f t="shared" si="285"/>
        <v>0.0114221218961625</v>
      </c>
      <c r="AC108" s="52">
        <f t="shared" si="285"/>
        <v>0.0134241245136187</v>
      </c>
      <c r="AD108" s="36"/>
      <c r="AE108" s="36"/>
      <c r="AF108" s="52">
        <f t="shared" ref="AF108:AL108" si="286">AF96</f>
        <v>0.0132390096008085</v>
      </c>
      <c r="AG108" s="52">
        <f t="shared" si="286"/>
        <v>0.0130538922155689</v>
      </c>
      <c r="AH108" s="52">
        <f t="shared" si="286"/>
        <v>0.0136143497757848</v>
      </c>
      <c r="AI108" s="52">
        <f t="shared" si="286"/>
        <v>0.0139689158453374</v>
      </c>
      <c r="AJ108" s="52">
        <f t="shared" si="286"/>
        <v>0.0141711728510162</v>
      </c>
      <c r="AK108" s="52">
        <f t="shared" si="286"/>
        <v>0.0131354401805869</v>
      </c>
      <c r="AL108" s="52">
        <f t="shared" si="286"/>
        <v>0.0154377431906615</v>
      </c>
      <c r="AM108" s="36"/>
      <c r="AN108" s="36"/>
      <c r="AO108" s="52">
        <f t="shared" ref="AO108:AU108" si="287">AO96</f>
        <v>0.0132390096008085</v>
      </c>
      <c r="AP108" s="52">
        <f t="shared" si="287"/>
        <v>0.0130538922155689</v>
      </c>
      <c r="AQ108" s="52">
        <f t="shared" si="287"/>
        <v>0.0136143497757848</v>
      </c>
      <c r="AR108" s="52">
        <f t="shared" si="287"/>
        <v>0.0139689158453374</v>
      </c>
      <c r="AS108" s="52">
        <f t="shared" si="287"/>
        <v>0.0141711728510162</v>
      </c>
      <c r="AT108" s="52">
        <f t="shared" si="287"/>
        <v>0.00970880361173815</v>
      </c>
      <c r="AU108" s="52">
        <f t="shared" si="287"/>
        <v>0.0114105058365759</v>
      </c>
    </row>
    <row r="112" ht="15.5" spans="21:47">
      <c r="U112" s="36"/>
      <c r="V112" s="36"/>
      <c r="W112" s="36" t="s">
        <v>336</v>
      </c>
      <c r="X112" s="36" t="s">
        <v>337</v>
      </c>
      <c r="Y112" s="40" t="s">
        <v>338</v>
      </c>
      <c r="Z112" s="36" t="s">
        <v>339</v>
      </c>
      <c r="AA112" s="36" t="s">
        <v>340</v>
      </c>
      <c r="AB112" s="42" t="s">
        <v>341</v>
      </c>
      <c r="AC112" s="42" t="s">
        <v>342</v>
      </c>
      <c r="AD112" s="36"/>
      <c r="AE112" s="36"/>
      <c r="AF112" s="36" t="s">
        <v>336</v>
      </c>
      <c r="AG112" s="36" t="s">
        <v>337</v>
      </c>
      <c r="AH112" s="40" t="s">
        <v>338</v>
      </c>
      <c r="AI112" s="36" t="s">
        <v>339</v>
      </c>
      <c r="AJ112" s="36" t="s">
        <v>340</v>
      </c>
      <c r="AK112" s="42" t="s">
        <v>341</v>
      </c>
      <c r="AL112" s="42" t="s">
        <v>342</v>
      </c>
      <c r="AM112" s="36"/>
      <c r="AN112" s="36"/>
      <c r="AO112" s="36" t="s">
        <v>336</v>
      </c>
      <c r="AP112" s="36" t="s">
        <v>337</v>
      </c>
      <c r="AQ112" s="40" t="s">
        <v>338</v>
      </c>
      <c r="AR112" s="36" t="s">
        <v>339</v>
      </c>
      <c r="AS112" s="36" t="s">
        <v>340</v>
      </c>
      <c r="AT112" s="42" t="s">
        <v>341</v>
      </c>
      <c r="AU112" s="42" t="s">
        <v>342</v>
      </c>
    </row>
    <row r="113" spans="21:47">
      <c r="U113" s="35" t="s">
        <v>343</v>
      </c>
      <c r="V113" s="50"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5"/>
      <c r="V114" s="51"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5"/>
      <c r="V115" s="50"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5"/>
      <c r="V116" s="50"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5" t="s">
        <v>241</v>
      </c>
      <c r="V117" s="50"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5"/>
      <c r="V118" s="51"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5"/>
      <c r="V119" s="50"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6"/>
      <c r="AE119" s="36"/>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6"/>
      <c r="AN119" s="36"/>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5"/>
      <c r="V120" s="50"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6"/>
      <c r="AE120" s="36"/>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6"/>
      <c r="AN120" s="36"/>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5" t="s">
        <v>369</v>
      </c>
      <c r="V121" s="50" t="s">
        <v>122</v>
      </c>
      <c r="W121" s="36">
        <f t="shared" ref="W121:AC121" si="312">W54-W55</f>
        <v>0.00810173488293751</v>
      </c>
      <c r="X121" s="36">
        <f t="shared" si="312"/>
        <v>0.00786997433704022</v>
      </c>
      <c r="Y121" s="36">
        <f t="shared" si="312"/>
        <v>0.00817937219730942</v>
      </c>
      <c r="Z121" s="36">
        <f t="shared" si="312"/>
        <v>0.00816906747536013</v>
      </c>
      <c r="AA121" s="36">
        <f t="shared" si="312"/>
        <v>0.00826030206973706</v>
      </c>
      <c r="AB121" s="36">
        <f t="shared" si="312"/>
        <v>0.00686230248306997</v>
      </c>
      <c r="AC121" s="36">
        <f t="shared" si="312"/>
        <v>0.00806508666430845</v>
      </c>
      <c r="AD121" s="36"/>
      <c r="AE121" s="36"/>
      <c r="AF121" s="36">
        <f t="shared" ref="AF121:AL121" si="313">AF54-AF55</f>
        <v>0.00810173488293751</v>
      </c>
      <c r="AG121" s="36">
        <f t="shared" si="313"/>
        <v>0.00786997433704022</v>
      </c>
      <c r="AH121" s="36">
        <f t="shared" si="313"/>
        <v>0.00817937219730942</v>
      </c>
      <c r="AI121" s="36">
        <f t="shared" si="313"/>
        <v>0.00816906747536013</v>
      </c>
      <c r="AJ121" s="36">
        <f t="shared" si="313"/>
        <v>0.00826030206973706</v>
      </c>
      <c r="AK121" s="36">
        <f t="shared" si="313"/>
        <v>0.00789164785553047</v>
      </c>
      <c r="AL121" s="36">
        <f t="shared" si="313"/>
        <v>0.00927484966395473</v>
      </c>
      <c r="AM121" s="36"/>
      <c r="AN121" s="36"/>
      <c r="AO121" s="36">
        <f t="shared" ref="AO121:AU121" si="314">AO54-AO55</f>
        <v>0.00810173488293751</v>
      </c>
      <c r="AP121" s="36">
        <f t="shared" si="314"/>
        <v>0.00786997433704022</v>
      </c>
      <c r="AQ121" s="36">
        <f t="shared" si="314"/>
        <v>0.00817937219730942</v>
      </c>
      <c r="AR121" s="36">
        <f t="shared" si="314"/>
        <v>0.00816906747536013</v>
      </c>
      <c r="AS121" s="36">
        <f t="shared" si="314"/>
        <v>0.00826030206973706</v>
      </c>
      <c r="AT121" s="36">
        <f t="shared" si="314"/>
        <v>0.00583295711060948</v>
      </c>
      <c r="AU121" s="36">
        <f t="shared" si="314"/>
        <v>0.00685532366466218</v>
      </c>
    </row>
    <row r="122" ht="15.5" spans="21:47">
      <c r="U122" s="35"/>
      <c r="V122" s="51" t="s">
        <v>366</v>
      </c>
      <c r="W122" s="36">
        <f t="shared" ref="W122:AC122" si="315">W56</f>
        <v>0.0319690079164561</v>
      </c>
      <c r="X122" s="36">
        <f t="shared" si="315"/>
        <v>0.0310692899914457</v>
      </c>
      <c r="Y122" s="36">
        <f t="shared" si="315"/>
        <v>0.0322331838565022</v>
      </c>
      <c r="Z122" s="36">
        <f t="shared" si="315"/>
        <v>0.0321645185746778</v>
      </c>
      <c r="AA122" s="36">
        <f t="shared" si="315"/>
        <v>0.0325750512772702</v>
      </c>
      <c r="AB122" s="36">
        <f t="shared" si="315"/>
        <v>0.0270428893905192</v>
      </c>
      <c r="AC122" s="36">
        <f t="shared" si="315"/>
        <v>0.0317828086310577</v>
      </c>
      <c r="AD122" s="36"/>
      <c r="AE122" s="36"/>
      <c r="AF122" s="36">
        <f t="shared" ref="AF122:AL122" si="316">AF56</f>
        <v>0.0319690079164561</v>
      </c>
      <c r="AG122" s="36">
        <f t="shared" si="316"/>
        <v>0.0310692899914457</v>
      </c>
      <c r="AH122" s="36">
        <f t="shared" si="316"/>
        <v>0.0322331838565022</v>
      </c>
      <c r="AI122" s="36">
        <f t="shared" si="316"/>
        <v>0.0321645185746778</v>
      </c>
      <c r="AJ122" s="36">
        <f t="shared" si="316"/>
        <v>0.0325750512772702</v>
      </c>
      <c r="AK122" s="36">
        <f t="shared" si="316"/>
        <v>0.0310993227990971</v>
      </c>
      <c r="AL122" s="36">
        <f t="shared" si="316"/>
        <v>0.0365502299257163</v>
      </c>
      <c r="AM122" s="36"/>
      <c r="AN122" s="36"/>
      <c r="AO122" s="36">
        <f t="shared" ref="AO122:AU122" si="317">AO56</f>
        <v>0.0319690079164561</v>
      </c>
      <c r="AP122" s="36">
        <f t="shared" si="317"/>
        <v>0.0310692899914457</v>
      </c>
      <c r="AQ122" s="36">
        <f t="shared" si="317"/>
        <v>0.0322331838565022</v>
      </c>
      <c r="AR122" s="36">
        <f t="shared" si="317"/>
        <v>0.0321645185746778</v>
      </c>
      <c r="AS122" s="36">
        <f t="shared" si="317"/>
        <v>0.0325750512772702</v>
      </c>
      <c r="AT122" s="36">
        <f t="shared" si="317"/>
        <v>0.0229864559819413</v>
      </c>
      <c r="AU122" s="36">
        <f t="shared" si="317"/>
        <v>0.027015387336399</v>
      </c>
    </row>
    <row r="123" ht="15.5" spans="21:47">
      <c r="U123" s="35"/>
      <c r="V123" s="50" t="s">
        <v>367</v>
      </c>
      <c r="W123" s="36">
        <f t="shared" ref="W123:AC123" si="318">W57</f>
        <v>0.0557183762843187</v>
      </c>
      <c r="X123" s="36">
        <f t="shared" si="318"/>
        <v>0.055158254918734</v>
      </c>
      <c r="Y123" s="36">
        <f t="shared" si="318"/>
        <v>0.0574887892376682</v>
      </c>
      <c r="Z123" s="36">
        <f t="shared" si="318"/>
        <v>0.0587755875663381</v>
      </c>
      <c r="AA123" s="36">
        <f t="shared" si="318"/>
        <v>0.0587544284915159</v>
      </c>
      <c r="AB123" s="36">
        <f t="shared" si="318"/>
        <v>0.0482317531978932</v>
      </c>
      <c r="AC123" s="36">
        <f t="shared" si="318"/>
        <v>0.0566855323664662</v>
      </c>
      <c r="AD123" s="36"/>
      <c r="AE123" s="36"/>
      <c r="AF123" s="36">
        <f t="shared" ref="AF123:AL123" si="319">AF57</f>
        <v>0.0557183762843187</v>
      </c>
      <c r="AG123" s="36">
        <f t="shared" si="319"/>
        <v>0.055158254918734</v>
      </c>
      <c r="AH123" s="36">
        <f t="shared" si="319"/>
        <v>0.0574887892376682</v>
      </c>
      <c r="AI123" s="36">
        <f t="shared" si="319"/>
        <v>0.0587755875663381</v>
      </c>
      <c r="AJ123" s="36">
        <f t="shared" si="319"/>
        <v>0.0587544284915159</v>
      </c>
      <c r="AK123" s="36">
        <f t="shared" si="319"/>
        <v>0.0554665161775771</v>
      </c>
      <c r="AL123" s="36">
        <f t="shared" si="319"/>
        <v>0.0651883622214361</v>
      </c>
      <c r="AM123" s="36"/>
      <c r="AN123" s="36"/>
      <c r="AO123" s="36">
        <f t="shared" ref="AO123:AU123" si="320">AO57</f>
        <v>0.0557183762843187</v>
      </c>
      <c r="AP123" s="36">
        <f t="shared" si="320"/>
        <v>0.055158254918734</v>
      </c>
      <c r="AQ123" s="36">
        <f t="shared" si="320"/>
        <v>0.0574887892376682</v>
      </c>
      <c r="AR123" s="36">
        <f t="shared" si="320"/>
        <v>0.0587755875663381</v>
      </c>
      <c r="AS123" s="36">
        <f t="shared" si="320"/>
        <v>0.0587544284915159</v>
      </c>
      <c r="AT123" s="36">
        <f t="shared" si="320"/>
        <v>0.0409969902182092</v>
      </c>
      <c r="AU123" s="36">
        <f t="shared" si="320"/>
        <v>0.0481827025114963</v>
      </c>
    </row>
    <row r="124" ht="15.5" spans="21:47">
      <c r="U124" s="35"/>
      <c r="V124" s="50" t="s">
        <v>368</v>
      </c>
      <c r="W124" s="36">
        <f t="shared" ref="W124:AC124" si="321">W58</f>
        <v>0.0130537308404918</v>
      </c>
      <c r="X124" s="36">
        <f t="shared" si="321"/>
        <v>0.0129170230966638</v>
      </c>
      <c r="Y124" s="36">
        <f t="shared" si="321"/>
        <v>0.0134529147982063</v>
      </c>
      <c r="Z124" s="36">
        <f t="shared" si="321"/>
        <v>0.0136846095526914</v>
      </c>
      <c r="AA124" s="36">
        <f t="shared" si="321"/>
        <v>0.0137236621294052</v>
      </c>
      <c r="AB124" s="36">
        <f t="shared" si="321"/>
        <v>0.0112866817155756</v>
      </c>
      <c r="AC124" s="36">
        <f t="shared" si="321"/>
        <v>0.01326494517156</v>
      </c>
      <c r="AD124" s="36"/>
      <c r="AE124" s="36"/>
      <c r="AF124" s="36">
        <f t="shared" ref="AF124:AL124" si="322">AF58</f>
        <v>0.0130537308404918</v>
      </c>
      <c r="AG124" s="36">
        <f t="shared" si="322"/>
        <v>0.0129170230966638</v>
      </c>
      <c r="AH124" s="36">
        <f t="shared" si="322"/>
        <v>0.0134529147982063</v>
      </c>
      <c r="AI124" s="36">
        <f t="shared" si="322"/>
        <v>0.0136846095526914</v>
      </c>
      <c r="AJ124" s="36">
        <f t="shared" si="322"/>
        <v>0.0137236621294052</v>
      </c>
      <c r="AK124" s="36">
        <f t="shared" si="322"/>
        <v>0.012979683972912</v>
      </c>
      <c r="AL124" s="36">
        <f t="shared" si="322"/>
        <v>0.0152546869472939</v>
      </c>
      <c r="AM124" s="36"/>
      <c r="AN124" s="36"/>
      <c r="AO124" s="36">
        <f t="shared" ref="AO124:AU124" si="323">AO58</f>
        <v>0.0130537308404918</v>
      </c>
      <c r="AP124" s="36">
        <f t="shared" si="323"/>
        <v>0.0129170230966638</v>
      </c>
      <c r="AQ124" s="36">
        <f t="shared" si="323"/>
        <v>0.0134529147982063</v>
      </c>
      <c r="AR124" s="36">
        <f t="shared" si="323"/>
        <v>0.0136846095526914</v>
      </c>
      <c r="AS124" s="36">
        <f t="shared" si="323"/>
        <v>0.0137236621294052</v>
      </c>
      <c r="AT124" s="36">
        <f t="shared" si="323"/>
        <v>0.00959367945823928</v>
      </c>
      <c r="AU124" s="36">
        <f t="shared" si="323"/>
        <v>0.011275203395826</v>
      </c>
    </row>
    <row r="125" ht="15.5" spans="21:47">
      <c r="U125" s="57" t="s">
        <v>343</v>
      </c>
      <c r="V125" s="50" t="s">
        <v>122</v>
      </c>
      <c r="W125" s="52">
        <f t="shared" ref="W125:AC125" si="324">W113</f>
        <v>0.00788276907529056</v>
      </c>
      <c r="X125" s="52">
        <f t="shared" si="324"/>
        <v>0.00764756201881948</v>
      </c>
      <c r="Y125" s="52">
        <f t="shared" si="324"/>
        <v>0.00794618834080718</v>
      </c>
      <c r="Z125" s="52">
        <f t="shared" si="324"/>
        <v>0.00794162244124336</v>
      </c>
      <c r="AA125" s="52">
        <f t="shared" si="324"/>
        <v>0.00801790042886445</v>
      </c>
      <c r="AB125" s="52">
        <f t="shared" si="324"/>
        <v>0.00666666666666667</v>
      </c>
      <c r="AC125" s="52">
        <f t="shared" si="324"/>
        <v>0.00783516094800141</v>
      </c>
      <c r="AD125" s="36"/>
      <c r="AE125" s="36"/>
      <c r="AF125" s="52">
        <f t="shared" ref="AF125:AL125" si="325">AF113</f>
        <v>0.00788276907529056</v>
      </c>
      <c r="AG125" s="52">
        <f t="shared" si="325"/>
        <v>0.00764756201881948</v>
      </c>
      <c r="AH125" s="52">
        <f t="shared" si="325"/>
        <v>0.00794618834080718</v>
      </c>
      <c r="AI125" s="52">
        <f t="shared" si="325"/>
        <v>0.00794162244124336</v>
      </c>
      <c r="AJ125" s="52">
        <f t="shared" si="325"/>
        <v>0.00801790042886445</v>
      </c>
      <c r="AK125" s="52">
        <f t="shared" si="325"/>
        <v>0.00766666666666667</v>
      </c>
      <c r="AL125" s="52">
        <f t="shared" si="325"/>
        <v>0.00901043509020162</v>
      </c>
      <c r="AM125" s="36"/>
      <c r="AN125" s="36"/>
      <c r="AO125" s="52">
        <f t="shared" ref="AO125:AU125" si="326">AO113</f>
        <v>0.00788276907529056</v>
      </c>
      <c r="AP125" s="52">
        <f t="shared" si="326"/>
        <v>0.00764756201881948</v>
      </c>
      <c r="AQ125" s="52">
        <f t="shared" si="326"/>
        <v>0.00794618834080718</v>
      </c>
      <c r="AR125" s="52">
        <f t="shared" si="326"/>
        <v>0.00794162244124336</v>
      </c>
      <c r="AS125" s="52">
        <f t="shared" si="326"/>
        <v>0.00801790042886445</v>
      </c>
      <c r="AT125" s="52">
        <f t="shared" si="326"/>
        <v>0.00566666666666667</v>
      </c>
      <c r="AU125" s="52">
        <f t="shared" si="326"/>
        <v>0.00665988680580119</v>
      </c>
    </row>
    <row r="126" ht="15.5" spans="21:47">
      <c r="U126" s="57"/>
      <c r="V126" s="51" t="s">
        <v>366</v>
      </c>
      <c r="W126" s="52">
        <f t="shared" ref="W126:AC126" si="327">W114</f>
        <v>0.02011116725619</v>
      </c>
      <c r="X126" s="52">
        <f t="shared" si="327"/>
        <v>0.0195038494439692</v>
      </c>
      <c r="Y126" s="52">
        <f t="shared" si="327"/>
        <v>0.0202152466367713</v>
      </c>
      <c r="Z126" s="52">
        <f t="shared" si="327"/>
        <v>0.0201099317664898</v>
      </c>
      <c r="AA126" s="52">
        <f t="shared" si="327"/>
        <v>0.0203990303934365</v>
      </c>
      <c r="AB126" s="52">
        <f t="shared" si="327"/>
        <v>0.0169601203912716</v>
      </c>
      <c r="AC126" s="52">
        <f t="shared" si="327"/>
        <v>0.0199327909444641</v>
      </c>
      <c r="AD126" s="36"/>
      <c r="AE126" s="36"/>
      <c r="AF126" s="52">
        <f t="shared" ref="AF126:AL126" si="328">AF114</f>
        <v>0.02011116725619</v>
      </c>
      <c r="AG126" s="52">
        <f t="shared" si="328"/>
        <v>0.0195038494439692</v>
      </c>
      <c r="AH126" s="52">
        <f t="shared" si="328"/>
        <v>0.0202152466367713</v>
      </c>
      <c r="AI126" s="52">
        <f t="shared" si="328"/>
        <v>0.0201099317664898</v>
      </c>
      <c r="AJ126" s="52">
        <f t="shared" si="328"/>
        <v>0.0203990303934365</v>
      </c>
      <c r="AK126" s="52">
        <f t="shared" si="328"/>
        <v>0.0195041384499624</v>
      </c>
      <c r="AL126" s="52">
        <f t="shared" si="328"/>
        <v>0.0229227095861337</v>
      </c>
      <c r="AM126" s="36"/>
      <c r="AN126" s="36"/>
      <c r="AO126" s="52">
        <f t="shared" ref="AO126:AU126" si="329">AO114</f>
        <v>0.02011116725619</v>
      </c>
      <c r="AP126" s="52">
        <f t="shared" si="329"/>
        <v>0.0195038494439692</v>
      </c>
      <c r="AQ126" s="52">
        <f t="shared" si="329"/>
        <v>0.0202152466367713</v>
      </c>
      <c r="AR126" s="52">
        <f t="shared" si="329"/>
        <v>0.0201099317664898</v>
      </c>
      <c r="AS126" s="52">
        <f t="shared" si="329"/>
        <v>0.0203990303934365</v>
      </c>
      <c r="AT126" s="52">
        <f t="shared" si="329"/>
        <v>0.0144161023325809</v>
      </c>
      <c r="AU126" s="52">
        <f t="shared" si="329"/>
        <v>0.0169428723027945</v>
      </c>
    </row>
    <row r="127" ht="15.5" spans="21:47">
      <c r="U127" s="57"/>
      <c r="V127" s="50" t="s">
        <v>367</v>
      </c>
      <c r="W127" s="52">
        <f t="shared" ref="W127:AC127" si="330">W115</f>
        <v>0.0641232945932289</v>
      </c>
      <c r="X127" s="52">
        <f t="shared" si="330"/>
        <v>0.0633532934131737</v>
      </c>
      <c r="Y127" s="52">
        <f t="shared" si="330"/>
        <v>0.0659910313901345</v>
      </c>
      <c r="Z127" s="52">
        <f t="shared" si="330"/>
        <v>0.0673237300985595</v>
      </c>
      <c r="AA127" s="52">
        <f t="shared" si="330"/>
        <v>0.0673690098825284</v>
      </c>
      <c r="AB127" s="52">
        <f t="shared" si="330"/>
        <v>0.055364936042137</v>
      </c>
      <c r="AC127" s="52">
        <f t="shared" si="330"/>
        <v>0.0650689777148921</v>
      </c>
      <c r="AD127" s="36"/>
      <c r="AE127" s="36"/>
      <c r="AF127" s="52">
        <f t="shared" ref="AF127:AL127" si="331">AF115</f>
        <v>0.0641232945932289</v>
      </c>
      <c r="AG127" s="52">
        <f t="shared" si="331"/>
        <v>0.0633532934131737</v>
      </c>
      <c r="AH127" s="52">
        <f t="shared" si="331"/>
        <v>0.0659910313901345</v>
      </c>
      <c r="AI127" s="52">
        <f t="shared" si="331"/>
        <v>0.0673237300985595</v>
      </c>
      <c r="AJ127" s="52">
        <f t="shared" si="331"/>
        <v>0.0673690098825284</v>
      </c>
      <c r="AK127" s="52">
        <f t="shared" si="331"/>
        <v>0.0636696764484575</v>
      </c>
      <c r="AL127" s="52">
        <f t="shared" si="331"/>
        <v>0.0748293243721259</v>
      </c>
      <c r="AM127" s="36"/>
      <c r="AN127" s="36"/>
      <c r="AO127" s="52">
        <f t="shared" ref="AO127:AU127" si="332">AO115</f>
        <v>0.0641232945932289</v>
      </c>
      <c r="AP127" s="52">
        <f t="shared" si="332"/>
        <v>0.0633532934131737</v>
      </c>
      <c r="AQ127" s="52">
        <f t="shared" si="332"/>
        <v>0.0659910313901345</v>
      </c>
      <c r="AR127" s="52">
        <f t="shared" si="332"/>
        <v>0.0673237300985595</v>
      </c>
      <c r="AS127" s="52">
        <f t="shared" si="332"/>
        <v>0.0673690098825284</v>
      </c>
      <c r="AT127" s="52">
        <f t="shared" si="332"/>
        <v>0.0470601956358164</v>
      </c>
      <c r="AU127" s="52">
        <f t="shared" si="332"/>
        <v>0.0553086310576583</v>
      </c>
    </row>
    <row r="128" ht="15.5" spans="21:47">
      <c r="U128" s="57"/>
      <c r="V128" s="50" t="s">
        <v>368</v>
      </c>
      <c r="W128" s="52">
        <f t="shared" ref="W128:AC128" si="333">W116</f>
        <v>0.0129695132221661</v>
      </c>
      <c r="X128" s="52">
        <f t="shared" si="333"/>
        <v>0.012814371257485</v>
      </c>
      <c r="Y128" s="52">
        <f t="shared" si="333"/>
        <v>0.0133452914798206</v>
      </c>
      <c r="Z128" s="52">
        <f t="shared" si="333"/>
        <v>0.0135898407884761</v>
      </c>
      <c r="AA128" s="52">
        <f t="shared" si="333"/>
        <v>0.0136304307290695</v>
      </c>
      <c r="AB128" s="52">
        <f t="shared" si="333"/>
        <v>0.011196388261851</v>
      </c>
      <c r="AC128" s="52">
        <f t="shared" si="333"/>
        <v>0.0131588256101875</v>
      </c>
      <c r="AD128" s="36"/>
      <c r="AE128" s="36"/>
      <c r="AF128" s="52">
        <f t="shared" ref="AF128:AL128" si="334">AF116</f>
        <v>0.0129695132221661</v>
      </c>
      <c r="AG128" s="52">
        <f t="shared" si="334"/>
        <v>0.012814371257485</v>
      </c>
      <c r="AH128" s="52">
        <f t="shared" si="334"/>
        <v>0.0133452914798206</v>
      </c>
      <c r="AI128" s="52">
        <f t="shared" si="334"/>
        <v>0.0135898407884761</v>
      </c>
      <c r="AJ128" s="52">
        <f t="shared" si="334"/>
        <v>0.0136304307290695</v>
      </c>
      <c r="AK128" s="52">
        <f t="shared" si="334"/>
        <v>0.0128758465011287</v>
      </c>
      <c r="AL128" s="52">
        <f t="shared" si="334"/>
        <v>0.0151326494517156</v>
      </c>
      <c r="AM128" s="36"/>
      <c r="AN128" s="36"/>
      <c r="AO128" s="52">
        <f t="shared" ref="AO128:AU128" si="335">AO116</f>
        <v>0.0129695132221661</v>
      </c>
      <c r="AP128" s="52">
        <f t="shared" si="335"/>
        <v>0.012814371257485</v>
      </c>
      <c r="AQ128" s="52">
        <f t="shared" si="335"/>
        <v>0.0133452914798206</v>
      </c>
      <c r="AR128" s="52">
        <f t="shared" si="335"/>
        <v>0.0135898407884761</v>
      </c>
      <c r="AS128" s="52">
        <f t="shared" si="335"/>
        <v>0.0136304307290695</v>
      </c>
      <c r="AT128" s="52">
        <f t="shared" si="335"/>
        <v>0.00951693002257336</v>
      </c>
      <c r="AU128" s="52">
        <f t="shared" si="335"/>
        <v>0.0111850017686594</v>
      </c>
    </row>
    <row r="160" ht="15.5" spans="21:53">
      <c r="U160" s="53"/>
      <c r="V160" s="21" t="s">
        <v>326</v>
      </c>
      <c r="W160" s="53"/>
      <c r="Y160" s="54"/>
      <c r="Z160" s="53"/>
      <c r="AA160" s="21" t="s">
        <v>326</v>
      </c>
      <c r="AB160" s="53"/>
      <c r="AD160" s="54"/>
      <c r="AE160" s="53"/>
      <c r="AF160" s="21" t="s">
        <v>326</v>
      </c>
      <c r="AG160" s="53"/>
      <c r="AI160" s="54"/>
      <c r="AJ160" s="53"/>
      <c r="AK160" s="21" t="s">
        <v>326</v>
      </c>
      <c r="AL160" s="53"/>
      <c r="AN160" s="54"/>
      <c r="AO160" s="53"/>
      <c r="AP160" s="21" t="s">
        <v>326</v>
      </c>
      <c r="AQ160" s="53"/>
      <c r="AS160" s="54"/>
      <c r="AT160" s="53"/>
      <c r="AU160" s="21" t="s">
        <v>326</v>
      </c>
      <c r="AV160" s="53"/>
      <c r="AW160" s="54"/>
      <c r="AY160" s="53"/>
      <c r="AZ160" s="21" t="s">
        <v>326</v>
      </c>
      <c r="BA160" s="53"/>
    </row>
    <row r="161" ht="15.5" spans="21:53">
      <c r="U161" s="21" t="s">
        <v>65</v>
      </c>
      <c r="V161" s="21" t="s">
        <v>112</v>
      </c>
      <c r="W161" s="21" t="s">
        <v>25</v>
      </c>
      <c r="Y161" s="54"/>
      <c r="Z161" s="21" t="s">
        <v>65</v>
      </c>
      <c r="AA161" s="21" t="s">
        <v>112</v>
      </c>
      <c r="AB161" s="21" t="s">
        <v>25</v>
      </c>
      <c r="AD161" s="54"/>
      <c r="AE161" s="21" t="s">
        <v>65</v>
      </c>
      <c r="AF161" s="21" t="s">
        <v>112</v>
      </c>
      <c r="AG161" s="21" t="s">
        <v>25</v>
      </c>
      <c r="AI161" s="54"/>
      <c r="AJ161" s="21" t="s">
        <v>65</v>
      </c>
      <c r="AK161" s="21" t="s">
        <v>112</v>
      </c>
      <c r="AL161" s="21" t="s">
        <v>25</v>
      </c>
      <c r="AN161" s="54"/>
      <c r="AO161" s="21" t="s">
        <v>65</v>
      </c>
      <c r="AP161" s="21" t="s">
        <v>112</v>
      </c>
      <c r="AQ161" s="21" t="s">
        <v>25</v>
      </c>
      <c r="AS161" s="54"/>
      <c r="AT161" s="21" t="s">
        <v>65</v>
      </c>
      <c r="AU161" s="21" t="s">
        <v>112</v>
      </c>
      <c r="AV161" s="21" t="s">
        <v>25</v>
      </c>
      <c r="AW161" s="54"/>
      <c r="AY161" s="21" t="s">
        <v>65</v>
      </c>
      <c r="AZ161" s="21" t="s">
        <v>112</v>
      </c>
      <c r="BA161" s="21" t="s">
        <v>25</v>
      </c>
    </row>
    <row r="162" ht="15.5" spans="21:53">
      <c r="U162" s="54" t="s">
        <v>250</v>
      </c>
      <c r="V162" s="55" t="s">
        <v>327</v>
      </c>
      <c r="W162" s="54">
        <f t="shared" ref="W162:W165" si="336">W85</f>
        <v>0.0105103587670541</v>
      </c>
      <c r="Y162" s="54"/>
      <c r="Z162" s="54" t="s">
        <v>252</v>
      </c>
      <c r="AA162" s="55" t="s">
        <v>327</v>
      </c>
      <c r="AB162" s="54">
        <f t="shared" ref="AB162:AB165" si="337">X85</f>
        <v>0.0100940975192472</v>
      </c>
      <c r="AD162" s="54"/>
      <c r="AE162" s="54" t="s">
        <v>254</v>
      </c>
      <c r="AF162" s="55" t="s">
        <v>327</v>
      </c>
      <c r="AG162" s="54">
        <f t="shared" ref="AG162:AG165" si="338">Y85</f>
        <v>0.0103856502242152</v>
      </c>
      <c r="AI162" s="54"/>
      <c r="AJ162" s="54" t="s">
        <v>256</v>
      </c>
      <c r="AK162" s="55" t="s">
        <v>327</v>
      </c>
      <c r="AL162" s="54">
        <f t="shared" ref="AL162:AL165" si="339">Z85</f>
        <v>0.0114291129643669</v>
      </c>
      <c r="AN162" s="54"/>
      <c r="AO162" s="54" t="s">
        <v>248</v>
      </c>
      <c r="AP162" s="55" t="s">
        <v>327</v>
      </c>
      <c r="AQ162" s="54">
        <f t="shared" ref="AQ162:AQ165" si="340">AA85</f>
        <v>0.0115979862017528</v>
      </c>
      <c r="AS162" s="54"/>
      <c r="AT162" s="54" t="s">
        <v>246</v>
      </c>
      <c r="AU162" s="55" t="s">
        <v>327</v>
      </c>
      <c r="AV162" s="54">
        <f t="shared" ref="AV162:AV165" si="341">AB85</f>
        <v>0.00871331828442437</v>
      </c>
      <c r="AW162" s="54"/>
      <c r="AY162" s="54" t="s">
        <v>244</v>
      </c>
      <c r="AZ162" s="55" t="s">
        <v>327</v>
      </c>
      <c r="BA162" s="54">
        <f t="shared" ref="BA162:BA165" si="342">AC85</f>
        <v>0.0102405376724443</v>
      </c>
    </row>
    <row r="163" ht="15.5" spans="21:53">
      <c r="U163" s="54" t="str">
        <f>U162</f>
        <v>PyroRecy-NMC111</v>
      </c>
      <c r="V163" s="55" t="s">
        <v>328</v>
      </c>
      <c r="W163" s="54">
        <f t="shared" si="336"/>
        <v>0.0289203301330638</v>
      </c>
      <c r="Y163" s="54"/>
      <c r="Z163" s="54" t="str">
        <f t="shared" ref="Z163:Z165" si="343">Z162</f>
        <v>PyroRecy-NMC532</v>
      </c>
      <c r="AA163" s="55" t="s">
        <v>328</v>
      </c>
      <c r="AB163" s="54">
        <f t="shared" si="337"/>
        <v>0.0275620188195039</v>
      </c>
      <c r="AD163" s="54"/>
      <c r="AE163" s="54" t="str">
        <f t="shared" ref="AE163:AE165" si="344">AE162</f>
        <v>PyroRecy-NMC622</v>
      </c>
      <c r="AF163" s="55" t="s">
        <v>328</v>
      </c>
      <c r="AG163" s="54">
        <f t="shared" si="338"/>
        <v>0.028322869955157</v>
      </c>
      <c r="AI163" s="54"/>
      <c r="AJ163" s="54" t="str">
        <f t="shared" ref="AJ163:AJ165" si="345">AJ162</f>
        <v>PyroRecy-NMC811</v>
      </c>
      <c r="AK163" s="55" t="s">
        <v>328</v>
      </c>
      <c r="AL163" s="54">
        <f t="shared" si="339"/>
        <v>0.0288286580742987</v>
      </c>
      <c r="AN163" s="54"/>
      <c r="AO163" s="54" t="str">
        <f t="shared" ref="AO163:AO165" si="346">AO162</f>
        <v>PyroRecy-NCA</v>
      </c>
      <c r="AP163" s="55" t="s">
        <v>328</v>
      </c>
      <c r="AQ163" s="54">
        <f t="shared" si="340"/>
        <v>0.0296102927465971</v>
      </c>
      <c r="AS163" s="54"/>
      <c r="AT163" s="54" t="str">
        <f t="shared" ref="AT163:AT165" si="347">AT162</f>
        <v>PyroRecy-LMO</v>
      </c>
      <c r="AU163" s="55" t="s">
        <v>328</v>
      </c>
      <c r="AV163" s="54">
        <f t="shared" si="341"/>
        <v>0.0237622272385252</v>
      </c>
      <c r="AW163" s="54"/>
      <c r="AY163" s="54" t="str">
        <f t="shared" ref="AY163:AY165" si="348">AY162</f>
        <v>PyroRecy-LFP</v>
      </c>
      <c r="AZ163" s="55" t="s">
        <v>328</v>
      </c>
      <c r="BA163" s="54">
        <f t="shared" si="342"/>
        <v>0.0279271312345242</v>
      </c>
    </row>
    <row r="164" ht="15.5" spans="21:53">
      <c r="U164" s="54" t="str">
        <f>U163</f>
        <v>PyroRecy-NMC111</v>
      </c>
      <c r="V164" s="55" t="s">
        <v>329</v>
      </c>
      <c r="W164" s="54">
        <f t="shared" si="336"/>
        <v>0.0836617820448038</v>
      </c>
      <c r="Y164" s="54"/>
      <c r="Z164" s="54" t="str">
        <f t="shared" si="343"/>
        <v>PyroRecy-NMC532</v>
      </c>
      <c r="AA164" s="55" t="s">
        <v>329</v>
      </c>
      <c r="AB164" s="54">
        <f t="shared" si="337"/>
        <v>0.0814029084687767</v>
      </c>
      <c r="AD164" s="54"/>
      <c r="AE164" s="54" t="str">
        <f t="shared" si="344"/>
        <v>PyroRecy-NMC622</v>
      </c>
      <c r="AF164" s="55" t="s">
        <v>329</v>
      </c>
      <c r="AG164" s="54">
        <f t="shared" si="338"/>
        <v>0.0843946188340807</v>
      </c>
      <c r="AI164" s="54"/>
      <c r="AJ164" s="54" t="str">
        <f t="shared" si="345"/>
        <v>PyroRecy-NMC811</v>
      </c>
      <c r="AK164" s="55" t="s">
        <v>329</v>
      </c>
      <c r="AL164" s="54">
        <f t="shared" si="339"/>
        <v>0.0884192570128886</v>
      </c>
      <c r="AN164" s="54"/>
      <c r="AO164" s="54" t="str">
        <f t="shared" si="346"/>
        <v>PyroRecy-NCA</v>
      </c>
      <c r="AP164" s="55" t="s">
        <v>329</v>
      </c>
      <c r="AQ164" s="54">
        <f t="shared" si="340"/>
        <v>0.092485549132948</v>
      </c>
      <c r="AS164" s="54"/>
      <c r="AT164" s="54" t="str">
        <f t="shared" si="347"/>
        <v>PyroRecy-LMO</v>
      </c>
      <c r="AU164" s="55" t="s">
        <v>329</v>
      </c>
      <c r="AV164" s="54">
        <f t="shared" si="341"/>
        <v>0.0708051166290444</v>
      </c>
      <c r="AW164" s="54"/>
      <c r="AY164" s="54" t="str">
        <f t="shared" si="348"/>
        <v>PyroRecy-LFP</v>
      </c>
      <c r="AZ164" s="55" t="s">
        <v>329</v>
      </c>
      <c r="BA164" s="54">
        <f t="shared" si="342"/>
        <v>0.0832154227095861</v>
      </c>
    </row>
    <row r="165" ht="15.5" spans="21:53">
      <c r="U165" s="54" t="str">
        <f>U164</f>
        <v>PyroRecy-NMC111</v>
      </c>
      <c r="V165" s="55" t="s">
        <v>330</v>
      </c>
      <c r="W165" s="54">
        <f t="shared" si="336"/>
        <v>0.0130200437931615</v>
      </c>
      <c r="Y165" s="56"/>
      <c r="Z165" s="54" t="str">
        <f t="shared" si="343"/>
        <v>PyroRecy-NMC532</v>
      </c>
      <c r="AA165" s="55" t="s">
        <v>330</v>
      </c>
      <c r="AB165" s="54">
        <f t="shared" si="337"/>
        <v>0.0127459366980325</v>
      </c>
      <c r="AD165" s="56"/>
      <c r="AE165" s="54" t="str">
        <f t="shared" si="344"/>
        <v>PyroRecy-NMC622</v>
      </c>
      <c r="AF165" s="55" t="s">
        <v>330</v>
      </c>
      <c r="AG165" s="54">
        <f t="shared" si="338"/>
        <v>0.0132017937219731</v>
      </c>
      <c r="AI165" s="56"/>
      <c r="AJ165" s="54" t="str">
        <f t="shared" si="345"/>
        <v>PyroRecy-NMC811</v>
      </c>
      <c r="AK165" s="55" t="s">
        <v>330</v>
      </c>
      <c r="AL165" s="54">
        <f t="shared" si="339"/>
        <v>0.0144238059135709</v>
      </c>
      <c r="AN165" s="56"/>
      <c r="AO165" s="54" t="str">
        <f t="shared" si="346"/>
        <v>PyroRecy-NCA</v>
      </c>
      <c r="AP165" s="55" t="s">
        <v>330</v>
      </c>
      <c r="AQ165" s="54">
        <f t="shared" si="340"/>
        <v>0.0147119149729629</v>
      </c>
      <c r="AS165" s="56"/>
      <c r="AT165" s="54" t="str">
        <f t="shared" si="347"/>
        <v>PyroRecy-LMO</v>
      </c>
      <c r="AU165" s="55" t="s">
        <v>330</v>
      </c>
      <c r="AV165" s="54">
        <f t="shared" si="341"/>
        <v>0.0110759969902182</v>
      </c>
      <c r="AW165" s="56"/>
      <c r="AY165" s="54" t="str">
        <f t="shared" si="348"/>
        <v>PyroRecy-LFP</v>
      </c>
      <c r="AZ165" s="55" t="s">
        <v>330</v>
      </c>
      <c r="BA165" s="54">
        <f t="shared" si="342"/>
        <v>0.0130173328616908</v>
      </c>
    </row>
    <row r="166" ht="15.5" spans="21:53">
      <c r="U166" s="56"/>
      <c r="V166" s="56"/>
      <c r="W166" s="56"/>
      <c r="Y166" s="56"/>
      <c r="Z166" s="56"/>
      <c r="AA166" s="56"/>
      <c r="AB166" s="56"/>
      <c r="AD166" s="56"/>
      <c r="AE166" s="56"/>
      <c r="AF166" s="56"/>
      <c r="AG166" s="56"/>
      <c r="AI166" s="56"/>
      <c r="AJ166" s="56"/>
      <c r="AK166" s="56"/>
      <c r="AL166" s="56"/>
      <c r="AN166" s="56"/>
      <c r="AO166" s="56"/>
      <c r="AP166" s="56"/>
      <c r="AQ166" s="56"/>
      <c r="AS166" s="56"/>
      <c r="AT166" s="56"/>
      <c r="AU166" s="56"/>
      <c r="AV166" s="56"/>
      <c r="AW166" s="56"/>
      <c r="AY166" s="56"/>
      <c r="AZ166" s="56"/>
      <c r="BA166" s="56"/>
    </row>
    <row r="167" ht="15.5" spans="21:53">
      <c r="U167" s="36"/>
      <c r="V167" s="36"/>
      <c r="W167" s="36"/>
      <c r="Y167" s="36"/>
      <c r="Z167" s="36"/>
      <c r="AA167" s="36"/>
      <c r="AB167" s="36"/>
      <c r="AD167" s="36"/>
      <c r="AE167" s="36"/>
      <c r="AF167" s="36"/>
      <c r="AG167" s="36"/>
      <c r="AI167" s="36"/>
      <c r="AJ167" s="36"/>
      <c r="AK167" s="36"/>
      <c r="AL167" s="36"/>
      <c r="AN167" s="36"/>
      <c r="AO167" s="36"/>
      <c r="AP167" s="36"/>
      <c r="AQ167" s="36"/>
      <c r="AS167" s="36"/>
      <c r="AT167" s="36"/>
      <c r="AU167" s="36"/>
      <c r="AV167" s="36"/>
      <c r="AW167" s="36"/>
      <c r="AY167" s="36"/>
      <c r="AZ167" s="36"/>
      <c r="BA167" s="36"/>
    </row>
    <row r="168" ht="15.5" spans="21:53">
      <c r="U168" s="36"/>
      <c r="V168" s="36"/>
      <c r="W168" s="36"/>
      <c r="Y168" s="36"/>
      <c r="Z168" s="36"/>
      <c r="AA168" s="36"/>
      <c r="AB168" s="36"/>
      <c r="AD168" s="36"/>
      <c r="AE168" s="36"/>
      <c r="AF168" s="36"/>
      <c r="AG168" s="36"/>
      <c r="AI168" s="36"/>
      <c r="AJ168" s="36"/>
      <c r="AK168" s="36"/>
      <c r="AL168" s="36"/>
      <c r="AN168" s="36"/>
      <c r="AO168" s="36"/>
      <c r="AP168" s="36"/>
      <c r="AQ168" s="36"/>
      <c r="AS168" s="36"/>
      <c r="AT168" s="36"/>
      <c r="AU168" s="36"/>
      <c r="AV168" s="36"/>
      <c r="AW168" s="36"/>
      <c r="AY168" s="36"/>
      <c r="AZ168" s="36"/>
      <c r="BA168" s="36"/>
    </row>
    <row r="169" ht="15.5" spans="21:53">
      <c r="U169" s="36"/>
      <c r="V169" s="36"/>
      <c r="W169" s="36"/>
      <c r="Y169" s="36"/>
      <c r="Z169" s="36"/>
      <c r="AA169" s="36"/>
      <c r="AB169" s="36"/>
      <c r="AD169" s="36"/>
      <c r="AE169" s="36"/>
      <c r="AF169" s="36"/>
      <c r="AG169" s="36"/>
      <c r="AI169" s="36"/>
      <c r="AJ169" s="36"/>
      <c r="AK169" s="36"/>
      <c r="AL169" s="36"/>
      <c r="AN169" s="36"/>
      <c r="AO169" s="36"/>
      <c r="AP169" s="36"/>
      <c r="AQ169" s="36"/>
      <c r="AS169" s="36"/>
      <c r="AT169" s="36"/>
      <c r="AU169" s="36"/>
      <c r="AV169" s="36"/>
      <c r="AW169" s="36"/>
      <c r="AY169" s="36"/>
      <c r="AZ169" s="36"/>
      <c r="BA169" s="36"/>
    </row>
    <row r="170" ht="15.5" spans="21:53">
      <c r="U170" s="36"/>
      <c r="V170" s="36"/>
      <c r="W170" s="36"/>
      <c r="Y170" s="36"/>
      <c r="Z170" s="36"/>
      <c r="AA170" s="36"/>
      <c r="AB170" s="36"/>
      <c r="AD170" s="36"/>
      <c r="AE170" s="36"/>
      <c r="AF170" s="36"/>
      <c r="AG170" s="36"/>
      <c r="AI170" s="36"/>
      <c r="AJ170" s="36"/>
      <c r="AK170" s="36"/>
      <c r="AL170" s="36"/>
      <c r="AN170" s="36"/>
      <c r="AO170" s="36"/>
      <c r="AP170" s="36"/>
      <c r="AQ170" s="36"/>
      <c r="AS170" s="36"/>
      <c r="AT170" s="36"/>
      <c r="AU170" s="36"/>
      <c r="AV170" s="36"/>
      <c r="AW170" s="36"/>
      <c r="AY170" s="36"/>
      <c r="AZ170" s="36"/>
      <c r="BA170" s="36"/>
    </row>
    <row r="171" ht="15.5" spans="21:53">
      <c r="U171" s="36"/>
      <c r="V171" s="36"/>
      <c r="W171" s="36"/>
      <c r="Y171" s="36"/>
      <c r="Z171" s="36"/>
      <c r="AA171" s="36"/>
      <c r="AB171" s="36"/>
      <c r="AD171" s="36"/>
      <c r="AE171" s="36"/>
      <c r="AF171" s="36"/>
      <c r="AG171" s="36"/>
      <c r="AI171" s="36"/>
      <c r="AJ171" s="36"/>
      <c r="AK171" s="36"/>
      <c r="AL171" s="36"/>
      <c r="AN171" s="36"/>
      <c r="AO171" s="36"/>
      <c r="AP171" s="36"/>
      <c r="AQ171" s="36"/>
      <c r="AS171" s="36"/>
      <c r="AT171" s="36"/>
      <c r="AU171" s="36"/>
      <c r="AV171" s="36"/>
      <c r="AW171" s="36"/>
      <c r="AY171" s="36"/>
      <c r="AZ171" s="36"/>
      <c r="BA171" s="36"/>
    </row>
    <row r="172" ht="15.5" spans="21:53">
      <c r="U172" s="53"/>
      <c r="V172" s="21" t="s">
        <v>326</v>
      </c>
      <c r="W172" s="53"/>
      <c r="Y172" s="54"/>
      <c r="Z172" s="53"/>
      <c r="AA172" s="21" t="s">
        <v>326</v>
      </c>
      <c r="AB172" s="53"/>
      <c r="AD172" s="54"/>
      <c r="AE172" s="53"/>
      <c r="AF172" s="21" t="s">
        <v>326</v>
      </c>
      <c r="AG172" s="53"/>
      <c r="AI172" s="54"/>
      <c r="AJ172" s="53"/>
      <c r="AK172" s="21" t="s">
        <v>326</v>
      </c>
      <c r="AL172" s="53"/>
      <c r="AN172" s="54"/>
      <c r="AO172" s="53"/>
      <c r="AP172" s="21" t="s">
        <v>326</v>
      </c>
      <c r="AQ172" s="53"/>
      <c r="AS172" s="54"/>
      <c r="AT172" s="53"/>
      <c r="AU172" s="21" t="s">
        <v>326</v>
      </c>
      <c r="AV172" s="53"/>
      <c r="AW172" s="54"/>
      <c r="AY172" s="53"/>
      <c r="AZ172" s="21" t="s">
        <v>326</v>
      </c>
      <c r="BA172" s="53"/>
    </row>
    <row r="173" ht="15.5" spans="21:53">
      <c r="U173" s="21" t="s">
        <v>65</v>
      </c>
      <c r="V173" s="21" t="s">
        <v>112</v>
      </c>
      <c r="W173" s="21" t="s">
        <v>25</v>
      </c>
      <c r="Y173" s="54"/>
      <c r="Z173" s="21" t="s">
        <v>65</v>
      </c>
      <c r="AA173" s="21" t="s">
        <v>112</v>
      </c>
      <c r="AB173" s="21" t="s">
        <v>25</v>
      </c>
      <c r="AD173" s="54"/>
      <c r="AE173" s="21" t="s">
        <v>65</v>
      </c>
      <c r="AF173" s="21" t="s">
        <v>112</v>
      </c>
      <c r="AG173" s="21" t="s">
        <v>25</v>
      </c>
      <c r="AI173" s="54"/>
      <c r="AJ173" s="21" t="s">
        <v>65</v>
      </c>
      <c r="AK173" s="21" t="s">
        <v>112</v>
      </c>
      <c r="AL173" s="21" t="s">
        <v>25</v>
      </c>
      <c r="AN173" s="54"/>
      <c r="AO173" s="21" t="s">
        <v>65</v>
      </c>
      <c r="AP173" s="21" t="s">
        <v>112</v>
      </c>
      <c r="AQ173" s="21" t="s">
        <v>25</v>
      </c>
      <c r="AS173" s="54"/>
      <c r="AT173" s="21" t="s">
        <v>65</v>
      </c>
      <c r="AU173" s="21" t="s">
        <v>112</v>
      </c>
      <c r="AV173" s="21" t="s">
        <v>25</v>
      </c>
      <c r="AW173" s="54"/>
      <c r="AY173" s="21" t="s">
        <v>65</v>
      </c>
      <c r="AZ173" s="21" t="s">
        <v>112</v>
      </c>
      <c r="BA173" s="21" t="s">
        <v>25</v>
      </c>
    </row>
    <row r="174" ht="15.5" spans="21:53">
      <c r="U174" s="54" t="s">
        <v>263</v>
      </c>
      <c r="V174" s="55" t="s">
        <v>327</v>
      </c>
      <c r="W174" s="54">
        <f t="shared" ref="W174:W177" si="349">W105</f>
        <v>0.0115546572342934</v>
      </c>
      <c r="Y174" s="54"/>
      <c r="Z174" s="54" t="s">
        <v>265</v>
      </c>
      <c r="AA174" s="55" t="s">
        <v>327</v>
      </c>
      <c r="AB174" s="54">
        <f t="shared" ref="AB174:AB177" si="350">X105</f>
        <v>0.0110863986313088</v>
      </c>
      <c r="AD174" s="54"/>
      <c r="AE174" s="54" t="s">
        <v>267</v>
      </c>
      <c r="AF174" s="55" t="s">
        <v>327</v>
      </c>
      <c r="AG174" s="54">
        <f t="shared" ref="AG174:AG177" si="351">Y105</f>
        <v>0.0114618834080717</v>
      </c>
      <c r="AI174" s="54"/>
      <c r="AJ174" s="54" t="s">
        <v>269</v>
      </c>
      <c r="AK174" s="55" t="s">
        <v>327</v>
      </c>
      <c r="AL174" s="54">
        <f t="shared" ref="AL174:AL177" si="352">Z105</f>
        <v>0.011751326762699</v>
      </c>
      <c r="AN174" s="54"/>
      <c r="AO174" s="54" t="s">
        <v>261</v>
      </c>
      <c r="AP174" s="55" t="s">
        <v>327</v>
      </c>
      <c r="AQ174" s="54">
        <f t="shared" ref="AQ174:AQ177" si="353">AA105</f>
        <v>0.0119709118030953</v>
      </c>
      <c r="AS174" s="54"/>
      <c r="AT174" s="54" t="s">
        <v>260</v>
      </c>
      <c r="AU174" s="55" t="s">
        <v>327</v>
      </c>
      <c r="AV174" s="54">
        <f t="shared" ref="AV174:AV177" si="354">AB105</f>
        <v>0.00961625282167042</v>
      </c>
      <c r="AW174" s="54"/>
      <c r="AY174" s="54" t="s">
        <v>258</v>
      </c>
      <c r="AZ174" s="55" t="s">
        <v>327</v>
      </c>
      <c r="BA174" s="54">
        <f t="shared" ref="BA174:BA177" si="355">AC105</f>
        <v>0.0113017332861691</v>
      </c>
    </row>
    <row r="175" ht="15.5" spans="21:53">
      <c r="U175" s="54" t="str">
        <f t="shared" ref="U175:U177" si="356">U174</f>
        <v>HydRecy-NMC111</v>
      </c>
      <c r="V175" s="55" t="s">
        <v>328</v>
      </c>
      <c r="W175" s="54">
        <f t="shared" si="349"/>
        <v>0.0252147549267307</v>
      </c>
      <c r="Y175" s="54"/>
      <c r="Z175" s="54" t="str">
        <f t="shared" ref="Z175:Z177" si="357">Z174</f>
        <v>HydRecy-NMC532</v>
      </c>
      <c r="AA175" s="55" t="s">
        <v>328</v>
      </c>
      <c r="AB175" s="54">
        <f t="shared" si="350"/>
        <v>0.0242600513259196</v>
      </c>
      <c r="AD175" s="54"/>
      <c r="AE175" s="54" t="str">
        <f t="shared" ref="AE175:AE177" si="358">AE174</f>
        <v>HydRecy-NMC622</v>
      </c>
      <c r="AF175" s="55" t="s">
        <v>328</v>
      </c>
      <c r="AG175" s="54">
        <f t="shared" si="351"/>
        <v>0.0250941704035874</v>
      </c>
      <c r="AI175" s="54"/>
      <c r="AJ175" s="54" t="str">
        <f t="shared" ref="AJ175:AJ177" si="359">AJ174</f>
        <v>HydRecy-NMC811</v>
      </c>
      <c r="AK175" s="55" t="s">
        <v>328</v>
      </c>
      <c r="AL175" s="54">
        <f t="shared" si="352"/>
        <v>0.0257581501137225</v>
      </c>
      <c r="AN175" s="54"/>
      <c r="AO175" s="54" t="str">
        <f t="shared" ref="AO175:AO177" si="360">AO174</f>
        <v>HydRecy-NCA</v>
      </c>
      <c r="AP175" s="55" t="s">
        <v>328</v>
      </c>
      <c r="AQ175" s="54">
        <f t="shared" si="353"/>
        <v>0.0262539623345143</v>
      </c>
      <c r="AS175" s="54"/>
      <c r="AT175" s="54" t="str">
        <f t="shared" ref="AT175:AT177" si="361">AT174</f>
        <v>HydRecy-LMO</v>
      </c>
      <c r="AU175" s="55" t="s">
        <v>328</v>
      </c>
      <c r="AV175" s="54">
        <f t="shared" si="354"/>
        <v>0.0210534236267871</v>
      </c>
      <c r="AW175" s="54"/>
      <c r="AY175" s="54" t="str">
        <f t="shared" ref="AY175:AY177" si="362">AY174</f>
        <v>HydRecy-LFP</v>
      </c>
      <c r="AZ175" s="55" t="s">
        <v>328</v>
      </c>
      <c r="BA175" s="54">
        <f t="shared" si="355"/>
        <v>0.0247435443933498</v>
      </c>
    </row>
    <row r="176" ht="15.5" spans="21:53">
      <c r="U176" s="54" t="str">
        <f t="shared" si="356"/>
        <v>HydRecy-NMC111</v>
      </c>
      <c r="V176" s="55" t="s">
        <v>329</v>
      </c>
      <c r="W176" s="54">
        <f t="shared" si="349"/>
        <v>0.0978103419235304</v>
      </c>
      <c r="Y176" s="54"/>
      <c r="Z176" s="54" t="str">
        <f t="shared" si="357"/>
        <v>HydRecy-NMC532</v>
      </c>
      <c r="AA176" s="55" t="s">
        <v>329</v>
      </c>
      <c r="AB176" s="54">
        <f t="shared" si="350"/>
        <v>0.0947818648417451</v>
      </c>
      <c r="AD176" s="54"/>
      <c r="AE176" s="54" t="str">
        <f t="shared" si="358"/>
        <v>HydRecy-NMC622</v>
      </c>
      <c r="AF176" s="55" t="s">
        <v>329</v>
      </c>
      <c r="AG176" s="54">
        <f t="shared" si="351"/>
        <v>0.0982600896860986</v>
      </c>
      <c r="AI176" s="54"/>
      <c r="AJ176" s="54" t="str">
        <f t="shared" si="359"/>
        <v>HydRecy-NMC811</v>
      </c>
      <c r="AK176" s="55" t="s">
        <v>329</v>
      </c>
      <c r="AL176" s="54">
        <f t="shared" si="352"/>
        <v>0.099696739954511</v>
      </c>
      <c r="AN176" s="54"/>
      <c r="AO176" s="54" t="str">
        <f t="shared" si="360"/>
        <v>HydRecy-NCA</v>
      </c>
      <c r="AP176" s="55" t="s">
        <v>329</v>
      </c>
      <c r="AQ176" s="54">
        <f t="shared" si="353"/>
        <v>0.103953011374231</v>
      </c>
      <c r="AS176" s="54"/>
      <c r="AT176" s="54" t="str">
        <f t="shared" si="361"/>
        <v>HydRecy-LMO</v>
      </c>
      <c r="AU176" s="55" t="s">
        <v>329</v>
      </c>
      <c r="AV176" s="54">
        <f t="shared" si="354"/>
        <v>0.0824379232505643</v>
      </c>
      <c r="AW176" s="54"/>
      <c r="AY176" s="54" t="str">
        <f t="shared" si="362"/>
        <v>HydRecy-LFP</v>
      </c>
      <c r="AZ176" s="55" t="s">
        <v>329</v>
      </c>
      <c r="BA176" s="54">
        <f t="shared" si="355"/>
        <v>0.0968871595330739</v>
      </c>
    </row>
    <row r="177" ht="15.5" spans="21:53">
      <c r="U177" s="54" t="str">
        <f t="shared" si="356"/>
        <v>HydRecy-NMC111</v>
      </c>
      <c r="V177" s="55" t="s">
        <v>330</v>
      </c>
      <c r="W177" s="54">
        <f t="shared" si="349"/>
        <v>0.0132390096008085</v>
      </c>
      <c r="Y177" s="56"/>
      <c r="Z177" s="54" t="str">
        <f t="shared" si="357"/>
        <v>HydRecy-NMC532</v>
      </c>
      <c r="AA177" s="55" t="s">
        <v>330</v>
      </c>
      <c r="AB177" s="54">
        <f t="shared" si="350"/>
        <v>0.0130538922155689</v>
      </c>
      <c r="AD177" s="56"/>
      <c r="AE177" s="54" t="str">
        <f t="shared" si="358"/>
        <v>HydRecy-NMC622</v>
      </c>
      <c r="AF177" s="55" t="s">
        <v>330</v>
      </c>
      <c r="AG177" s="54">
        <f t="shared" si="351"/>
        <v>0.0136143497757848</v>
      </c>
      <c r="AI177" s="56"/>
      <c r="AJ177" s="54" t="str">
        <f t="shared" si="359"/>
        <v>HydRecy-NMC811</v>
      </c>
      <c r="AK177" s="55" t="s">
        <v>330</v>
      </c>
      <c r="AL177" s="54">
        <f t="shared" si="352"/>
        <v>0.0139689158453374</v>
      </c>
      <c r="AN177" s="56"/>
      <c r="AO177" s="54" t="str">
        <f t="shared" si="360"/>
        <v>HydRecy-NCA</v>
      </c>
      <c r="AP177" s="55" t="s">
        <v>330</v>
      </c>
      <c r="AQ177" s="54">
        <f t="shared" si="353"/>
        <v>0.0141711728510162</v>
      </c>
      <c r="AS177" s="56"/>
      <c r="AT177" s="54" t="str">
        <f t="shared" si="361"/>
        <v>HydRecy-LMO</v>
      </c>
      <c r="AU177" s="55" t="s">
        <v>330</v>
      </c>
      <c r="AV177" s="54">
        <f t="shared" si="354"/>
        <v>0.0114221218961625</v>
      </c>
      <c r="AW177" s="56"/>
      <c r="AY177" s="54" t="str">
        <f t="shared" si="362"/>
        <v>HydRecy-LFP</v>
      </c>
      <c r="AZ177" s="55" t="s">
        <v>330</v>
      </c>
      <c r="BA177" s="54">
        <f t="shared" si="355"/>
        <v>0.0134241245136187</v>
      </c>
    </row>
    <row r="178" ht="15.5" spans="21:53">
      <c r="U178" s="56"/>
      <c r="V178" s="56"/>
      <c r="W178" s="56"/>
      <c r="Y178" s="56"/>
      <c r="Z178" s="56"/>
      <c r="AA178" s="56"/>
      <c r="AB178" s="56"/>
      <c r="AD178" s="56"/>
      <c r="AE178" s="56"/>
      <c r="AF178" s="56"/>
      <c r="AG178" s="56"/>
      <c r="AI178" s="56"/>
      <c r="AJ178" s="56"/>
      <c r="AK178" s="56"/>
      <c r="AL178" s="56"/>
      <c r="AN178" s="56"/>
      <c r="AO178" s="56"/>
      <c r="AP178" s="56"/>
      <c r="AQ178" s="56"/>
      <c r="AS178" s="56"/>
      <c r="AT178" s="56"/>
      <c r="AU178" s="56"/>
      <c r="AV178" s="56"/>
      <c r="AW178" s="56"/>
      <c r="AY178" s="56"/>
      <c r="AZ178" s="56"/>
      <c r="BA178" s="56"/>
    </row>
    <row r="183" ht="15.5" spans="21:53">
      <c r="U183" s="53"/>
      <c r="V183" s="21" t="s">
        <v>326</v>
      </c>
      <c r="W183" s="53"/>
      <c r="Y183" s="54"/>
      <c r="Z183" s="53"/>
      <c r="AA183" s="21" t="s">
        <v>326</v>
      </c>
      <c r="AB183" s="53"/>
      <c r="AD183" s="54"/>
      <c r="AE183" s="53"/>
      <c r="AF183" s="21" t="s">
        <v>326</v>
      </c>
      <c r="AG183" s="53"/>
      <c r="AI183" s="54"/>
      <c r="AJ183" s="53"/>
      <c r="AK183" s="21" t="s">
        <v>326</v>
      </c>
      <c r="AL183" s="53"/>
      <c r="AN183" s="54"/>
      <c r="AO183" s="53"/>
      <c r="AP183" s="21" t="s">
        <v>326</v>
      </c>
      <c r="AQ183" s="53"/>
      <c r="AS183" s="54"/>
      <c r="AT183" s="53"/>
      <c r="AU183" s="21" t="s">
        <v>326</v>
      </c>
      <c r="AV183" s="53"/>
      <c r="AW183" s="54"/>
      <c r="AY183" s="53"/>
      <c r="AZ183" s="21" t="s">
        <v>326</v>
      </c>
      <c r="BA183" s="53"/>
    </row>
    <row r="184" ht="15.5" spans="21:53">
      <c r="U184" s="21" t="s">
        <v>65</v>
      </c>
      <c r="V184" s="21" t="s">
        <v>112</v>
      </c>
      <c r="W184" s="21" t="s">
        <v>25</v>
      </c>
      <c r="Y184" s="54"/>
      <c r="Z184" s="21" t="s">
        <v>65</v>
      </c>
      <c r="AA184" s="21" t="s">
        <v>112</v>
      </c>
      <c r="AB184" s="21" t="s">
        <v>25</v>
      </c>
      <c r="AD184" s="54"/>
      <c r="AE184" s="21" t="s">
        <v>65</v>
      </c>
      <c r="AF184" s="21" t="s">
        <v>112</v>
      </c>
      <c r="AG184" s="21" t="s">
        <v>25</v>
      </c>
      <c r="AI184" s="54"/>
      <c r="AJ184" s="21" t="s">
        <v>65</v>
      </c>
      <c r="AK184" s="21" t="s">
        <v>112</v>
      </c>
      <c r="AL184" s="21" t="s">
        <v>25</v>
      </c>
      <c r="AN184" s="54"/>
      <c r="AO184" s="21" t="s">
        <v>65</v>
      </c>
      <c r="AP184" s="21" t="s">
        <v>112</v>
      </c>
      <c r="AQ184" s="21" t="s">
        <v>25</v>
      </c>
      <c r="AS184" s="54"/>
      <c r="AT184" s="21" t="s">
        <v>65</v>
      </c>
      <c r="AU184" s="21" t="s">
        <v>112</v>
      </c>
      <c r="AV184" s="21" t="s">
        <v>25</v>
      </c>
      <c r="AW184" s="54"/>
      <c r="AY184" s="21" t="s">
        <v>65</v>
      </c>
      <c r="AZ184" s="21" t="s">
        <v>112</v>
      </c>
      <c r="BA184" s="21" t="s">
        <v>25</v>
      </c>
    </row>
    <row r="185" ht="15.5" spans="21:53">
      <c r="U185" s="54" t="s">
        <v>276</v>
      </c>
      <c r="V185" s="55" t="s">
        <v>327</v>
      </c>
      <c r="W185" s="54">
        <f t="shared" ref="W185:W188" si="363">W125</f>
        <v>0.00788276907529056</v>
      </c>
      <c r="Y185" s="54"/>
      <c r="Z185" s="54" t="s">
        <v>278</v>
      </c>
      <c r="AA185" s="55" t="s">
        <v>327</v>
      </c>
      <c r="AB185" s="54">
        <f t="shared" ref="AB185:AB188" si="364">X125</f>
        <v>0.00764756201881948</v>
      </c>
      <c r="AD185" s="54"/>
      <c r="AE185" s="54" t="s">
        <v>280</v>
      </c>
      <c r="AF185" s="55" t="s">
        <v>327</v>
      </c>
      <c r="AG185" s="54">
        <f t="shared" ref="AG185:AG188" si="365">Y125</f>
        <v>0.00794618834080718</v>
      </c>
      <c r="AI185" s="54"/>
      <c r="AJ185" s="54" t="s">
        <v>281</v>
      </c>
      <c r="AK185" s="55" t="s">
        <v>327</v>
      </c>
      <c r="AL185" s="54">
        <f t="shared" ref="AL185:AL188" si="366">Z125</f>
        <v>0.00794162244124336</v>
      </c>
      <c r="AN185" s="54"/>
      <c r="AO185" s="54" t="s">
        <v>275</v>
      </c>
      <c r="AP185" s="55" t="s">
        <v>327</v>
      </c>
      <c r="AQ185" s="54">
        <f t="shared" ref="AQ185:AQ188" si="367">AA125</f>
        <v>0.00801790042886445</v>
      </c>
      <c r="AS185" s="54"/>
      <c r="AT185" s="54" t="s">
        <v>273</v>
      </c>
      <c r="AU185" s="55" t="s">
        <v>327</v>
      </c>
      <c r="AV185" s="54">
        <f t="shared" ref="AV185:AV188" si="368">AB125</f>
        <v>0.00666666666666667</v>
      </c>
      <c r="AW185" s="54"/>
      <c r="AY185" s="54" t="s">
        <v>271</v>
      </c>
      <c r="AZ185" s="55" t="s">
        <v>327</v>
      </c>
      <c r="BA185" s="54">
        <f t="shared" ref="BA185:BA188" si="369">AC125</f>
        <v>0.00783516094800141</v>
      </c>
    </row>
    <row r="186" ht="15.5" spans="21:53">
      <c r="U186" s="54" t="str">
        <f t="shared" ref="U186:U188" si="370">U185</f>
        <v>DirRecy-NMC111</v>
      </c>
      <c r="V186" s="55" t="s">
        <v>328</v>
      </c>
      <c r="W186" s="54">
        <f t="shared" si="363"/>
        <v>0.02011116725619</v>
      </c>
      <c r="Y186" s="54"/>
      <c r="Z186" s="54" t="str">
        <f t="shared" ref="Z186:Z188" si="371">Z185</f>
        <v>DirRecy-NMC532</v>
      </c>
      <c r="AA186" s="55" t="s">
        <v>328</v>
      </c>
      <c r="AB186" s="54">
        <f t="shared" si="364"/>
        <v>0.0195038494439692</v>
      </c>
      <c r="AD186" s="54"/>
      <c r="AE186" s="54" t="str">
        <f t="shared" ref="AE186:AE188" si="372">AE185</f>
        <v>DirRecy-NMC622</v>
      </c>
      <c r="AF186" s="55" t="s">
        <v>328</v>
      </c>
      <c r="AG186" s="54">
        <f t="shared" si="365"/>
        <v>0.0202152466367713</v>
      </c>
      <c r="AI186" s="54"/>
      <c r="AJ186" s="54" t="str">
        <f t="shared" ref="AJ186:AJ188" si="373">AJ185</f>
        <v>DirRecy-NMC811</v>
      </c>
      <c r="AK186" s="55" t="s">
        <v>328</v>
      </c>
      <c r="AL186" s="54">
        <f t="shared" si="366"/>
        <v>0.0201099317664898</v>
      </c>
      <c r="AN186" s="54"/>
      <c r="AO186" s="54" t="str">
        <f t="shared" ref="AO186:AO188" si="374">AO185</f>
        <v>DirRecy-NCA</v>
      </c>
      <c r="AP186" s="55" t="s">
        <v>328</v>
      </c>
      <c r="AQ186" s="54">
        <f t="shared" si="367"/>
        <v>0.0203990303934365</v>
      </c>
      <c r="AS186" s="54"/>
      <c r="AT186" s="54" t="str">
        <f t="shared" ref="AT186:AT188" si="375">AT185</f>
        <v>DirRecy-LMO</v>
      </c>
      <c r="AU186" s="55" t="s">
        <v>328</v>
      </c>
      <c r="AV186" s="54">
        <f t="shared" si="368"/>
        <v>0.0169601203912716</v>
      </c>
      <c r="AW186" s="54"/>
      <c r="AY186" s="54" t="str">
        <f t="shared" ref="AY186:AY188" si="376">AY185</f>
        <v>DirRecy-LFP</v>
      </c>
      <c r="AZ186" s="55" t="s">
        <v>328</v>
      </c>
      <c r="BA186" s="54">
        <f t="shared" si="369"/>
        <v>0.0199327909444641</v>
      </c>
    </row>
    <row r="187" ht="15.5" spans="21:53">
      <c r="U187" s="54" t="str">
        <f t="shared" si="370"/>
        <v>DirRecy-NMC111</v>
      </c>
      <c r="V187" s="55" t="s">
        <v>329</v>
      </c>
      <c r="W187" s="54">
        <f t="shared" si="363"/>
        <v>0.0641232945932289</v>
      </c>
      <c r="Y187" s="54"/>
      <c r="Z187" s="54" t="str">
        <f t="shared" si="371"/>
        <v>DirRecy-NMC532</v>
      </c>
      <c r="AA187" s="55" t="s">
        <v>329</v>
      </c>
      <c r="AB187" s="54">
        <f t="shared" si="364"/>
        <v>0.0633532934131737</v>
      </c>
      <c r="AD187" s="54"/>
      <c r="AE187" s="54" t="str">
        <f t="shared" si="372"/>
        <v>DirRecy-NMC622</v>
      </c>
      <c r="AF187" s="55" t="s">
        <v>329</v>
      </c>
      <c r="AG187" s="54">
        <f t="shared" si="365"/>
        <v>0.0659910313901345</v>
      </c>
      <c r="AI187" s="54"/>
      <c r="AJ187" s="54" t="str">
        <f t="shared" si="373"/>
        <v>DirRecy-NMC811</v>
      </c>
      <c r="AK187" s="55" t="s">
        <v>329</v>
      </c>
      <c r="AL187" s="54">
        <f t="shared" si="366"/>
        <v>0.0673237300985595</v>
      </c>
      <c r="AN187" s="54"/>
      <c r="AO187" s="54" t="str">
        <f t="shared" si="374"/>
        <v>DirRecy-NCA</v>
      </c>
      <c r="AP187" s="55" t="s">
        <v>329</v>
      </c>
      <c r="AQ187" s="54">
        <f t="shared" si="367"/>
        <v>0.0673690098825284</v>
      </c>
      <c r="AS187" s="54"/>
      <c r="AT187" s="54" t="str">
        <f t="shared" si="375"/>
        <v>DirRecy-LMO</v>
      </c>
      <c r="AU187" s="55" t="s">
        <v>329</v>
      </c>
      <c r="AV187" s="54">
        <f t="shared" si="368"/>
        <v>0.055364936042137</v>
      </c>
      <c r="AW187" s="54"/>
      <c r="AY187" s="54" t="str">
        <f t="shared" si="376"/>
        <v>DirRecy-LFP</v>
      </c>
      <c r="AZ187" s="55" t="s">
        <v>329</v>
      </c>
      <c r="BA187" s="54">
        <f t="shared" si="369"/>
        <v>0.0650689777148921</v>
      </c>
    </row>
    <row r="188" ht="15.5" spans="21:53">
      <c r="U188" s="54" t="str">
        <f t="shared" si="370"/>
        <v>DirRecy-NMC111</v>
      </c>
      <c r="V188" s="55" t="s">
        <v>330</v>
      </c>
      <c r="W188" s="54">
        <f t="shared" si="363"/>
        <v>0.0129695132221661</v>
      </c>
      <c r="Y188" s="56"/>
      <c r="Z188" s="54" t="str">
        <f t="shared" si="371"/>
        <v>DirRecy-NMC532</v>
      </c>
      <c r="AA188" s="55" t="s">
        <v>330</v>
      </c>
      <c r="AB188" s="54">
        <f t="shared" si="364"/>
        <v>0.012814371257485</v>
      </c>
      <c r="AD188" s="56"/>
      <c r="AE188" s="54" t="str">
        <f t="shared" si="372"/>
        <v>DirRecy-NMC622</v>
      </c>
      <c r="AF188" s="55" t="s">
        <v>330</v>
      </c>
      <c r="AG188" s="54">
        <f t="shared" si="365"/>
        <v>0.0133452914798206</v>
      </c>
      <c r="AI188" s="56"/>
      <c r="AJ188" s="54" t="str">
        <f t="shared" si="373"/>
        <v>DirRecy-NMC811</v>
      </c>
      <c r="AK188" s="55" t="s">
        <v>330</v>
      </c>
      <c r="AL188" s="54">
        <f t="shared" si="366"/>
        <v>0.0135898407884761</v>
      </c>
      <c r="AN188" s="56"/>
      <c r="AO188" s="54" t="str">
        <f t="shared" si="374"/>
        <v>DirRecy-NCA</v>
      </c>
      <c r="AP188" s="55" t="s">
        <v>330</v>
      </c>
      <c r="AQ188" s="54">
        <f t="shared" si="367"/>
        <v>0.0136304307290695</v>
      </c>
      <c r="AS188" s="56"/>
      <c r="AT188" s="54" t="str">
        <f t="shared" si="375"/>
        <v>DirRecy-LMO</v>
      </c>
      <c r="AU188" s="55" t="s">
        <v>330</v>
      </c>
      <c r="AV188" s="54">
        <f t="shared" si="368"/>
        <v>0.011196388261851</v>
      </c>
      <c r="AW188" s="56"/>
      <c r="AY188" s="54" t="str">
        <f t="shared" si="376"/>
        <v>DirRecy-LFP</v>
      </c>
      <c r="AZ188" s="55" t="s">
        <v>330</v>
      </c>
      <c r="BA188" s="54">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4" t="s">
        <v>41</v>
      </c>
      <c r="Z199" s="1" t="s">
        <v>65</v>
      </c>
      <c r="AA199" s="1" t="s">
        <v>112</v>
      </c>
      <c r="AB199" s="1" t="s">
        <v>25</v>
      </c>
      <c r="AC199" s="54" t="s">
        <v>41</v>
      </c>
      <c r="AE199" s="1" t="s">
        <v>65</v>
      </c>
      <c r="AF199" s="1" t="s">
        <v>112</v>
      </c>
      <c r="AG199" s="1" t="s">
        <v>25</v>
      </c>
      <c r="AH199" s="54" t="s">
        <v>41</v>
      </c>
      <c r="AJ199" s="1" t="s">
        <v>65</v>
      </c>
      <c r="AK199" s="1" t="s">
        <v>112</v>
      </c>
      <c r="AL199" s="1" t="s">
        <v>25</v>
      </c>
      <c r="AM199" s="54" t="s">
        <v>41</v>
      </c>
      <c r="AO199" s="1" t="s">
        <v>65</v>
      </c>
      <c r="AP199" s="1" t="s">
        <v>112</v>
      </c>
      <c r="AQ199" s="1" t="s">
        <v>25</v>
      </c>
      <c r="AR199" s="54" t="s">
        <v>41</v>
      </c>
      <c r="AT199" s="1" t="s">
        <v>65</v>
      </c>
      <c r="AU199" s="1" t="s">
        <v>112</v>
      </c>
      <c r="AV199" s="1" t="s">
        <v>25</v>
      </c>
      <c r="AW199" s="54" t="s">
        <v>41</v>
      </c>
      <c r="AY199" s="1" t="s">
        <v>65</v>
      </c>
      <c r="AZ199" s="1" t="s">
        <v>112</v>
      </c>
      <c r="BA199" s="1" t="s">
        <v>25</v>
      </c>
      <c r="BB199" s="54" t="s">
        <v>41</v>
      </c>
    </row>
    <row r="200" ht="15.5" spans="21:54">
      <c r="U200" s="1" t="s">
        <v>250</v>
      </c>
      <c r="V200" s="1" t="s">
        <v>327</v>
      </c>
      <c r="W200" s="1">
        <f>SUM(W162:W165)</f>
        <v>0.136112514738083</v>
      </c>
      <c r="X200" s="54" t="s">
        <v>351</v>
      </c>
      <c r="Z200" s="1" t="s">
        <v>252</v>
      </c>
      <c r="AA200" s="1" t="s">
        <v>327</v>
      </c>
      <c r="AB200" s="1">
        <f>SUM(AB162:AB165)</f>
        <v>0.13180496150556</v>
      </c>
      <c r="AC200" s="54" t="s">
        <v>351</v>
      </c>
      <c r="AE200" s="1" t="s">
        <v>254</v>
      </c>
      <c r="AF200" s="1" t="s">
        <v>327</v>
      </c>
      <c r="AG200" s="1">
        <f>SUM(AG162:AG165)</f>
        <v>0.136304932735426</v>
      </c>
      <c r="AH200" s="54" t="s">
        <v>351</v>
      </c>
      <c r="AJ200" s="1" t="s">
        <v>256</v>
      </c>
      <c r="AK200" s="1" t="s">
        <v>327</v>
      </c>
      <c r="AL200" s="1">
        <f>SUM(AL162:AL165)</f>
        <v>0.143100833965125</v>
      </c>
      <c r="AM200" s="54" t="s">
        <v>351</v>
      </c>
      <c r="AO200" s="1" t="s">
        <v>248</v>
      </c>
      <c r="AP200" s="1" t="s">
        <v>327</v>
      </c>
      <c r="AQ200" s="1">
        <f>SUM(AQ162:AQ165)</f>
        <v>0.148405743054261</v>
      </c>
      <c r="AR200" s="54" t="s">
        <v>351</v>
      </c>
      <c r="AT200" s="1" t="s">
        <v>246</v>
      </c>
      <c r="AU200" s="1" t="s">
        <v>327</v>
      </c>
      <c r="AV200" s="1">
        <f>SUM(AV162:AV165)</f>
        <v>0.114356659142212</v>
      </c>
      <c r="AW200" s="54" t="s">
        <v>351</v>
      </c>
      <c r="AY200" s="1" t="s">
        <v>244</v>
      </c>
      <c r="AZ200" s="1" t="s">
        <v>327</v>
      </c>
      <c r="BA200" s="1">
        <f>SUM(BA162:BA165)</f>
        <v>0.134400424478245</v>
      </c>
      <c r="BB200" s="54" t="s">
        <v>351</v>
      </c>
    </row>
    <row r="201" ht="15.5" spans="21:54">
      <c r="U201" s="1" t="s">
        <v>250</v>
      </c>
      <c r="V201" s="1" t="s">
        <v>328</v>
      </c>
      <c r="W201" s="1">
        <v>0</v>
      </c>
      <c r="X201" s="54" t="s">
        <v>351</v>
      </c>
      <c r="Z201" s="1" t="s">
        <v>252</v>
      </c>
      <c r="AA201" s="1" t="s">
        <v>328</v>
      </c>
      <c r="AB201" s="1">
        <v>0</v>
      </c>
      <c r="AC201" s="54" t="s">
        <v>351</v>
      </c>
      <c r="AE201" s="1" t="s">
        <v>254</v>
      </c>
      <c r="AF201" s="1" t="s">
        <v>328</v>
      </c>
      <c r="AG201" s="1">
        <v>0</v>
      </c>
      <c r="AH201" s="54" t="s">
        <v>351</v>
      </c>
      <c r="AJ201" s="1" t="s">
        <v>256</v>
      </c>
      <c r="AK201" s="1" t="s">
        <v>328</v>
      </c>
      <c r="AL201" s="1">
        <v>0</v>
      </c>
      <c r="AM201" s="54" t="s">
        <v>351</v>
      </c>
      <c r="AO201" s="1" t="s">
        <v>248</v>
      </c>
      <c r="AP201" s="1" t="s">
        <v>328</v>
      </c>
      <c r="AQ201" s="1">
        <v>0</v>
      </c>
      <c r="AR201" s="54" t="s">
        <v>351</v>
      </c>
      <c r="AT201" s="1" t="s">
        <v>246</v>
      </c>
      <c r="AU201" s="1" t="s">
        <v>328</v>
      </c>
      <c r="AV201" s="1">
        <v>0</v>
      </c>
      <c r="AW201" s="54" t="s">
        <v>351</v>
      </c>
      <c r="AY201" s="1" t="s">
        <v>244</v>
      </c>
      <c r="AZ201" s="1" t="s">
        <v>328</v>
      </c>
      <c r="BA201" s="1">
        <v>0</v>
      </c>
      <c r="BB201" s="54" t="s">
        <v>351</v>
      </c>
    </row>
    <row r="202" ht="15.5" spans="21:54">
      <c r="U202" s="1" t="s">
        <v>250</v>
      </c>
      <c r="V202" s="1" t="s">
        <v>329</v>
      </c>
      <c r="W202" s="1">
        <v>0</v>
      </c>
      <c r="X202" s="54" t="s">
        <v>351</v>
      </c>
      <c r="Z202" s="1" t="s">
        <v>252</v>
      </c>
      <c r="AA202" s="1" t="s">
        <v>329</v>
      </c>
      <c r="AB202" s="1">
        <v>0</v>
      </c>
      <c r="AC202" s="54" t="s">
        <v>351</v>
      </c>
      <c r="AE202" s="1" t="s">
        <v>254</v>
      </c>
      <c r="AF202" s="1" t="s">
        <v>329</v>
      </c>
      <c r="AG202" s="1">
        <v>0</v>
      </c>
      <c r="AH202" s="54" t="s">
        <v>351</v>
      </c>
      <c r="AJ202" s="1" t="s">
        <v>256</v>
      </c>
      <c r="AK202" s="1" t="s">
        <v>329</v>
      </c>
      <c r="AL202" s="1">
        <v>0</v>
      </c>
      <c r="AM202" s="54" t="s">
        <v>351</v>
      </c>
      <c r="AO202" s="1" t="s">
        <v>248</v>
      </c>
      <c r="AP202" s="1" t="s">
        <v>329</v>
      </c>
      <c r="AQ202" s="1">
        <v>0</v>
      </c>
      <c r="AR202" s="54" t="s">
        <v>351</v>
      </c>
      <c r="AT202" s="1" t="s">
        <v>246</v>
      </c>
      <c r="AU202" s="1" t="s">
        <v>329</v>
      </c>
      <c r="AV202" s="1">
        <v>0</v>
      </c>
      <c r="AW202" s="54" t="s">
        <v>351</v>
      </c>
      <c r="AY202" s="1" t="s">
        <v>244</v>
      </c>
      <c r="AZ202" s="1" t="s">
        <v>329</v>
      </c>
      <c r="BA202" s="1">
        <v>0</v>
      </c>
      <c r="BB202" s="54" t="s">
        <v>351</v>
      </c>
    </row>
    <row r="203" ht="15.5" spans="21:54">
      <c r="U203" s="1" t="s">
        <v>250</v>
      </c>
      <c r="V203" s="1" t="s">
        <v>330</v>
      </c>
      <c r="W203" s="1">
        <v>0</v>
      </c>
      <c r="X203" s="54" t="s">
        <v>351</v>
      </c>
      <c r="Z203" s="1" t="s">
        <v>252</v>
      </c>
      <c r="AA203" s="1" t="s">
        <v>330</v>
      </c>
      <c r="AB203" s="1">
        <v>0</v>
      </c>
      <c r="AC203" s="54" t="s">
        <v>351</v>
      </c>
      <c r="AE203" s="1" t="s">
        <v>254</v>
      </c>
      <c r="AF203" s="1" t="s">
        <v>330</v>
      </c>
      <c r="AG203" s="1">
        <v>0</v>
      </c>
      <c r="AH203" s="54" t="s">
        <v>351</v>
      </c>
      <c r="AJ203" s="1" t="s">
        <v>256</v>
      </c>
      <c r="AK203" s="1" t="s">
        <v>330</v>
      </c>
      <c r="AL203" s="1">
        <v>0</v>
      </c>
      <c r="AM203" s="54" t="s">
        <v>351</v>
      </c>
      <c r="AO203" s="1" t="s">
        <v>248</v>
      </c>
      <c r="AP203" s="1" t="s">
        <v>330</v>
      </c>
      <c r="AQ203" s="1">
        <v>0</v>
      </c>
      <c r="AR203" s="54" t="s">
        <v>351</v>
      </c>
      <c r="AT203" s="1" t="s">
        <v>246</v>
      </c>
      <c r="AU203" s="1" t="s">
        <v>330</v>
      </c>
      <c r="AV203" s="1">
        <v>0</v>
      </c>
      <c r="AW203" s="54" t="s">
        <v>351</v>
      </c>
      <c r="AY203" s="1" t="s">
        <v>244</v>
      </c>
      <c r="AZ203" s="1" t="s">
        <v>330</v>
      </c>
      <c r="BA203" s="1">
        <v>0</v>
      </c>
      <c r="BB203" s="54"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4" t="s">
        <v>41</v>
      </c>
      <c r="Z211" s="1" t="s">
        <v>65</v>
      </c>
      <c r="AA211" s="1" t="s">
        <v>112</v>
      </c>
      <c r="AB211" s="1" t="s">
        <v>25</v>
      </c>
      <c r="AC211" s="54" t="s">
        <v>41</v>
      </c>
      <c r="AE211" s="1" t="s">
        <v>65</v>
      </c>
      <c r="AF211" s="1" t="s">
        <v>112</v>
      </c>
      <c r="AG211" s="1" t="s">
        <v>25</v>
      </c>
      <c r="AH211" s="54" t="s">
        <v>41</v>
      </c>
      <c r="AJ211" s="1" t="s">
        <v>65</v>
      </c>
      <c r="AK211" s="1" t="s">
        <v>112</v>
      </c>
      <c r="AL211" s="1" t="s">
        <v>25</v>
      </c>
      <c r="AM211" s="54" t="s">
        <v>41</v>
      </c>
      <c r="AO211" s="1" t="s">
        <v>65</v>
      </c>
      <c r="AP211" s="1" t="s">
        <v>112</v>
      </c>
      <c r="AQ211" s="1" t="s">
        <v>25</v>
      </c>
      <c r="AR211" s="54" t="s">
        <v>41</v>
      </c>
      <c r="AT211" s="1" t="s">
        <v>65</v>
      </c>
      <c r="AU211" s="1" t="s">
        <v>112</v>
      </c>
      <c r="AV211" s="1" t="s">
        <v>25</v>
      </c>
      <c r="AW211" s="54" t="s">
        <v>41</v>
      </c>
      <c r="AY211" s="1" t="s">
        <v>65</v>
      </c>
      <c r="AZ211" s="1" t="s">
        <v>112</v>
      </c>
      <c r="BA211" s="1" t="s">
        <v>25</v>
      </c>
      <c r="BB211" s="54" t="s">
        <v>41</v>
      </c>
    </row>
    <row r="212" ht="15.5" spans="21:54">
      <c r="U212" s="1" t="s">
        <v>263</v>
      </c>
      <c r="V212" s="1" t="s">
        <v>327</v>
      </c>
      <c r="W212" s="1">
        <f>SUM(W174:W177)</f>
        <v>0.147818763685363</v>
      </c>
      <c r="X212" s="54" t="s">
        <v>351</v>
      </c>
      <c r="Z212" s="1" t="s">
        <v>265</v>
      </c>
      <c r="AA212" s="1" t="s">
        <v>327</v>
      </c>
      <c r="AB212" s="1">
        <f>SUM(AB174:AB177)</f>
        <v>0.143182207014542</v>
      </c>
      <c r="AC212" s="54" t="s">
        <v>351</v>
      </c>
      <c r="AE212" s="1" t="s">
        <v>267</v>
      </c>
      <c r="AF212" s="1" t="s">
        <v>327</v>
      </c>
      <c r="AG212" s="1">
        <f>SUM(AG174:AG177)</f>
        <v>0.148430493273543</v>
      </c>
      <c r="AH212" s="54" t="s">
        <v>351</v>
      </c>
      <c r="AJ212" s="1" t="s">
        <v>269</v>
      </c>
      <c r="AK212" s="1" t="s">
        <v>327</v>
      </c>
      <c r="AL212" s="1">
        <f>SUM(AL174:AL177)</f>
        <v>0.15117513267627</v>
      </c>
      <c r="AM212" s="54" t="s">
        <v>351</v>
      </c>
      <c r="AO212" s="1" t="s">
        <v>261</v>
      </c>
      <c r="AP212" s="1" t="s">
        <v>327</v>
      </c>
      <c r="AQ212" s="1">
        <f>SUM(AQ174:AQ177)</f>
        <v>0.156349058362857</v>
      </c>
      <c r="AR212" s="54" t="s">
        <v>351</v>
      </c>
      <c r="AT212" s="1" t="s">
        <v>260</v>
      </c>
      <c r="AU212" s="1" t="s">
        <v>327</v>
      </c>
      <c r="AV212" s="1">
        <f>SUM(AV174:AV177)</f>
        <v>0.124529721595184</v>
      </c>
      <c r="AW212" s="54" t="s">
        <v>351</v>
      </c>
      <c r="AY212" s="1" t="s">
        <v>258</v>
      </c>
      <c r="AZ212" s="1" t="s">
        <v>327</v>
      </c>
      <c r="BA212" s="1">
        <f>SUM(BA174:BA177)</f>
        <v>0.146356561726212</v>
      </c>
      <c r="BB212" s="54" t="s">
        <v>351</v>
      </c>
    </row>
    <row r="213" ht="15.5" spans="21:54">
      <c r="U213" s="1" t="s">
        <v>263</v>
      </c>
      <c r="V213" s="1" t="s">
        <v>328</v>
      </c>
      <c r="W213" s="1">
        <v>0</v>
      </c>
      <c r="X213" s="54" t="s">
        <v>351</v>
      </c>
      <c r="Z213" s="1" t="s">
        <v>265</v>
      </c>
      <c r="AA213" s="1" t="s">
        <v>328</v>
      </c>
      <c r="AB213" s="1">
        <v>0</v>
      </c>
      <c r="AC213" s="54" t="s">
        <v>351</v>
      </c>
      <c r="AE213" s="1" t="s">
        <v>267</v>
      </c>
      <c r="AF213" s="1" t="s">
        <v>328</v>
      </c>
      <c r="AG213" s="1">
        <v>0</v>
      </c>
      <c r="AH213" s="54" t="s">
        <v>351</v>
      </c>
      <c r="AJ213" s="1" t="s">
        <v>269</v>
      </c>
      <c r="AK213" s="1" t="s">
        <v>328</v>
      </c>
      <c r="AL213" s="1">
        <v>0</v>
      </c>
      <c r="AM213" s="54" t="s">
        <v>351</v>
      </c>
      <c r="AO213" s="1" t="s">
        <v>261</v>
      </c>
      <c r="AP213" s="1" t="s">
        <v>328</v>
      </c>
      <c r="AQ213" s="1">
        <v>0</v>
      </c>
      <c r="AR213" s="54" t="s">
        <v>351</v>
      </c>
      <c r="AT213" s="1" t="s">
        <v>260</v>
      </c>
      <c r="AU213" s="1" t="s">
        <v>328</v>
      </c>
      <c r="AV213" s="1">
        <v>0</v>
      </c>
      <c r="AW213" s="54" t="s">
        <v>351</v>
      </c>
      <c r="AY213" s="1" t="s">
        <v>258</v>
      </c>
      <c r="AZ213" s="1" t="s">
        <v>328</v>
      </c>
      <c r="BA213" s="1">
        <v>0</v>
      </c>
      <c r="BB213" s="54" t="s">
        <v>351</v>
      </c>
    </row>
    <row r="214" ht="15.5" spans="21:54">
      <c r="U214" s="1" t="s">
        <v>263</v>
      </c>
      <c r="V214" s="1" t="s">
        <v>329</v>
      </c>
      <c r="W214" s="1">
        <v>0</v>
      </c>
      <c r="X214" s="54" t="s">
        <v>351</v>
      </c>
      <c r="Z214" s="1" t="s">
        <v>265</v>
      </c>
      <c r="AA214" s="1" t="s">
        <v>329</v>
      </c>
      <c r="AB214" s="1">
        <v>0</v>
      </c>
      <c r="AC214" s="54" t="s">
        <v>351</v>
      </c>
      <c r="AE214" s="1" t="s">
        <v>267</v>
      </c>
      <c r="AF214" s="1" t="s">
        <v>329</v>
      </c>
      <c r="AG214" s="1">
        <v>0</v>
      </c>
      <c r="AH214" s="54" t="s">
        <v>351</v>
      </c>
      <c r="AJ214" s="1" t="s">
        <v>269</v>
      </c>
      <c r="AK214" s="1" t="s">
        <v>329</v>
      </c>
      <c r="AL214" s="1">
        <v>0</v>
      </c>
      <c r="AM214" s="54" t="s">
        <v>351</v>
      </c>
      <c r="AO214" s="1" t="s">
        <v>261</v>
      </c>
      <c r="AP214" s="1" t="s">
        <v>329</v>
      </c>
      <c r="AQ214" s="1">
        <v>0</v>
      </c>
      <c r="AR214" s="54" t="s">
        <v>351</v>
      </c>
      <c r="AT214" s="1" t="s">
        <v>260</v>
      </c>
      <c r="AU214" s="1" t="s">
        <v>329</v>
      </c>
      <c r="AV214" s="1">
        <v>0</v>
      </c>
      <c r="AW214" s="54" t="s">
        <v>351</v>
      </c>
      <c r="AY214" s="1" t="s">
        <v>258</v>
      </c>
      <c r="AZ214" s="1" t="s">
        <v>329</v>
      </c>
      <c r="BA214" s="1">
        <v>0</v>
      </c>
      <c r="BB214" s="54" t="s">
        <v>351</v>
      </c>
    </row>
    <row r="215" ht="15.5" spans="21:54">
      <c r="U215" s="1" t="s">
        <v>263</v>
      </c>
      <c r="V215" s="1" t="s">
        <v>330</v>
      </c>
      <c r="W215" s="1">
        <v>0</v>
      </c>
      <c r="X215" s="54" t="s">
        <v>351</v>
      </c>
      <c r="Z215" s="1" t="s">
        <v>265</v>
      </c>
      <c r="AA215" s="1" t="s">
        <v>330</v>
      </c>
      <c r="AB215" s="1">
        <v>0</v>
      </c>
      <c r="AC215" s="54" t="s">
        <v>351</v>
      </c>
      <c r="AE215" s="1" t="s">
        <v>267</v>
      </c>
      <c r="AF215" s="1" t="s">
        <v>330</v>
      </c>
      <c r="AG215" s="1">
        <v>0</v>
      </c>
      <c r="AH215" s="54" t="s">
        <v>351</v>
      </c>
      <c r="AJ215" s="1" t="s">
        <v>269</v>
      </c>
      <c r="AK215" s="1" t="s">
        <v>330</v>
      </c>
      <c r="AL215" s="1">
        <v>0</v>
      </c>
      <c r="AM215" s="54" t="s">
        <v>351</v>
      </c>
      <c r="AO215" s="1" t="s">
        <v>261</v>
      </c>
      <c r="AP215" s="1" t="s">
        <v>330</v>
      </c>
      <c r="AQ215" s="1">
        <v>0</v>
      </c>
      <c r="AR215" s="54" t="s">
        <v>351</v>
      </c>
      <c r="AT215" s="1" t="s">
        <v>260</v>
      </c>
      <c r="AU215" s="1" t="s">
        <v>330</v>
      </c>
      <c r="AV215" s="1">
        <v>0</v>
      </c>
      <c r="AW215" s="54" t="s">
        <v>351</v>
      </c>
      <c r="AY215" s="1" t="s">
        <v>258</v>
      </c>
      <c r="AZ215" s="1" t="s">
        <v>330</v>
      </c>
      <c r="BA215" s="1">
        <v>0</v>
      </c>
      <c r="BB215" s="54"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4" t="s">
        <v>41</v>
      </c>
      <c r="Z222" s="1" t="s">
        <v>65</v>
      </c>
      <c r="AA222" s="1" t="s">
        <v>112</v>
      </c>
      <c r="AB222" s="1" t="s">
        <v>25</v>
      </c>
      <c r="AC222" s="54" t="s">
        <v>41</v>
      </c>
      <c r="AE222" s="1" t="s">
        <v>65</v>
      </c>
      <c r="AF222" s="1" t="s">
        <v>112</v>
      </c>
      <c r="AG222" s="1" t="s">
        <v>25</v>
      </c>
      <c r="AH222" s="54" t="s">
        <v>41</v>
      </c>
      <c r="AJ222" s="1" t="s">
        <v>65</v>
      </c>
      <c r="AK222" s="1" t="s">
        <v>112</v>
      </c>
      <c r="AL222" s="1" t="s">
        <v>25</v>
      </c>
      <c r="AM222" s="54" t="s">
        <v>41</v>
      </c>
      <c r="AO222" s="1" t="s">
        <v>65</v>
      </c>
      <c r="AP222" s="1" t="s">
        <v>112</v>
      </c>
      <c r="AQ222" s="1" t="s">
        <v>25</v>
      </c>
      <c r="AR222" s="54" t="s">
        <v>41</v>
      </c>
      <c r="AT222" s="1" t="s">
        <v>65</v>
      </c>
      <c r="AU222" s="1" t="s">
        <v>112</v>
      </c>
      <c r="AV222" s="1" t="s">
        <v>25</v>
      </c>
      <c r="AW222" s="54" t="s">
        <v>41</v>
      </c>
      <c r="AY222" s="1" t="s">
        <v>65</v>
      </c>
      <c r="AZ222" s="1" t="s">
        <v>112</v>
      </c>
      <c r="BA222" s="1" t="s">
        <v>25</v>
      </c>
      <c r="BB222" s="54" t="s">
        <v>41</v>
      </c>
    </row>
    <row r="223" ht="15.5" spans="21:54">
      <c r="U223" s="1" t="s">
        <v>276</v>
      </c>
      <c r="V223" s="1" t="s">
        <v>327</v>
      </c>
      <c r="W223" s="1">
        <f>SUM(W185:W188)</f>
        <v>0.105086744146876</v>
      </c>
      <c r="X223" s="54" t="s">
        <v>351</v>
      </c>
      <c r="Z223" s="1" t="s">
        <v>278</v>
      </c>
      <c r="AA223" s="1" t="s">
        <v>327</v>
      </c>
      <c r="AB223" s="1">
        <f>SUM(AB185:AB188)</f>
        <v>0.103319076133447</v>
      </c>
      <c r="AC223" s="54" t="s">
        <v>351</v>
      </c>
      <c r="AE223" s="1" t="s">
        <v>280</v>
      </c>
      <c r="AF223" s="1" t="s">
        <v>327</v>
      </c>
      <c r="AG223" s="1">
        <f>SUM(AG185:AG188)</f>
        <v>0.107497757847534</v>
      </c>
      <c r="AH223" s="54" t="s">
        <v>351</v>
      </c>
      <c r="AJ223" s="1" t="s">
        <v>281</v>
      </c>
      <c r="AK223" s="1" t="s">
        <v>327</v>
      </c>
      <c r="AL223" s="1">
        <f>SUM(AL185:AL188)</f>
        <v>0.108965125094769</v>
      </c>
      <c r="AM223" s="54" t="s">
        <v>351</v>
      </c>
      <c r="AO223" s="1" t="s">
        <v>275</v>
      </c>
      <c r="AP223" s="1" t="s">
        <v>327</v>
      </c>
      <c r="AQ223" s="1">
        <f>SUM(AQ185:AQ188)</f>
        <v>0.109416371433899</v>
      </c>
      <c r="AR223" s="54" t="s">
        <v>351</v>
      </c>
      <c r="AT223" s="1" t="s">
        <v>273</v>
      </c>
      <c r="AU223" s="1" t="s">
        <v>327</v>
      </c>
      <c r="AV223" s="1">
        <f>SUM(AV185:AV188)</f>
        <v>0.0901881113619263</v>
      </c>
      <c r="AW223" s="54" t="s">
        <v>351</v>
      </c>
      <c r="AY223" s="1" t="s">
        <v>271</v>
      </c>
      <c r="AZ223" s="1" t="s">
        <v>327</v>
      </c>
      <c r="BA223" s="1">
        <f>SUM(BA185:BA188)</f>
        <v>0.105995755217545</v>
      </c>
      <c r="BB223" s="54" t="s">
        <v>351</v>
      </c>
    </row>
    <row r="224" ht="15.5" spans="21:54">
      <c r="U224" s="1" t="s">
        <v>276</v>
      </c>
      <c r="V224" s="1" t="s">
        <v>328</v>
      </c>
      <c r="W224" s="1">
        <v>0</v>
      </c>
      <c r="X224" s="54" t="s">
        <v>351</v>
      </c>
      <c r="Z224" s="1" t="s">
        <v>278</v>
      </c>
      <c r="AA224" s="1" t="s">
        <v>328</v>
      </c>
      <c r="AB224" s="1">
        <v>0</v>
      </c>
      <c r="AC224" s="54" t="s">
        <v>351</v>
      </c>
      <c r="AE224" s="1" t="s">
        <v>280</v>
      </c>
      <c r="AF224" s="1" t="s">
        <v>328</v>
      </c>
      <c r="AG224" s="1">
        <v>0</v>
      </c>
      <c r="AH224" s="54" t="s">
        <v>351</v>
      </c>
      <c r="AJ224" s="1" t="s">
        <v>281</v>
      </c>
      <c r="AK224" s="1" t="s">
        <v>328</v>
      </c>
      <c r="AL224" s="1">
        <v>0</v>
      </c>
      <c r="AM224" s="54" t="s">
        <v>351</v>
      </c>
      <c r="AO224" s="1" t="s">
        <v>275</v>
      </c>
      <c r="AP224" s="1" t="s">
        <v>328</v>
      </c>
      <c r="AQ224" s="1">
        <v>0</v>
      </c>
      <c r="AR224" s="54" t="s">
        <v>351</v>
      </c>
      <c r="AT224" s="1" t="s">
        <v>273</v>
      </c>
      <c r="AU224" s="1" t="s">
        <v>328</v>
      </c>
      <c r="AV224" s="1">
        <v>0</v>
      </c>
      <c r="AW224" s="54" t="s">
        <v>351</v>
      </c>
      <c r="AY224" s="1" t="s">
        <v>271</v>
      </c>
      <c r="AZ224" s="1" t="s">
        <v>328</v>
      </c>
      <c r="BA224" s="1">
        <v>0</v>
      </c>
      <c r="BB224" s="54" t="s">
        <v>351</v>
      </c>
    </row>
    <row r="225" ht="15.5" spans="21:54">
      <c r="U225" s="1" t="s">
        <v>276</v>
      </c>
      <c r="V225" s="1" t="s">
        <v>329</v>
      </c>
      <c r="W225" s="1">
        <v>0</v>
      </c>
      <c r="X225" s="54" t="s">
        <v>351</v>
      </c>
      <c r="Z225" s="1" t="s">
        <v>278</v>
      </c>
      <c r="AA225" s="1" t="s">
        <v>329</v>
      </c>
      <c r="AB225" s="1">
        <v>0</v>
      </c>
      <c r="AC225" s="54" t="s">
        <v>351</v>
      </c>
      <c r="AE225" s="1" t="s">
        <v>280</v>
      </c>
      <c r="AF225" s="1" t="s">
        <v>329</v>
      </c>
      <c r="AG225" s="1">
        <v>0</v>
      </c>
      <c r="AH225" s="54" t="s">
        <v>351</v>
      </c>
      <c r="AJ225" s="1" t="s">
        <v>281</v>
      </c>
      <c r="AK225" s="1" t="s">
        <v>329</v>
      </c>
      <c r="AL225" s="1">
        <v>0</v>
      </c>
      <c r="AM225" s="54" t="s">
        <v>351</v>
      </c>
      <c r="AO225" s="1" t="s">
        <v>275</v>
      </c>
      <c r="AP225" s="1" t="s">
        <v>329</v>
      </c>
      <c r="AQ225" s="1">
        <v>0</v>
      </c>
      <c r="AR225" s="54" t="s">
        <v>351</v>
      </c>
      <c r="AT225" s="1" t="s">
        <v>273</v>
      </c>
      <c r="AU225" s="1" t="s">
        <v>329</v>
      </c>
      <c r="AV225" s="1">
        <v>0</v>
      </c>
      <c r="AW225" s="54" t="s">
        <v>351</v>
      </c>
      <c r="AY225" s="1" t="s">
        <v>271</v>
      </c>
      <c r="AZ225" s="1" t="s">
        <v>329</v>
      </c>
      <c r="BA225" s="1">
        <v>0</v>
      </c>
      <c r="BB225" s="54" t="s">
        <v>351</v>
      </c>
    </row>
    <row r="226" ht="15.5" spans="21:54">
      <c r="U226" s="1" t="s">
        <v>276</v>
      </c>
      <c r="V226" s="1" t="s">
        <v>330</v>
      </c>
      <c r="W226" s="1">
        <v>0</v>
      </c>
      <c r="X226" s="54" t="s">
        <v>351</v>
      </c>
      <c r="Z226" s="1" t="s">
        <v>278</v>
      </c>
      <c r="AA226" s="1" t="s">
        <v>330</v>
      </c>
      <c r="AB226" s="1">
        <v>0</v>
      </c>
      <c r="AC226" s="54" t="s">
        <v>351</v>
      </c>
      <c r="AE226" s="1" t="s">
        <v>280</v>
      </c>
      <c r="AF226" s="1" t="s">
        <v>330</v>
      </c>
      <c r="AG226" s="1">
        <v>0</v>
      </c>
      <c r="AH226" s="54" t="s">
        <v>351</v>
      </c>
      <c r="AJ226" s="1" t="s">
        <v>281</v>
      </c>
      <c r="AK226" s="1" t="s">
        <v>330</v>
      </c>
      <c r="AL226" s="1">
        <v>0</v>
      </c>
      <c r="AM226" s="54" t="s">
        <v>351</v>
      </c>
      <c r="AO226" s="1" t="s">
        <v>275</v>
      </c>
      <c r="AP226" s="1" t="s">
        <v>330</v>
      </c>
      <c r="AQ226" s="1">
        <v>0</v>
      </c>
      <c r="AR226" s="54" t="s">
        <v>351</v>
      </c>
      <c r="AT226" s="1" t="s">
        <v>273</v>
      </c>
      <c r="AU226" s="1" t="s">
        <v>330</v>
      </c>
      <c r="AV226" s="1">
        <v>0</v>
      </c>
      <c r="AW226" s="54" t="s">
        <v>351</v>
      </c>
      <c r="AY226" s="1" t="s">
        <v>271</v>
      </c>
      <c r="AZ226" s="1" t="s">
        <v>330</v>
      </c>
      <c r="BA226" s="1">
        <v>0</v>
      </c>
      <c r="BB226" s="54"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5" t="s">
        <v>352</v>
      </c>
      <c r="B1" s="35"/>
      <c r="C1" s="35"/>
      <c r="D1" s="35"/>
      <c r="E1" s="35"/>
      <c r="F1" s="35"/>
      <c r="G1" s="35"/>
      <c r="H1" s="35"/>
      <c r="I1" s="35"/>
      <c r="J1" s="35"/>
      <c r="K1" s="36"/>
      <c r="L1" s="36" t="s">
        <v>353</v>
      </c>
      <c r="M1" s="36"/>
      <c r="N1" s="36"/>
      <c r="O1" s="36"/>
      <c r="P1" s="36"/>
      <c r="Q1" s="36"/>
      <c r="R1" s="36"/>
      <c r="S1" s="36"/>
      <c r="T1" s="36"/>
      <c r="U1" s="36"/>
      <c r="V1" s="36"/>
      <c r="W1" s="36" t="s">
        <v>354</v>
      </c>
      <c r="X1" s="36"/>
      <c r="Y1" s="36"/>
      <c r="Z1" s="36"/>
      <c r="AA1" s="36"/>
      <c r="AB1" s="37" t="s">
        <v>355</v>
      </c>
      <c r="AC1" s="37"/>
      <c r="AD1" s="36"/>
      <c r="AE1" s="36"/>
      <c r="AF1" s="36" t="s">
        <v>356</v>
      </c>
      <c r="AG1" s="36"/>
      <c r="AH1" s="36"/>
      <c r="AI1" s="36"/>
      <c r="AJ1" s="36"/>
      <c r="AK1" s="36"/>
      <c r="AL1" s="36"/>
      <c r="AM1" s="36"/>
      <c r="AN1" s="36"/>
      <c r="AO1" s="36" t="s">
        <v>357</v>
      </c>
      <c r="AP1" s="36"/>
      <c r="AQ1" s="36"/>
      <c r="AR1" s="36"/>
      <c r="AS1" s="36"/>
      <c r="AT1" s="36"/>
      <c r="AU1" s="36"/>
      <c r="AZ1" s="35" t="s">
        <v>352</v>
      </c>
      <c r="BA1" s="35"/>
      <c r="BB1" s="35"/>
      <c r="BC1" s="35"/>
      <c r="BD1" s="35"/>
      <c r="BE1" s="35"/>
      <c r="BF1" s="35"/>
      <c r="BG1" s="35"/>
      <c r="BH1" s="35"/>
      <c r="BI1" s="35"/>
      <c r="BJ1" s="36"/>
      <c r="BK1" s="36"/>
      <c r="BL1" s="36"/>
      <c r="BM1" s="36"/>
      <c r="BN1" s="36"/>
      <c r="BO1" s="36"/>
    </row>
    <row r="2" ht="30" spans="1:67">
      <c r="A2" s="35" t="s">
        <v>332</v>
      </c>
      <c r="B2" s="35" t="s">
        <v>358</v>
      </c>
      <c r="C2" s="35" t="s">
        <v>334</v>
      </c>
      <c r="D2" s="35"/>
      <c r="E2" s="35"/>
      <c r="F2" s="35"/>
      <c r="G2" s="35"/>
      <c r="H2" s="35"/>
      <c r="I2" s="35"/>
      <c r="J2" s="35"/>
      <c r="K2" s="36"/>
      <c r="L2" s="36"/>
      <c r="M2" s="36"/>
      <c r="N2" s="36"/>
      <c r="O2" s="36"/>
      <c r="P2" s="36"/>
      <c r="Q2" s="36"/>
      <c r="R2" s="36"/>
      <c r="S2" s="36"/>
      <c r="T2" s="36"/>
      <c r="U2" s="36"/>
      <c r="V2" s="38" t="s">
        <v>359</v>
      </c>
      <c r="W2" s="36"/>
      <c r="X2" s="36"/>
      <c r="Y2" s="36"/>
      <c r="Z2" s="36"/>
      <c r="AA2" s="36"/>
      <c r="AB2" s="36"/>
      <c r="AC2" s="36"/>
      <c r="AD2" s="36"/>
      <c r="AE2" s="36"/>
      <c r="AF2" s="36"/>
      <c r="AG2" s="36"/>
      <c r="AH2" s="36"/>
      <c r="AI2" s="36"/>
      <c r="AJ2" s="36"/>
      <c r="AK2" s="36"/>
      <c r="AL2" s="36"/>
      <c r="AM2" s="36"/>
      <c r="AN2" s="36"/>
      <c r="AO2" s="36"/>
      <c r="AP2" s="36"/>
      <c r="AQ2" s="36"/>
      <c r="AR2" s="36"/>
      <c r="AS2" s="36"/>
      <c r="AT2" s="36"/>
      <c r="AU2" s="36"/>
      <c r="AZ2" s="35" t="s">
        <v>332</v>
      </c>
      <c r="BA2" s="35" t="s">
        <v>358</v>
      </c>
      <c r="BB2" s="35" t="s">
        <v>334</v>
      </c>
      <c r="BC2" s="35"/>
      <c r="BD2" s="35"/>
      <c r="BE2" s="35"/>
      <c r="BF2" s="35"/>
      <c r="BG2" s="35"/>
      <c r="BH2" s="35"/>
      <c r="BI2" s="35"/>
      <c r="BJ2" s="36"/>
      <c r="BK2" s="36"/>
      <c r="BL2" s="36"/>
      <c r="BM2" s="36"/>
      <c r="BN2" s="36"/>
      <c r="BO2" s="36"/>
    </row>
    <row r="3" ht="30" spans="1:67">
      <c r="A3" s="35"/>
      <c r="B3" s="35"/>
      <c r="C3" s="39" t="s">
        <v>335</v>
      </c>
      <c r="D3" s="36" t="s">
        <v>336</v>
      </c>
      <c r="E3" s="36" t="s">
        <v>337</v>
      </c>
      <c r="F3" s="40" t="s">
        <v>338</v>
      </c>
      <c r="G3" s="36" t="s">
        <v>339</v>
      </c>
      <c r="H3" s="36" t="s">
        <v>340</v>
      </c>
      <c r="I3" s="36" t="s">
        <v>341</v>
      </c>
      <c r="J3" s="36" t="s">
        <v>342</v>
      </c>
      <c r="K3" s="36"/>
      <c r="L3" s="41" t="s">
        <v>335</v>
      </c>
      <c r="M3" s="36" t="s">
        <v>336</v>
      </c>
      <c r="N3" s="36" t="s">
        <v>337</v>
      </c>
      <c r="O3" s="36" t="s">
        <v>338</v>
      </c>
      <c r="P3" s="36" t="s">
        <v>339</v>
      </c>
      <c r="Q3" s="36" t="s">
        <v>340</v>
      </c>
      <c r="R3" s="36" t="s">
        <v>341</v>
      </c>
      <c r="S3" s="36" t="s">
        <v>342</v>
      </c>
      <c r="T3" s="36"/>
      <c r="U3" s="36"/>
      <c r="V3" s="38" t="s">
        <v>360</v>
      </c>
      <c r="W3" s="36" t="s">
        <v>336</v>
      </c>
      <c r="X3" s="36" t="s">
        <v>337</v>
      </c>
      <c r="Y3" s="40" t="s">
        <v>338</v>
      </c>
      <c r="Z3" s="36" t="s">
        <v>339</v>
      </c>
      <c r="AA3" s="36" t="s">
        <v>340</v>
      </c>
      <c r="AB3" s="42" t="s">
        <v>341</v>
      </c>
      <c r="AC3" s="42" t="s">
        <v>342</v>
      </c>
      <c r="AD3" s="36"/>
      <c r="AE3" s="36"/>
      <c r="AF3" s="36" t="s">
        <v>336</v>
      </c>
      <c r="AG3" s="36" t="s">
        <v>337</v>
      </c>
      <c r="AH3" s="40" t="s">
        <v>338</v>
      </c>
      <c r="AI3" s="36" t="s">
        <v>339</v>
      </c>
      <c r="AJ3" s="36" t="s">
        <v>340</v>
      </c>
      <c r="AK3" s="42" t="s">
        <v>341</v>
      </c>
      <c r="AL3" s="42" t="s">
        <v>342</v>
      </c>
      <c r="AM3" s="36"/>
      <c r="AN3" s="36"/>
      <c r="AO3" s="36" t="s">
        <v>336</v>
      </c>
      <c r="AP3" s="36" t="s">
        <v>337</v>
      </c>
      <c r="AQ3" s="40" t="s">
        <v>338</v>
      </c>
      <c r="AR3" s="36" t="s">
        <v>339</v>
      </c>
      <c r="AS3" s="36" t="s">
        <v>340</v>
      </c>
      <c r="AT3" s="42" t="s">
        <v>341</v>
      </c>
      <c r="AU3" s="42" t="s">
        <v>342</v>
      </c>
      <c r="AZ3" s="35"/>
      <c r="BA3" s="35"/>
      <c r="BB3" s="39" t="s">
        <v>335</v>
      </c>
      <c r="BC3" s="36" t="s">
        <v>336</v>
      </c>
      <c r="BD3" s="36" t="s">
        <v>337</v>
      </c>
      <c r="BE3" s="40" t="s">
        <v>338</v>
      </c>
      <c r="BF3" s="36" t="s">
        <v>339</v>
      </c>
      <c r="BG3" s="36" t="s">
        <v>340</v>
      </c>
      <c r="BH3" s="36" t="s">
        <v>341</v>
      </c>
      <c r="BI3" s="36" t="s">
        <v>342</v>
      </c>
      <c r="BJ3" s="36"/>
      <c r="BK3" s="41"/>
      <c r="BL3" s="36"/>
      <c r="BM3" s="36"/>
      <c r="BN3" s="36"/>
      <c r="BO3" s="36"/>
    </row>
    <row r="4" ht="15.5" spans="1:67">
      <c r="A4" s="35" t="s">
        <v>343</v>
      </c>
      <c r="B4" s="43" t="s">
        <v>344</v>
      </c>
      <c r="C4" s="44">
        <f t="shared" ref="C4:J4" si="0">BB4/1000</f>
        <v>0.8374</v>
      </c>
      <c r="D4" s="44">
        <f t="shared" si="0"/>
        <v>0.8081</v>
      </c>
      <c r="E4" s="44">
        <f t="shared" si="0"/>
        <v>0.7705</v>
      </c>
      <c r="F4" s="44">
        <f t="shared" si="0"/>
        <v>0.76</v>
      </c>
      <c r="G4" s="44">
        <f t="shared" si="0"/>
        <v>0.7551</v>
      </c>
      <c r="H4" s="44">
        <f t="shared" si="0"/>
        <v>0.796</v>
      </c>
      <c r="I4" s="44">
        <f t="shared" si="0"/>
        <v>0.76</v>
      </c>
      <c r="J4" s="44">
        <f t="shared" si="0"/>
        <v>0.76</v>
      </c>
      <c r="K4" s="36"/>
      <c r="L4" s="41"/>
      <c r="M4" s="45">
        <v>5.937</v>
      </c>
      <c r="N4" s="45">
        <v>5.845</v>
      </c>
      <c r="O4" s="45">
        <v>5.575</v>
      </c>
      <c r="P4" s="45">
        <v>5.276</v>
      </c>
      <c r="Q4" s="45">
        <v>5.363</v>
      </c>
      <c r="R4" s="45">
        <v>6.645</v>
      </c>
      <c r="S4" s="45">
        <v>5.654</v>
      </c>
      <c r="T4" s="45"/>
      <c r="U4" s="35" t="s">
        <v>343</v>
      </c>
      <c r="V4" s="43" t="s">
        <v>344</v>
      </c>
      <c r="W4" s="46">
        <f t="shared" ref="W4:AC4" si="1">D4/M4</f>
        <v>0.136112514738083</v>
      </c>
      <c r="X4" s="46">
        <f t="shared" si="1"/>
        <v>0.131822070145423</v>
      </c>
      <c r="Y4" s="46">
        <f t="shared" si="1"/>
        <v>0.136322869955157</v>
      </c>
      <c r="Z4" s="46">
        <f t="shared" si="1"/>
        <v>0.143119787717968</v>
      </c>
      <c r="AA4" s="46">
        <f t="shared" si="1"/>
        <v>0.148424389334328</v>
      </c>
      <c r="AB4" s="47">
        <f t="shared" si="1"/>
        <v>0.114371708051166</v>
      </c>
      <c r="AC4" s="47">
        <f t="shared" si="1"/>
        <v>0.134418111071808</v>
      </c>
      <c r="AD4" s="36"/>
      <c r="AE4" s="36"/>
      <c r="AF4" s="46">
        <f t="shared" ref="AF4:AF12" si="2">W4</f>
        <v>0.136112514738083</v>
      </c>
      <c r="AG4" s="46">
        <f t="shared" ref="AG4:AG12" si="3">X4</f>
        <v>0.131822070145423</v>
      </c>
      <c r="AH4" s="46">
        <f t="shared" ref="AH4:AH12" si="4">Y4</f>
        <v>0.136322869955157</v>
      </c>
      <c r="AI4" s="46">
        <f t="shared" ref="AI4:AI12" si="5">Z4</f>
        <v>0.143119787717968</v>
      </c>
      <c r="AJ4" s="46">
        <f t="shared" ref="AJ4:AJ12" si="6">AA4</f>
        <v>0.148424389334328</v>
      </c>
      <c r="AK4" s="48">
        <f t="shared" ref="AK4:AK12" si="7">AB4*1.15</f>
        <v>0.131527464258841</v>
      </c>
      <c r="AL4" s="48">
        <f t="shared" ref="AL4:AL12" si="8">AC4*1.15</f>
        <v>0.154580827732579</v>
      </c>
      <c r="AM4" s="36"/>
      <c r="AN4" s="36"/>
      <c r="AO4" s="46">
        <f t="shared" ref="AO4:AO12" si="9">W4</f>
        <v>0.136112514738083</v>
      </c>
      <c r="AP4" s="46">
        <f t="shared" ref="AP4:AP12" si="10">X4</f>
        <v>0.131822070145423</v>
      </c>
      <c r="AQ4" s="46">
        <f t="shared" ref="AQ4:AQ12" si="11">Y4</f>
        <v>0.136322869955157</v>
      </c>
      <c r="AR4" s="46">
        <f t="shared" ref="AR4:AR12" si="12">Z4</f>
        <v>0.143119787717968</v>
      </c>
      <c r="AS4" s="46">
        <f t="shared" ref="AS4:AS12" si="13">AA4</f>
        <v>0.148424389334328</v>
      </c>
      <c r="AT4" s="48">
        <f t="shared" ref="AT4:AT12" si="14">AB4*0.85</f>
        <v>0.0972159518434914</v>
      </c>
      <c r="AU4" s="48">
        <f t="shared" ref="AU4:AU12" si="15">AC4*0.85</f>
        <v>0.114255394411036</v>
      </c>
      <c r="AZ4" s="35" t="s">
        <v>343</v>
      </c>
      <c r="BA4" s="43" t="s">
        <v>344</v>
      </c>
      <c r="BB4" s="44">
        <v>837.4</v>
      </c>
      <c r="BC4" s="46">
        <v>808.1</v>
      </c>
      <c r="BD4" s="46">
        <v>770.5</v>
      </c>
      <c r="BE4" s="46">
        <v>760</v>
      </c>
      <c r="BF4" s="46">
        <v>755.1</v>
      </c>
      <c r="BG4" s="46">
        <v>796</v>
      </c>
      <c r="BH4" s="46">
        <v>760</v>
      </c>
      <c r="BI4" s="46">
        <v>760</v>
      </c>
      <c r="BJ4" s="36"/>
      <c r="BK4" s="41"/>
      <c r="BL4" s="45"/>
      <c r="BM4" s="45"/>
      <c r="BN4" s="45"/>
      <c r="BO4" s="45"/>
    </row>
    <row r="5" ht="15.5" spans="1:67">
      <c r="A5" s="35"/>
      <c r="B5" s="43" t="s">
        <v>345</v>
      </c>
      <c r="C5" s="44">
        <f t="shared" ref="C5:J5" si="16">BB5/1000</f>
        <v>0.7701</v>
      </c>
      <c r="D5" s="44">
        <f t="shared" si="16"/>
        <v>0.7457</v>
      </c>
      <c r="E5" s="44">
        <f t="shared" si="16"/>
        <v>0.7115</v>
      </c>
      <c r="F5" s="44">
        <f t="shared" si="16"/>
        <v>0.7021</v>
      </c>
      <c r="G5" s="44">
        <f t="shared" si="16"/>
        <v>0.6948</v>
      </c>
      <c r="H5" s="44">
        <f t="shared" si="16"/>
        <v>0.7338</v>
      </c>
      <c r="I5" s="44">
        <f t="shared" si="16"/>
        <v>0.7021</v>
      </c>
      <c r="J5" s="44">
        <f t="shared" si="16"/>
        <v>0.7021</v>
      </c>
      <c r="K5" s="36"/>
      <c r="L5" s="36"/>
      <c r="M5" s="49">
        <v>5.937</v>
      </c>
      <c r="N5" s="49">
        <v>5.845</v>
      </c>
      <c r="O5" s="49">
        <v>5.575</v>
      </c>
      <c r="P5" s="49">
        <v>5.276</v>
      </c>
      <c r="Q5" s="49">
        <v>5.363</v>
      </c>
      <c r="R5" s="49">
        <v>6.645</v>
      </c>
      <c r="S5" s="49">
        <v>5.654</v>
      </c>
      <c r="T5" s="49"/>
      <c r="U5" s="35"/>
      <c r="V5" s="43" t="s">
        <v>345</v>
      </c>
      <c r="W5" s="46">
        <f t="shared" ref="W5:AC5" si="17">D5/M5</f>
        <v>0.125602155971029</v>
      </c>
      <c r="X5" s="46">
        <f t="shared" si="17"/>
        <v>0.121727972626176</v>
      </c>
      <c r="Y5" s="46">
        <f t="shared" si="17"/>
        <v>0.125937219730942</v>
      </c>
      <c r="Z5" s="46">
        <f t="shared" si="17"/>
        <v>0.131690674753601</v>
      </c>
      <c r="AA5" s="46">
        <f t="shared" si="17"/>
        <v>0.136826403132575</v>
      </c>
      <c r="AB5" s="47">
        <f t="shared" si="17"/>
        <v>0.105658389766742</v>
      </c>
      <c r="AC5" s="47">
        <f t="shared" si="17"/>
        <v>0.124177573399363</v>
      </c>
      <c r="AD5" s="36"/>
      <c r="AE5" s="36"/>
      <c r="AF5" s="46">
        <f t="shared" si="2"/>
        <v>0.125602155971029</v>
      </c>
      <c r="AG5" s="46">
        <f t="shared" si="3"/>
        <v>0.121727972626176</v>
      </c>
      <c r="AH5" s="46">
        <f t="shared" si="4"/>
        <v>0.125937219730942</v>
      </c>
      <c r="AI5" s="46">
        <f t="shared" si="5"/>
        <v>0.131690674753601</v>
      </c>
      <c r="AJ5" s="46">
        <f t="shared" si="6"/>
        <v>0.136826403132575</v>
      </c>
      <c r="AK5" s="48">
        <f t="shared" si="7"/>
        <v>0.121507148231753</v>
      </c>
      <c r="AL5" s="48">
        <f t="shared" si="8"/>
        <v>0.142804209409268</v>
      </c>
      <c r="AM5" s="36"/>
      <c r="AN5" s="36"/>
      <c r="AO5" s="46">
        <f t="shared" si="9"/>
        <v>0.125602155971029</v>
      </c>
      <c r="AP5" s="46">
        <f t="shared" si="10"/>
        <v>0.121727972626176</v>
      </c>
      <c r="AQ5" s="46">
        <f t="shared" si="11"/>
        <v>0.125937219730942</v>
      </c>
      <c r="AR5" s="46">
        <f t="shared" si="12"/>
        <v>0.131690674753601</v>
      </c>
      <c r="AS5" s="46">
        <f t="shared" si="13"/>
        <v>0.136826403132575</v>
      </c>
      <c r="AT5" s="48">
        <f t="shared" si="14"/>
        <v>0.0898096313017306</v>
      </c>
      <c r="AU5" s="48">
        <f t="shared" si="15"/>
        <v>0.105550937389459</v>
      </c>
      <c r="AZ5" s="35"/>
      <c r="BA5" s="43" t="s">
        <v>345</v>
      </c>
      <c r="BB5" s="44">
        <v>770.1</v>
      </c>
      <c r="BC5" s="46">
        <v>745.7</v>
      </c>
      <c r="BD5" s="46">
        <v>711.5</v>
      </c>
      <c r="BE5" s="46">
        <v>702.1</v>
      </c>
      <c r="BF5" s="46">
        <v>694.8</v>
      </c>
      <c r="BG5" s="46">
        <v>733.8</v>
      </c>
      <c r="BH5" s="46">
        <v>702.1</v>
      </c>
      <c r="BI5" s="46">
        <v>702.1</v>
      </c>
      <c r="BJ5" s="36"/>
      <c r="BK5" s="36"/>
      <c r="BL5" s="49"/>
      <c r="BM5" s="49"/>
      <c r="BN5" s="49"/>
      <c r="BO5" s="49"/>
    </row>
    <row r="6" ht="15.5" spans="1:67">
      <c r="A6" s="35"/>
      <c r="B6" s="43" t="s">
        <v>346</v>
      </c>
      <c r="C6" s="44">
        <f t="shared" ref="C6:J6" si="18">BB6/1000</f>
        <v>0.1986</v>
      </c>
      <c r="D6" s="44">
        <f t="shared" si="18"/>
        <v>0.1717</v>
      </c>
      <c r="E6" s="44">
        <f t="shared" si="18"/>
        <v>0.1611</v>
      </c>
      <c r="F6" s="44">
        <f t="shared" si="18"/>
        <v>0.1579</v>
      </c>
      <c r="G6" s="44">
        <f t="shared" si="18"/>
        <v>0.1521</v>
      </c>
      <c r="H6" s="44">
        <f t="shared" si="18"/>
        <v>0.1588</v>
      </c>
      <c r="I6" s="44">
        <f t="shared" si="18"/>
        <v>0.1579</v>
      </c>
      <c r="J6" s="44">
        <f t="shared" si="18"/>
        <v>0.1579</v>
      </c>
      <c r="K6" s="36"/>
      <c r="L6" s="36"/>
      <c r="M6" s="49">
        <v>5.937</v>
      </c>
      <c r="N6" s="49">
        <v>5.845</v>
      </c>
      <c r="O6" s="49">
        <v>5.575</v>
      </c>
      <c r="P6" s="49">
        <v>5.276</v>
      </c>
      <c r="Q6" s="49">
        <v>5.363</v>
      </c>
      <c r="R6" s="49">
        <v>6.645</v>
      </c>
      <c r="S6" s="49">
        <v>5.654</v>
      </c>
      <c r="T6" s="49"/>
      <c r="U6" s="35"/>
      <c r="V6" s="43" t="s">
        <v>346</v>
      </c>
      <c r="W6" s="46">
        <f t="shared" ref="W6:AC6" si="19">D6/M6</f>
        <v>0.0289203301330638</v>
      </c>
      <c r="X6" s="46">
        <f t="shared" si="19"/>
        <v>0.0275620188195039</v>
      </c>
      <c r="Y6" s="46">
        <f t="shared" si="19"/>
        <v>0.028322869955157</v>
      </c>
      <c r="Z6" s="46">
        <f t="shared" si="19"/>
        <v>0.0288286580742987</v>
      </c>
      <c r="AA6" s="46">
        <f t="shared" si="19"/>
        <v>0.0296102927465971</v>
      </c>
      <c r="AB6" s="47">
        <f t="shared" si="19"/>
        <v>0.0237622272385252</v>
      </c>
      <c r="AC6" s="47">
        <f t="shared" si="19"/>
        <v>0.0279271312345242</v>
      </c>
      <c r="AD6" s="36"/>
      <c r="AE6" s="36"/>
      <c r="AF6" s="46">
        <f t="shared" si="2"/>
        <v>0.0289203301330638</v>
      </c>
      <c r="AG6" s="46">
        <f t="shared" si="3"/>
        <v>0.0275620188195039</v>
      </c>
      <c r="AH6" s="46">
        <f t="shared" si="4"/>
        <v>0.028322869955157</v>
      </c>
      <c r="AI6" s="46">
        <f t="shared" si="5"/>
        <v>0.0288286580742987</v>
      </c>
      <c r="AJ6" s="46">
        <f t="shared" si="6"/>
        <v>0.0296102927465971</v>
      </c>
      <c r="AK6" s="48">
        <f t="shared" si="7"/>
        <v>0.027326561324304</v>
      </c>
      <c r="AL6" s="48">
        <f t="shared" si="8"/>
        <v>0.0321162009197029</v>
      </c>
      <c r="AM6" s="36"/>
      <c r="AN6" s="36"/>
      <c r="AO6" s="46">
        <f t="shared" si="9"/>
        <v>0.0289203301330638</v>
      </c>
      <c r="AP6" s="46">
        <f t="shared" si="10"/>
        <v>0.0275620188195039</v>
      </c>
      <c r="AQ6" s="46">
        <f t="shared" si="11"/>
        <v>0.028322869955157</v>
      </c>
      <c r="AR6" s="46">
        <f t="shared" si="12"/>
        <v>0.0288286580742987</v>
      </c>
      <c r="AS6" s="46">
        <f t="shared" si="13"/>
        <v>0.0296102927465971</v>
      </c>
      <c r="AT6" s="48">
        <f t="shared" si="14"/>
        <v>0.0201978931527464</v>
      </c>
      <c r="AU6" s="48">
        <f t="shared" si="15"/>
        <v>0.0237380615493456</v>
      </c>
      <c r="AZ6" s="35"/>
      <c r="BA6" s="43" t="s">
        <v>346</v>
      </c>
      <c r="BB6" s="44">
        <v>198.6</v>
      </c>
      <c r="BC6" s="46">
        <v>171.7</v>
      </c>
      <c r="BD6" s="46">
        <v>161.1</v>
      </c>
      <c r="BE6" s="46">
        <v>157.9</v>
      </c>
      <c r="BF6" s="46">
        <v>152.1</v>
      </c>
      <c r="BG6" s="46">
        <v>158.8</v>
      </c>
      <c r="BH6" s="46">
        <v>157.9</v>
      </c>
      <c r="BI6" s="46">
        <v>157.9</v>
      </c>
      <c r="BJ6" s="36"/>
      <c r="BK6" s="36"/>
      <c r="BL6" s="49"/>
      <c r="BM6" s="49"/>
      <c r="BN6" s="49"/>
      <c r="BO6" s="49"/>
    </row>
    <row r="7" ht="15.5" spans="1:67">
      <c r="A7" s="35"/>
      <c r="B7" s="43" t="s">
        <v>347</v>
      </c>
      <c r="C7" s="44">
        <f t="shared" ref="C7:J7" si="20">BB7/1000</f>
        <v>0.487</v>
      </c>
      <c r="D7" s="44">
        <f t="shared" si="20"/>
        <v>0.4967</v>
      </c>
      <c r="E7" s="44">
        <f t="shared" si="20"/>
        <v>0.4758</v>
      </c>
      <c r="F7" s="44">
        <f t="shared" si="20"/>
        <v>0.4705</v>
      </c>
      <c r="G7" s="44">
        <f t="shared" si="20"/>
        <v>0.4665</v>
      </c>
      <c r="H7" s="44">
        <f t="shared" si="20"/>
        <v>0.496</v>
      </c>
      <c r="I7" s="44">
        <f t="shared" si="20"/>
        <v>0.4705</v>
      </c>
      <c r="J7" s="44">
        <f t="shared" si="20"/>
        <v>0.4705</v>
      </c>
      <c r="K7" s="36"/>
      <c r="L7" s="36"/>
      <c r="M7" s="49">
        <v>5.937</v>
      </c>
      <c r="N7" s="49">
        <v>5.845</v>
      </c>
      <c r="O7" s="49">
        <v>5.575</v>
      </c>
      <c r="P7" s="49">
        <v>5.276</v>
      </c>
      <c r="Q7" s="49">
        <v>5.363</v>
      </c>
      <c r="R7" s="49">
        <v>6.645</v>
      </c>
      <c r="S7" s="49">
        <v>5.654</v>
      </c>
      <c r="T7" s="49"/>
      <c r="U7" s="35"/>
      <c r="V7" s="43" t="s">
        <v>347</v>
      </c>
      <c r="W7" s="46">
        <f t="shared" ref="W7:AC7" si="21">D7/M7</f>
        <v>0.0836617820448038</v>
      </c>
      <c r="X7" s="46">
        <f t="shared" si="21"/>
        <v>0.0814029084687767</v>
      </c>
      <c r="Y7" s="46">
        <f t="shared" si="21"/>
        <v>0.0843946188340807</v>
      </c>
      <c r="Z7" s="46">
        <f t="shared" si="21"/>
        <v>0.0884192570128886</v>
      </c>
      <c r="AA7" s="46">
        <f t="shared" si="21"/>
        <v>0.092485549132948</v>
      </c>
      <c r="AB7" s="47">
        <f t="shared" si="21"/>
        <v>0.0708051166290444</v>
      </c>
      <c r="AC7" s="47">
        <f t="shared" si="21"/>
        <v>0.0832154227095861</v>
      </c>
      <c r="AD7" s="36"/>
      <c r="AE7" s="36"/>
      <c r="AF7" s="46">
        <f t="shared" si="2"/>
        <v>0.0836617820448038</v>
      </c>
      <c r="AG7" s="46">
        <f t="shared" si="3"/>
        <v>0.0814029084687767</v>
      </c>
      <c r="AH7" s="46">
        <f t="shared" si="4"/>
        <v>0.0843946188340807</v>
      </c>
      <c r="AI7" s="46">
        <f t="shared" si="5"/>
        <v>0.0884192570128886</v>
      </c>
      <c r="AJ7" s="46">
        <f t="shared" si="6"/>
        <v>0.092485549132948</v>
      </c>
      <c r="AK7" s="48">
        <f t="shared" si="7"/>
        <v>0.0814258841234011</v>
      </c>
      <c r="AL7" s="48">
        <f t="shared" si="8"/>
        <v>0.0956977361160241</v>
      </c>
      <c r="AM7" s="36"/>
      <c r="AN7" s="36"/>
      <c r="AO7" s="46">
        <f t="shared" si="9"/>
        <v>0.0836617820448038</v>
      </c>
      <c r="AP7" s="46">
        <f t="shared" si="10"/>
        <v>0.0814029084687767</v>
      </c>
      <c r="AQ7" s="46">
        <f t="shared" si="11"/>
        <v>0.0843946188340807</v>
      </c>
      <c r="AR7" s="46">
        <f t="shared" si="12"/>
        <v>0.0884192570128886</v>
      </c>
      <c r="AS7" s="46">
        <f t="shared" si="13"/>
        <v>0.092485549132948</v>
      </c>
      <c r="AT7" s="48">
        <f t="shared" si="14"/>
        <v>0.0601843491346877</v>
      </c>
      <c r="AU7" s="48">
        <f t="shared" si="15"/>
        <v>0.0707331093031482</v>
      </c>
      <c r="AZ7" s="35"/>
      <c r="BA7" s="43" t="s">
        <v>347</v>
      </c>
      <c r="BB7" s="44">
        <v>487</v>
      </c>
      <c r="BC7" s="46">
        <v>496.7</v>
      </c>
      <c r="BD7" s="46">
        <v>475.8</v>
      </c>
      <c r="BE7" s="46">
        <v>470.5</v>
      </c>
      <c r="BF7" s="46">
        <v>466.5</v>
      </c>
      <c r="BG7" s="46">
        <v>496</v>
      </c>
      <c r="BH7" s="46">
        <v>470.5</v>
      </c>
      <c r="BI7" s="46">
        <v>470.5</v>
      </c>
      <c r="BJ7" s="36"/>
      <c r="BK7" s="36"/>
      <c r="BL7" s="49"/>
      <c r="BM7" s="49"/>
      <c r="BN7" s="49"/>
      <c r="BO7" s="49"/>
    </row>
    <row r="8" ht="15.5" spans="1:67">
      <c r="A8" s="35"/>
      <c r="B8" s="43" t="s">
        <v>348</v>
      </c>
      <c r="C8" s="44">
        <f t="shared" ref="C8:J8" si="22">BB8/1000</f>
        <v>0.0845</v>
      </c>
      <c r="D8" s="44">
        <f t="shared" si="22"/>
        <v>0.0773</v>
      </c>
      <c r="E8" s="44">
        <f t="shared" si="22"/>
        <v>0.0745</v>
      </c>
      <c r="F8" s="44">
        <f t="shared" si="22"/>
        <v>0.0736</v>
      </c>
      <c r="G8" s="44">
        <f t="shared" si="22"/>
        <v>0.0761</v>
      </c>
      <c r="H8" s="44">
        <f t="shared" si="22"/>
        <v>0.0789</v>
      </c>
      <c r="I8" s="44">
        <f t="shared" si="22"/>
        <v>0.0736</v>
      </c>
      <c r="J8" s="44">
        <f t="shared" si="22"/>
        <v>0.0736</v>
      </c>
      <c r="K8" s="36"/>
      <c r="L8" s="36"/>
      <c r="M8" s="49">
        <v>5.937</v>
      </c>
      <c r="N8" s="49">
        <v>5.845</v>
      </c>
      <c r="O8" s="49">
        <v>5.575</v>
      </c>
      <c r="P8" s="49">
        <v>5.276</v>
      </c>
      <c r="Q8" s="49">
        <v>5.363</v>
      </c>
      <c r="R8" s="49">
        <v>6.645</v>
      </c>
      <c r="S8" s="49">
        <v>5.654</v>
      </c>
      <c r="T8" s="49"/>
      <c r="U8" s="35"/>
      <c r="V8" s="43" t="s">
        <v>348</v>
      </c>
      <c r="W8" s="46">
        <f t="shared" ref="W8:AC8" si="23">D8/M8</f>
        <v>0.0130200437931615</v>
      </c>
      <c r="X8" s="46">
        <f t="shared" si="23"/>
        <v>0.0127459366980325</v>
      </c>
      <c r="Y8" s="46">
        <f t="shared" si="23"/>
        <v>0.0132017937219731</v>
      </c>
      <c r="Z8" s="46">
        <f t="shared" si="23"/>
        <v>0.0144238059135709</v>
      </c>
      <c r="AA8" s="46">
        <f t="shared" si="23"/>
        <v>0.0147119149729629</v>
      </c>
      <c r="AB8" s="47">
        <f t="shared" si="23"/>
        <v>0.0110759969902182</v>
      </c>
      <c r="AC8" s="47">
        <f t="shared" si="23"/>
        <v>0.0130173328616908</v>
      </c>
      <c r="AD8" s="36"/>
      <c r="AE8" s="36"/>
      <c r="AF8" s="46">
        <f t="shared" si="2"/>
        <v>0.0130200437931615</v>
      </c>
      <c r="AG8" s="46">
        <f t="shared" si="3"/>
        <v>0.0127459366980325</v>
      </c>
      <c r="AH8" s="46">
        <f t="shared" si="4"/>
        <v>0.0132017937219731</v>
      </c>
      <c r="AI8" s="46">
        <f t="shared" si="5"/>
        <v>0.0144238059135709</v>
      </c>
      <c r="AJ8" s="46">
        <f t="shared" si="6"/>
        <v>0.0147119149729629</v>
      </c>
      <c r="AK8" s="48">
        <f t="shared" si="7"/>
        <v>0.0127373965387509</v>
      </c>
      <c r="AL8" s="48">
        <f t="shared" si="8"/>
        <v>0.0149699327909445</v>
      </c>
      <c r="AM8" s="36"/>
      <c r="AN8" s="36"/>
      <c r="AO8" s="46">
        <f t="shared" si="9"/>
        <v>0.0130200437931615</v>
      </c>
      <c r="AP8" s="46">
        <f t="shared" si="10"/>
        <v>0.0127459366980325</v>
      </c>
      <c r="AQ8" s="46">
        <f t="shared" si="11"/>
        <v>0.0132017937219731</v>
      </c>
      <c r="AR8" s="46">
        <f t="shared" si="12"/>
        <v>0.0144238059135709</v>
      </c>
      <c r="AS8" s="46">
        <f t="shared" si="13"/>
        <v>0.0147119149729629</v>
      </c>
      <c r="AT8" s="48">
        <f t="shared" si="14"/>
        <v>0.00941459744168548</v>
      </c>
      <c r="AU8" s="48">
        <f t="shared" si="15"/>
        <v>0.0110647329324372</v>
      </c>
      <c r="AZ8" s="35"/>
      <c r="BA8" s="43" t="s">
        <v>348</v>
      </c>
      <c r="BB8" s="44">
        <v>84.5</v>
      </c>
      <c r="BC8" s="46">
        <v>77.3</v>
      </c>
      <c r="BD8" s="46">
        <v>74.5</v>
      </c>
      <c r="BE8" s="46">
        <v>73.6</v>
      </c>
      <c r="BF8" s="46">
        <v>76.1</v>
      </c>
      <c r="BG8" s="46">
        <v>78.9</v>
      </c>
      <c r="BH8" s="46">
        <v>73.6</v>
      </c>
      <c r="BI8" s="46">
        <v>73.6</v>
      </c>
      <c r="BJ8" s="36"/>
      <c r="BK8" s="36"/>
      <c r="BL8" s="49"/>
      <c r="BM8" s="49"/>
      <c r="BN8" s="49"/>
      <c r="BO8" s="49"/>
    </row>
    <row r="9" ht="15.5" spans="1:67">
      <c r="A9" s="35" t="s">
        <v>241</v>
      </c>
      <c r="B9" s="43" t="s">
        <v>344</v>
      </c>
      <c r="C9" s="44">
        <f t="shared" ref="C9:J9" si="24">BB9/1000</f>
        <v>0.855</v>
      </c>
      <c r="D9" s="44">
        <f t="shared" si="24"/>
        <v>0.8241</v>
      </c>
      <c r="E9" s="44">
        <f t="shared" si="24"/>
        <v>0.7857</v>
      </c>
      <c r="F9" s="44">
        <f t="shared" si="24"/>
        <v>0.775</v>
      </c>
      <c r="G9" s="44">
        <f t="shared" si="24"/>
        <v>0.7702</v>
      </c>
      <c r="H9" s="44">
        <f t="shared" si="24"/>
        <v>0.8116</v>
      </c>
      <c r="I9" s="44">
        <f t="shared" si="24"/>
        <v>0.775</v>
      </c>
      <c r="J9" s="44">
        <f t="shared" si="24"/>
        <v>0.775</v>
      </c>
      <c r="K9" s="36"/>
      <c r="L9" s="36"/>
      <c r="M9" s="49">
        <v>5.937</v>
      </c>
      <c r="N9" s="49">
        <v>5.845</v>
      </c>
      <c r="O9" s="49">
        <v>5.575</v>
      </c>
      <c r="P9" s="49">
        <v>5.276</v>
      </c>
      <c r="Q9" s="49">
        <v>5.363</v>
      </c>
      <c r="R9" s="49">
        <v>6.645</v>
      </c>
      <c r="S9" s="49">
        <v>5.654</v>
      </c>
      <c r="T9" s="49"/>
      <c r="U9" s="35" t="s">
        <v>241</v>
      </c>
      <c r="V9" s="43" t="s">
        <v>344</v>
      </c>
      <c r="W9" s="46">
        <f t="shared" ref="W9:AC9" si="25">D9/M9</f>
        <v>0.138807478524507</v>
      </c>
      <c r="X9" s="46">
        <f t="shared" si="25"/>
        <v>0.134422583404619</v>
      </c>
      <c r="Y9" s="46">
        <f t="shared" si="25"/>
        <v>0.139013452914798</v>
      </c>
      <c r="Z9" s="46">
        <f t="shared" si="25"/>
        <v>0.145981804397271</v>
      </c>
      <c r="AA9" s="46">
        <f t="shared" si="25"/>
        <v>0.1513332090248</v>
      </c>
      <c r="AB9" s="47">
        <f t="shared" si="25"/>
        <v>0.116629044394281</v>
      </c>
      <c r="AC9" s="47">
        <f t="shared" si="25"/>
        <v>0.13707110010612</v>
      </c>
      <c r="AD9" s="36"/>
      <c r="AE9" s="36"/>
      <c r="AF9" s="46">
        <f t="shared" si="2"/>
        <v>0.138807478524507</v>
      </c>
      <c r="AG9" s="46">
        <f t="shared" si="3"/>
        <v>0.134422583404619</v>
      </c>
      <c r="AH9" s="46">
        <f t="shared" si="4"/>
        <v>0.139013452914798</v>
      </c>
      <c r="AI9" s="46">
        <f t="shared" si="5"/>
        <v>0.145981804397271</v>
      </c>
      <c r="AJ9" s="46">
        <f t="shared" si="6"/>
        <v>0.1513332090248</v>
      </c>
      <c r="AK9" s="48">
        <f t="shared" si="7"/>
        <v>0.134123401053424</v>
      </c>
      <c r="AL9" s="48">
        <f t="shared" si="8"/>
        <v>0.157631765122037</v>
      </c>
      <c r="AM9" s="36"/>
      <c r="AN9" s="36"/>
      <c r="AO9" s="46">
        <f t="shared" si="9"/>
        <v>0.138807478524507</v>
      </c>
      <c r="AP9" s="46">
        <f t="shared" si="10"/>
        <v>0.134422583404619</v>
      </c>
      <c r="AQ9" s="46">
        <f t="shared" si="11"/>
        <v>0.139013452914798</v>
      </c>
      <c r="AR9" s="46">
        <f t="shared" si="12"/>
        <v>0.145981804397271</v>
      </c>
      <c r="AS9" s="46">
        <f t="shared" si="13"/>
        <v>0.1513332090248</v>
      </c>
      <c r="AT9" s="48">
        <f t="shared" si="14"/>
        <v>0.0991346877351392</v>
      </c>
      <c r="AU9" s="48">
        <f t="shared" si="15"/>
        <v>0.116510435090202</v>
      </c>
      <c r="AZ9" s="35" t="s">
        <v>241</v>
      </c>
      <c r="BA9" s="43" t="s">
        <v>344</v>
      </c>
      <c r="BB9" s="44">
        <v>855</v>
      </c>
      <c r="BC9" s="46">
        <v>824.1</v>
      </c>
      <c r="BD9" s="46">
        <v>785.7</v>
      </c>
      <c r="BE9" s="46">
        <v>775</v>
      </c>
      <c r="BF9" s="46">
        <v>770.2</v>
      </c>
      <c r="BG9" s="46">
        <v>811.6</v>
      </c>
      <c r="BH9" s="46">
        <v>775</v>
      </c>
      <c r="BI9" s="46">
        <v>775</v>
      </c>
      <c r="BJ9" s="36"/>
      <c r="BK9" s="36"/>
      <c r="BL9" s="49"/>
      <c r="BM9" s="49"/>
      <c r="BN9" s="49"/>
      <c r="BO9" s="49"/>
    </row>
    <row r="10" ht="15.5" spans="1:67">
      <c r="A10" s="35"/>
      <c r="B10" s="43" t="s">
        <v>345</v>
      </c>
      <c r="C10" s="44">
        <f t="shared" ref="C10:J10" si="26">BB10/1000</f>
        <v>0.7888</v>
      </c>
      <c r="D10" s="44">
        <f t="shared" si="26"/>
        <v>0.7626</v>
      </c>
      <c r="E10" s="44">
        <f t="shared" si="26"/>
        <v>0.7275</v>
      </c>
      <c r="F10" s="44">
        <f t="shared" si="26"/>
        <v>0.7179</v>
      </c>
      <c r="G10" s="44">
        <f t="shared" si="26"/>
        <v>0.7107</v>
      </c>
      <c r="H10" s="44">
        <f t="shared" si="26"/>
        <v>0.7503</v>
      </c>
      <c r="I10" s="44">
        <f t="shared" si="26"/>
        <v>0.7179</v>
      </c>
      <c r="J10" s="44">
        <f t="shared" si="26"/>
        <v>0.7179</v>
      </c>
      <c r="K10" s="36"/>
      <c r="L10" s="36"/>
      <c r="M10" s="49">
        <v>5.937</v>
      </c>
      <c r="N10" s="49">
        <v>5.845</v>
      </c>
      <c r="O10" s="49">
        <v>5.575</v>
      </c>
      <c r="P10" s="49">
        <v>5.276</v>
      </c>
      <c r="Q10" s="49">
        <v>5.363</v>
      </c>
      <c r="R10" s="49">
        <v>6.645</v>
      </c>
      <c r="S10" s="49">
        <v>5.654</v>
      </c>
      <c r="T10" s="49"/>
      <c r="U10" s="35"/>
      <c r="V10" s="43" t="s">
        <v>345</v>
      </c>
      <c r="W10" s="46">
        <f t="shared" ref="W10:AC10" si="27">D10/M10</f>
        <v>0.12844871147044</v>
      </c>
      <c r="X10" s="46">
        <f t="shared" si="27"/>
        <v>0.124465355004277</v>
      </c>
      <c r="Y10" s="46">
        <f t="shared" si="27"/>
        <v>0.12877130044843</v>
      </c>
      <c r="Z10" s="46">
        <f t="shared" si="27"/>
        <v>0.134704321455648</v>
      </c>
      <c r="AA10" s="46">
        <f t="shared" si="27"/>
        <v>0.139903039343651</v>
      </c>
      <c r="AB10" s="47">
        <f t="shared" si="27"/>
        <v>0.10803611738149</v>
      </c>
      <c r="AC10" s="47">
        <f t="shared" si="27"/>
        <v>0.126972055182172</v>
      </c>
      <c r="AD10" s="36"/>
      <c r="AE10" s="36"/>
      <c r="AF10" s="46">
        <f t="shared" si="2"/>
        <v>0.12844871147044</v>
      </c>
      <c r="AG10" s="46">
        <f t="shared" si="3"/>
        <v>0.124465355004277</v>
      </c>
      <c r="AH10" s="46">
        <f t="shared" si="4"/>
        <v>0.12877130044843</v>
      </c>
      <c r="AI10" s="46">
        <f t="shared" si="5"/>
        <v>0.134704321455648</v>
      </c>
      <c r="AJ10" s="46">
        <f t="shared" si="6"/>
        <v>0.139903039343651</v>
      </c>
      <c r="AK10" s="48">
        <f t="shared" si="7"/>
        <v>0.124241534988713</v>
      </c>
      <c r="AL10" s="48">
        <f t="shared" si="8"/>
        <v>0.146017863459498</v>
      </c>
      <c r="AM10" s="36"/>
      <c r="AN10" s="36"/>
      <c r="AO10" s="46">
        <f t="shared" si="9"/>
        <v>0.12844871147044</v>
      </c>
      <c r="AP10" s="46">
        <f t="shared" si="10"/>
        <v>0.124465355004277</v>
      </c>
      <c r="AQ10" s="46">
        <f t="shared" si="11"/>
        <v>0.12877130044843</v>
      </c>
      <c r="AR10" s="46">
        <f t="shared" si="12"/>
        <v>0.134704321455648</v>
      </c>
      <c r="AS10" s="46">
        <f t="shared" si="13"/>
        <v>0.139903039343651</v>
      </c>
      <c r="AT10" s="48">
        <f t="shared" si="14"/>
        <v>0.0918306997742664</v>
      </c>
      <c r="AU10" s="48">
        <f t="shared" si="15"/>
        <v>0.107926246904846</v>
      </c>
      <c r="AZ10" s="35"/>
      <c r="BA10" s="43" t="s">
        <v>345</v>
      </c>
      <c r="BB10" s="44">
        <v>788.8</v>
      </c>
      <c r="BC10" s="46">
        <v>762.6</v>
      </c>
      <c r="BD10" s="46">
        <v>727.5</v>
      </c>
      <c r="BE10" s="46">
        <v>717.9</v>
      </c>
      <c r="BF10" s="46">
        <v>710.7</v>
      </c>
      <c r="BG10" s="46">
        <v>750.3</v>
      </c>
      <c r="BH10" s="46">
        <v>717.9</v>
      </c>
      <c r="BI10" s="46">
        <v>717.9</v>
      </c>
      <c r="BJ10" s="36"/>
      <c r="BK10" s="36"/>
      <c r="BL10" s="49"/>
      <c r="BM10" s="49"/>
      <c r="BN10" s="49"/>
      <c r="BO10" s="49"/>
    </row>
    <row r="11" ht="15.5" spans="1:67">
      <c r="A11" s="35"/>
      <c r="B11" s="43" t="s">
        <v>346</v>
      </c>
      <c r="C11" s="44">
        <f t="shared" ref="C11:J11" si="28">BB11/1000</f>
        <v>0.2381</v>
      </c>
      <c r="D11" s="44">
        <f t="shared" si="28"/>
        <v>0.2075</v>
      </c>
      <c r="E11" s="44">
        <f t="shared" si="28"/>
        <v>0.1951</v>
      </c>
      <c r="F11" s="44">
        <f t="shared" si="28"/>
        <v>0.1916</v>
      </c>
      <c r="G11" s="44">
        <f t="shared" si="28"/>
        <v>0.186</v>
      </c>
      <c r="H11" s="44">
        <f t="shared" si="28"/>
        <v>0.1938</v>
      </c>
      <c r="I11" s="44">
        <f t="shared" si="28"/>
        <v>0.1916</v>
      </c>
      <c r="J11" s="44">
        <f t="shared" si="28"/>
        <v>0.1916</v>
      </c>
      <c r="K11" s="36"/>
      <c r="L11" s="36"/>
      <c r="M11" s="49">
        <v>5.937</v>
      </c>
      <c r="N11" s="49">
        <v>5.845</v>
      </c>
      <c r="O11" s="49">
        <v>5.575</v>
      </c>
      <c r="P11" s="49">
        <v>5.276</v>
      </c>
      <c r="Q11" s="49">
        <v>5.363</v>
      </c>
      <c r="R11" s="49">
        <v>6.645</v>
      </c>
      <c r="S11" s="49">
        <v>5.654</v>
      </c>
      <c r="T11" s="49"/>
      <c r="U11" s="35"/>
      <c r="V11" s="43" t="s">
        <v>346</v>
      </c>
      <c r="W11" s="46">
        <f t="shared" ref="W11:AC11" si="29">D11/M11</f>
        <v>0.0349503116051878</v>
      </c>
      <c r="X11" s="46">
        <f t="shared" si="29"/>
        <v>0.0333789563729684</v>
      </c>
      <c r="Y11" s="46">
        <f t="shared" si="29"/>
        <v>0.0343677130044843</v>
      </c>
      <c r="Z11" s="46">
        <f t="shared" si="29"/>
        <v>0.035253980288097</v>
      </c>
      <c r="AA11" s="46">
        <f t="shared" si="29"/>
        <v>0.0361364907700914</v>
      </c>
      <c r="AB11" s="47">
        <f t="shared" si="29"/>
        <v>0.0288337095560572</v>
      </c>
      <c r="AC11" s="47">
        <f t="shared" si="29"/>
        <v>0.0338875132649452</v>
      </c>
      <c r="AD11" s="36"/>
      <c r="AE11" s="36"/>
      <c r="AF11" s="46">
        <f t="shared" si="2"/>
        <v>0.0349503116051878</v>
      </c>
      <c r="AG11" s="46">
        <f t="shared" si="3"/>
        <v>0.0333789563729684</v>
      </c>
      <c r="AH11" s="46">
        <f t="shared" si="4"/>
        <v>0.0343677130044843</v>
      </c>
      <c r="AI11" s="46">
        <f t="shared" si="5"/>
        <v>0.035253980288097</v>
      </c>
      <c r="AJ11" s="46">
        <f t="shared" si="6"/>
        <v>0.0361364907700914</v>
      </c>
      <c r="AK11" s="48">
        <f t="shared" si="7"/>
        <v>0.0331587659894658</v>
      </c>
      <c r="AL11" s="48">
        <f t="shared" si="8"/>
        <v>0.0389706402546869</v>
      </c>
      <c r="AM11" s="36"/>
      <c r="AN11" s="36"/>
      <c r="AO11" s="46">
        <f t="shared" si="9"/>
        <v>0.0349503116051878</v>
      </c>
      <c r="AP11" s="46">
        <f t="shared" si="10"/>
        <v>0.0333789563729684</v>
      </c>
      <c r="AQ11" s="46">
        <f t="shared" si="11"/>
        <v>0.0343677130044843</v>
      </c>
      <c r="AR11" s="46">
        <f t="shared" si="12"/>
        <v>0.035253980288097</v>
      </c>
      <c r="AS11" s="46">
        <f t="shared" si="13"/>
        <v>0.0361364907700914</v>
      </c>
      <c r="AT11" s="48">
        <f t="shared" si="14"/>
        <v>0.0245086531226486</v>
      </c>
      <c r="AU11" s="48">
        <f t="shared" si="15"/>
        <v>0.0288043862752034</v>
      </c>
      <c r="AZ11" s="35"/>
      <c r="BA11" s="43" t="s">
        <v>346</v>
      </c>
      <c r="BB11" s="44">
        <v>238.1</v>
      </c>
      <c r="BC11" s="46">
        <v>207.5</v>
      </c>
      <c r="BD11" s="46">
        <v>195.1</v>
      </c>
      <c r="BE11" s="46">
        <v>191.6</v>
      </c>
      <c r="BF11" s="46">
        <v>186</v>
      </c>
      <c r="BG11" s="46">
        <v>193.8</v>
      </c>
      <c r="BH11" s="46">
        <v>191.6</v>
      </c>
      <c r="BI11" s="46">
        <v>191.6</v>
      </c>
      <c r="BJ11" s="36"/>
      <c r="BK11" s="36"/>
      <c r="BL11" s="49"/>
      <c r="BM11" s="49"/>
      <c r="BN11" s="49"/>
      <c r="BO11" s="49"/>
    </row>
    <row r="12" ht="15.5" spans="1:67">
      <c r="A12" s="35"/>
      <c r="B12" s="43" t="s">
        <v>347</v>
      </c>
      <c r="C12" s="44">
        <f t="shared" ref="C12:J12" si="30">BB12/1000</f>
        <v>0.4629</v>
      </c>
      <c r="D12" s="44">
        <f t="shared" si="30"/>
        <v>0.4749</v>
      </c>
      <c r="E12" s="44">
        <f t="shared" si="30"/>
        <v>0.4551</v>
      </c>
      <c r="F12" s="44">
        <f t="shared" si="30"/>
        <v>0.45</v>
      </c>
      <c r="G12" s="44">
        <f t="shared" si="30"/>
        <v>0.4459</v>
      </c>
      <c r="H12" s="44">
        <f t="shared" si="30"/>
        <v>0.4747</v>
      </c>
      <c r="I12" s="44">
        <f t="shared" si="30"/>
        <v>0.45</v>
      </c>
      <c r="J12" s="44">
        <f t="shared" si="30"/>
        <v>0.45</v>
      </c>
      <c r="K12" s="36"/>
      <c r="L12" s="36"/>
      <c r="M12" s="49">
        <v>5.937</v>
      </c>
      <c r="N12" s="49">
        <v>5.845</v>
      </c>
      <c r="O12" s="49">
        <v>5.575</v>
      </c>
      <c r="P12" s="49">
        <v>5.276</v>
      </c>
      <c r="Q12" s="49">
        <v>5.363</v>
      </c>
      <c r="R12" s="49">
        <v>6.645</v>
      </c>
      <c r="S12" s="49">
        <v>5.654</v>
      </c>
      <c r="T12" s="49"/>
      <c r="U12" s="35"/>
      <c r="V12" s="43" t="s">
        <v>347</v>
      </c>
      <c r="W12" s="46">
        <f t="shared" ref="W12:AC12" si="31">D12/M12</f>
        <v>0.0799898938858009</v>
      </c>
      <c r="X12" s="46">
        <f t="shared" si="31"/>
        <v>0.0778614200171086</v>
      </c>
      <c r="Y12" s="46">
        <f t="shared" si="31"/>
        <v>0.0807174887892377</v>
      </c>
      <c r="Z12" s="46">
        <f t="shared" si="31"/>
        <v>0.0845147839272176</v>
      </c>
      <c r="AA12" s="46">
        <f t="shared" si="31"/>
        <v>0.08851389147865</v>
      </c>
      <c r="AB12" s="47">
        <f t="shared" si="31"/>
        <v>0.0677200902934537</v>
      </c>
      <c r="AC12" s="47">
        <f t="shared" si="31"/>
        <v>0.0795896710293598</v>
      </c>
      <c r="AD12" s="36"/>
      <c r="AE12" s="36"/>
      <c r="AF12" s="46">
        <f t="shared" si="2"/>
        <v>0.0799898938858009</v>
      </c>
      <c r="AG12" s="46">
        <f t="shared" si="3"/>
        <v>0.0778614200171086</v>
      </c>
      <c r="AH12" s="46">
        <f t="shared" si="4"/>
        <v>0.0807174887892377</v>
      </c>
      <c r="AI12" s="46">
        <f t="shared" si="5"/>
        <v>0.0845147839272176</v>
      </c>
      <c r="AJ12" s="46">
        <f t="shared" si="6"/>
        <v>0.08851389147865</v>
      </c>
      <c r="AK12" s="48">
        <f t="shared" si="7"/>
        <v>0.0778781038374718</v>
      </c>
      <c r="AL12" s="48">
        <f t="shared" si="8"/>
        <v>0.0915281216837637</v>
      </c>
      <c r="AM12" s="36"/>
      <c r="AN12" s="36"/>
      <c r="AO12" s="46">
        <f t="shared" si="9"/>
        <v>0.0799898938858009</v>
      </c>
      <c r="AP12" s="46">
        <f t="shared" si="10"/>
        <v>0.0778614200171086</v>
      </c>
      <c r="AQ12" s="46">
        <f t="shared" si="11"/>
        <v>0.0807174887892377</v>
      </c>
      <c r="AR12" s="46">
        <f t="shared" si="12"/>
        <v>0.0845147839272176</v>
      </c>
      <c r="AS12" s="46">
        <f t="shared" si="13"/>
        <v>0.08851389147865</v>
      </c>
      <c r="AT12" s="48">
        <f t="shared" si="14"/>
        <v>0.0575620767494357</v>
      </c>
      <c r="AU12" s="48">
        <f t="shared" si="15"/>
        <v>0.0676512203749558</v>
      </c>
      <c r="AZ12" s="35"/>
      <c r="BA12" s="43" t="s">
        <v>347</v>
      </c>
      <c r="BB12" s="44">
        <v>462.9</v>
      </c>
      <c r="BC12" s="46">
        <v>474.9</v>
      </c>
      <c r="BD12" s="46">
        <v>455.1</v>
      </c>
      <c r="BE12" s="46">
        <v>450</v>
      </c>
      <c r="BF12" s="46">
        <v>445.9</v>
      </c>
      <c r="BG12" s="46">
        <v>474.7</v>
      </c>
      <c r="BH12" s="46">
        <v>450</v>
      </c>
      <c r="BI12" s="46">
        <v>450</v>
      </c>
      <c r="BJ12" s="36"/>
      <c r="BK12" s="36"/>
      <c r="BL12" s="49"/>
      <c r="BM12" s="49"/>
      <c r="BN12" s="49"/>
      <c r="BO12" s="49"/>
    </row>
    <row r="13" ht="15.5" spans="1:67">
      <c r="A13" s="35"/>
      <c r="B13" s="43" t="s">
        <v>348</v>
      </c>
      <c r="C13" s="44">
        <f t="shared" ref="C13:J13" si="32">BB13/1000</f>
        <v>0.0877</v>
      </c>
      <c r="D13" s="44">
        <f t="shared" si="32"/>
        <v>0.0802</v>
      </c>
      <c r="E13" s="44">
        <f t="shared" si="32"/>
        <v>0.0772</v>
      </c>
      <c r="F13" s="44">
        <f t="shared" si="32"/>
        <v>0.0763</v>
      </c>
      <c r="G13" s="44">
        <f t="shared" si="32"/>
        <v>0.0789</v>
      </c>
      <c r="H13" s="44">
        <f t="shared" si="32"/>
        <v>0.0817</v>
      </c>
      <c r="I13" s="44">
        <f t="shared" si="32"/>
        <v>0.0763</v>
      </c>
      <c r="J13" s="44">
        <f t="shared" si="32"/>
        <v>0.0763</v>
      </c>
      <c r="K13" s="36"/>
      <c r="L13" s="36"/>
      <c r="M13" s="49">
        <v>5.937</v>
      </c>
      <c r="N13" s="49">
        <v>5.845</v>
      </c>
      <c r="O13" s="49">
        <v>5.575</v>
      </c>
      <c r="P13" s="49">
        <v>5.276</v>
      </c>
      <c r="Q13" s="49">
        <v>5.363</v>
      </c>
      <c r="R13" s="49">
        <v>6.645</v>
      </c>
      <c r="S13" s="49">
        <v>5.654</v>
      </c>
      <c r="T13" s="49"/>
      <c r="U13" s="35"/>
      <c r="V13" s="43" t="s">
        <v>348</v>
      </c>
      <c r="W13" s="46">
        <f t="shared" ref="W13:AC13" si="33">D13/M13</f>
        <v>0.0135085059794509</v>
      </c>
      <c r="X13" s="46">
        <f t="shared" si="33"/>
        <v>0.013207869974337</v>
      </c>
      <c r="Y13" s="46">
        <f t="shared" si="33"/>
        <v>0.0136860986547085</v>
      </c>
      <c r="Z13" s="46">
        <f t="shared" si="33"/>
        <v>0.0149545109931767</v>
      </c>
      <c r="AA13" s="46">
        <f t="shared" si="33"/>
        <v>0.0152340108148424</v>
      </c>
      <c r="AB13" s="47">
        <f t="shared" si="33"/>
        <v>0.0114823175319789</v>
      </c>
      <c r="AC13" s="47">
        <f t="shared" si="33"/>
        <v>0.013494870887867</v>
      </c>
      <c r="AD13" s="36"/>
      <c r="AE13" s="36"/>
      <c r="AF13" s="46">
        <f t="shared" ref="AF13:AJ13" si="34">W13</f>
        <v>0.0135085059794509</v>
      </c>
      <c r="AG13" s="46">
        <f t="shared" si="34"/>
        <v>0.013207869974337</v>
      </c>
      <c r="AH13" s="46">
        <f t="shared" si="34"/>
        <v>0.0136860986547085</v>
      </c>
      <c r="AI13" s="46">
        <f t="shared" si="34"/>
        <v>0.0149545109931767</v>
      </c>
      <c r="AJ13" s="46">
        <f t="shared" si="34"/>
        <v>0.0152340108148424</v>
      </c>
      <c r="AK13" s="48">
        <f t="shared" ref="AK13:AK18" si="35">AB13*1.15</f>
        <v>0.0132046651617758</v>
      </c>
      <c r="AL13" s="48">
        <f t="shared" ref="AL13:AL18" si="36">AC13*1.15</f>
        <v>0.015519101521047</v>
      </c>
      <c r="AM13" s="36"/>
      <c r="AN13" s="36"/>
      <c r="AO13" s="46">
        <f t="shared" ref="AO13:AS13" si="37">W13</f>
        <v>0.0135085059794509</v>
      </c>
      <c r="AP13" s="46">
        <f t="shared" si="37"/>
        <v>0.013207869974337</v>
      </c>
      <c r="AQ13" s="46">
        <f t="shared" si="37"/>
        <v>0.0136860986547085</v>
      </c>
      <c r="AR13" s="46">
        <f t="shared" si="37"/>
        <v>0.0149545109931767</v>
      </c>
      <c r="AS13" s="46">
        <f t="shared" si="37"/>
        <v>0.0152340108148424</v>
      </c>
      <c r="AT13" s="48">
        <f t="shared" ref="AT13:AT18" si="38">AB13*0.85</f>
        <v>0.00975996990218209</v>
      </c>
      <c r="AU13" s="48">
        <f t="shared" ref="AU13:AU18" si="39">AC13*0.85</f>
        <v>0.0114706402546869</v>
      </c>
      <c r="AZ13" s="35"/>
      <c r="BA13" s="43" t="s">
        <v>348</v>
      </c>
      <c r="BB13" s="44">
        <v>87.7</v>
      </c>
      <c r="BC13" s="46">
        <v>80.2</v>
      </c>
      <c r="BD13" s="46">
        <v>77.2</v>
      </c>
      <c r="BE13" s="46">
        <v>76.3</v>
      </c>
      <c r="BF13" s="46">
        <v>78.9</v>
      </c>
      <c r="BG13" s="46">
        <v>81.7</v>
      </c>
      <c r="BH13" s="46">
        <v>76.3</v>
      </c>
      <c r="BI13" s="46">
        <v>76.3</v>
      </c>
      <c r="BJ13" s="36"/>
      <c r="BK13" s="36"/>
      <c r="BL13" s="49"/>
      <c r="BM13" s="49"/>
      <c r="BN13" s="49"/>
      <c r="BO13" s="49"/>
    </row>
    <row r="14" ht="15.5" spans="1:67">
      <c r="A14" s="35" t="s">
        <v>11</v>
      </c>
      <c r="B14" s="43" t="s">
        <v>344</v>
      </c>
      <c r="C14" s="44">
        <f t="shared" ref="C14:J14" si="40">BB14/1000</f>
        <v>0.8705</v>
      </c>
      <c r="D14" s="44">
        <f t="shared" si="40"/>
        <v>0.8381</v>
      </c>
      <c r="E14" s="44">
        <f t="shared" si="40"/>
        <v>0.799</v>
      </c>
      <c r="F14" s="44">
        <f t="shared" si="40"/>
        <v>0.7882</v>
      </c>
      <c r="G14" s="44">
        <f t="shared" si="40"/>
        <v>0.7835</v>
      </c>
      <c r="H14" s="44">
        <f t="shared" si="40"/>
        <v>0.8253</v>
      </c>
      <c r="I14" s="44">
        <f t="shared" si="40"/>
        <v>0.7882</v>
      </c>
      <c r="J14" s="44">
        <f t="shared" si="40"/>
        <v>0.7882</v>
      </c>
      <c r="K14" s="36"/>
      <c r="L14" s="36"/>
      <c r="M14" s="49">
        <v>5.937</v>
      </c>
      <c r="N14" s="49">
        <v>5.845</v>
      </c>
      <c r="O14" s="49">
        <v>5.575</v>
      </c>
      <c r="P14" s="49">
        <v>5.276</v>
      </c>
      <c r="Q14" s="49">
        <v>5.363</v>
      </c>
      <c r="R14" s="49">
        <v>6.645</v>
      </c>
      <c r="S14" s="49">
        <v>5.654</v>
      </c>
      <c r="T14" s="49"/>
      <c r="U14" s="35" t="s">
        <v>11</v>
      </c>
      <c r="V14" s="43" t="s">
        <v>344</v>
      </c>
      <c r="W14" s="46">
        <f t="shared" ref="W14:AC14" si="41">D14/M14</f>
        <v>0.141165571837628</v>
      </c>
      <c r="X14" s="46">
        <f t="shared" si="41"/>
        <v>0.136698032506416</v>
      </c>
      <c r="Y14" s="46">
        <f t="shared" si="41"/>
        <v>0.141381165919283</v>
      </c>
      <c r="Z14" s="46">
        <f t="shared" si="41"/>
        <v>0.148502653525398</v>
      </c>
      <c r="AA14" s="46">
        <f t="shared" si="41"/>
        <v>0.153887749393996</v>
      </c>
      <c r="AB14" s="47">
        <f t="shared" si="41"/>
        <v>0.118615500376223</v>
      </c>
      <c r="AC14" s="47">
        <f t="shared" si="41"/>
        <v>0.139405730456314</v>
      </c>
      <c r="AD14" s="36"/>
      <c r="AE14" s="36"/>
      <c r="AF14" s="46">
        <f t="shared" ref="AF14:AJ14" si="42">W14</f>
        <v>0.141165571837628</v>
      </c>
      <c r="AG14" s="46">
        <f t="shared" si="42"/>
        <v>0.136698032506416</v>
      </c>
      <c r="AH14" s="46">
        <f t="shared" si="42"/>
        <v>0.141381165919283</v>
      </c>
      <c r="AI14" s="46">
        <f t="shared" si="42"/>
        <v>0.148502653525398</v>
      </c>
      <c r="AJ14" s="46">
        <f t="shared" si="42"/>
        <v>0.153887749393996</v>
      </c>
      <c r="AK14" s="48">
        <f t="shared" si="35"/>
        <v>0.136407825432656</v>
      </c>
      <c r="AL14" s="48">
        <f t="shared" si="36"/>
        <v>0.160316590024761</v>
      </c>
      <c r="AM14" s="36"/>
      <c r="AN14" s="36"/>
      <c r="AO14" s="46">
        <f t="shared" ref="AO14:AS14" si="43">W14</f>
        <v>0.141165571837628</v>
      </c>
      <c r="AP14" s="46">
        <f t="shared" si="43"/>
        <v>0.136698032506416</v>
      </c>
      <c r="AQ14" s="46">
        <f t="shared" si="43"/>
        <v>0.141381165919283</v>
      </c>
      <c r="AR14" s="46">
        <f t="shared" si="43"/>
        <v>0.148502653525398</v>
      </c>
      <c r="AS14" s="46">
        <f t="shared" si="43"/>
        <v>0.153887749393996</v>
      </c>
      <c r="AT14" s="48">
        <f t="shared" si="38"/>
        <v>0.100823175319789</v>
      </c>
      <c r="AU14" s="48">
        <f t="shared" si="39"/>
        <v>0.118494870887867</v>
      </c>
      <c r="AZ14" s="35" t="s">
        <v>11</v>
      </c>
      <c r="BA14" s="43" t="s">
        <v>344</v>
      </c>
      <c r="BB14" s="44">
        <v>870.5</v>
      </c>
      <c r="BC14" s="46">
        <v>838.1</v>
      </c>
      <c r="BD14" s="46">
        <v>799</v>
      </c>
      <c r="BE14" s="46">
        <v>788.2</v>
      </c>
      <c r="BF14" s="46">
        <v>783.5</v>
      </c>
      <c r="BG14" s="46">
        <v>825.3</v>
      </c>
      <c r="BH14" s="46">
        <v>788.2</v>
      </c>
      <c r="BI14" s="46">
        <v>788.2</v>
      </c>
      <c r="BJ14" s="36"/>
      <c r="BK14" s="36"/>
      <c r="BL14" s="49"/>
      <c r="BM14" s="49"/>
      <c r="BN14" s="49"/>
      <c r="BO14" s="49"/>
    </row>
    <row r="15" ht="15.5" spans="1:67">
      <c r="A15" s="35"/>
      <c r="B15" s="43" t="s">
        <v>345</v>
      </c>
      <c r="C15" s="44">
        <f t="shared" ref="C15:J15" si="44">BB15/1000</f>
        <v>0.8012</v>
      </c>
      <c r="D15" s="44">
        <f t="shared" si="44"/>
        <v>0.7738</v>
      </c>
      <c r="E15" s="44">
        <f t="shared" si="44"/>
        <v>0.7382</v>
      </c>
      <c r="F15" s="44">
        <f t="shared" si="44"/>
        <v>0.7285</v>
      </c>
      <c r="G15" s="44">
        <f t="shared" si="44"/>
        <v>0.7214</v>
      </c>
      <c r="H15" s="44">
        <f t="shared" si="44"/>
        <v>0.7613</v>
      </c>
      <c r="I15" s="44">
        <f t="shared" si="44"/>
        <v>0.7285</v>
      </c>
      <c r="J15" s="44">
        <f t="shared" si="44"/>
        <v>0.7285</v>
      </c>
      <c r="K15" s="36"/>
      <c r="L15" s="36"/>
      <c r="M15" s="49">
        <v>5.937</v>
      </c>
      <c r="N15" s="49">
        <v>5.845</v>
      </c>
      <c r="O15" s="49">
        <v>5.575</v>
      </c>
      <c r="P15" s="49">
        <v>5.276</v>
      </c>
      <c r="Q15" s="49">
        <v>5.363</v>
      </c>
      <c r="R15" s="49">
        <v>6.645</v>
      </c>
      <c r="S15" s="49">
        <v>5.654</v>
      </c>
      <c r="T15" s="49"/>
      <c r="U15" s="35"/>
      <c r="V15" s="43" t="s">
        <v>345</v>
      </c>
      <c r="W15" s="46">
        <f t="shared" ref="W15:AC15" si="45">D15/M15</f>
        <v>0.130335186120936</v>
      </c>
      <c r="X15" s="46">
        <f t="shared" si="45"/>
        <v>0.126295979469632</v>
      </c>
      <c r="Y15" s="46">
        <f t="shared" si="45"/>
        <v>0.13067264573991</v>
      </c>
      <c r="Z15" s="46">
        <f t="shared" si="45"/>
        <v>0.136732373009856</v>
      </c>
      <c r="AA15" s="46">
        <f t="shared" si="45"/>
        <v>0.141954130151035</v>
      </c>
      <c r="AB15" s="47">
        <f t="shared" si="45"/>
        <v>0.109631301730625</v>
      </c>
      <c r="AC15" s="47">
        <f t="shared" si="45"/>
        <v>0.128846834099752</v>
      </c>
      <c r="AD15" s="36"/>
      <c r="AE15" s="36"/>
      <c r="AF15" s="46">
        <f t="shared" ref="AF15:AJ15" si="46">W15</f>
        <v>0.130335186120936</v>
      </c>
      <c r="AG15" s="46">
        <f t="shared" si="46"/>
        <v>0.126295979469632</v>
      </c>
      <c r="AH15" s="46">
        <f t="shared" si="46"/>
        <v>0.13067264573991</v>
      </c>
      <c r="AI15" s="46">
        <f t="shared" si="46"/>
        <v>0.136732373009856</v>
      </c>
      <c r="AJ15" s="46">
        <f t="shared" si="46"/>
        <v>0.141954130151035</v>
      </c>
      <c r="AK15" s="48">
        <f t="shared" si="35"/>
        <v>0.126075996990218</v>
      </c>
      <c r="AL15" s="48">
        <f t="shared" si="36"/>
        <v>0.148173859214715</v>
      </c>
      <c r="AM15" s="36"/>
      <c r="AN15" s="36"/>
      <c r="AO15" s="46">
        <f t="shared" ref="AO15:AS15" si="47">W15</f>
        <v>0.130335186120936</v>
      </c>
      <c r="AP15" s="46">
        <f t="shared" si="47"/>
        <v>0.126295979469632</v>
      </c>
      <c r="AQ15" s="46">
        <f t="shared" si="47"/>
        <v>0.13067264573991</v>
      </c>
      <c r="AR15" s="46">
        <f t="shared" si="47"/>
        <v>0.136732373009856</v>
      </c>
      <c r="AS15" s="46">
        <f t="shared" si="47"/>
        <v>0.141954130151035</v>
      </c>
      <c r="AT15" s="48">
        <f t="shared" si="38"/>
        <v>0.0931866064710309</v>
      </c>
      <c r="AU15" s="48">
        <f t="shared" si="39"/>
        <v>0.10951980898479</v>
      </c>
      <c r="AZ15" s="35"/>
      <c r="BA15" s="43" t="s">
        <v>345</v>
      </c>
      <c r="BB15" s="44">
        <v>801.2</v>
      </c>
      <c r="BC15" s="46">
        <v>773.8</v>
      </c>
      <c r="BD15" s="46">
        <v>738.2</v>
      </c>
      <c r="BE15" s="46">
        <v>728.5</v>
      </c>
      <c r="BF15" s="46">
        <v>721.4</v>
      </c>
      <c r="BG15" s="46">
        <v>761.3</v>
      </c>
      <c r="BH15" s="46">
        <v>728.5</v>
      </c>
      <c r="BI15" s="46">
        <v>728.5</v>
      </c>
      <c r="BJ15" s="36"/>
      <c r="BK15" s="36"/>
      <c r="BL15" s="49"/>
      <c r="BM15" s="49"/>
      <c r="BN15" s="49"/>
      <c r="BO15" s="49"/>
    </row>
    <row r="16" ht="15.5" spans="1:67">
      <c r="A16" s="35"/>
      <c r="B16" s="43" t="s">
        <v>346</v>
      </c>
      <c r="C16" s="44">
        <f t="shared" ref="C16:J16" si="48">BB16/1000</f>
        <v>0.3021</v>
      </c>
      <c r="D16" s="44">
        <f t="shared" si="48"/>
        <v>0.2654</v>
      </c>
      <c r="E16" s="44">
        <f t="shared" si="48"/>
        <v>0.2502</v>
      </c>
      <c r="F16" s="44">
        <f t="shared" si="48"/>
        <v>0.246</v>
      </c>
      <c r="G16" s="44">
        <f t="shared" si="48"/>
        <v>0.2408</v>
      </c>
      <c r="H16" s="44">
        <f t="shared" si="48"/>
        <v>0.2506</v>
      </c>
      <c r="I16" s="44">
        <f t="shared" si="48"/>
        <v>0.246</v>
      </c>
      <c r="J16" s="44">
        <f t="shared" si="48"/>
        <v>0.246</v>
      </c>
      <c r="K16" s="36"/>
      <c r="L16" s="36"/>
      <c r="M16" s="49">
        <v>5.937</v>
      </c>
      <c r="N16" s="49">
        <v>5.845</v>
      </c>
      <c r="O16" s="49">
        <v>5.575</v>
      </c>
      <c r="P16" s="49">
        <v>5.276</v>
      </c>
      <c r="Q16" s="49">
        <v>5.363</v>
      </c>
      <c r="R16" s="49">
        <v>6.645</v>
      </c>
      <c r="S16" s="49">
        <v>5.654</v>
      </c>
      <c r="T16" s="49"/>
      <c r="U16" s="35"/>
      <c r="V16" s="43" t="s">
        <v>346</v>
      </c>
      <c r="W16" s="46">
        <f t="shared" ref="W16:AC16" si="49">D16/M16</f>
        <v>0.0447027118073101</v>
      </c>
      <c r="X16" s="46">
        <f t="shared" si="49"/>
        <v>0.0428058169375535</v>
      </c>
      <c r="Y16" s="46">
        <f t="shared" si="49"/>
        <v>0.0441255605381166</v>
      </c>
      <c r="Z16" s="46">
        <f t="shared" si="49"/>
        <v>0.0456406368460955</v>
      </c>
      <c r="AA16" s="46">
        <f t="shared" si="49"/>
        <v>0.0467275778482193</v>
      </c>
      <c r="AB16" s="47">
        <f t="shared" si="49"/>
        <v>0.037020316027088</v>
      </c>
      <c r="AC16" s="47">
        <f t="shared" si="49"/>
        <v>0.0435090201627167</v>
      </c>
      <c r="AD16" s="36"/>
      <c r="AE16" s="36"/>
      <c r="AF16" s="46">
        <f t="shared" ref="AF16:AJ16" si="50">W16</f>
        <v>0.0447027118073101</v>
      </c>
      <c r="AG16" s="46">
        <f t="shared" si="50"/>
        <v>0.0428058169375535</v>
      </c>
      <c r="AH16" s="46">
        <f t="shared" si="50"/>
        <v>0.0441255605381166</v>
      </c>
      <c r="AI16" s="46">
        <f t="shared" si="50"/>
        <v>0.0456406368460955</v>
      </c>
      <c r="AJ16" s="46">
        <f t="shared" si="50"/>
        <v>0.0467275778482193</v>
      </c>
      <c r="AK16" s="48">
        <f t="shared" si="35"/>
        <v>0.0425733634311512</v>
      </c>
      <c r="AL16" s="48">
        <f t="shared" si="36"/>
        <v>0.0500353731871242</v>
      </c>
      <c r="AM16" s="36"/>
      <c r="AN16" s="36"/>
      <c r="AO16" s="46">
        <f t="shared" ref="AO16:AS16" si="51">W16</f>
        <v>0.0447027118073101</v>
      </c>
      <c r="AP16" s="46">
        <f t="shared" si="51"/>
        <v>0.0428058169375535</v>
      </c>
      <c r="AQ16" s="46">
        <f t="shared" si="51"/>
        <v>0.0441255605381166</v>
      </c>
      <c r="AR16" s="46">
        <f t="shared" si="51"/>
        <v>0.0456406368460955</v>
      </c>
      <c r="AS16" s="46">
        <f t="shared" si="51"/>
        <v>0.0467275778482193</v>
      </c>
      <c r="AT16" s="48">
        <f t="shared" si="38"/>
        <v>0.0314672686230248</v>
      </c>
      <c r="AU16" s="48">
        <f t="shared" si="39"/>
        <v>0.0369826671383092</v>
      </c>
      <c r="AZ16" s="35"/>
      <c r="BA16" s="43" t="s">
        <v>346</v>
      </c>
      <c r="BB16" s="44">
        <v>302.1</v>
      </c>
      <c r="BC16" s="46">
        <v>265.4</v>
      </c>
      <c r="BD16" s="46">
        <v>250.2</v>
      </c>
      <c r="BE16" s="46">
        <v>246</v>
      </c>
      <c r="BF16" s="46">
        <v>240.8</v>
      </c>
      <c r="BG16" s="46">
        <v>250.6</v>
      </c>
      <c r="BH16" s="46">
        <v>246</v>
      </c>
      <c r="BI16" s="46">
        <v>246</v>
      </c>
      <c r="BJ16" s="36"/>
      <c r="BK16" s="36"/>
      <c r="BL16" s="49"/>
      <c r="BM16" s="49"/>
      <c r="BN16" s="49"/>
      <c r="BO16" s="49"/>
    </row>
    <row r="17" ht="15.5" spans="1:67">
      <c r="A17" s="35"/>
      <c r="B17" s="43" t="s">
        <v>347</v>
      </c>
      <c r="C17" s="44">
        <f t="shared" ref="C17:J17" si="52">BB17/1000</f>
        <v>0.4137</v>
      </c>
      <c r="D17" s="44">
        <f t="shared" si="52"/>
        <v>0.4304</v>
      </c>
      <c r="E17" s="44">
        <f t="shared" si="52"/>
        <v>0.4127</v>
      </c>
      <c r="F17" s="44">
        <f t="shared" si="52"/>
        <v>0.4081</v>
      </c>
      <c r="G17" s="44">
        <f t="shared" si="52"/>
        <v>0.4037</v>
      </c>
      <c r="H17" s="44">
        <f t="shared" si="52"/>
        <v>0.4311</v>
      </c>
      <c r="I17" s="44">
        <f t="shared" si="52"/>
        <v>0.4081</v>
      </c>
      <c r="J17" s="44">
        <f t="shared" si="52"/>
        <v>0.4081</v>
      </c>
      <c r="K17" s="36"/>
      <c r="L17" s="36"/>
      <c r="M17" s="49">
        <v>5.937</v>
      </c>
      <c r="N17" s="49">
        <v>5.845</v>
      </c>
      <c r="O17" s="49">
        <v>5.575</v>
      </c>
      <c r="P17" s="49">
        <v>5.276</v>
      </c>
      <c r="Q17" s="49">
        <v>5.363</v>
      </c>
      <c r="R17" s="49">
        <v>6.645</v>
      </c>
      <c r="S17" s="49">
        <v>5.654</v>
      </c>
      <c r="T17" s="49"/>
      <c r="U17" s="35"/>
      <c r="V17" s="43" t="s">
        <v>347</v>
      </c>
      <c r="W17" s="46">
        <f t="shared" ref="W17:AC17" si="53">D17/M17</f>
        <v>0.0724945258548088</v>
      </c>
      <c r="X17" s="46">
        <f t="shared" si="53"/>
        <v>0.0706073567151412</v>
      </c>
      <c r="Y17" s="46">
        <f t="shared" si="53"/>
        <v>0.0732017937219731</v>
      </c>
      <c r="Z17" s="46">
        <f t="shared" si="53"/>
        <v>0.076516300227445</v>
      </c>
      <c r="AA17" s="46">
        <f t="shared" si="53"/>
        <v>0.0803841133693828</v>
      </c>
      <c r="AB17" s="47">
        <f t="shared" si="53"/>
        <v>0.0614145974416855</v>
      </c>
      <c r="AC17" s="47">
        <f t="shared" si="53"/>
        <v>0.0721789883268483</v>
      </c>
      <c r="AD17" s="36"/>
      <c r="AE17" s="36"/>
      <c r="AF17" s="46">
        <f t="shared" ref="AF17:AJ17" si="54">W17</f>
        <v>0.0724945258548088</v>
      </c>
      <c r="AG17" s="46">
        <f t="shared" si="54"/>
        <v>0.0706073567151412</v>
      </c>
      <c r="AH17" s="46">
        <f t="shared" si="54"/>
        <v>0.0732017937219731</v>
      </c>
      <c r="AI17" s="46">
        <f t="shared" si="54"/>
        <v>0.076516300227445</v>
      </c>
      <c r="AJ17" s="46">
        <f t="shared" si="54"/>
        <v>0.0803841133693828</v>
      </c>
      <c r="AK17" s="48">
        <f t="shared" si="35"/>
        <v>0.0706267870579383</v>
      </c>
      <c r="AL17" s="48">
        <f t="shared" si="36"/>
        <v>0.0830058365758755</v>
      </c>
      <c r="AM17" s="36"/>
      <c r="AN17" s="36"/>
      <c r="AO17" s="46">
        <f t="shared" ref="AO17:AS17" si="55">W17</f>
        <v>0.0724945258548088</v>
      </c>
      <c r="AP17" s="46">
        <f t="shared" si="55"/>
        <v>0.0706073567151412</v>
      </c>
      <c r="AQ17" s="46">
        <f t="shared" si="55"/>
        <v>0.0732017937219731</v>
      </c>
      <c r="AR17" s="46">
        <f t="shared" si="55"/>
        <v>0.076516300227445</v>
      </c>
      <c r="AS17" s="46">
        <f t="shared" si="55"/>
        <v>0.0803841133693828</v>
      </c>
      <c r="AT17" s="48">
        <f t="shared" si="38"/>
        <v>0.0522024078254327</v>
      </c>
      <c r="AU17" s="48">
        <f t="shared" si="39"/>
        <v>0.061352140077821</v>
      </c>
      <c r="AZ17" s="35"/>
      <c r="BA17" s="43" t="s">
        <v>347</v>
      </c>
      <c r="BB17" s="44">
        <v>413.7</v>
      </c>
      <c r="BC17" s="46">
        <v>430.4</v>
      </c>
      <c r="BD17" s="46">
        <v>412.7</v>
      </c>
      <c r="BE17" s="46">
        <v>408.1</v>
      </c>
      <c r="BF17" s="46">
        <v>403.7</v>
      </c>
      <c r="BG17" s="46">
        <v>431.1</v>
      </c>
      <c r="BH17" s="46">
        <v>408.1</v>
      </c>
      <c r="BI17" s="46">
        <v>408.1</v>
      </c>
      <c r="BJ17" s="36"/>
      <c r="BK17" s="36"/>
      <c r="BL17" s="49"/>
      <c r="BM17" s="49"/>
      <c r="BN17" s="49"/>
      <c r="BO17" s="49"/>
    </row>
    <row r="18" ht="15.5" spans="1:67">
      <c r="A18" s="35"/>
      <c r="B18" s="43" t="s">
        <v>348</v>
      </c>
      <c r="C18" s="44">
        <f t="shared" ref="C18:J18" si="56">BB18/1000</f>
        <v>0.0853</v>
      </c>
      <c r="D18" s="44">
        <f t="shared" si="56"/>
        <v>0.0781</v>
      </c>
      <c r="E18" s="44">
        <f t="shared" si="56"/>
        <v>0.0752</v>
      </c>
      <c r="F18" s="44">
        <f t="shared" si="56"/>
        <v>0.0743</v>
      </c>
      <c r="G18" s="44">
        <f t="shared" si="56"/>
        <v>0.0768</v>
      </c>
      <c r="H18" s="44">
        <f t="shared" si="56"/>
        <v>0.0797</v>
      </c>
      <c r="I18" s="44">
        <f t="shared" si="56"/>
        <v>0.0743</v>
      </c>
      <c r="J18" s="44">
        <f t="shared" si="56"/>
        <v>0.0743</v>
      </c>
      <c r="K18" s="36"/>
      <c r="L18" s="36"/>
      <c r="M18" s="49">
        <v>5.937</v>
      </c>
      <c r="N18" s="49">
        <v>5.845</v>
      </c>
      <c r="O18" s="49">
        <v>5.575</v>
      </c>
      <c r="P18" s="49">
        <v>5.276</v>
      </c>
      <c r="Q18" s="49">
        <v>5.363</v>
      </c>
      <c r="R18" s="49">
        <v>6.645</v>
      </c>
      <c r="S18" s="49">
        <v>5.654</v>
      </c>
      <c r="T18" s="49"/>
      <c r="U18" s="35"/>
      <c r="V18" s="43" t="s">
        <v>348</v>
      </c>
      <c r="W18" s="46">
        <f t="shared" ref="W18:AC18" si="57">D18/M18</f>
        <v>0.0131547919824827</v>
      </c>
      <c r="X18" s="46">
        <f t="shared" si="57"/>
        <v>0.0128656971770744</v>
      </c>
      <c r="Y18" s="46">
        <f t="shared" si="57"/>
        <v>0.0133273542600897</v>
      </c>
      <c r="Z18" s="46">
        <f t="shared" si="57"/>
        <v>0.0145564821834723</v>
      </c>
      <c r="AA18" s="46">
        <f t="shared" si="57"/>
        <v>0.0148610852134999</v>
      </c>
      <c r="AB18" s="47">
        <f t="shared" si="57"/>
        <v>0.0111813393528969</v>
      </c>
      <c r="AC18" s="47">
        <f t="shared" si="57"/>
        <v>0.0131411390166254</v>
      </c>
      <c r="AD18" s="36"/>
      <c r="AE18" s="36"/>
      <c r="AF18" s="46">
        <f t="shared" ref="AF18:AJ18" si="58">W18</f>
        <v>0.0131547919824827</v>
      </c>
      <c r="AG18" s="46">
        <f t="shared" si="58"/>
        <v>0.0128656971770744</v>
      </c>
      <c r="AH18" s="46">
        <f t="shared" si="58"/>
        <v>0.0133273542600897</v>
      </c>
      <c r="AI18" s="46">
        <f t="shared" si="58"/>
        <v>0.0145564821834723</v>
      </c>
      <c r="AJ18" s="46">
        <f t="shared" si="58"/>
        <v>0.0148610852134999</v>
      </c>
      <c r="AK18" s="48">
        <f t="shared" si="35"/>
        <v>0.0128585402558315</v>
      </c>
      <c r="AL18" s="48">
        <f t="shared" si="36"/>
        <v>0.0151123098691192</v>
      </c>
      <c r="AM18" s="36"/>
      <c r="AN18" s="36"/>
      <c r="AO18" s="46">
        <f t="shared" ref="AO18:AS18" si="59">W18</f>
        <v>0.0131547919824827</v>
      </c>
      <c r="AP18" s="46">
        <f t="shared" si="59"/>
        <v>0.0128656971770744</v>
      </c>
      <c r="AQ18" s="46">
        <f t="shared" si="59"/>
        <v>0.0133273542600897</v>
      </c>
      <c r="AR18" s="46">
        <f t="shared" si="59"/>
        <v>0.0145564821834723</v>
      </c>
      <c r="AS18" s="46">
        <f t="shared" si="59"/>
        <v>0.0148610852134999</v>
      </c>
      <c r="AT18" s="48">
        <f t="shared" si="38"/>
        <v>0.00950413844996238</v>
      </c>
      <c r="AU18" s="48">
        <f t="shared" si="39"/>
        <v>0.0111699681641316</v>
      </c>
      <c r="AZ18" s="35"/>
      <c r="BA18" s="43" t="s">
        <v>348</v>
      </c>
      <c r="BB18" s="44">
        <v>85.3</v>
      </c>
      <c r="BC18" s="46">
        <v>78.1</v>
      </c>
      <c r="BD18" s="46">
        <v>75.2</v>
      </c>
      <c r="BE18" s="46">
        <v>74.3</v>
      </c>
      <c r="BF18" s="46">
        <v>76.8</v>
      </c>
      <c r="BG18" s="46">
        <v>79.7</v>
      </c>
      <c r="BH18" s="46">
        <v>74.3</v>
      </c>
      <c r="BI18" s="46">
        <v>74.3</v>
      </c>
      <c r="BJ18" s="36"/>
      <c r="BK18" s="36"/>
      <c r="BL18" s="49"/>
      <c r="BM18" s="49"/>
      <c r="BN18" s="49"/>
      <c r="BO18" s="49"/>
    </row>
    <row r="19" ht="15.5" spans="1:67">
      <c r="A19" s="36"/>
      <c r="B19" s="36"/>
      <c r="C19" s="39"/>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Z19" s="36"/>
      <c r="BA19" s="36"/>
      <c r="BB19" s="39"/>
      <c r="BC19" s="36"/>
      <c r="BD19" s="36"/>
      <c r="BE19" s="36"/>
      <c r="BF19" s="36"/>
      <c r="BG19" s="36"/>
      <c r="BH19" s="36"/>
      <c r="BI19" s="36"/>
      <c r="BJ19" s="36"/>
      <c r="BK19" s="36"/>
      <c r="BL19" s="36"/>
      <c r="BM19" s="36"/>
      <c r="BN19" s="36"/>
      <c r="BO19" s="36"/>
    </row>
    <row r="20" ht="15.5" spans="1:67">
      <c r="A20" s="36"/>
      <c r="B20" s="36"/>
      <c r="C20" s="39"/>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Z20" s="36"/>
      <c r="BA20" s="36"/>
      <c r="BB20" s="39"/>
      <c r="BC20" s="36"/>
      <c r="BD20" s="36"/>
      <c r="BE20" s="36"/>
      <c r="BF20" s="36"/>
      <c r="BG20" s="36"/>
      <c r="BH20" s="36"/>
      <c r="BI20" s="36"/>
      <c r="BJ20" s="36"/>
      <c r="BK20" s="36"/>
      <c r="BL20" s="36"/>
      <c r="BM20" s="36"/>
      <c r="BN20" s="36"/>
      <c r="BO20" s="36"/>
    </row>
    <row r="21" ht="15.5" spans="1:67">
      <c r="A21" s="35" t="s">
        <v>361</v>
      </c>
      <c r="B21" s="35"/>
      <c r="C21" s="35"/>
      <c r="D21" s="35"/>
      <c r="E21" s="35"/>
      <c r="F21" s="35"/>
      <c r="G21" s="35"/>
      <c r="H21" s="35"/>
      <c r="I21" s="35"/>
      <c r="J21" s="35"/>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Z21" s="35" t="s">
        <v>361</v>
      </c>
      <c r="BA21" s="35"/>
      <c r="BB21" s="35"/>
      <c r="BC21" s="35"/>
      <c r="BD21" s="35"/>
      <c r="BE21" s="35"/>
      <c r="BF21" s="35"/>
      <c r="BG21" s="35"/>
      <c r="BH21" s="35"/>
      <c r="BI21" s="35"/>
      <c r="BJ21" s="36"/>
      <c r="BK21" s="36"/>
      <c r="BL21" s="36"/>
      <c r="BM21" s="36"/>
      <c r="BN21" s="36"/>
      <c r="BO21" s="36"/>
    </row>
    <row r="22" ht="15.5" spans="1:67">
      <c r="A22" s="35" t="s">
        <v>332</v>
      </c>
      <c r="B22" s="35" t="s">
        <v>362</v>
      </c>
      <c r="C22" s="35" t="s">
        <v>334</v>
      </c>
      <c r="D22" s="35"/>
      <c r="E22" s="35"/>
      <c r="F22" s="35"/>
      <c r="G22" s="35"/>
      <c r="H22" s="35"/>
      <c r="I22" s="35"/>
      <c r="J22" s="35"/>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Z22" s="35" t="s">
        <v>332</v>
      </c>
      <c r="BA22" s="35" t="s">
        <v>362</v>
      </c>
      <c r="BB22" s="35" t="s">
        <v>334</v>
      </c>
      <c r="BC22" s="35"/>
      <c r="BD22" s="35"/>
      <c r="BE22" s="35"/>
      <c r="BF22" s="35"/>
      <c r="BG22" s="35"/>
      <c r="BH22" s="35"/>
      <c r="BI22" s="35"/>
      <c r="BJ22" s="36"/>
      <c r="BK22" s="36"/>
      <c r="BL22" s="36"/>
      <c r="BM22" s="36"/>
      <c r="BN22" s="36"/>
      <c r="BO22" s="36"/>
    </row>
    <row r="23" ht="30" spans="1:67">
      <c r="A23" s="35"/>
      <c r="B23" s="35"/>
      <c r="C23" s="39" t="s">
        <v>335</v>
      </c>
      <c r="D23" s="36" t="s">
        <v>336</v>
      </c>
      <c r="E23" s="36" t="s">
        <v>337</v>
      </c>
      <c r="F23" s="40" t="s">
        <v>338</v>
      </c>
      <c r="G23" s="36" t="s">
        <v>339</v>
      </c>
      <c r="H23" s="36" t="s">
        <v>340</v>
      </c>
      <c r="I23" s="36" t="s">
        <v>341</v>
      </c>
      <c r="J23" s="36" t="s">
        <v>342</v>
      </c>
      <c r="K23" s="36"/>
      <c r="L23" s="36"/>
      <c r="M23" s="36" t="s">
        <v>336</v>
      </c>
      <c r="N23" s="36" t="s">
        <v>337</v>
      </c>
      <c r="O23" s="36" t="s">
        <v>338</v>
      </c>
      <c r="P23" s="36" t="s">
        <v>339</v>
      </c>
      <c r="Q23" s="36" t="s">
        <v>340</v>
      </c>
      <c r="R23" s="36" t="s">
        <v>341</v>
      </c>
      <c r="S23" s="36" t="s">
        <v>342</v>
      </c>
      <c r="T23" s="36"/>
      <c r="U23" s="36"/>
      <c r="V23" s="38" t="s">
        <v>360</v>
      </c>
      <c r="W23" s="36" t="s">
        <v>336</v>
      </c>
      <c r="X23" s="36" t="s">
        <v>337</v>
      </c>
      <c r="Y23" s="40" t="s">
        <v>338</v>
      </c>
      <c r="Z23" s="36" t="s">
        <v>339</v>
      </c>
      <c r="AA23" s="36" t="s">
        <v>340</v>
      </c>
      <c r="AB23" s="42" t="s">
        <v>341</v>
      </c>
      <c r="AC23" s="42" t="s">
        <v>342</v>
      </c>
      <c r="AD23" s="36"/>
      <c r="AE23" s="36"/>
      <c r="AF23" s="36" t="s">
        <v>336</v>
      </c>
      <c r="AG23" s="36" t="s">
        <v>337</v>
      </c>
      <c r="AH23" s="40" t="s">
        <v>338</v>
      </c>
      <c r="AI23" s="36" t="s">
        <v>339</v>
      </c>
      <c r="AJ23" s="36" t="s">
        <v>340</v>
      </c>
      <c r="AK23" s="42" t="s">
        <v>341</v>
      </c>
      <c r="AL23" s="42" t="s">
        <v>342</v>
      </c>
      <c r="AM23" s="36"/>
      <c r="AN23" s="36"/>
      <c r="AO23" s="36" t="s">
        <v>336</v>
      </c>
      <c r="AP23" s="36" t="s">
        <v>337</v>
      </c>
      <c r="AQ23" s="40" t="s">
        <v>338</v>
      </c>
      <c r="AR23" s="36" t="s">
        <v>339</v>
      </c>
      <c r="AS23" s="36" t="s">
        <v>340</v>
      </c>
      <c r="AT23" s="42" t="s">
        <v>341</v>
      </c>
      <c r="AU23" s="42" t="s">
        <v>342</v>
      </c>
      <c r="AZ23" s="35"/>
      <c r="BA23" s="35"/>
      <c r="BB23" s="39" t="s">
        <v>335</v>
      </c>
      <c r="BC23" s="36" t="s">
        <v>336</v>
      </c>
      <c r="BD23" s="36" t="s">
        <v>337</v>
      </c>
      <c r="BE23" s="40" t="s">
        <v>338</v>
      </c>
      <c r="BF23" s="36" t="s">
        <v>339</v>
      </c>
      <c r="BG23" s="36" t="s">
        <v>340</v>
      </c>
      <c r="BH23" s="36" t="s">
        <v>341</v>
      </c>
      <c r="BI23" s="36" t="s">
        <v>342</v>
      </c>
      <c r="BJ23" s="36"/>
      <c r="BK23" s="36"/>
      <c r="BL23" s="36"/>
      <c r="BM23" s="36"/>
      <c r="BN23" s="36"/>
      <c r="BO23" s="36"/>
    </row>
    <row r="24" ht="15.5" spans="1:67">
      <c r="A24" s="35" t="s">
        <v>343</v>
      </c>
      <c r="B24" s="43" t="s">
        <v>344</v>
      </c>
      <c r="C24" s="44">
        <f t="shared" ref="C24:J24" si="60">BB24/1000</f>
        <v>0.8898</v>
      </c>
      <c r="D24" s="44">
        <f t="shared" si="60"/>
        <v>0.8432</v>
      </c>
      <c r="E24" s="44">
        <f t="shared" si="60"/>
        <v>0.8038</v>
      </c>
      <c r="F24" s="44">
        <f t="shared" si="60"/>
        <v>0.7946</v>
      </c>
      <c r="G24" s="44">
        <f t="shared" si="60"/>
        <v>0.7665</v>
      </c>
      <c r="H24" s="44">
        <f t="shared" si="60"/>
        <v>0.8066</v>
      </c>
      <c r="I24" s="44">
        <f t="shared" si="60"/>
        <v>0.7946</v>
      </c>
      <c r="J24" s="44">
        <f t="shared" si="60"/>
        <v>0.7946</v>
      </c>
      <c r="K24" s="36"/>
      <c r="L24" s="36"/>
      <c r="M24" s="45">
        <v>5.937</v>
      </c>
      <c r="N24" s="45">
        <v>5.845</v>
      </c>
      <c r="O24" s="45">
        <v>5.575</v>
      </c>
      <c r="P24" s="45">
        <v>5.276</v>
      </c>
      <c r="Q24" s="45">
        <v>5.363</v>
      </c>
      <c r="R24" s="45">
        <v>6.645</v>
      </c>
      <c r="S24" s="45">
        <v>5.654</v>
      </c>
      <c r="T24" s="45"/>
      <c r="U24" s="35" t="s">
        <v>343</v>
      </c>
      <c r="V24" s="43" t="s">
        <v>344</v>
      </c>
      <c r="W24" s="46">
        <f t="shared" ref="W24:AC24" si="61">D24/M24</f>
        <v>0.142024591544551</v>
      </c>
      <c r="X24" s="46">
        <f t="shared" si="61"/>
        <v>0.137519247219846</v>
      </c>
      <c r="Y24" s="46">
        <f t="shared" si="61"/>
        <v>0.142529147982063</v>
      </c>
      <c r="Z24" s="46">
        <f t="shared" si="61"/>
        <v>0.145280515542077</v>
      </c>
      <c r="AA24" s="46">
        <f t="shared" si="61"/>
        <v>0.150400895021443</v>
      </c>
      <c r="AB24" s="47">
        <f t="shared" si="61"/>
        <v>0.119578630549285</v>
      </c>
      <c r="AC24" s="47">
        <f t="shared" si="61"/>
        <v>0.140537672444287</v>
      </c>
      <c r="AD24" s="36"/>
      <c r="AE24" s="36"/>
      <c r="AF24" s="46">
        <f t="shared" ref="AF24:AJ24" si="62">W24</f>
        <v>0.142024591544551</v>
      </c>
      <c r="AG24" s="46">
        <f t="shared" si="62"/>
        <v>0.137519247219846</v>
      </c>
      <c r="AH24" s="46">
        <f t="shared" si="62"/>
        <v>0.142529147982063</v>
      </c>
      <c r="AI24" s="46">
        <f t="shared" si="62"/>
        <v>0.145280515542077</v>
      </c>
      <c r="AJ24" s="46">
        <f t="shared" si="62"/>
        <v>0.150400895021443</v>
      </c>
      <c r="AK24" s="48">
        <f t="shared" ref="AK24:AK38" si="63">AB24*1.15</f>
        <v>0.137515425131678</v>
      </c>
      <c r="AL24" s="48">
        <f t="shared" ref="AL24:AL38" si="64">AC24*1.15</f>
        <v>0.16161832331093</v>
      </c>
      <c r="AM24" s="36"/>
      <c r="AN24" s="36"/>
      <c r="AO24" s="46">
        <f t="shared" ref="AO24:AS24" si="65">W24</f>
        <v>0.142024591544551</v>
      </c>
      <c r="AP24" s="46">
        <f t="shared" si="65"/>
        <v>0.137519247219846</v>
      </c>
      <c r="AQ24" s="46">
        <f t="shared" si="65"/>
        <v>0.142529147982063</v>
      </c>
      <c r="AR24" s="46">
        <f t="shared" si="65"/>
        <v>0.145280515542077</v>
      </c>
      <c r="AS24" s="46">
        <f t="shared" si="65"/>
        <v>0.150400895021443</v>
      </c>
      <c r="AT24" s="48">
        <f t="shared" ref="AT24:AT38" si="66">AB24*0.85</f>
        <v>0.101641835966892</v>
      </c>
      <c r="AU24" s="48">
        <f t="shared" ref="AU24:AU38" si="67">AC24*0.85</f>
        <v>0.119457021577644</v>
      </c>
      <c r="AZ24" s="35" t="s">
        <v>343</v>
      </c>
      <c r="BA24" s="43" t="s">
        <v>344</v>
      </c>
      <c r="BB24" s="44">
        <v>889.8</v>
      </c>
      <c r="BC24" s="46">
        <v>843.2</v>
      </c>
      <c r="BD24" s="46">
        <v>803.8</v>
      </c>
      <c r="BE24" s="46">
        <v>794.6</v>
      </c>
      <c r="BF24" s="46">
        <v>766.5</v>
      </c>
      <c r="BG24" s="46">
        <v>806.6</v>
      </c>
      <c r="BH24" s="46">
        <v>794.6</v>
      </c>
      <c r="BI24" s="46">
        <v>794.6</v>
      </c>
      <c r="BJ24" s="36"/>
      <c r="BK24" s="36"/>
      <c r="BL24" s="45"/>
      <c r="BM24" s="45"/>
      <c r="BN24" s="45"/>
      <c r="BO24" s="45"/>
    </row>
    <row r="25" ht="15.5" spans="1:67">
      <c r="A25" s="35"/>
      <c r="B25" s="43" t="s">
        <v>345</v>
      </c>
      <c r="C25" s="44">
        <f t="shared" ref="C25:J25" si="68">BB25/1000</f>
        <v>0.8124</v>
      </c>
      <c r="D25" s="44">
        <f t="shared" si="68"/>
        <v>0.7746</v>
      </c>
      <c r="E25" s="44">
        <f t="shared" si="68"/>
        <v>0.739</v>
      </c>
      <c r="F25" s="44">
        <f t="shared" si="68"/>
        <v>0.7307</v>
      </c>
      <c r="G25" s="44">
        <f t="shared" si="68"/>
        <v>0.7045</v>
      </c>
      <c r="H25" s="44">
        <f t="shared" si="68"/>
        <v>0.7424</v>
      </c>
      <c r="I25" s="44">
        <f t="shared" si="68"/>
        <v>0.7307</v>
      </c>
      <c r="J25" s="44">
        <f t="shared" si="68"/>
        <v>0.7307</v>
      </c>
      <c r="K25" s="36"/>
      <c r="L25" s="36"/>
      <c r="M25" s="49">
        <v>5.937</v>
      </c>
      <c r="N25" s="49">
        <v>5.845</v>
      </c>
      <c r="O25" s="49">
        <v>5.575</v>
      </c>
      <c r="P25" s="49">
        <v>5.276</v>
      </c>
      <c r="Q25" s="49">
        <v>5.363</v>
      </c>
      <c r="R25" s="49">
        <v>6.645</v>
      </c>
      <c r="S25" s="49">
        <v>5.654</v>
      </c>
      <c r="T25" s="49"/>
      <c r="U25" s="35"/>
      <c r="V25" s="43" t="s">
        <v>345</v>
      </c>
      <c r="W25" s="46">
        <f t="shared" ref="W25:AC25" si="69">D25/M25</f>
        <v>0.130469934310258</v>
      </c>
      <c r="X25" s="46">
        <f t="shared" si="69"/>
        <v>0.126432848588537</v>
      </c>
      <c r="Y25" s="46">
        <f t="shared" si="69"/>
        <v>0.131067264573991</v>
      </c>
      <c r="Z25" s="46">
        <f t="shared" si="69"/>
        <v>0.133529188779378</v>
      </c>
      <c r="AA25" s="46">
        <f t="shared" si="69"/>
        <v>0.138429983218348</v>
      </c>
      <c r="AB25" s="47">
        <f t="shared" si="69"/>
        <v>0.109962377727615</v>
      </c>
      <c r="AC25" s="47">
        <f t="shared" si="69"/>
        <v>0.129235939158118</v>
      </c>
      <c r="AD25" s="36"/>
      <c r="AE25" s="36"/>
      <c r="AF25" s="46">
        <f t="shared" ref="AF25:AJ25" si="70">W25</f>
        <v>0.130469934310258</v>
      </c>
      <c r="AG25" s="46">
        <f t="shared" si="70"/>
        <v>0.126432848588537</v>
      </c>
      <c r="AH25" s="46">
        <f t="shared" si="70"/>
        <v>0.131067264573991</v>
      </c>
      <c r="AI25" s="46">
        <f t="shared" si="70"/>
        <v>0.133529188779378</v>
      </c>
      <c r="AJ25" s="46">
        <f t="shared" si="70"/>
        <v>0.138429983218348</v>
      </c>
      <c r="AK25" s="48">
        <f t="shared" si="63"/>
        <v>0.126456734386757</v>
      </c>
      <c r="AL25" s="48">
        <f t="shared" si="64"/>
        <v>0.148621330031836</v>
      </c>
      <c r="AM25" s="36"/>
      <c r="AN25" s="36"/>
      <c r="AO25" s="46">
        <f t="shared" ref="AO25:AS25" si="71">W25</f>
        <v>0.130469934310258</v>
      </c>
      <c r="AP25" s="46">
        <f t="shared" si="71"/>
        <v>0.126432848588537</v>
      </c>
      <c r="AQ25" s="46">
        <f t="shared" si="71"/>
        <v>0.131067264573991</v>
      </c>
      <c r="AR25" s="46">
        <f t="shared" si="71"/>
        <v>0.133529188779378</v>
      </c>
      <c r="AS25" s="46">
        <f t="shared" si="71"/>
        <v>0.138429983218348</v>
      </c>
      <c r="AT25" s="48">
        <f t="shared" si="66"/>
        <v>0.0934680210684725</v>
      </c>
      <c r="AU25" s="48">
        <f t="shared" si="67"/>
        <v>0.1098505482844</v>
      </c>
      <c r="AZ25" s="35"/>
      <c r="BA25" s="43" t="s">
        <v>345</v>
      </c>
      <c r="BB25" s="44">
        <v>812.4</v>
      </c>
      <c r="BC25" s="46">
        <v>774.6</v>
      </c>
      <c r="BD25" s="46">
        <v>739</v>
      </c>
      <c r="BE25" s="46">
        <v>730.7</v>
      </c>
      <c r="BF25" s="46">
        <v>704.5</v>
      </c>
      <c r="BG25" s="46">
        <v>742.4</v>
      </c>
      <c r="BH25" s="46">
        <v>730.7</v>
      </c>
      <c r="BI25" s="46">
        <v>730.7</v>
      </c>
      <c r="BJ25" s="36"/>
      <c r="BK25" s="36"/>
      <c r="BL25" s="49"/>
      <c r="BM25" s="49"/>
      <c r="BN25" s="49"/>
      <c r="BO25" s="49"/>
    </row>
    <row r="26" ht="15.5" spans="1:67">
      <c r="A26" s="35"/>
      <c r="B26" s="43" t="s">
        <v>346</v>
      </c>
      <c r="C26" s="44">
        <f t="shared" ref="C26:J26" si="72">BB26/1000</f>
        <v>0.1699</v>
      </c>
      <c r="D26" s="44">
        <f t="shared" si="72"/>
        <v>0.1497</v>
      </c>
      <c r="E26" s="44">
        <f t="shared" si="72"/>
        <v>0.1418</v>
      </c>
      <c r="F26" s="44">
        <f t="shared" si="72"/>
        <v>0.1399</v>
      </c>
      <c r="G26" s="44">
        <f t="shared" si="72"/>
        <v>0.1359</v>
      </c>
      <c r="H26" s="44">
        <f t="shared" si="72"/>
        <v>0.1408</v>
      </c>
      <c r="I26" s="44">
        <f t="shared" si="72"/>
        <v>0.1399</v>
      </c>
      <c r="J26" s="44">
        <f t="shared" si="72"/>
        <v>0.1399</v>
      </c>
      <c r="K26" s="36"/>
      <c r="L26" s="36"/>
      <c r="M26" s="49">
        <v>5.937</v>
      </c>
      <c r="N26" s="49">
        <v>5.845</v>
      </c>
      <c r="O26" s="49">
        <v>5.575</v>
      </c>
      <c r="P26" s="49">
        <v>5.276</v>
      </c>
      <c r="Q26" s="49">
        <v>5.363</v>
      </c>
      <c r="R26" s="49">
        <v>6.645</v>
      </c>
      <c r="S26" s="49">
        <v>5.654</v>
      </c>
      <c r="T26" s="49"/>
      <c r="U26" s="35"/>
      <c r="V26" s="43" t="s">
        <v>346</v>
      </c>
      <c r="W26" s="46">
        <f t="shared" ref="W26:AC26" si="73">D26/M26</f>
        <v>0.0252147549267307</v>
      </c>
      <c r="X26" s="46">
        <f t="shared" si="73"/>
        <v>0.0242600513259196</v>
      </c>
      <c r="Y26" s="46">
        <f t="shared" si="73"/>
        <v>0.0250941704035874</v>
      </c>
      <c r="Z26" s="46">
        <f t="shared" si="73"/>
        <v>0.0257581501137225</v>
      </c>
      <c r="AA26" s="46">
        <f t="shared" si="73"/>
        <v>0.0262539623345143</v>
      </c>
      <c r="AB26" s="47">
        <f t="shared" si="73"/>
        <v>0.0210534236267871</v>
      </c>
      <c r="AC26" s="47">
        <f t="shared" si="73"/>
        <v>0.0247435443933498</v>
      </c>
      <c r="AD26" s="36"/>
      <c r="AE26" s="36"/>
      <c r="AF26" s="46">
        <f t="shared" ref="AF26:AJ26" si="74">W26</f>
        <v>0.0252147549267307</v>
      </c>
      <c r="AG26" s="46">
        <f t="shared" si="74"/>
        <v>0.0242600513259196</v>
      </c>
      <c r="AH26" s="46">
        <f t="shared" si="74"/>
        <v>0.0250941704035874</v>
      </c>
      <c r="AI26" s="46">
        <f t="shared" si="74"/>
        <v>0.0257581501137225</v>
      </c>
      <c r="AJ26" s="46">
        <f t="shared" si="74"/>
        <v>0.0262539623345143</v>
      </c>
      <c r="AK26" s="48">
        <f t="shared" si="63"/>
        <v>0.0242114371708051</v>
      </c>
      <c r="AL26" s="48">
        <f t="shared" si="64"/>
        <v>0.0284550760523523</v>
      </c>
      <c r="AM26" s="36"/>
      <c r="AN26" s="36"/>
      <c r="AO26" s="46">
        <f t="shared" ref="AO26:AS26" si="75">W26</f>
        <v>0.0252147549267307</v>
      </c>
      <c r="AP26" s="46">
        <f t="shared" si="75"/>
        <v>0.0242600513259196</v>
      </c>
      <c r="AQ26" s="46">
        <f t="shared" si="75"/>
        <v>0.0250941704035874</v>
      </c>
      <c r="AR26" s="46">
        <f t="shared" si="75"/>
        <v>0.0257581501137225</v>
      </c>
      <c r="AS26" s="46">
        <f t="shared" si="75"/>
        <v>0.0262539623345143</v>
      </c>
      <c r="AT26" s="48">
        <f t="shared" si="66"/>
        <v>0.017895410082769</v>
      </c>
      <c r="AU26" s="48">
        <f t="shared" si="67"/>
        <v>0.0210320127343474</v>
      </c>
      <c r="AZ26" s="35"/>
      <c r="BA26" s="43" t="s">
        <v>346</v>
      </c>
      <c r="BB26" s="44">
        <v>169.9</v>
      </c>
      <c r="BC26" s="46">
        <v>149.7</v>
      </c>
      <c r="BD26" s="46">
        <v>141.8</v>
      </c>
      <c r="BE26" s="46">
        <v>139.9</v>
      </c>
      <c r="BF26" s="46">
        <v>135.9</v>
      </c>
      <c r="BG26" s="46">
        <v>140.8</v>
      </c>
      <c r="BH26" s="46">
        <v>139.9</v>
      </c>
      <c r="BI26" s="46">
        <v>139.9</v>
      </c>
      <c r="BJ26" s="36"/>
      <c r="BK26" s="36"/>
      <c r="BL26" s="49"/>
      <c r="BM26" s="49"/>
      <c r="BN26" s="49"/>
      <c r="BO26" s="49"/>
    </row>
    <row r="27" ht="15.5" spans="1:67">
      <c r="A27" s="35"/>
      <c r="B27" s="43" t="s">
        <v>347</v>
      </c>
      <c r="C27" s="44">
        <f t="shared" ref="C27:J27" si="76">BB27/1000</f>
        <v>0.5978</v>
      </c>
      <c r="D27" s="44">
        <f t="shared" si="76"/>
        <v>0.5807</v>
      </c>
      <c r="E27" s="44">
        <f t="shared" si="76"/>
        <v>0.554</v>
      </c>
      <c r="F27" s="44">
        <f t="shared" si="76"/>
        <v>0.5478</v>
      </c>
      <c r="G27" s="44">
        <f t="shared" si="76"/>
        <v>0.526</v>
      </c>
      <c r="H27" s="44">
        <f t="shared" si="76"/>
        <v>0.5575</v>
      </c>
      <c r="I27" s="44">
        <f t="shared" si="76"/>
        <v>0.5478</v>
      </c>
      <c r="J27" s="44">
        <f t="shared" si="76"/>
        <v>0.5478</v>
      </c>
      <c r="K27" s="36"/>
      <c r="L27" s="36"/>
      <c r="M27" s="49">
        <v>5.937</v>
      </c>
      <c r="N27" s="49">
        <v>5.845</v>
      </c>
      <c r="O27" s="49">
        <v>5.575</v>
      </c>
      <c r="P27" s="49">
        <v>5.276</v>
      </c>
      <c r="Q27" s="49">
        <v>5.363</v>
      </c>
      <c r="R27" s="49">
        <v>6.645</v>
      </c>
      <c r="S27" s="49">
        <v>5.654</v>
      </c>
      <c r="T27" s="49"/>
      <c r="U27" s="35"/>
      <c r="V27" s="43" t="s">
        <v>347</v>
      </c>
      <c r="W27" s="46">
        <f t="shared" ref="W27:AC27" si="77">D27/M27</f>
        <v>0.0978103419235304</v>
      </c>
      <c r="X27" s="46">
        <f t="shared" si="77"/>
        <v>0.0947818648417451</v>
      </c>
      <c r="Y27" s="46">
        <f t="shared" si="77"/>
        <v>0.0982600896860986</v>
      </c>
      <c r="Z27" s="46">
        <f t="shared" si="77"/>
        <v>0.099696739954511</v>
      </c>
      <c r="AA27" s="46">
        <f t="shared" si="77"/>
        <v>0.103953011374231</v>
      </c>
      <c r="AB27" s="47">
        <f t="shared" si="77"/>
        <v>0.0824379232505643</v>
      </c>
      <c r="AC27" s="47">
        <f t="shared" si="77"/>
        <v>0.0968871595330739</v>
      </c>
      <c r="AD27" s="36"/>
      <c r="AE27" s="36"/>
      <c r="AF27" s="46">
        <f t="shared" ref="AF27:AJ27" si="78">W27</f>
        <v>0.0978103419235304</v>
      </c>
      <c r="AG27" s="46">
        <f t="shared" si="78"/>
        <v>0.0947818648417451</v>
      </c>
      <c r="AH27" s="46">
        <f t="shared" si="78"/>
        <v>0.0982600896860986</v>
      </c>
      <c r="AI27" s="46">
        <f t="shared" si="78"/>
        <v>0.099696739954511</v>
      </c>
      <c r="AJ27" s="46">
        <f t="shared" si="78"/>
        <v>0.103953011374231</v>
      </c>
      <c r="AK27" s="48">
        <f t="shared" si="63"/>
        <v>0.094803611738149</v>
      </c>
      <c r="AL27" s="48">
        <f t="shared" si="64"/>
        <v>0.111420233463035</v>
      </c>
      <c r="AM27" s="36"/>
      <c r="AN27" s="36"/>
      <c r="AO27" s="46">
        <f t="shared" ref="AO27:AS27" si="79">W27</f>
        <v>0.0978103419235304</v>
      </c>
      <c r="AP27" s="46">
        <f t="shared" si="79"/>
        <v>0.0947818648417451</v>
      </c>
      <c r="AQ27" s="46">
        <f t="shared" si="79"/>
        <v>0.0982600896860986</v>
      </c>
      <c r="AR27" s="46">
        <f t="shared" si="79"/>
        <v>0.099696739954511</v>
      </c>
      <c r="AS27" s="46">
        <f t="shared" si="79"/>
        <v>0.103953011374231</v>
      </c>
      <c r="AT27" s="48">
        <f t="shared" si="66"/>
        <v>0.0700722347629797</v>
      </c>
      <c r="AU27" s="48">
        <f t="shared" si="67"/>
        <v>0.0823540856031128</v>
      </c>
      <c r="AZ27" s="35"/>
      <c r="BA27" s="43" t="s">
        <v>347</v>
      </c>
      <c r="BB27" s="44">
        <v>597.8</v>
      </c>
      <c r="BC27" s="46">
        <v>580.7</v>
      </c>
      <c r="BD27" s="46">
        <v>554</v>
      </c>
      <c r="BE27" s="46">
        <v>547.8</v>
      </c>
      <c r="BF27" s="46">
        <v>526</v>
      </c>
      <c r="BG27" s="46">
        <v>557.5</v>
      </c>
      <c r="BH27" s="46">
        <v>547.8</v>
      </c>
      <c r="BI27" s="46">
        <v>547.8</v>
      </c>
      <c r="BJ27" s="36"/>
      <c r="BK27" s="36"/>
      <c r="BL27" s="49"/>
      <c r="BM27" s="49"/>
      <c r="BN27" s="49"/>
      <c r="BO27" s="49"/>
    </row>
    <row r="28" ht="15.5" spans="1:67">
      <c r="A28" s="35"/>
      <c r="B28" s="43" t="s">
        <v>348</v>
      </c>
      <c r="C28" s="44">
        <f t="shared" ref="C28:J28" si="80">BB28/1000</f>
        <v>0.085</v>
      </c>
      <c r="D28" s="44">
        <f t="shared" si="80"/>
        <v>0.0786</v>
      </c>
      <c r="E28" s="44">
        <f t="shared" si="80"/>
        <v>0.0763</v>
      </c>
      <c r="F28" s="44">
        <f t="shared" si="80"/>
        <v>0.0759</v>
      </c>
      <c r="G28" s="44">
        <f t="shared" si="80"/>
        <v>0.0737</v>
      </c>
      <c r="H28" s="44">
        <f t="shared" si="80"/>
        <v>0.076</v>
      </c>
      <c r="I28" s="44">
        <f t="shared" si="80"/>
        <v>0.0759</v>
      </c>
      <c r="J28" s="44">
        <f t="shared" si="80"/>
        <v>0.0759</v>
      </c>
      <c r="K28" s="36"/>
      <c r="L28" s="36"/>
      <c r="M28" s="49">
        <v>5.937</v>
      </c>
      <c r="N28" s="49">
        <v>5.845</v>
      </c>
      <c r="O28" s="49">
        <v>5.575</v>
      </c>
      <c r="P28" s="49">
        <v>5.276</v>
      </c>
      <c r="Q28" s="49">
        <v>5.363</v>
      </c>
      <c r="R28" s="49">
        <v>6.645</v>
      </c>
      <c r="S28" s="49">
        <v>5.654</v>
      </c>
      <c r="T28" s="49"/>
      <c r="U28" s="35"/>
      <c r="V28" s="43" t="s">
        <v>348</v>
      </c>
      <c r="W28" s="46">
        <f t="shared" ref="W28:AC28" si="81">D28/M28</f>
        <v>0.0132390096008085</v>
      </c>
      <c r="X28" s="46">
        <f t="shared" si="81"/>
        <v>0.0130538922155689</v>
      </c>
      <c r="Y28" s="46">
        <f t="shared" si="81"/>
        <v>0.0136143497757848</v>
      </c>
      <c r="Z28" s="46">
        <f t="shared" si="81"/>
        <v>0.0139689158453374</v>
      </c>
      <c r="AA28" s="46">
        <f t="shared" si="81"/>
        <v>0.0141711728510162</v>
      </c>
      <c r="AB28" s="47">
        <f t="shared" si="81"/>
        <v>0.0114221218961625</v>
      </c>
      <c r="AC28" s="47">
        <f t="shared" si="81"/>
        <v>0.0134241245136187</v>
      </c>
      <c r="AD28" s="36"/>
      <c r="AE28" s="36"/>
      <c r="AF28" s="46">
        <f t="shared" ref="AF28:AJ28" si="82">W28</f>
        <v>0.0132390096008085</v>
      </c>
      <c r="AG28" s="46">
        <f t="shared" si="82"/>
        <v>0.0130538922155689</v>
      </c>
      <c r="AH28" s="46">
        <f t="shared" si="82"/>
        <v>0.0136143497757848</v>
      </c>
      <c r="AI28" s="46">
        <f t="shared" si="82"/>
        <v>0.0139689158453374</v>
      </c>
      <c r="AJ28" s="46">
        <f t="shared" si="82"/>
        <v>0.0141711728510162</v>
      </c>
      <c r="AK28" s="48">
        <f t="shared" si="63"/>
        <v>0.0131354401805869</v>
      </c>
      <c r="AL28" s="48">
        <f t="shared" si="64"/>
        <v>0.0154377431906615</v>
      </c>
      <c r="AM28" s="36"/>
      <c r="AN28" s="36"/>
      <c r="AO28" s="46">
        <f t="shared" ref="AO28:AS28" si="83">W28</f>
        <v>0.0132390096008085</v>
      </c>
      <c r="AP28" s="46">
        <f t="shared" si="83"/>
        <v>0.0130538922155689</v>
      </c>
      <c r="AQ28" s="46">
        <f t="shared" si="83"/>
        <v>0.0136143497757848</v>
      </c>
      <c r="AR28" s="46">
        <f t="shared" si="83"/>
        <v>0.0139689158453374</v>
      </c>
      <c r="AS28" s="46">
        <f t="shared" si="83"/>
        <v>0.0141711728510162</v>
      </c>
      <c r="AT28" s="48">
        <f t="shared" si="66"/>
        <v>0.00970880361173815</v>
      </c>
      <c r="AU28" s="48">
        <f t="shared" si="67"/>
        <v>0.0114105058365759</v>
      </c>
      <c r="AZ28" s="35"/>
      <c r="BA28" s="43" t="s">
        <v>348</v>
      </c>
      <c r="BB28" s="44">
        <v>85</v>
      </c>
      <c r="BC28" s="46">
        <v>78.6</v>
      </c>
      <c r="BD28" s="46">
        <v>76.3</v>
      </c>
      <c r="BE28" s="46">
        <v>75.9</v>
      </c>
      <c r="BF28" s="46">
        <v>73.7</v>
      </c>
      <c r="BG28" s="46">
        <v>76</v>
      </c>
      <c r="BH28" s="46">
        <v>75.9</v>
      </c>
      <c r="BI28" s="46">
        <v>75.9</v>
      </c>
      <c r="BJ28" s="36"/>
      <c r="BK28" s="36"/>
      <c r="BL28" s="49"/>
      <c r="BM28" s="49"/>
      <c r="BN28" s="49"/>
      <c r="BO28" s="49"/>
    </row>
    <row r="29" ht="15.5" spans="1:67">
      <c r="A29" s="35" t="s">
        <v>241</v>
      </c>
      <c r="B29" s="43" t="s">
        <v>344</v>
      </c>
      <c r="C29" s="44">
        <f t="shared" ref="C29:J29" si="84">BB29/1000</f>
        <v>0.9068</v>
      </c>
      <c r="D29" s="44">
        <f t="shared" si="84"/>
        <v>0.8586</v>
      </c>
      <c r="E29" s="44">
        <f t="shared" si="84"/>
        <v>0.8184</v>
      </c>
      <c r="F29" s="44">
        <f t="shared" si="84"/>
        <v>0.8091</v>
      </c>
      <c r="G29" s="44">
        <f t="shared" si="84"/>
        <v>0.7811</v>
      </c>
      <c r="H29" s="44">
        <f t="shared" si="84"/>
        <v>0.8217</v>
      </c>
      <c r="I29" s="44">
        <f t="shared" si="84"/>
        <v>0.8091</v>
      </c>
      <c r="J29" s="44">
        <f t="shared" si="84"/>
        <v>0.8091</v>
      </c>
      <c r="K29" s="36"/>
      <c r="L29" s="36"/>
      <c r="M29" s="49">
        <v>5.937</v>
      </c>
      <c r="N29" s="49">
        <v>5.845</v>
      </c>
      <c r="O29" s="49">
        <v>5.575</v>
      </c>
      <c r="P29" s="49">
        <v>5.276</v>
      </c>
      <c r="Q29" s="49">
        <v>5.363</v>
      </c>
      <c r="R29" s="49">
        <v>6.645</v>
      </c>
      <c r="S29" s="49">
        <v>5.654</v>
      </c>
      <c r="T29" s="49"/>
      <c r="U29" s="35" t="s">
        <v>241</v>
      </c>
      <c r="V29" s="43" t="s">
        <v>344</v>
      </c>
      <c r="W29" s="46">
        <f t="shared" ref="W29:AC29" si="85">D29/M29</f>
        <v>0.144618494188984</v>
      </c>
      <c r="X29" s="46">
        <f t="shared" si="85"/>
        <v>0.140017108639863</v>
      </c>
      <c r="Y29" s="46">
        <f t="shared" si="85"/>
        <v>0.145130044843049</v>
      </c>
      <c r="Z29" s="46">
        <f t="shared" si="85"/>
        <v>0.148047763457165</v>
      </c>
      <c r="AA29" s="46">
        <f t="shared" si="85"/>
        <v>0.153216483311579</v>
      </c>
      <c r="AB29" s="47">
        <f t="shared" si="85"/>
        <v>0.12176072234763</v>
      </c>
      <c r="AC29" s="47">
        <f t="shared" si="85"/>
        <v>0.143102228510789</v>
      </c>
      <c r="AD29" s="36"/>
      <c r="AE29" s="36"/>
      <c r="AF29" s="46">
        <f t="shared" ref="AF29:AJ29" si="86">W29</f>
        <v>0.144618494188984</v>
      </c>
      <c r="AG29" s="46">
        <f t="shared" si="86"/>
        <v>0.140017108639863</v>
      </c>
      <c r="AH29" s="46">
        <f t="shared" si="86"/>
        <v>0.145130044843049</v>
      </c>
      <c r="AI29" s="46">
        <f t="shared" si="86"/>
        <v>0.148047763457165</v>
      </c>
      <c r="AJ29" s="46">
        <f t="shared" si="86"/>
        <v>0.153216483311579</v>
      </c>
      <c r="AK29" s="48">
        <f t="shared" si="63"/>
        <v>0.140024830699774</v>
      </c>
      <c r="AL29" s="48">
        <f t="shared" si="64"/>
        <v>0.164567562787407</v>
      </c>
      <c r="AM29" s="36"/>
      <c r="AN29" s="36"/>
      <c r="AO29" s="46">
        <f t="shared" ref="AO29:AS29" si="87">W29</f>
        <v>0.144618494188984</v>
      </c>
      <c r="AP29" s="46">
        <f t="shared" si="87"/>
        <v>0.140017108639863</v>
      </c>
      <c r="AQ29" s="46">
        <f t="shared" si="87"/>
        <v>0.145130044843049</v>
      </c>
      <c r="AR29" s="46">
        <f t="shared" si="87"/>
        <v>0.148047763457165</v>
      </c>
      <c r="AS29" s="46">
        <f t="shared" si="87"/>
        <v>0.153216483311579</v>
      </c>
      <c r="AT29" s="48">
        <f t="shared" si="66"/>
        <v>0.103496613995485</v>
      </c>
      <c r="AU29" s="48">
        <f t="shared" si="67"/>
        <v>0.12163689423417</v>
      </c>
      <c r="AZ29" s="35" t="s">
        <v>241</v>
      </c>
      <c r="BA29" s="43" t="s">
        <v>344</v>
      </c>
      <c r="BB29" s="44">
        <v>906.8</v>
      </c>
      <c r="BC29" s="46">
        <v>858.6</v>
      </c>
      <c r="BD29" s="46">
        <v>818.4</v>
      </c>
      <c r="BE29" s="46">
        <v>809.1</v>
      </c>
      <c r="BF29" s="46">
        <v>781.1</v>
      </c>
      <c r="BG29" s="46">
        <v>821.7</v>
      </c>
      <c r="BH29" s="46">
        <v>809.1</v>
      </c>
      <c r="BI29" s="46">
        <v>809.1</v>
      </c>
      <c r="BJ29" s="36"/>
      <c r="BK29" s="36"/>
      <c r="BL29" s="49"/>
      <c r="BM29" s="49"/>
      <c r="BN29" s="49"/>
      <c r="BO29" s="49"/>
    </row>
    <row r="30" ht="15.5" spans="1:67">
      <c r="A30" s="35"/>
      <c r="B30" s="43" t="s">
        <v>345</v>
      </c>
      <c r="C30" s="44">
        <f t="shared" ref="C30:J30" si="88">BB30/1000</f>
        <v>0.8303</v>
      </c>
      <c r="D30" s="44">
        <f t="shared" si="88"/>
        <v>0.7909</v>
      </c>
      <c r="E30" s="44">
        <f t="shared" si="88"/>
        <v>0.7545</v>
      </c>
      <c r="F30" s="44">
        <f t="shared" si="88"/>
        <v>0.746</v>
      </c>
      <c r="G30" s="44">
        <f t="shared" si="88"/>
        <v>0.7199</v>
      </c>
      <c r="H30" s="44">
        <f t="shared" si="88"/>
        <v>0.7584</v>
      </c>
      <c r="I30" s="44">
        <f t="shared" si="88"/>
        <v>0.746</v>
      </c>
      <c r="J30" s="44">
        <f t="shared" si="88"/>
        <v>0.746</v>
      </c>
      <c r="K30" s="36"/>
      <c r="L30" s="36"/>
      <c r="M30" s="49">
        <v>5.937</v>
      </c>
      <c r="N30" s="49">
        <v>5.845</v>
      </c>
      <c r="O30" s="49">
        <v>5.575</v>
      </c>
      <c r="P30" s="49">
        <v>5.276</v>
      </c>
      <c r="Q30" s="49">
        <v>5.363</v>
      </c>
      <c r="R30" s="49">
        <v>6.645</v>
      </c>
      <c r="S30" s="49">
        <v>5.654</v>
      </c>
      <c r="T30" s="49"/>
      <c r="U30" s="35"/>
      <c r="V30" s="43" t="s">
        <v>345</v>
      </c>
      <c r="W30" s="46">
        <f t="shared" ref="W30:AC30" si="89">D30/M30</f>
        <v>0.133215428667677</v>
      </c>
      <c r="X30" s="46">
        <f t="shared" si="89"/>
        <v>0.129084687767322</v>
      </c>
      <c r="Y30" s="46">
        <f t="shared" si="89"/>
        <v>0.133811659192825</v>
      </c>
      <c r="Z30" s="46">
        <f t="shared" si="89"/>
        <v>0.13644806671721</v>
      </c>
      <c r="AA30" s="46">
        <f t="shared" si="89"/>
        <v>0.141413388029088</v>
      </c>
      <c r="AB30" s="47">
        <f t="shared" si="89"/>
        <v>0.112264860797592</v>
      </c>
      <c r="AC30" s="47">
        <f t="shared" si="89"/>
        <v>0.131941987973116</v>
      </c>
      <c r="AD30" s="36"/>
      <c r="AE30" s="36"/>
      <c r="AF30" s="46">
        <f t="shared" ref="AF30:AJ30" si="90">W30</f>
        <v>0.133215428667677</v>
      </c>
      <c r="AG30" s="46">
        <f t="shared" si="90"/>
        <v>0.129084687767322</v>
      </c>
      <c r="AH30" s="46">
        <f t="shared" si="90"/>
        <v>0.133811659192825</v>
      </c>
      <c r="AI30" s="46">
        <f t="shared" si="90"/>
        <v>0.13644806671721</v>
      </c>
      <c r="AJ30" s="46">
        <f t="shared" si="90"/>
        <v>0.141413388029088</v>
      </c>
      <c r="AK30" s="48">
        <f t="shared" si="63"/>
        <v>0.129104589917231</v>
      </c>
      <c r="AL30" s="48">
        <f t="shared" si="64"/>
        <v>0.151733286169084</v>
      </c>
      <c r="AM30" s="36"/>
      <c r="AN30" s="36"/>
      <c r="AO30" s="46">
        <f t="shared" ref="AO30:AS30" si="91">W30</f>
        <v>0.133215428667677</v>
      </c>
      <c r="AP30" s="46">
        <f t="shared" si="91"/>
        <v>0.129084687767322</v>
      </c>
      <c r="AQ30" s="46">
        <f t="shared" si="91"/>
        <v>0.133811659192825</v>
      </c>
      <c r="AR30" s="46">
        <f t="shared" si="91"/>
        <v>0.13644806671721</v>
      </c>
      <c r="AS30" s="46">
        <f t="shared" si="91"/>
        <v>0.141413388029088</v>
      </c>
      <c r="AT30" s="48">
        <f t="shared" si="66"/>
        <v>0.0954251316779534</v>
      </c>
      <c r="AU30" s="48">
        <f t="shared" si="67"/>
        <v>0.112150689777149</v>
      </c>
      <c r="AZ30" s="35"/>
      <c r="BA30" s="43" t="s">
        <v>345</v>
      </c>
      <c r="BB30" s="44">
        <v>830.3</v>
      </c>
      <c r="BC30" s="46">
        <v>790.9</v>
      </c>
      <c r="BD30" s="46">
        <v>754.5</v>
      </c>
      <c r="BE30" s="46">
        <v>746</v>
      </c>
      <c r="BF30" s="46">
        <v>719.9</v>
      </c>
      <c r="BG30" s="46">
        <v>758.4</v>
      </c>
      <c r="BH30" s="46">
        <v>746</v>
      </c>
      <c r="BI30" s="46">
        <v>746</v>
      </c>
      <c r="BJ30" s="36"/>
      <c r="BK30" s="36"/>
      <c r="BL30" s="49"/>
      <c r="BM30" s="49"/>
      <c r="BN30" s="49"/>
      <c r="BO30" s="49"/>
    </row>
    <row r="31" ht="15.5" spans="1:67">
      <c r="A31" s="35"/>
      <c r="B31" s="43" t="s">
        <v>346</v>
      </c>
      <c r="C31" s="44">
        <f t="shared" ref="C31:J31" si="92">BB31/1000</f>
        <v>0.2079</v>
      </c>
      <c r="D31" s="44">
        <f t="shared" si="92"/>
        <v>0.1842</v>
      </c>
      <c r="E31" s="44">
        <f t="shared" si="92"/>
        <v>0.1746</v>
      </c>
      <c r="F31" s="44">
        <f t="shared" si="92"/>
        <v>0.1724</v>
      </c>
      <c r="G31" s="44">
        <f t="shared" si="92"/>
        <v>0.1687</v>
      </c>
      <c r="H31" s="44">
        <f t="shared" si="92"/>
        <v>0.1747</v>
      </c>
      <c r="I31" s="44">
        <f t="shared" si="92"/>
        <v>0.1724</v>
      </c>
      <c r="J31" s="44">
        <f t="shared" si="92"/>
        <v>0.1724</v>
      </c>
      <c r="K31" s="36"/>
      <c r="L31" s="36"/>
      <c r="M31" s="49">
        <v>5.937</v>
      </c>
      <c r="N31" s="49">
        <v>5.845</v>
      </c>
      <c r="O31" s="49">
        <v>5.575</v>
      </c>
      <c r="P31" s="49">
        <v>5.276</v>
      </c>
      <c r="Q31" s="49">
        <v>5.363</v>
      </c>
      <c r="R31" s="49">
        <v>6.645</v>
      </c>
      <c r="S31" s="49">
        <v>5.654</v>
      </c>
      <c r="T31" s="49"/>
      <c r="U31" s="35"/>
      <c r="V31" s="43" t="s">
        <v>346</v>
      </c>
      <c r="W31" s="46">
        <f t="shared" ref="W31:AC31" si="93">D31/M31</f>
        <v>0.0310257705912077</v>
      </c>
      <c r="X31" s="46">
        <f t="shared" si="93"/>
        <v>0.0298716852010265</v>
      </c>
      <c r="Y31" s="46">
        <f t="shared" si="93"/>
        <v>0.0309237668161435</v>
      </c>
      <c r="Z31" s="46">
        <f t="shared" si="93"/>
        <v>0.0319749810462472</v>
      </c>
      <c r="AA31" s="46">
        <f t="shared" si="93"/>
        <v>0.0325750512772702</v>
      </c>
      <c r="AB31" s="47">
        <f t="shared" si="93"/>
        <v>0.0259443190368698</v>
      </c>
      <c r="AC31" s="47">
        <f t="shared" si="93"/>
        <v>0.0304916873010258</v>
      </c>
      <c r="AD31" s="36"/>
      <c r="AE31" s="36"/>
      <c r="AF31" s="46">
        <f t="shared" ref="AF31:AJ31" si="94">W31</f>
        <v>0.0310257705912077</v>
      </c>
      <c r="AG31" s="46">
        <f t="shared" si="94"/>
        <v>0.0298716852010265</v>
      </c>
      <c r="AH31" s="46">
        <f t="shared" si="94"/>
        <v>0.0309237668161435</v>
      </c>
      <c r="AI31" s="46">
        <f t="shared" si="94"/>
        <v>0.0319749810462472</v>
      </c>
      <c r="AJ31" s="46">
        <f t="shared" si="94"/>
        <v>0.0325750512772702</v>
      </c>
      <c r="AK31" s="48">
        <f t="shared" si="63"/>
        <v>0.0298359668924003</v>
      </c>
      <c r="AL31" s="48">
        <f t="shared" si="64"/>
        <v>0.0350654403961797</v>
      </c>
      <c r="AM31" s="36"/>
      <c r="AN31" s="36"/>
      <c r="AO31" s="46">
        <f t="shared" ref="AO31:AS31" si="95">W31</f>
        <v>0.0310257705912077</v>
      </c>
      <c r="AP31" s="46">
        <f t="shared" si="95"/>
        <v>0.0298716852010265</v>
      </c>
      <c r="AQ31" s="46">
        <f t="shared" si="95"/>
        <v>0.0309237668161435</v>
      </c>
      <c r="AR31" s="46">
        <f t="shared" si="95"/>
        <v>0.0319749810462472</v>
      </c>
      <c r="AS31" s="46">
        <f t="shared" si="95"/>
        <v>0.0325750512772702</v>
      </c>
      <c r="AT31" s="48">
        <f t="shared" si="66"/>
        <v>0.0220526711813394</v>
      </c>
      <c r="AU31" s="48">
        <f t="shared" si="67"/>
        <v>0.0259179342058719</v>
      </c>
      <c r="AZ31" s="35"/>
      <c r="BA31" s="43" t="s">
        <v>346</v>
      </c>
      <c r="BB31" s="44">
        <v>207.9</v>
      </c>
      <c r="BC31" s="46">
        <v>184.2</v>
      </c>
      <c r="BD31" s="46">
        <v>174.6</v>
      </c>
      <c r="BE31" s="46">
        <v>172.4</v>
      </c>
      <c r="BF31" s="46">
        <v>168.7</v>
      </c>
      <c r="BG31" s="46">
        <v>174.7</v>
      </c>
      <c r="BH31" s="46">
        <v>172.4</v>
      </c>
      <c r="BI31" s="46">
        <v>172.4</v>
      </c>
      <c r="BJ31" s="36"/>
      <c r="BK31" s="36"/>
      <c r="BL31" s="49"/>
      <c r="BM31" s="49"/>
      <c r="BN31" s="49"/>
      <c r="BO31" s="49"/>
    </row>
    <row r="32" ht="15.5" spans="1:67">
      <c r="A32" s="35"/>
      <c r="B32" s="43" t="s">
        <v>347</v>
      </c>
      <c r="C32" s="44">
        <f t="shared" ref="C32:J32" si="96">BB32/1000</f>
        <v>0.5747</v>
      </c>
      <c r="D32" s="44">
        <f t="shared" si="96"/>
        <v>0.5597</v>
      </c>
      <c r="E32" s="44">
        <f t="shared" si="96"/>
        <v>0.534</v>
      </c>
      <c r="F32" s="44">
        <f t="shared" si="96"/>
        <v>0.528</v>
      </c>
      <c r="G32" s="44">
        <f t="shared" si="96"/>
        <v>0.5061</v>
      </c>
      <c r="H32" s="44">
        <f t="shared" si="96"/>
        <v>0.5369</v>
      </c>
      <c r="I32" s="44">
        <f t="shared" si="96"/>
        <v>0.528</v>
      </c>
      <c r="J32" s="44">
        <f t="shared" si="96"/>
        <v>0.528</v>
      </c>
      <c r="K32" s="36"/>
      <c r="L32" s="36"/>
      <c r="M32" s="49">
        <v>5.937</v>
      </c>
      <c r="N32" s="49">
        <v>5.845</v>
      </c>
      <c r="O32" s="49">
        <v>5.575</v>
      </c>
      <c r="P32" s="49">
        <v>5.276</v>
      </c>
      <c r="Q32" s="49">
        <v>5.363</v>
      </c>
      <c r="R32" s="49">
        <v>6.645</v>
      </c>
      <c r="S32" s="49">
        <v>5.654</v>
      </c>
      <c r="T32" s="49"/>
      <c r="U32" s="35"/>
      <c r="V32" s="43" t="s">
        <v>347</v>
      </c>
      <c r="W32" s="46">
        <f t="shared" ref="W32:AC32" si="97">D32/M32</f>
        <v>0.0942732019538488</v>
      </c>
      <c r="X32" s="46">
        <f t="shared" si="97"/>
        <v>0.0913601368691189</v>
      </c>
      <c r="Y32" s="46">
        <f t="shared" si="97"/>
        <v>0.0947085201793722</v>
      </c>
      <c r="Z32" s="46">
        <f t="shared" si="97"/>
        <v>0.0959249431387415</v>
      </c>
      <c r="AA32" s="46">
        <f t="shared" si="97"/>
        <v>0.100111877680403</v>
      </c>
      <c r="AB32" s="47">
        <f t="shared" si="97"/>
        <v>0.0794582392776524</v>
      </c>
      <c r="AC32" s="47">
        <f t="shared" si="97"/>
        <v>0.0933852140077821</v>
      </c>
      <c r="AD32" s="36"/>
      <c r="AE32" s="36"/>
      <c r="AF32" s="46">
        <f t="shared" ref="AF32:AJ32" si="98">W32</f>
        <v>0.0942732019538488</v>
      </c>
      <c r="AG32" s="46">
        <f t="shared" si="98"/>
        <v>0.0913601368691189</v>
      </c>
      <c r="AH32" s="46">
        <f t="shared" si="98"/>
        <v>0.0947085201793722</v>
      </c>
      <c r="AI32" s="46">
        <f t="shared" si="98"/>
        <v>0.0959249431387415</v>
      </c>
      <c r="AJ32" s="46">
        <f t="shared" si="98"/>
        <v>0.100111877680403</v>
      </c>
      <c r="AK32" s="48">
        <f t="shared" si="63"/>
        <v>0.0913769751693002</v>
      </c>
      <c r="AL32" s="48">
        <f t="shared" si="64"/>
        <v>0.107392996108949</v>
      </c>
      <c r="AM32" s="36"/>
      <c r="AN32" s="36"/>
      <c r="AO32" s="46">
        <f t="shared" ref="AO32:AS32" si="99">W32</f>
        <v>0.0942732019538488</v>
      </c>
      <c r="AP32" s="46">
        <f t="shared" si="99"/>
        <v>0.0913601368691189</v>
      </c>
      <c r="AQ32" s="46">
        <f t="shared" si="99"/>
        <v>0.0947085201793722</v>
      </c>
      <c r="AR32" s="46">
        <f t="shared" si="99"/>
        <v>0.0959249431387415</v>
      </c>
      <c r="AS32" s="46">
        <f t="shared" si="99"/>
        <v>0.100111877680403</v>
      </c>
      <c r="AT32" s="48">
        <f t="shared" si="66"/>
        <v>0.0675395033860045</v>
      </c>
      <c r="AU32" s="48">
        <f t="shared" si="67"/>
        <v>0.0793774319066148</v>
      </c>
      <c r="AZ32" s="35"/>
      <c r="BA32" s="43" t="s">
        <v>347</v>
      </c>
      <c r="BB32" s="44">
        <v>574.7</v>
      </c>
      <c r="BC32" s="46">
        <v>559.7</v>
      </c>
      <c r="BD32" s="46">
        <v>534</v>
      </c>
      <c r="BE32" s="46">
        <v>528</v>
      </c>
      <c r="BF32" s="46">
        <v>506.1</v>
      </c>
      <c r="BG32" s="46">
        <v>536.9</v>
      </c>
      <c r="BH32" s="46">
        <v>528</v>
      </c>
      <c r="BI32" s="46">
        <v>528</v>
      </c>
      <c r="BJ32" s="36"/>
      <c r="BK32" s="36"/>
      <c r="BL32" s="49"/>
      <c r="BM32" s="49"/>
      <c r="BN32" s="49"/>
      <c r="BO32" s="49"/>
    </row>
    <row r="33" ht="15.5" spans="1:67">
      <c r="A33" s="35"/>
      <c r="B33" s="43" t="s">
        <v>348</v>
      </c>
      <c r="C33" s="44">
        <f t="shared" ref="C33:J33" si="100">BB33/1000</f>
        <v>0.088</v>
      </c>
      <c r="D33" s="44">
        <f t="shared" si="100"/>
        <v>0.0814</v>
      </c>
      <c r="E33" s="44">
        <f t="shared" si="100"/>
        <v>0.079</v>
      </c>
      <c r="F33" s="44">
        <f t="shared" si="100"/>
        <v>0.0785</v>
      </c>
      <c r="G33" s="44">
        <f t="shared" si="100"/>
        <v>0.0764</v>
      </c>
      <c r="H33" s="44">
        <f t="shared" si="100"/>
        <v>0.0787</v>
      </c>
      <c r="I33" s="44">
        <f t="shared" si="100"/>
        <v>0.0785</v>
      </c>
      <c r="J33" s="44">
        <f t="shared" si="100"/>
        <v>0.0785</v>
      </c>
      <c r="K33" s="36"/>
      <c r="L33" s="36"/>
      <c r="M33" s="49">
        <v>5.937</v>
      </c>
      <c r="N33" s="49">
        <v>5.845</v>
      </c>
      <c r="O33" s="49">
        <v>5.575</v>
      </c>
      <c r="P33" s="49">
        <v>5.276</v>
      </c>
      <c r="Q33" s="49">
        <v>5.363</v>
      </c>
      <c r="R33" s="49">
        <v>6.645</v>
      </c>
      <c r="S33" s="49">
        <v>5.654</v>
      </c>
      <c r="T33" s="49"/>
      <c r="U33" s="35"/>
      <c r="V33" s="43" t="s">
        <v>348</v>
      </c>
      <c r="W33" s="46">
        <f t="shared" ref="W33:AC33" si="101">D33/M33</f>
        <v>0.0137106282634327</v>
      </c>
      <c r="X33" s="46">
        <f t="shared" si="101"/>
        <v>0.0135158254918734</v>
      </c>
      <c r="Y33" s="46">
        <f t="shared" si="101"/>
        <v>0.0140807174887892</v>
      </c>
      <c r="Z33" s="46">
        <f t="shared" si="101"/>
        <v>0.0144806671721001</v>
      </c>
      <c r="AA33" s="46">
        <f t="shared" si="101"/>
        <v>0.0146746224128286</v>
      </c>
      <c r="AB33" s="47">
        <f t="shared" si="101"/>
        <v>0.0118133935289691</v>
      </c>
      <c r="AC33" s="47">
        <f t="shared" si="101"/>
        <v>0.0138839759462328</v>
      </c>
      <c r="AD33" s="36"/>
      <c r="AE33" s="36"/>
      <c r="AF33" s="46">
        <f t="shared" ref="AF33:AJ33" si="102">W33</f>
        <v>0.0137106282634327</v>
      </c>
      <c r="AG33" s="46">
        <f t="shared" si="102"/>
        <v>0.0135158254918734</v>
      </c>
      <c r="AH33" s="46">
        <f t="shared" si="102"/>
        <v>0.0140807174887892</v>
      </c>
      <c r="AI33" s="46">
        <f t="shared" si="102"/>
        <v>0.0144806671721001</v>
      </c>
      <c r="AJ33" s="46">
        <f t="shared" si="102"/>
        <v>0.0146746224128286</v>
      </c>
      <c r="AK33" s="48">
        <f t="shared" si="63"/>
        <v>0.0135854025583145</v>
      </c>
      <c r="AL33" s="48">
        <f t="shared" si="64"/>
        <v>0.0159665723381677</v>
      </c>
      <c r="AM33" s="36"/>
      <c r="AN33" s="36"/>
      <c r="AO33" s="46">
        <f t="shared" ref="AO33:AS33" si="103">W33</f>
        <v>0.0137106282634327</v>
      </c>
      <c r="AP33" s="46">
        <f t="shared" si="103"/>
        <v>0.0135158254918734</v>
      </c>
      <c r="AQ33" s="46">
        <f t="shared" si="103"/>
        <v>0.0140807174887892</v>
      </c>
      <c r="AR33" s="46">
        <f t="shared" si="103"/>
        <v>0.0144806671721001</v>
      </c>
      <c r="AS33" s="46">
        <f t="shared" si="103"/>
        <v>0.0146746224128286</v>
      </c>
      <c r="AT33" s="48">
        <f t="shared" si="66"/>
        <v>0.0100413844996238</v>
      </c>
      <c r="AU33" s="48">
        <f t="shared" si="67"/>
        <v>0.0118013795542978</v>
      </c>
      <c r="AZ33" s="35"/>
      <c r="BA33" s="43" t="s">
        <v>348</v>
      </c>
      <c r="BB33" s="44">
        <v>88</v>
      </c>
      <c r="BC33" s="46">
        <v>81.4</v>
      </c>
      <c r="BD33" s="46">
        <v>79</v>
      </c>
      <c r="BE33" s="46">
        <v>78.5</v>
      </c>
      <c r="BF33" s="46">
        <v>76.4</v>
      </c>
      <c r="BG33" s="46">
        <v>78.7</v>
      </c>
      <c r="BH33" s="46">
        <v>78.5</v>
      </c>
      <c r="BI33" s="46">
        <v>78.5</v>
      </c>
      <c r="BJ33" s="36"/>
      <c r="BK33" s="36"/>
      <c r="BL33" s="49"/>
      <c r="BM33" s="49"/>
      <c r="BN33" s="49"/>
      <c r="BO33" s="49"/>
    </row>
    <row r="34" ht="15.5" spans="1:67">
      <c r="A34" s="35" t="s">
        <v>11</v>
      </c>
      <c r="B34" s="43" t="s">
        <v>344</v>
      </c>
      <c r="C34" s="44">
        <f t="shared" ref="C34:J34" si="104">BB34/1000</f>
        <v>0.9217</v>
      </c>
      <c r="D34" s="44">
        <f t="shared" si="104"/>
        <v>0.8721</v>
      </c>
      <c r="E34" s="44">
        <f t="shared" si="104"/>
        <v>0.8313</v>
      </c>
      <c r="F34" s="44">
        <f t="shared" si="104"/>
        <v>0.8218</v>
      </c>
      <c r="G34" s="44">
        <f t="shared" si="104"/>
        <v>0.794</v>
      </c>
      <c r="H34" s="44">
        <f t="shared" si="104"/>
        <v>0.835</v>
      </c>
      <c r="I34" s="44">
        <f t="shared" si="104"/>
        <v>0.8218</v>
      </c>
      <c r="J34" s="44">
        <f t="shared" si="104"/>
        <v>0.8218</v>
      </c>
      <c r="K34" s="36"/>
      <c r="L34" s="36"/>
      <c r="M34" s="49">
        <v>5.937</v>
      </c>
      <c r="N34" s="49">
        <v>5.845</v>
      </c>
      <c r="O34" s="49">
        <v>5.575</v>
      </c>
      <c r="P34" s="49">
        <v>5.276</v>
      </c>
      <c r="Q34" s="49">
        <v>5.363</v>
      </c>
      <c r="R34" s="49">
        <v>6.645</v>
      </c>
      <c r="S34" s="49">
        <v>5.654</v>
      </c>
      <c r="T34" s="49"/>
      <c r="U34" s="35" t="s">
        <v>11</v>
      </c>
      <c r="V34" s="43" t="s">
        <v>344</v>
      </c>
      <c r="W34" s="46">
        <f t="shared" ref="W34:AC34" si="105">D34/M34</f>
        <v>0.14689236988378</v>
      </c>
      <c r="X34" s="46">
        <f t="shared" si="105"/>
        <v>0.142224123182207</v>
      </c>
      <c r="Y34" s="46">
        <f t="shared" si="105"/>
        <v>0.147408071748879</v>
      </c>
      <c r="Z34" s="46">
        <f t="shared" si="105"/>
        <v>0.15049279757392</v>
      </c>
      <c r="AA34" s="46">
        <f t="shared" si="105"/>
        <v>0.155696438560507</v>
      </c>
      <c r="AB34" s="47">
        <f t="shared" si="105"/>
        <v>0.123671933784801</v>
      </c>
      <c r="AC34" s="47">
        <f t="shared" si="105"/>
        <v>0.145348425893173</v>
      </c>
      <c r="AD34" s="36"/>
      <c r="AE34" s="36"/>
      <c r="AF34" s="46">
        <f t="shared" ref="AF34:AJ34" si="106">W34</f>
        <v>0.14689236988378</v>
      </c>
      <c r="AG34" s="46">
        <f t="shared" si="106"/>
        <v>0.142224123182207</v>
      </c>
      <c r="AH34" s="46">
        <f t="shared" si="106"/>
        <v>0.147408071748879</v>
      </c>
      <c r="AI34" s="46">
        <f t="shared" si="106"/>
        <v>0.15049279757392</v>
      </c>
      <c r="AJ34" s="46">
        <f t="shared" si="106"/>
        <v>0.155696438560507</v>
      </c>
      <c r="AK34" s="48">
        <f t="shared" si="63"/>
        <v>0.142222723852521</v>
      </c>
      <c r="AL34" s="48">
        <f t="shared" si="64"/>
        <v>0.167150689777149</v>
      </c>
      <c r="AM34" s="36"/>
      <c r="AN34" s="36"/>
      <c r="AO34" s="46">
        <f t="shared" ref="AO34:AS34" si="107">W34</f>
        <v>0.14689236988378</v>
      </c>
      <c r="AP34" s="46">
        <f t="shared" si="107"/>
        <v>0.142224123182207</v>
      </c>
      <c r="AQ34" s="46">
        <f t="shared" si="107"/>
        <v>0.147408071748879</v>
      </c>
      <c r="AR34" s="46">
        <f t="shared" si="107"/>
        <v>0.15049279757392</v>
      </c>
      <c r="AS34" s="46">
        <f t="shared" si="107"/>
        <v>0.155696438560507</v>
      </c>
      <c r="AT34" s="48">
        <f t="shared" si="66"/>
        <v>0.105121143717081</v>
      </c>
      <c r="AU34" s="48">
        <f t="shared" si="67"/>
        <v>0.123546162009197</v>
      </c>
      <c r="AZ34" s="35" t="s">
        <v>11</v>
      </c>
      <c r="BA34" s="43" t="s">
        <v>344</v>
      </c>
      <c r="BB34" s="44">
        <v>921.7</v>
      </c>
      <c r="BC34" s="46">
        <v>872.1</v>
      </c>
      <c r="BD34" s="46">
        <v>831.3</v>
      </c>
      <c r="BE34" s="46">
        <v>821.8</v>
      </c>
      <c r="BF34" s="46">
        <v>794</v>
      </c>
      <c r="BG34" s="46">
        <v>835</v>
      </c>
      <c r="BH34" s="46">
        <v>821.8</v>
      </c>
      <c r="BI34" s="46">
        <v>821.8</v>
      </c>
      <c r="BJ34" s="36"/>
      <c r="BK34" s="36"/>
      <c r="BL34" s="49"/>
      <c r="BM34" s="49"/>
      <c r="BN34" s="49"/>
      <c r="BO34" s="49"/>
    </row>
    <row r="35" ht="15.5" spans="1:67">
      <c r="A35" s="35"/>
      <c r="B35" s="43" t="s">
        <v>345</v>
      </c>
      <c r="C35" s="44">
        <f t="shared" ref="C35:J35" si="108">BB35/1000</f>
        <v>0.8422</v>
      </c>
      <c r="D35" s="44">
        <f t="shared" si="108"/>
        <v>0.8018</v>
      </c>
      <c r="E35" s="44">
        <f t="shared" si="108"/>
        <v>0.7648</v>
      </c>
      <c r="F35" s="44">
        <f t="shared" si="108"/>
        <v>0.7562</v>
      </c>
      <c r="G35" s="44">
        <f t="shared" si="108"/>
        <v>0.7302</v>
      </c>
      <c r="H35" s="44">
        <f t="shared" si="108"/>
        <v>0.7691</v>
      </c>
      <c r="I35" s="44">
        <f t="shared" si="108"/>
        <v>0.7562</v>
      </c>
      <c r="J35" s="44">
        <f t="shared" si="108"/>
        <v>0.7562</v>
      </c>
      <c r="K35" s="36"/>
      <c r="L35" s="36"/>
      <c r="M35" s="49">
        <v>5.937</v>
      </c>
      <c r="N35" s="49">
        <v>5.845</v>
      </c>
      <c r="O35" s="49">
        <v>5.575</v>
      </c>
      <c r="P35" s="49">
        <v>5.276</v>
      </c>
      <c r="Q35" s="49">
        <v>5.363</v>
      </c>
      <c r="R35" s="49">
        <v>6.645</v>
      </c>
      <c r="S35" s="49">
        <v>5.654</v>
      </c>
      <c r="T35" s="49"/>
      <c r="U35" s="35"/>
      <c r="V35" s="43" t="s">
        <v>345</v>
      </c>
      <c r="W35" s="46">
        <f t="shared" ref="W35:AC35" si="109">D35/M35</f>
        <v>0.135051372747179</v>
      </c>
      <c r="X35" s="46">
        <f t="shared" si="109"/>
        <v>0.130846877673225</v>
      </c>
      <c r="Y35" s="46">
        <f t="shared" si="109"/>
        <v>0.135641255605381</v>
      </c>
      <c r="Z35" s="46">
        <f t="shared" si="109"/>
        <v>0.138400303260046</v>
      </c>
      <c r="AA35" s="46">
        <f t="shared" si="109"/>
        <v>0.143408539996271</v>
      </c>
      <c r="AB35" s="47">
        <f t="shared" si="109"/>
        <v>0.11379984951091</v>
      </c>
      <c r="AC35" s="47">
        <f t="shared" si="109"/>
        <v>0.133746020516449</v>
      </c>
      <c r="AD35" s="36"/>
      <c r="AE35" s="36"/>
      <c r="AF35" s="46">
        <f t="shared" ref="AF35:AJ35" si="110">W35</f>
        <v>0.135051372747179</v>
      </c>
      <c r="AG35" s="46">
        <f t="shared" si="110"/>
        <v>0.130846877673225</v>
      </c>
      <c r="AH35" s="46">
        <f t="shared" si="110"/>
        <v>0.135641255605381</v>
      </c>
      <c r="AI35" s="46">
        <f t="shared" si="110"/>
        <v>0.138400303260046</v>
      </c>
      <c r="AJ35" s="46">
        <f t="shared" si="110"/>
        <v>0.143408539996271</v>
      </c>
      <c r="AK35" s="48">
        <f t="shared" si="63"/>
        <v>0.130869826937547</v>
      </c>
      <c r="AL35" s="48">
        <f t="shared" si="64"/>
        <v>0.153807923593916</v>
      </c>
      <c r="AM35" s="36"/>
      <c r="AN35" s="36"/>
      <c r="AO35" s="46">
        <f t="shared" ref="AO35:AS35" si="111">W35</f>
        <v>0.135051372747179</v>
      </c>
      <c r="AP35" s="46">
        <f t="shared" si="111"/>
        <v>0.130846877673225</v>
      </c>
      <c r="AQ35" s="46">
        <f t="shared" si="111"/>
        <v>0.135641255605381</v>
      </c>
      <c r="AR35" s="46">
        <f t="shared" si="111"/>
        <v>0.138400303260046</v>
      </c>
      <c r="AS35" s="46">
        <f t="shared" si="111"/>
        <v>0.143408539996271</v>
      </c>
      <c r="AT35" s="48">
        <f t="shared" si="66"/>
        <v>0.0967298720842739</v>
      </c>
      <c r="AU35" s="48">
        <f t="shared" si="67"/>
        <v>0.113684117438981</v>
      </c>
      <c r="AZ35" s="35"/>
      <c r="BA35" s="43" t="s">
        <v>345</v>
      </c>
      <c r="BB35" s="44">
        <v>842.2</v>
      </c>
      <c r="BC35" s="46">
        <v>801.8</v>
      </c>
      <c r="BD35" s="46">
        <v>764.8</v>
      </c>
      <c r="BE35" s="46">
        <v>756.2</v>
      </c>
      <c r="BF35" s="46">
        <v>730.2</v>
      </c>
      <c r="BG35" s="46">
        <v>769.1</v>
      </c>
      <c r="BH35" s="46">
        <v>756.2</v>
      </c>
      <c r="BI35" s="46">
        <v>756.2</v>
      </c>
      <c r="BJ35" s="36"/>
      <c r="BK35" s="36"/>
      <c r="BL35" s="49"/>
      <c r="BM35" s="49"/>
      <c r="BN35" s="49"/>
      <c r="BO35" s="49"/>
    </row>
    <row r="36" ht="15.5" spans="1:67">
      <c r="A36" s="35"/>
      <c r="B36" s="43" t="s">
        <v>346</v>
      </c>
      <c r="C36" s="44">
        <f t="shared" ref="C36:J36" si="112">BB36/1000</f>
        <v>0.2694</v>
      </c>
      <c r="D36" s="44">
        <f t="shared" si="112"/>
        <v>0.2401</v>
      </c>
      <c r="E36" s="44">
        <f t="shared" si="112"/>
        <v>0.2278</v>
      </c>
      <c r="F36" s="44">
        <f t="shared" si="112"/>
        <v>0.2249</v>
      </c>
      <c r="G36" s="44">
        <f t="shared" si="112"/>
        <v>0.2217</v>
      </c>
      <c r="H36" s="44">
        <f t="shared" si="112"/>
        <v>0.2296</v>
      </c>
      <c r="I36" s="44">
        <f t="shared" si="112"/>
        <v>0.2249</v>
      </c>
      <c r="J36" s="44">
        <f t="shared" si="112"/>
        <v>0.2249</v>
      </c>
      <c r="K36" s="36"/>
      <c r="L36" s="36"/>
      <c r="M36" s="49">
        <v>5.937</v>
      </c>
      <c r="N36" s="49">
        <v>5.845</v>
      </c>
      <c r="O36" s="49">
        <v>5.575</v>
      </c>
      <c r="P36" s="49">
        <v>5.276</v>
      </c>
      <c r="Q36" s="49">
        <v>5.363</v>
      </c>
      <c r="R36" s="49">
        <v>6.645</v>
      </c>
      <c r="S36" s="49">
        <v>5.654</v>
      </c>
      <c r="T36" s="49"/>
      <c r="U36" s="35"/>
      <c r="V36" s="43" t="s">
        <v>346</v>
      </c>
      <c r="W36" s="46">
        <f t="shared" ref="W36:AC36" si="113">D36/M36</f>
        <v>0.0404413003200269</v>
      </c>
      <c r="X36" s="46">
        <f t="shared" si="113"/>
        <v>0.0389734816082122</v>
      </c>
      <c r="Y36" s="46">
        <f t="shared" si="113"/>
        <v>0.0403408071748879</v>
      </c>
      <c r="Z36" s="46">
        <f t="shared" si="113"/>
        <v>0.0420204700530705</v>
      </c>
      <c r="AA36" s="46">
        <f t="shared" si="113"/>
        <v>0.0428118590341227</v>
      </c>
      <c r="AB36" s="47">
        <f t="shared" si="113"/>
        <v>0.0338449962377728</v>
      </c>
      <c r="AC36" s="47">
        <f t="shared" si="113"/>
        <v>0.0397771489211178</v>
      </c>
      <c r="AD36" s="36"/>
      <c r="AE36" s="36"/>
      <c r="AF36" s="46">
        <f t="shared" ref="AF36:AJ36" si="114">W36</f>
        <v>0.0404413003200269</v>
      </c>
      <c r="AG36" s="46">
        <f t="shared" si="114"/>
        <v>0.0389734816082122</v>
      </c>
      <c r="AH36" s="46">
        <f t="shared" si="114"/>
        <v>0.0403408071748879</v>
      </c>
      <c r="AI36" s="46">
        <f t="shared" si="114"/>
        <v>0.0420204700530705</v>
      </c>
      <c r="AJ36" s="46">
        <f t="shared" si="114"/>
        <v>0.0428118590341227</v>
      </c>
      <c r="AK36" s="48">
        <f t="shared" si="63"/>
        <v>0.0389217456734387</v>
      </c>
      <c r="AL36" s="48">
        <f t="shared" si="64"/>
        <v>0.0457437212592855</v>
      </c>
      <c r="AM36" s="36"/>
      <c r="AN36" s="36"/>
      <c r="AO36" s="46">
        <f t="shared" ref="AO36:AS36" si="115">W36</f>
        <v>0.0404413003200269</v>
      </c>
      <c r="AP36" s="46">
        <f t="shared" si="115"/>
        <v>0.0389734816082122</v>
      </c>
      <c r="AQ36" s="46">
        <f t="shared" si="115"/>
        <v>0.0403408071748879</v>
      </c>
      <c r="AR36" s="46">
        <f t="shared" si="115"/>
        <v>0.0420204700530705</v>
      </c>
      <c r="AS36" s="46">
        <f t="shared" si="115"/>
        <v>0.0428118590341227</v>
      </c>
      <c r="AT36" s="48">
        <f t="shared" si="66"/>
        <v>0.0287682468021069</v>
      </c>
      <c r="AU36" s="48">
        <f t="shared" si="67"/>
        <v>0.0338105765829501</v>
      </c>
      <c r="AZ36" s="35"/>
      <c r="BA36" s="43" t="s">
        <v>346</v>
      </c>
      <c r="BB36" s="44">
        <v>269.4</v>
      </c>
      <c r="BC36" s="46">
        <v>240.1</v>
      </c>
      <c r="BD36" s="46">
        <v>227.8</v>
      </c>
      <c r="BE36" s="46">
        <v>224.9</v>
      </c>
      <c r="BF36" s="46">
        <v>221.7</v>
      </c>
      <c r="BG36" s="46">
        <v>229.6</v>
      </c>
      <c r="BH36" s="46">
        <v>224.9</v>
      </c>
      <c r="BI36" s="46">
        <v>224.9</v>
      </c>
      <c r="BJ36" s="36"/>
      <c r="BK36" s="36"/>
      <c r="BL36" s="49"/>
      <c r="BM36" s="49"/>
      <c r="BN36" s="49"/>
      <c r="BO36" s="49"/>
    </row>
    <row r="37" ht="15.5" spans="1:67">
      <c r="A37" s="35"/>
      <c r="B37" s="43" t="s">
        <v>347</v>
      </c>
      <c r="C37" s="44">
        <f t="shared" ref="C37:J37" si="116">BB37/1000</f>
        <v>0.5273</v>
      </c>
      <c r="D37" s="44">
        <f t="shared" si="116"/>
        <v>0.5167</v>
      </c>
      <c r="E37" s="44">
        <f t="shared" si="116"/>
        <v>0.4931</v>
      </c>
      <c r="F37" s="44">
        <f t="shared" si="116"/>
        <v>0.4875</v>
      </c>
      <c r="G37" s="44">
        <f t="shared" si="116"/>
        <v>0.4653</v>
      </c>
      <c r="H37" s="44">
        <f t="shared" si="116"/>
        <v>0.4946</v>
      </c>
      <c r="I37" s="44">
        <f t="shared" si="116"/>
        <v>0.4875</v>
      </c>
      <c r="J37" s="44">
        <f t="shared" si="116"/>
        <v>0.4875</v>
      </c>
      <c r="K37" s="36"/>
      <c r="L37" s="36"/>
      <c r="M37" s="49">
        <v>5.937</v>
      </c>
      <c r="N37" s="49">
        <v>5.845</v>
      </c>
      <c r="O37" s="49">
        <v>5.575</v>
      </c>
      <c r="P37" s="49">
        <v>5.276</v>
      </c>
      <c r="Q37" s="49">
        <v>5.363</v>
      </c>
      <c r="R37" s="49">
        <v>6.645</v>
      </c>
      <c r="S37" s="49">
        <v>5.654</v>
      </c>
      <c r="T37" s="49"/>
      <c r="U37" s="35"/>
      <c r="V37" s="43" t="s">
        <v>347</v>
      </c>
      <c r="W37" s="46">
        <f t="shared" ref="W37:AC37" si="117">D37/M37</f>
        <v>0.0870304867778339</v>
      </c>
      <c r="X37" s="46">
        <f t="shared" si="117"/>
        <v>0.0843627031650984</v>
      </c>
      <c r="Y37" s="46">
        <f t="shared" si="117"/>
        <v>0.0874439461883408</v>
      </c>
      <c r="Z37" s="46">
        <f t="shared" si="117"/>
        <v>0.0881918119787718</v>
      </c>
      <c r="AA37" s="46">
        <f t="shared" si="117"/>
        <v>0.0922245012120082</v>
      </c>
      <c r="AB37" s="47">
        <f t="shared" si="117"/>
        <v>0.0733634311512415</v>
      </c>
      <c r="AC37" s="47">
        <f t="shared" si="117"/>
        <v>0.0862221436151397</v>
      </c>
      <c r="AD37" s="36"/>
      <c r="AE37" s="36"/>
      <c r="AF37" s="46">
        <f t="shared" ref="AF37:AJ37" si="118">W37</f>
        <v>0.0870304867778339</v>
      </c>
      <c r="AG37" s="46">
        <f t="shared" si="118"/>
        <v>0.0843627031650984</v>
      </c>
      <c r="AH37" s="46">
        <f t="shared" si="118"/>
        <v>0.0874439461883408</v>
      </c>
      <c r="AI37" s="46">
        <f t="shared" si="118"/>
        <v>0.0881918119787718</v>
      </c>
      <c r="AJ37" s="46">
        <f t="shared" si="118"/>
        <v>0.0922245012120082</v>
      </c>
      <c r="AK37" s="48">
        <f t="shared" si="63"/>
        <v>0.0843679458239278</v>
      </c>
      <c r="AL37" s="48">
        <f t="shared" si="64"/>
        <v>0.0991554651574107</v>
      </c>
      <c r="AM37" s="36"/>
      <c r="AN37" s="36"/>
      <c r="AO37" s="46">
        <f t="shared" ref="AO37:AS37" si="119">W37</f>
        <v>0.0870304867778339</v>
      </c>
      <c r="AP37" s="46">
        <f t="shared" si="119"/>
        <v>0.0843627031650984</v>
      </c>
      <c r="AQ37" s="46">
        <f t="shared" si="119"/>
        <v>0.0874439461883408</v>
      </c>
      <c r="AR37" s="46">
        <f t="shared" si="119"/>
        <v>0.0881918119787718</v>
      </c>
      <c r="AS37" s="46">
        <f t="shared" si="119"/>
        <v>0.0922245012120082</v>
      </c>
      <c r="AT37" s="48">
        <f t="shared" si="66"/>
        <v>0.0623589164785553</v>
      </c>
      <c r="AU37" s="48">
        <f t="shared" si="67"/>
        <v>0.0732888220728688</v>
      </c>
      <c r="AZ37" s="35"/>
      <c r="BA37" s="43" t="s">
        <v>347</v>
      </c>
      <c r="BB37" s="44">
        <v>527.3</v>
      </c>
      <c r="BC37" s="46">
        <v>516.7</v>
      </c>
      <c r="BD37" s="46">
        <v>493.1</v>
      </c>
      <c r="BE37" s="46">
        <v>487.5</v>
      </c>
      <c r="BF37" s="46">
        <v>465.3</v>
      </c>
      <c r="BG37" s="46">
        <v>494.6</v>
      </c>
      <c r="BH37" s="46">
        <v>487.5</v>
      </c>
      <c r="BI37" s="46">
        <v>487.5</v>
      </c>
      <c r="BJ37" s="36"/>
      <c r="BK37" s="36"/>
      <c r="BL37" s="49"/>
      <c r="BM37" s="49"/>
      <c r="BN37" s="49"/>
      <c r="BO37" s="49"/>
    </row>
    <row r="38" ht="15.5" spans="1:67">
      <c r="A38" s="35"/>
      <c r="B38" s="43" t="s">
        <v>348</v>
      </c>
      <c r="C38" s="44">
        <f t="shared" ref="C38:J38" si="120">BB38/1000</f>
        <v>0.0858</v>
      </c>
      <c r="D38" s="44">
        <f t="shared" si="120"/>
        <v>0.0793</v>
      </c>
      <c r="E38" s="44">
        <f t="shared" si="120"/>
        <v>0.0771</v>
      </c>
      <c r="F38" s="44">
        <f t="shared" si="120"/>
        <v>0.0766</v>
      </c>
      <c r="G38" s="44">
        <f t="shared" si="120"/>
        <v>0.0744</v>
      </c>
      <c r="H38" s="44">
        <f t="shared" si="120"/>
        <v>0.0767</v>
      </c>
      <c r="I38" s="44">
        <f t="shared" si="120"/>
        <v>0.0766</v>
      </c>
      <c r="J38" s="44">
        <f t="shared" si="120"/>
        <v>0.0766</v>
      </c>
      <c r="K38" s="36"/>
      <c r="L38" s="36"/>
      <c r="M38" s="49">
        <v>5.937</v>
      </c>
      <c r="N38" s="49">
        <v>5.845</v>
      </c>
      <c r="O38" s="49">
        <v>5.575</v>
      </c>
      <c r="P38" s="49">
        <v>5.276</v>
      </c>
      <c r="Q38" s="49">
        <v>5.363</v>
      </c>
      <c r="R38" s="49">
        <v>6.645</v>
      </c>
      <c r="S38" s="49">
        <v>5.654</v>
      </c>
      <c r="T38" s="49"/>
      <c r="U38" s="35"/>
      <c r="V38" s="43" t="s">
        <v>348</v>
      </c>
      <c r="W38" s="46">
        <f t="shared" ref="W38:AC38" si="121">D38/M38</f>
        <v>0.0133569142664645</v>
      </c>
      <c r="X38" s="46">
        <f t="shared" si="121"/>
        <v>0.0131907613344739</v>
      </c>
      <c r="Y38" s="46">
        <f t="shared" si="121"/>
        <v>0.0137399103139013</v>
      </c>
      <c r="Z38" s="46">
        <f t="shared" si="121"/>
        <v>0.0141015921152388</v>
      </c>
      <c r="AA38" s="46">
        <f t="shared" si="121"/>
        <v>0.0143016968114861</v>
      </c>
      <c r="AB38" s="47">
        <f t="shared" si="121"/>
        <v>0.0115274642588412</v>
      </c>
      <c r="AC38" s="47">
        <f t="shared" si="121"/>
        <v>0.0135479306685532</v>
      </c>
      <c r="AD38" s="36"/>
      <c r="AE38" s="36"/>
      <c r="AF38" s="46">
        <f t="shared" ref="AF38:AJ38" si="122">W38</f>
        <v>0.0133569142664645</v>
      </c>
      <c r="AG38" s="46">
        <f t="shared" si="122"/>
        <v>0.0131907613344739</v>
      </c>
      <c r="AH38" s="46">
        <f t="shared" si="122"/>
        <v>0.0137399103139013</v>
      </c>
      <c r="AI38" s="46">
        <f t="shared" si="122"/>
        <v>0.0141015921152388</v>
      </c>
      <c r="AJ38" s="46">
        <f t="shared" si="122"/>
        <v>0.0143016968114861</v>
      </c>
      <c r="AK38" s="48">
        <f t="shared" si="63"/>
        <v>0.0132565838976674</v>
      </c>
      <c r="AL38" s="48">
        <f t="shared" si="64"/>
        <v>0.0155801202688362</v>
      </c>
      <c r="AM38" s="36"/>
      <c r="AN38" s="36"/>
      <c r="AO38" s="46">
        <f t="shared" ref="AO38:AS38" si="123">W38</f>
        <v>0.0133569142664645</v>
      </c>
      <c r="AP38" s="46">
        <f t="shared" si="123"/>
        <v>0.0131907613344739</v>
      </c>
      <c r="AQ38" s="46">
        <f t="shared" si="123"/>
        <v>0.0137399103139013</v>
      </c>
      <c r="AR38" s="46">
        <f t="shared" si="123"/>
        <v>0.0141015921152388</v>
      </c>
      <c r="AS38" s="46">
        <f t="shared" si="123"/>
        <v>0.0143016968114861</v>
      </c>
      <c r="AT38" s="48">
        <f t="shared" si="66"/>
        <v>0.00979834462001505</v>
      </c>
      <c r="AU38" s="48">
        <f t="shared" si="67"/>
        <v>0.0115157410682703</v>
      </c>
      <c r="AZ38" s="35"/>
      <c r="BA38" s="43" t="s">
        <v>348</v>
      </c>
      <c r="BB38" s="44">
        <v>85.8</v>
      </c>
      <c r="BC38" s="46">
        <v>79.3</v>
      </c>
      <c r="BD38" s="46">
        <v>77.1</v>
      </c>
      <c r="BE38" s="46">
        <v>76.6</v>
      </c>
      <c r="BF38" s="46">
        <v>74.4</v>
      </c>
      <c r="BG38" s="46">
        <v>76.7</v>
      </c>
      <c r="BH38" s="46">
        <v>76.6</v>
      </c>
      <c r="BI38" s="46">
        <v>76.6</v>
      </c>
      <c r="BJ38" s="36"/>
      <c r="BK38" s="36"/>
      <c r="BL38" s="49"/>
      <c r="BM38" s="49"/>
      <c r="BN38" s="49"/>
      <c r="BO38" s="49"/>
    </row>
    <row r="39" ht="15.5" spans="1:67">
      <c r="A39" s="36"/>
      <c r="B39" s="36"/>
      <c r="C39" s="39"/>
      <c r="D39" s="36"/>
      <c r="E39" s="36"/>
      <c r="F39" s="36"/>
      <c r="G39" s="36"/>
      <c r="H39" s="36"/>
      <c r="I39" s="36"/>
      <c r="J39" s="36"/>
      <c r="K39" s="36"/>
      <c r="L39" s="36"/>
      <c r="M39" s="36"/>
      <c r="N39" s="36"/>
      <c r="O39" s="36"/>
      <c r="P39" s="36"/>
      <c r="Q39" s="36"/>
      <c r="R39" s="36"/>
      <c r="S39" s="36"/>
      <c r="T39" s="36"/>
      <c r="AZ39" s="36"/>
      <c r="BA39" s="36"/>
      <c r="BB39" s="39"/>
      <c r="BC39" s="36"/>
      <c r="BD39" s="36"/>
      <c r="BE39" s="36"/>
      <c r="BF39" s="36"/>
      <c r="BG39" s="36"/>
      <c r="BH39" s="36"/>
      <c r="BI39" s="36"/>
      <c r="BJ39" s="36"/>
      <c r="BK39" s="36"/>
      <c r="BL39" s="36"/>
      <c r="BM39" s="36"/>
      <c r="BN39" s="36"/>
      <c r="BO39" s="36"/>
    </row>
    <row r="40" ht="15.5" spans="1:67">
      <c r="A40" s="36"/>
      <c r="B40" s="36"/>
      <c r="C40" s="39"/>
      <c r="D40" s="36"/>
      <c r="E40" s="36"/>
      <c r="F40" s="36"/>
      <c r="G40" s="36"/>
      <c r="H40" s="36"/>
      <c r="I40" s="36"/>
      <c r="J40" s="36"/>
      <c r="K40" s="36"/>
      <c r="L40" s="36"/>
      <c r="M40" s="36"/>
      <c r="N40" s="36"/>
      <c r="O40" s="36"/>
      <c r="P40" s="36"/>
      <c r="Q40" s="36"/>
      <c r="R40" s="36"/>
      <c r="S40" s="36"/>
      <c r="T40" s="36"/>
      <c r="AZ40" s="36"/>
      <c r="BA40" s="36"/>
      <c r="BB40" s="39"/>
      <c r="BC40" s="36"/>
      <c r="BD40" s="36"/>
      <c r="BE40" s="36"/>
      <c r="BF40" s="36"/>
      <c r="BG40" s="36"/>
      <c r="BH40" s="36"/>
      <c r="BI40" s="36"/>
      <c r="BJ40" s="36"/>
      <c r="BK40" s="36"/>
      <c r="BL40" s="36"/>
      <c r="BM40" s="36"/>
      <c r="BN40" s="36"/>
      <c r="BO40" s="36"/>
    </row>
    <row r="41" ht="15.5" spans="1:67">
      <c r="A41" s="35" t="s">
        <v>363</v>
      </c>
      <c r="B41" s="35"/>
      <c r="C41" s="35"/>
      <c r="D41" s="35"/>
      <c r="E41" s="35"/>
      <c r="F41" s="35"/>
      <c r="G41" s="35"/>
      <c r="H41" s="35"/>
      <c r="I41" s="35"/>
      <c r="J41" s="35"/>
      <c r="K41" s="36"/>
      <c r="L41" s="36"/>
      <c r="M41" s="36"/>
      <c r="N41" s="36"/>
      <c r="O41" s="36"/>
      <c r="P41" s="36"/>
      <c r="Q41" s="36"/>
      <c r="R41" s="36"/>
      <c r="S41" s="36"/>
      <c r="T41" s="36"/>
      <c r="AZ41" s="35" t="s">
        <v>363</v>
      </c>
      <c r="BA41" s="35"/>
      <c r="BB41" s="35"/>
      <c r="BC41" s="35"/>
      <c r="BD41" s="35"/>
      <c r="BE41" s="35"/>
      <c r="BF41" s="35"/>
      <c r="BG41" s="35"/>
      <c r="BH41" s="35"/>
      <c r="BI41" s="35"/>
      <c r="BJ41" s="36"/>
      <c r="BK41" s="36"/>
      <c r="BL41" s="36"/>
      <c r="BM41" s="36"/>
      <c r="BN41" s="36"/>
      <c r="BO41" s="36"/>
    </row>
    <row r="42" ht="15.5" spans="1:67">
      <c r="A42" s="35" t="s">
        <v>332</v>
      </c>
      <c r="B42" s="35" t="s">
        <v>362</v>
      </c>
      <c r="C42" s="35" t="s">
        <v>334</v>
      </c>
      <c r="D42" s="35"/>
      <c r="E42" s="35"/>
      <c r="F42" s="35"/>
      <c r="G42" s="35"/>
      <c r="H42" s="35"/>
      <c r="I42" s="35"/>
      <c r="J42" s="35"/>
      <c r="K42" s="36"/>
      <c r="L42" s="36"/>
      <c r="M42" s="36"/>
      <c r="N42" s="36"/>
      <c r="O42" s="36"/>
      <c r="P42" s="36"/>
      <c r="Q42" s="36"/>
      <c r="R42" s="36"/>
      <c r="S42" s="36"/>
      <c r="T42" s="36"/>
      <c r="AZ42" s="35" t="s">
        <v>332</v>
      </c>
      <c r="BA42" s="35" t="s">
        <v>362</v>
      </c>
      <c r="BB42" s="35" t="s">
        <v>334</v>
      </c>
      <c r="BC42" s="35"/>
      <c r="BD42" s="35"/>
      <c r="BE42" s="35"/>
      <c r="BF42" s="35"/>
      <c r="BG42" s="35"/>
      <c r="BH42" s="35"/>
      <c r="BI42" s="35"/>
      <c r="BJ42" s="36"/>
      <c r="BK42" s="36"/>
      <c r="BL42" s="36"/>
      <c r="BM42" s="36"/>
      <c r="BN42" s="36"/>
      <c r="BO42" s="36"/>
    </row>
    <row r="43" ht="30" spans="1:67">
      <c r="A43" s="35"/>
      <c r="B43" s="35"/>
      <c r="C43" s="39" t="s">
        <v>335</v>
      </c>
      <c r="D43" s="36" t="s">
        <v>336</v>
      </c>
      <c r="E43" s="36" t="s">
        <v>337</v>
      </c>
      <c r="F43" s="40" t="s">
        <v>338</v>
      </c>
      <c r="G43" s="36" t="s">
        <v>339</v>
      </c>
      <c r="H43" s="36" t="s">
        <v>340</v>
      </c>
      <c r="I43" s="36" t="s">
        <v>341</v>
      </c>
      <c r="J43" s="36" t="s">
        <v>342</v>
      </c>
      <c r="K43" s="36"/>
      <c r="L43" s="36"/>
      <c r="M43" s="36" t="s">
        <v>336</v>
      </c>
      <c r="N43" s="36" t="s">
        <v>337</v>
      </c>
      <c r="O43" s="36" t="s">
        <v>338</v>
      </c>
      <c r="P43" s="36" t="s">
        <v>339</v>
      </c>
      <c r="Q43" s="36" t="s">
        <v>340</v>
      </c>
      <c r="R43" s="36" t="s">
        <v>341</v>
      </c>
      <c r="S43" s="36" t="s">
        <v>342</v>
      </c>
      <c r="T43" s="36"/>
      <c r="U43" s="36"/>
      <c r="V43" s="38" t="s">
        <v>360</v>
      </c>
      <c r="W43" s="36" t="s">
        <v>336</v>
      </c>
      <c r="X43" s="36" t="s">
        <v>337</v>
      </c>
      <c r="Y43" s="40" t="s">
        <v>338</v>
      </c>
      <c r="Z43" s="36" t="s">
        <v>339</v>
      </c>
      <c r="AA43" s="36" t="s">
        <v>340</v>
      </c>
      <c r="AB43" s="42" t="s">
        <v>341</v>
      </c>
      <c r="AC43" s="42" t="s">
        <v>342</v>
      </c>
      <c r="AD43" s="36"/>
      <c r="AE43" s="36"/>
      <c r="AF43" s="36" t="s">
        <v>336</v>
      </c>
      <c r="AG43" s="36" t="s">
        <v>337</v>
      </c>
      <c r="AH43" s="40" t="s">
        <v>338</v>
      </c>
      <c r="AI43" s="36" t="s">
        <v>339</v>
      </c>
      <c r="AJ43" s="36" t="s">
        <v>340</v>
      </c>
      <c r="AK43" s="42" t="s">
        <v>341</v>
      </c>
      <c r="AL43" s="42" t="s">
        <v>342</v>
      </c>
      <c r="AO43" s="36" t="s">
        <v>336</v>
      </c>
      <c r="AP43" s="36" t="s">
        <v>337</v>
      </c>
      <c r="AQ43" s="40" t="s">
        <v>338</v>
      </c>
      <c r="AR43" s="36" t="s">
        <v>339</v>
      </c>
      <c r="AS43" s="36" t="s">
        <v>340</v>
      </c>
      <c r="AT43" s="42" t="s">
        <v>341</v>
      </c>
      <c r="AU43" s="42" t="s">
        <v>342</v>
      </c>
      <c r="AZ43" s="35"/>
      <c r="BA43" s="35"/>
      <c r="BB43" s="39" t="s">
        <v>335</v>
      </c>
      <c r="BC43" s="36" t="s">
        <v>336</v>
      </c>
      <c r="BD43" s="36" t="s">
        <v>337</v>
      </c>
      <c r="BE43" s="40" t="s">
        <v>338</v>
      </c>
      <c r="BF43" s="36" t="s">
        <v>339</v>
      </c>
      <c r="BG43" s="36" t="s">
        <v>340</v>
      </c>
      <c r="BH43" s="36" t="s">
        <v>341</v>
      </c>
      <c r="BI43" s="36" t="s">
        <v>342</v>
      </c>
      <c r="BJ43" s="36"/>
      <c r="BK43" s="36"/>
      <c r="BL43" s="36"/>
      <c r="BM43" s="36"/>
      <c r="BN43" s="36"/>
      <c r="BO43" s="36"/>
    </row>
    <row r="44" ht="15.5" spans="1:67">
      <c r="A44" s="35" t="s">
        <v>343</v>
      </c>
      <c r="B44" s="43" t="s">
        <v>344</v>
      </c>
      <c r="C44" s="44">
        <f t="shared" ref="C44:J44" si="124">BB44/1000</f>
        <v>0.6652</v>
      </c>
      <c r="D44" s="44">
        <f t="shared" si="124"/>
        <v>0.5864</v>
      </c>
      <c r="E44" s="44">
        <f t="shared" si="124"/>
        <v>0.5679</v>
      </c>
      <c r="F44" s="44">
        <f t="shared" si="124"/>
        <v>0.5636</v>
      </c>
      <c r="G44" s="44">
        <f t="shared" si="124"/>
        <v>0.5409</v>
      </c>
      <c r="H44" s="44">
        <f t="shared" si="124"/>
        <v>0.5521</v>
      </c>
      <c r="I44" s="44">
        <f t="shared" si="124"/>
        <v>0.5636</v>
      </c>
      <c r="J44" s="44">
        <f t="shared" si="124"/>
        <v>0.5636</v>
      </c>
      <c r="K44" s="36"/>
      <c r="L44" s="36"/>
      <c r="M44" s="45">
        <v>5.937</v>
      </c>
      <c r="N44" s="45">
        <v>5.845</v>
      </c>
      <c r="O44" s="45">
        <v>5.575</v>
      </c>
      <c r="P44" s="45">
        <v>5.276</v>
      </c>
      <c r="Q44" s="45">
        <v>5.363</v>
      </c>
      <c r="R44" s="45">
        <v>6.645</v>
      </c>
      <c r="S44" s="45">
        <v>5.654</v>
      </c>
      <c r="T44" s="45"/>
      <c r="U44" s="35" t="s">
        <v>343</v>
      </c>
      <c r="V44" s="43" t="s">
        <v>344</v>
      </c>
      <c r="W44" s="46">
        <f t="shared" ref="W44:AC44" si="125">D44/M44</f>
        <v>0.098770422772444</v>
      </c>
      <c r="X44" s="46">
        <f t="shared" si="125"/>
        <v>0.0971599657827203</v>
      </c>
      <c r="Y44" s="46">
        <f t="shared" si="125"/>
        <v>0.101094170403587</v>
      </c>
      <c r="Z44" s="46">
        <f t="shared" si="125"/>
        <v>0.102520849128127</v>
      </c>
      <c r="AA44" s="46">
        <f t="shared" si="125"/>
        <v>0.102946112250606</v>
      </c>
      <c r="AB44" s="47">
        <f t="shared" si="125"/>
        <v>0.0848156508653123</v>
      </c>
      <c r="AC44" s="47">
        <f t="shared" si="125"/>
        <v>0.0996816413158826</v>
      </c>
      <c r="AD44" s="36"/>
      <c r="AE44" s="36"/>
      <c r="AF44" s="46">
        <f t="shared" ref="AF44:AJ44" si="126">W44</f>
        <v>0.098770422772444</v>
      </c>
      <c r="AG44" s="46">
        <f t="shared" si="126"/>
        <v>0.0971599657827203</v>
      </c>
      <c r="AH44" s="46">
        <f t="shared" si="126"/>
        <v>0.101094170403587</v>
      </c>
      <c r="AI44" s="46">
        <f t="shared" si="126"/>
        <v>0.102520849128127</v>
      </c>
      <c r="AJ44" s="46">
        <f t="shared" si="126"/>
        <v>0.102946112250606</v>
      </c>
      <c r="AK44" s="48">
        <f t="shared" ref="AK44:AK58" si="127">AB44*1.15</f>
        <v>0.0975379984951091</v>
      </c>
      <c r="AL44" s="48">
        <f t="shared" ref="AL44:AL58" si="128">AC44*1.15</f>
        <v>0.114633887513265</v>
      </c>
      <c r="AO44" s="46">
        <f t="shared" ref="AO44:AS44" si="129">W44</f>
        <v>0.098770422772444</v>
      </c>
      <c r="AP44" s="46">
        <f t="shared" si="129"/>
        <v>0.0971599657827203</v>
      </c>
      <c r="AQ44" s="46">
        <f t="shared" si="129"/>
        <v>0.101094170403587</v>
      </c>
      <c r="AR44" s="46">
        <f t="shared" si="129"/>
        <v>0.102520849128127</v>
      </c>
      <c r="AS44" s="46">
        <f t="shared" si="129"/>
        <v>0.102946112250606</v>
      </c>
      <c r="AT44" s="48">
        <f t="shared" ref="AT44:AT58" si="130">AB44*0.85</f>
        <v>0.0720933032355154</v>
      </c>
      <c r="AU44" s="48">
        <f t="shared" ref="AU44:AU58" si="131">AC44*0.85</f>
        <v>0.0847293951185002</v>
      </c>
      <c r="AZ44" s="35" t="s">
        <v>343</v>
      </c>
      <c r="BA44" s="43" t="s">
        <v>344</v>
      </c>
      <c r="BB44" s="44">
        <v>665.2</v>
      </c>
      <c r="BC44" s="46">
        <v>586.4</v>
      </c>
      <c r="BD44" s="46">
        <v>567.9</v>
      </c>
      <c r="BE44" s="46">
        <v>563.6</v>
      </c>
      <c r="BF44" s="46">
        <v>540.9</v>
      </c>
      <c r="BG44" s="46">
        <v>552.1</v>
      </c>
      <c r="BH44" s="46">
        <v>563.6</v>
      </c>
      <c r="BI44" s="46">
        <v>563.6</v>
      </c>
      <c r="BJ44" s="36"/>
      <c r="BK44" s="36"/>
      <c r="BL44" s="45"/>
      <c r="BM44" s="45"/>
      <c r="BN44" s="45"/>
      <c r="BO44" s="45"/>
    </row>
    <row r="45" ht="15.5" spans="1:67">
      <c r="A45" s="35"/>
      <c r="B45" s="43" t="s">
        <v>345</v>
      </c>
      <c r="C45" s="44">
        <f t="shared" ref="C45:J45" si="132">BB45/1000</f>
        <v>0.6092</v>
      </c>
      <c r="D45" s="44">
        <f t="shared" si="132"/>
        <v>0.5396</v>
      </c>
      <c r="E45" s="44">
        <f t="shared" si="132"/>
        <v>0.5232</v>
      </c>
      <c r="F45" s="44">
        <f t="shared" si="132"/>
        <v>0.5193</v>
      </c>
      <c r="G45" s="44">
        <f t="shared" si="132"/>
        <v>0.499</v>
      </c>
      <c r="H45" s="44">
        <f t="shared" si="132"/>
        <v>0.5091</v>
      </c>
      <c r="I45" s="44">
        <f t="shared" si="132"/>
        <v>0.5193</v>
      </c>
      <c r="J45" s="44">
        <f t="shared" si="132"/>
        <v>0.5193</v>
      </c>
      <c r="K45" s="36"/>
      <c r="L45" s="36"/>
      <c r="M45" s="49">
        <v>5.937</v>
      </c>
      <c r="N45" s="49">
        <v>5.845</v>
      </c>
      <c r="O45" s="49">
        <v>5.575</v>
      </c>
      <c r="P45" s="49">
        <v>5.276</v>
      </c>
      <c r="Q45" s="49">
        <v>5.363</v>
      </c>
      <c r="R45" s="49">
        <v>6.645</v>
      </c>
      <c r="S45" s="49">
        <v>5.654</v>
      </c>
      <c r="T45" s="49"/>
      <c r="U45" s="35"/>
      <c r="V45" s="43" t="s">
        <v>345</v>
      </c>
      <c r="W45" s="46">
        <f t="shared" ref="W45:AC45" si="133">D45/M45</f>
        <v>0.0908876536971534</v>
      </c>
      <c r="X45" s="46">
        <f t="shared" si="133"/>
        <v>0.0895124037639008</v>
      </c>
      <c r="Y45" s="46">
        <f t="shared" si="133"/>
        <v>0.0931479820627803</v>
      </c>
      <c r="Z45" s="46">
        <f t="shared" si="133"/>
        <v>0.094579226686884</v>
      </c>
      <c r="AA45" s="46">
        <f t="shared" si="133"/>
        <v>0.0949282118217415</v>
      </c>
      <c r="AB45" s="47">
        <f t="shared" si="133"/>
        <v>0.0781489841986456</v>
      </c>
      <c r="AC45" s="47">
        <f t="shared" si="133"/>
        <v>0.0918464803678811</v>
      </c>
      <c r="AD45" s="36"/>
      <c r="AE45" s="36"/>
      <c r="AF45" s="46">
        <f t="shared" ref="AF45:AJ45" si="134">W45</f>
        <v>0.0908876536971534</v>
      </c>
      <c r="AG45" s="46">
        <f t="shared" si="134"/>
        <v>0.0895124037639008</v>
      </c>
      <c r="AH45" s="46">
        <f t="shared" si="134"/>
        <v>0.0931479820627803</v>
      </c>
      <c r="AI45" s="46">
        <f t="shared" si="134"/>
        <v>0.094579226686884</v>
      </c>
      <c r="AJ45" s="46">
        <f t="shared" si="134"/>
        <v>0.0949282118217415</v>
      </c>
      <c r="AK45" s="48">
        <f t="shared" si="127"/>
        <v>0.0898713318284424</v>
      </c>
      <c r="AL45" s="48">
        <f t="shared" si="128"/>
        <v>0.105623452423063</v>
      </c>
      <c r="AO45" s="46">
        <f t="shared" ref="AO45:AS45" si="135">W45</f>
        <v>0.0908876536971534</v>
      </c>
      <c r="AP45" s="46">
        <f t="shared" si="135"/>
        <v>0.0895124037639008</v>
      </c>
      <c r="AQ45" s="46">
        <f t="shared" si="135"/>
        <v>0.0931479820627803</v>
      </c>
      <c r="AR45" s="46">
        <f t="shared" si="135"/>
        <v>0.094579226686884</v>
      </c>
      <c r="AS45" s="46">
        <f t="shared" si="135"/>
        <v>0.0949282118217415</v>
      </c>
      <c r="AT45" s="48">
        <f t="shared" si="130"/>
        <v>0.0664266365688488</v>
      </c>
      <c r="AU45" s="48">
        <f t="shared" si="131"/>
        <v>0.078069508312699</v>
      </c>
      <c r="AZ45" s="35"/>
      <c r="BA45" s="43" t="s">
        <v>345</v>
      </c>
      <c r="BB45" s="44">
        <v>609.2</v>
      </c>
      <c r="BC45" s="46">
        <v>539.6</v>
      </c>
      <c r="BD45" s="46">
        <v>523.2</v>
      </c>
      <c r="BE45" s="46">
        <v>519.3</v>
      </c>
      <c r="BF45" s="46">
        <v>499</v>
      </c>
      <c r="BG45" s="46">
        <v>509.1</v>
      </c>
      <c r="BH45" s="46">
        <v>519.3</v>
      </c>
      <c r="BI45" s="46">
        <v>519.3</v>
      </c>
      <c r="BJ45" s="36"/>
      <c r="BK45" s="36"/>
      <c r="BL45" s="49"/>
      <c r="BM45" s="49"/>
      <c r="BN45" s="49"/>
      <c r="BO45" s="49"/>
    </row>
    <row r="46" ht="15.5" spans="1:67">
      <c r="A46" s="35"/>
      <c r="B46" s="43" t="s">
        <v>346</v>
      </c>
      <c r="C46" s="44">
        <f t="shared" ref="C46:J46" si="136">BB46/1000</f>
        <v>0.1429</v>
      </c>
      <c r="D46" s="44">
        <f t="shared" si="136"/>
        <v>0.1194</v>
      </c>
      <c r="E46" s="44">
        <f t="shared" si="136"/>
        <v>0.114</v>
      </c>
      <c r="F46" s="44">
        <f t="shared" si="136"/>
        <v>0.1127</v>
      </c>
      <c r="G46" s="44">
        <f t="shared" si="136"/>
        <v>0.1061</v>
      </c>
      <c r="H46" s="44">
        <f t="shared" si="136"/>
        <v>0.1094</v>
      </c>
      <c r="I46" s="44">
        <f t="shared" si="136"/>
        <v>0.1127</v>
      </c>
      <c r="J46" s="44">
        <f t="shared" si="136"/>
        <v>0.1127</v>
      </c>
      <c r="K46" s="36"/>
      <c r="L46" s="36"/>
      <c r="M46" s="49">
        <v>5.937</v>
      </c>
      <c r="N46" s="49">
        <v>5.845</v>
      </c>
      <c r="O46" s="49">
        <v>5.575</v>
      </c>
      <c r="P46" s="49">
        <v>5.276</v>
      </c>
      <c r="Q46" s="49">
        <v>5.363</v>
      </c>
      <c r="R46" s="49">
        <v>6.645</v>
      </c>
      <c r="S46" s="49">
        <v>5.654</v>
      </c>
      <c r="T46" s="49"/>
      <c r="U46" s="35"/>
      <c r="V46" s="43" t="s">
        <v>346</v>
      </c>
      <c r="W46" s="46">
        <f t="shared" ref="W46:AC46" si="137">D46/M46</f>
        <v>0.02011116725619</v>
      </c>
      <c r="X46" s="46">
        <f t="shared" si="137"/>
        <v>0.0195038494439692</v>
      </c>
      <c r="Y46" s="46">
        <f t="shared" si="137"/>
        <v>0.0202152466367713</v>
      </c>
      <c r="Z46" s="46">
        <f t="shared" si="137"/>
        <v>0.0201099317664898</v>
      </c>
      <c r="AA46" s="46">
        <f t="shared" si="137"/>
        <v>0.0203990303934365</v>
      </c>
      <c r="AB46" s="47">
        <f t="shared" si="137"/>
        <v>0.0169601203912716</v>
      </c>
      <c r="AC46" s="47">
        <f t="shared" si="137"/>
        <v>0.0199327909444641</v>
      </c>
      <c r="AD46" s="36"/>
      <c r="AE46" s="36"/>
      <c r="AF46" s="46">
        <f t="shared" ref="AF46:AJ46" si="138">W46</f>
        <v>0.02011116725619</v>
      </c>
      <c r="AG46" s="46">
        <f t="shared" si="138"/>
        <v>0.0195038494439692</v>
      </c>
      <c r="AH46" s="46">
        <f t="shared" si="138"/>
        <v>0.0202152466367713</v>
      </c>
      <c r="AI46" s="46">
        <f t="shared" si="138"/>
        <v>0.0201099317664898</v>
      </c>
      <c r="AJ46" s="46">
        <f t="shared" si="138"/>
        <v>0.0203990303934365</v>
      </c>
      <c r="AK46" s="48">
        <f t="shared" si="127"/>
        <v>0.0195041384499624</v>
      </c>
      <c r="AL46" s="48">
        <f t="shared" si="128"/>
        <v>0.0229227095861337</v>
      </c>
      <c r="AO46" s="46">
        <f t="shared" ref="AO46:AS46" si="139">W46</f>
        <v>0.02011116725619</v>
      </c>
      <c r="AP46" s="46">
        <f t="shared" si="139"/>
        <v>0.0195038494439692</v>
      </c>
      <c r="AQ46" s="46">
        <f t="shared" si="139"/>
        <v>0.0202152466367713</v>
      </c>
      <c r="AR46" s="46">
        <f t="shared" si="139"/>
        <v>0.0201099317664898</v>
      </c>
      <c r="AS46" s="46">
        <f t="shared" si="139"/>
        <v>0.0203990303934365</v>
      </c>
      <c r="AT46" s="48">
        <f t="shared" si="130"/>
        <v>0.0144161023325809</v>
      </c>
      <c r="AU46" s="48">
        <f t="shared" si="131"/>
        <v>0.0169428723027945</v>
      </c>
      <c r="AZ46" s="35"/>
      <c r="BA46" s="43" t="s">
        <v>346</v>
      </c>
      <c r="BB46" s="44">
        <v>142.9</v>
      </c>
      <c r="BC46" s="46">
        <v>119.4</v>
      </c>
      <c r="BD46" s="46">
        <v>114</v>
      </c>
      <c r="BE46" s="46">
        <v>112.7</v>
      </c>
      <c r="BF46" s="46">
        <v>106.1</v>
      </c>
      <c r="BG46" s="46">
        <v>109.4</v>
      </c>
      <c r="BH46" s="46">
        <v>112.7</v>
      </c>
      <c r="BI46" s="46">
        <v>112.7</v>
      </c>
      <c r="BJ46" s="36"/>
      <c r="BK46" s="36"/>
      <c r="BL46" s="49"/>
      <c r="BM46" s="49"/>
      <c r="BN46" s="49"/>
      <c r="BO46" s="49"/>
    </row>
    <row r="47" ht="15.5" spans="1:67">
      <c r="A47" s="35"/>
      <c r="B47" s="43" t="s">
        <v>347</v>
      </c>
      <c r="C47" s="44">
        <f t="shared" ref="C47:J47" si="140">BB47/1000</f>
        <v>0.4256</v>
      </c>
      <c r="D47" s="44">
        <f t="shared" si="140"/>
        <v>0.3807</v>
      </c>
      <c r="E47" s="44">
        <f t="shared" si="140"/>
        <v>0.3703</v>
      </c>
      <c r="F47" s="44">
        <f t="shared" si="140"/>
        <v>0.3679</v>
      </c>
      <c r="G47" s="44">
        <f t="shared" si="140"/>
        <v>0.3552</v>
      </c>
      <c r="H47" s="44">
        <f t="shared" si="140"/>
        <v>0.3613</v>
      </c>
      <c r="I47" s="44">
        <f t="shared" si="140"/>
        <v>0.3679</v>
      </c>
      <c r="J47" s="44">
        <f t="shared" si="140"/>
        <v>0.3679</v>
      </c>
      <c r="K47" s="36"/>
      <c r="L47" s="36"/>
      <c r="M47" s="49">
        <v>5.937</v>
      </c>
      <c r="N47" s="49">
        <v>5.845</v>
      </c>
      <c r="O47" s="49">
        <v>5.575</v>
      </c>
      <c r="P47" s="49">
        <v>5.276</v>
      </c>
      <c r="Q47" s="49">
        <v>5.363</v>
      </c>
      <c r="R47" s="49">
        <v>6.645</v>
      </c>
      <c r="S47" s="49">
        <v>5.654</v>
      </c>
      <c r="T47" s="49"/>
      <c r="U47" s="35"/>
      <c r="V47" s="43" t="s">
        <v>347</v>
      </c>
      <c r="W47" s="46">
        <f t="shared" ref="W47:AC47" si="141">D47/M47</f>
        <v>0.0641232945932289</v>
      </c>
      <c r="X47" s="46">
        <f t="shared" si="141"/>
        <v>0.0633532934131737</v>
      </c>
      <c r="Y47" s="46">
        <f t="shared" si="141"/>
        <v>0.0659910313901345</v>
      </c>
      <c r="Z47" s="46">
        <f t="shared" si="141"/>
        <v>0.0673237300985595</v>
      </c>
      <c r="AA47" s="46">
        <f t="shared" si="141"/>
        <v>0.0673690098825284</v>
      </c>
      <c r="AB47" s="47">
        <f t="shared" si="141"/>
        <v>0.055364936042137</v>
      </c>
      <c r="AC47" s="47">
        <f t="shared" si="141"/>
        <v>0.0650689777148921</v>
      </c>
      <c r="AD47" s="36"/>
      <c r="AE47" s="36"/>
      <c r="AF47" s="46">
        <f t="shared" ref="AF47:AJ47" si="142">W47</f>
        <v>0.0641232945932289</v>
      </c>
      <c r="AG47" s="46">
        <f t="shared" si="142"/>
        <v>0.0633532934131737</v>
      </c>
      <c r="AH47" s="46">
        <f t="shared" si="142"/>
        <v>0.0659910313901345</v>
      </c>
      <c r="AI47" s="46">
        <f t="shared" si="142"/>
        <v>0.0673237300985595</v>
      </c>
      <c r="AJ47" s="46">
        <f t="shared" si="142"/>
        <v>0.0673690098825284</v>
      </c>
      <c r="AK47" s="48">
        <f t="shared" si="127"/>
        <v>0.0636696764484575</v>
      </c>
      <c r="AL47" s="48">
        <f t="shared" si="128"/>
        <v>0.0748293243721259</v>
      </c>
      <c r="AO47" s="46">
        <f t="shared" ref="AO47:AS47" si="143">W47</f>
        <v>0.0641232945932289</v>
      </c>
      <c r="AP47" s="46">
        <f t="shared" si="143"/>
        <v>0.0633532934131737</v>
      </c>
      <c r="AQ47" s="46">
        <f t="shared" si="143"/>
        <v>0.0659910313901345</v>
      </c>
      <c r="AR47" s="46">
        <f t="shared" si="143"/>
        <v>0.0673237300985595</v>
      </c>
      <c r="AS47" s="46">
        <f t="shared" si="143"/>
        <v>0.0673690098825284</v>
      </c>
      <c r="AT47" s="48">
        <f t="shared" si="130"/>
        <v>0.0470601956358164</v>
      </c>
      <c r="AU47" s="48">
        <f t="shared" si="131"/>
        <v>0.0553086310576583</v>
      </c>
      <c r="AZ47" s="35"/>
      <c r="BA47" s="43" t="s">
        <v>347</v>
      </c>
      <c r="BB47" s="44">
        <v>425.6</v>
      </c>
      <c r="BC47" s="46">
        <v>380.7</v>
      </c>
      <c r="BD47" s="46">
        <v>370.3</v>
      </c>
      <c r="BE47" s="46">
        <v>367.9</v>
      </c>
      <c r="BF47" s="46">
        <v>355.2</v>
      </c>
      <c r="BG47" s="46">
        <v>361.3</v>
      </c>
      <c r="BH47" s="46">
        <v>367.9</v>
      </c>
      <c r="BI47" s="46">
        <v>367.9</v>
      </c>
      <c r="BJ47" s="36"/>
      <c r="BK47" s="36"/>
      <c r="BL47" s="49"/>
      <c r="BM47" s="49"/>
      <c r="BN47" s="49"/>
      <c r="BO47" s="49"/>
    </row>
    <row r="48" ht="15.5" spans="1:67">
      <c r="A48" s="35"/>
      <c r="B48" s="43" t="s">
        <v>348</v>
      </c>
      <c r="C48" s="44">
        <f t="shared" ref="C48:J48" si="144">BB48/1000</f>
        <v>0.0846</v>
      </c>
      <c r="D48" s="44">
        <f t="shared" si="144"/>
        <v>0.077</v>
      </c>
      <c r="E48" s="44">
        <f t="shared" si="144"/>
        <v>0.0749</v>
      </c>
      <c r="F48" s="44">
        <f t="shared" si="144"/>
        <v>0.0744</v>
      </c>
      <c r="G48" s="44">
        <f t="shared" si="144"/>
        <v>0.0717</v>
      </c>
      <c r="H48" s="44">
        <f t="shared" si="144"/>
        <v>0.0731</v>
      </c>
      <c r="I48" s="44">
        <f t="shared" si="144"/>
        <v>0.0744</v>
      </c>
      <c r="J48" s="44">
        <f t="shared" si="144"/>
        <v>0.0744</v>
      </c>
      <c r="K48" s="36"/>
      <c r="L48" s="36"/>
      <c r="M48" s="49">
        <v>5.937</v>
      </c>
      <c r="N48" s="49">
        <v>5.845</v>
      </c>
      <c r="O48" s="49">
        <v>5.575</v>
      </c>
      <c r="P48" s="49">
        <v>5.276</v>
      </c>
      <c r="Q48" s="49">
        <v>5.363</v>
      </c>
      <c r="R48" s="49">
        <v>6.645</v>
      </c>
      <c r="S48" s="49">
        <v>5.654</v>
      </c>
      <c r="T48" s="49"/>
      <c r="U48" s="35"/>
      <c r="V48" s="43" t="s">
        <v>348</v>
      </c>
      <c r="W48" s="46">
        <f t="shared" ref="W48:AC48" si="145">D48/M48</f>
        <v>0.0129695132221661</v>
      </c>
      <c r="X48" s="46">
        <f t="shared" si="145"/>
        <v>0.012814371257485</v>
      </c>
      <c r="Y48" s="46">
        <f t="shared" si="145"/>
        <v>0.0133452914798206</v>
      </c>
      <c r="Z48" s="46">
        <f t="shared" si="145"/>
        <v>0.0135898407884761</v>
      </c>
      <c r="AA48" s="46">
        <f t="shared" si="145"/>
        <v>0.0136304307290695</v>
      </c>
      <c r="AB48" s="47">
        <f t="shared" si="145"/>
        <v>0.011196388261851</v>
      </c>
      <c r="AC48" s="47">
        <f t="shared" si="145"/>
        <v>0.0131588256101875</v>
      </c>
      <c r="AD48" s="36"/>
      <c r="AE48" s="36"/>
      <c r="AF48" s="46">
        <f t="shared" ref="AF48:AJ48" si="146">W48</f>
        <v>0.0129695132221661</v>
      </c>
      <c r="AG48" s="46">
        <f t="shared" si="146"/>
        <v>0.012814371257485</v>
      </c>
      <c r="AH48" s="46">
        <f t="shared" si="146"/>
        <v>0.0133452914798206</v>
      </c>
      <c r="AI48" s="46">
        <f t="shared" si="146"/>
        <v>0.0135898407884761</v>
      </c>
      <c r="AJ48" s="46">
        <f t="shared" si="146"/>
        <v>0.0136304307290695</v>
      </c>
      <c r="AK48" s="48">
        <f t="shared" si="127"/>
        <v>0.0128758465011287</v>
      </c>
      <c r="AL48" s="48">
        <f t="shared" si="128"/>
        <v>0.0151326494517156</v>
      </c>
      <c r="AO48" s="46">
        <f t="shared" ref="AO48:AS48" si="147">W48</f>
        <v>0.0129695132221661</v>
      </c>
      <c r="AP48" s="46">
        <f t="shared" si="147"/>
        <v>0.012814371257485</v>
      </c>
      <c r="AQ48" s="46">
        <f t="shared" si="147"/>
        <v>0.0133452914798206</v>
      </c>
      <c r="AR48" s="46">
        <f t="shared" si="147"/>
        <v>0.0135898407884761</v>
      </c>
      <c r="AS48" s="46">
        <f t="shared" si="147"/>
        <v>0.0136304307290695</v>
      </c>
      <c r="AT48" s="48">
        <f t="shared" si="130"/>
        <v>0.00951693002257336</v>
      </c>
      <c r="AU48" s="48">
        <f t="shared" si="131"/>
        <v>0.0111850017686594</v>
      </c>
      <c r="AZ48" s="35"/>
      <c r="BA48" s="43" t="s">
        <v>348</v>
      </c>
      <c r="BB48" s="44">
        <v>84.6</v>
      </c>
      <c r="BC48" s="46">
        <v>77</v>
      </c>
      <c r="BD48" s="46">
        <v>74.9</v>
      </c>
      <c r="BE48" s="46">
        <v>74.4</v>
      </c>
      <c r="BF48" s="46">
        <v>71.7</v>
      </c>
      <c r="BG48" s="46">
        <v>73.1</v>
      </c>
      <c r="BH48" s="46">
        <v>74.4</v>
      </c>
      <c r="BI48" s="46">
        <v>74.4</v>
      </c>
      <c r="BJ48" s="36"/>
      <c r="BK48" s="36"/>
      <c r="BL48" s="49"/>
      <c r="BM48" s="49"/>
      <c r="BN48" s="49"/>
      <c r="BO48" s="49"/>
    </row>
    <row r="49" ht="15.5" spans="1:67">
      <c r="A49" s="35" t="s">
        <v>241</v>
      </c>
      <c r="B49" s="43" t="s">
        <v>344</v>
      </c>
      <c r="C49" s="44">
        <f t="shared" ref="C49:J49" si="148">BB49/1000</f>
        <v>0.6792</v>
      </c>
      <c r="D49" s="44">
        <f t="shared" si="148"/>
        <v>0.5984</v>
      </c>
      <c r="E49" s="44">
        <f t="shared" si="148"/>
        <v>0.5794</v>
      </c>
      <c r="F49" s="44">
        <f t="shared" si="148"/>
        <v>0.575</v>
      </c>
      <c r="G49" s="44">
        <f t="shared" si="148"/>
        <v>0.5517</v>
      </c>
      <c r="H49" s="44">
        <f t="shared" si="148"/>
        <v>0.5632</v>
      </c>
      <c r="I49" s="44">
        <f t="shared" si="148"/>
        <v>0.575</v>
      </c>
      <c r="J49" s="44">
        <f t="shared" si="148"/>
        <v>0.575</v>
      </c>
      <c r="K49" s="36"/>
      <c r="L49" s="36"/>
      <c r="M49" s="49">
        <v>5.937</v>
      </c>
      <c r="N49" s="49">
        <v>5.845</v>
      </c>
      <c r="O49" s="49">
        <v>5.575</v>
      </c>
      <c r="P49" s="49">
        <v>5.276</v>
      </c>
      <c r="Q49" s="49">
        <v>5.363</v>
      </c>
      <c r="R49" s="49">
        <v>6.645</v>
      </c>
      <c r="S49" s="49">
        <v>5.654</v>
      </c>
      <c r="T49" s="49"/>
      <c r="U49" s="35" t="s">
        <v>241</v>
      </c>
      <c r="V49" s="43" t="s">
        <v>344</v>
      </c>
      <c r="W49" s="46">
        <f t="shared" ref="W49:AC49" si="149">D49/M49</f>
        <v>0.100791645612262</v>
      </c>
      <c r="X49" s="46">
        <f t="shared" si="149"/>
        <v>0.0991274593669803</v>
      </c>
      <c r="Y49" s="46">
        <f t="shared" si="149"/>
        <v>0.103139013452915</v>
      </c>
      <c r="Z49" s="46">
        <f t="shared" si="149"/>
        <v>0.104567854435178</v>
      </c>
      <c r="AA49" s="46">
        <f t="shared" si="149"/>
        <v>0.105015849338057</v>
      </c>
      <c r="AB49" s="47">
        <f t="shared" si="149"/>
        <v>0.0865312264860798</v>
      </c>
      <c r="AC49" s="47">
        <f t="shared" si="149"/>
        <v>0.10169791298196</v>
      </c>
      <c r="AD49" s="36"/>
      <c r="AE49" s="36"/>
      <c r="AF49" s="46">
        <f t="shared" ref="AF49:AJ49" si="150">W49</f>
        <v>0.100791645612262</v>
      </c>
      <c r="AG49" s="46">
        <f t="shared" si="150"/>
        <v>0.0991274593669803</v>
      </c>
      <c r="AH49" s="46">
        <f t="shared" si="150"/>
        <v>0.103139013452915</v>
      </c>
      <c r="AI49" s="46">
        <f t="shared" si="150"/>
        <v>0.104567854435178</v>
      </c>
      <c r="AJ49" s="46">
        <f t="shared" si="150"/>
        <v>0.105015849338057</v>
      </c>
      <c r="AK49" s="48">
        <f t="shared" si="127"/>
        <v>0.0995109104589917</v>
      </c>
      <c r="AL49" s="48">
        <f t="shared" si="128"/>
        <v>0.116952599929254</v>
      </c>
      <c r="AO49" s="46">
        <f t="shared" ref="AO49:AS49" si="151">W49</f>
        <v>0.100791645612262</v>
      </c>
      <c r="AP49" s="46">
        <f t="shared" si="151"/>
        <v>0.0991274593669803</v>
      </c>
      <c r="AQ49" s="46">
        <f t="shared" si="151"/>
        <v>0.103139013452915</v>
      </c>
      <c r="AR49" s="46">
        <f t="shared" si="151"/>
        <v>0.104567854435178</v>
      </c>
      <c r="AS49" s="46">
        <f t="shared" si="151"/>
        <v>0.105015849338057</v>
      </c>
      <c r="AT49" s="48">
        <f t="shared" si="130"/>
        <v>0.0735515425131678</v>
      </c>
      <c r="AU49" s="48">
        <f t="shared" si="131"/>
        <v>0.0864432260346657</v>
      </c>
      <c r="AZ49" s="35" t="s">
        <v>241</v>
      </c>
      <c r="BA49" s="43" t="s">
        <v>344</v>
      </c>
      <c r="BB49" s="44">
        <v>679.2</v>
      </c>
      <c r="BC49" s="46">
        <v>598.4</v>
      </c>
      <c r="BD49" s="46">
        <v>579.4</v>
      </c>
      <c r="BE49" s="46">
        <v>575</v>
      </c>
      <c r="BF49" s="46">
        <v>551.7</v>
      </c>
      <c r="BG49" s="46">
        <v>563.2</v>
      </c>
      <c r="BH49" s="46">
        <v>575</v>
      </c>
      <c r="BI49" s="46">
        <v>575</v>
      </c>
      <c r="BJ49" s="36"/>
      <c r="BK49" s="36"/>
      <c r="BL49" s="49"/>
      <c r="BM49" s="49"/>
      <c r="BN49" s="49"/>
      <c r="BO49" s="49"/>
    </row>
    <row r="50" ht="15.5" spans="1:67">
      <c r="A50" s="35"/>
      <c r="B50" s="43" t="s">
        <v>345</v>
      </c>
      <c r="C50" s="44">
        <f t="shared" ref="C50:J50" si="152">BB50/1000</f>
        <v>0.6241</v>
      </c>
      <c r="D50" s="44">
        <f t="shared" si="152"/>
        <v>0.5523</v>
      </c>
      <c r="E50" s="44">
        <f t="shared" si="152"/>
        <v>0.5353</v>
      </c>
      <c r="F50" s="44">
        <f t="shared" si="152"/>
        <v>0.5314</v>
      </c>
      <c r="G50" s="44">
        <f t="shared" si="152"/>
        <v>0.5105</v>
      </c>
      <c r="H50" s="44">
        <f t="shared" si="152"/>
        <v>0.5209</v>
      </c>
      <c r="I50" s="44">
        <f t="shared" si="152"/>
        <v>0.5314</v>
      </c>
      <c r="J50" s="44">
        <f t="shared" si="152"/>
        <v>0.5314</v>
      </c>
      <c r="K50" s="36"/>
      <c r="L50" s="36"/>
      <c r="M50" s="49">
        <v>5.937</v>
      </c>
      <c r="N50" s="49">
        <v>5.845</v>
      </c>
      <c r="O50" s="49">
        <v>5.575</v>
      </c>
      <c r="P50" s="49">
        <v>5.276</v>
      </c>
      <c r="Q50" s="49">
        <v>5.363</v>
      </c>
      <c r="R50" s="49">
        <v>6.645</v>
      </c>
      <c r="S50" s="49">
        <v>5.654</v>
      </c>
      <c r="T50" s="49"/>
      <c r="U50" s="35"/>
      <c r="V50" s="43" t="s">
        <v>345</v>
      </c>
      <c r="W50" s="46">
        <f t="shared" ref="W50:AC50" si="153">D50/M50</f>
        <v>0.0930267812026276</v>
      </c>
      <c r="X50" s="46">
        <f t="shared" si="153"/>
        <v>0.0915825491873396</v>
      </c>
      <c r="Y50" s="46">
        <f t="shared" si="153"/>
        <v>0.0953183856502242</v>
      </c>
      <c r="Z50" s="46">
        <f t="shared" si="153"/>
        <v>0.0967589082638362</v>
      </c>
      <c r="AA50" s="46">
        <f t="shared" si="153"/>
        <v>0.0971284728696625</v>
      </c>
      <c r="AB50" s="47">
        <f t="shared" si="153"/>
        <v>0.0799699021820918</v>
      </c>
      <c r="AC50" s="47">
        <f t="shared" si="153"/>
        <v>0.0939865581888928</v>
      </c>
      <c r="AD50" s="36"/>
      <c r="AE50" s="36"/>
      <c r="AF50" s="46">
        <f t="shared" ref="AF50:AJ50" si="154">W50</f>
        <v>0.0930267812026276</v>
      </c>
      <c r="AG50" s="46">
        <f t="shared" si="154"/>
        <v>0.0915825491873396</v>
      </c>
      <c r="AH50" s="46">
        <f t="shared" si="154"/>
        <v>0.0953183856502242</v>
      </c>
      <c r="AI50" s="46">
        <f t="shared" si="154"/>
        <v>0.0967589082638362</v>
      </c>
      <c r="AJ50" s="46">
        <f t="shared" si="154"/>
        <v>0.0971284728696625</v>
      </c>
      <c r="AK50" s="48">
        <f t="shared" si="127"/>
        <v>0.0919653875094056</v>
      </c>
      <c r="AL50" s="48">
        <f t="shared" si="128"/>
        <v>0.108084541917227</v>
      </c>
      <c r="AO50" s="46">
        <f t="shared" ref="AO50:AS50" si="155">W50</f>
        <v>0.0930267812026276</v>
      </c>
      <c r="AP50" s="46">
        <f t="shared" si="155"/>
        <v>0.0915825491873396</v>
      </c>
      <c r="AQ50" s="46">
        <f t="shared" si="155"/>
        <v>0.0953183856502242</v>
      </c>
      <c r="AR50" s="46">
        <f t="shared" si="155"/>
        <v>0.0967589082638362</v>
      </c>
      <c r="AS50" s="46">
        <f t="shared" si="155"/>
        <v>0.0971284728696625</v>
      </c>
      <c r="AT50" s="48">
        <f t="shared" si="130"/>
        <v>0.067974416854778</v>
      </c>
      <c r="AU50" s="48">
        <f t="shared" si="131"/>
        <v>0.0798885744605589</v>
      </c>
      <c r="AZ50" s="35"/>
      <c r="BA50" s="43" t="s">
        <v>345</v>
      </c>
      <c r="BB50" s="44">
        <v>624.1</v>
      </c>
      <c r="BC50" s="46">
        <v>552.3</v>
      </c>
      <c r="BD50" s="46">
        <v>535.3</v>
      </c>
      <c r="BE50" s="46">
        <v>531.4</v>
      </c>
      <c r="BF50" s="46">
        <v>510.5</v>
      </c>
      <c r="BG50" s="46">
        <v>520.9</v>
      </c>
      <c r="BH50" s="46">
        <v>531.4</v>
      </c>
      <c r="BI50" s="46">
        <v>531.4</v>
      </c>
      <c r="BJ50" s="36"/>
      <c r="BK50" s="36"/>
      <c r="BL50" s="49"/>
      <c r="BM50" s="49"/>
      <c r="BN50" s="49"/>
      <c r="BO50" s="49"/>
    </row>
    <row r="51" ht="15.5" spans="1:67">
      <c r="A51" s="35"/>
      <c r="B51" s="43" t="s">
        <v>346</v>
      </c>
      <c r="C51" s="44">
        <f t="shared" ref="C51:J51" si="156">BB51/1000</f>
        <v>0.1745</v>
      </c>
      <c r="D51" s="44">
        <f t="shared" si="156"/>
        <v>0.1463</v>
      </c>
      <c r="E51" s="44">
        <f t="shared" si="156"/>
        <v>0.1398</v>
      </c>
      <c r="F51" s="44">
        <f t="shared" si="156"/>
        <v>0.1383</v>
      </c>
      <c r="G51" s="44">
        <f t="shared" si="156"/>
        <v>0.1304</v>
      </c>
      <c r="H51" s="44">
        <f t="shared" si="156"/>
        <v>0.1343</v>
      </c>
      <c r="I51" s="44">
        <f t="shared" si="156"/>
        <v>0.1383</v>
      </c>
      <c r="J51" s="44">
        <f t="shared" si="156"/>
        <v>0.1383</v>
      </c>
      <c r="K51" s="36"/>
      <c r="L51" s="36"/>
      <c r="M51" s="49">
        <v>5.937</v>
      </c>
      <c r="N51" s="49">
        <v>5.845</v>
      </c>
      <c r="O51" s="49">
        <v>5.575</v>
      </c>
      <c r="P51" s="49">
        <v>5.276</v>
      </c>
      <c r="Q51" s="49">
        <v>5.363</v>
      </c>
      <c r="R51" s="49">
        <v>6.645</v>
      </c>
      <c r="S51" s="49">
        <v>5.654</v>
      </c>
      <c r="T51" s="49"/>
      <c r="U51" s="35"/>
      <c r="V51" s="43" t="s">
        <v>346</v>
      </c>
      <c r="W51" s="46">
        <f t="shared" ref="W51:AC51" si="157">D51/M51</f>
        <v>0.0246420751221155</v>
      </c>
      <c r="X51" s="46">
        <f t="shared" si="157"/>
        <v>0.023917878528657</v>
      </c>
      <c r="Y51" s="46">
        <f t="shared" si="157"/>
        <v>0.0248071748878924</v>
      </c>
      <c r="Z51" s="46">
        <f t="shared" si="157"/>
        <v>0.0247156937073541</v>
      </c>
      <c r="AA51" s="46">
        <f t="shared" si="157"/>
        <v>0.025041954130151</v>
      </c>
      <c r="AB51" s="47">
        <f t="shared" si="157"/>
        <v>0.0208126410835214</v>
      </c>
      <c r="AC51" s="47">
        <f t="shared" si="157"/>
        <v>0.0244605588963566</v>
      </c>
      <c r="AD51" s="36"/>
      <c r="AE51" s="36"/>
      <c r="AF51" s="46">
        <f t="shared" ref="AF51:AJ51" si="158">W51</f>
        <v>0.0246420751221155</v>
      </c>
      <c r="AG51" s="46">
        <f t="shared" si="158"/>
        <v>0.023917878528657</v>
      </c>
      <c r="AH51" s="46">
        <f t="shared" si="158"/>
        <v>0.0248071748878924</v>
      </c>
      <c r="AI51" s="46">
        <f t="shared" si="158"/>
        <v>0.0247156937073541</v>
      </c>
      <c r="AJ51" s="46">
        <f t="shared" si="158"/>
        <v>0.025041954130151</v>
      </c>
      <c r="AK51" s="48">
        <f t="shared" si="127"/>
        <v>0.0239345372460497</v>
      </c>
      <c r="AL51" s="48">
        <f t="shared" si="128"/>
        <v>0.02812964273081</v>
      </c>
      <c r="AO51" s="46">
        <f t="shared" ref="AO51:AS51" si="159">W51</f>
        <v>0.0246420751221155</v>
      </c>
      <c r="AP51" s="46">
        <f t="shared" si="159"/>
        <v>0.023917878528657</v>
      </c>
      <c r="AQ51" s="46">
        <f t="shared" si="159"/>
        <v>0.0248071748878924</v>
      </c>
      <c r="AR51" s="46">
        <f t="shared" si="159"/>
        <v>0.0247156937073541</v>
      </c>
      <c r="AS51" s="46">
        <f t="shared" si="159"/>
        <v>0.025041954130151</v>
      </c>
      <c r="AT51" s="48">
        <f t="shared" si="130"/>
        <v>0.0176907449209932</v>
      </c>
      <c r="AU51" s="48">
        <f t="shared" si="131"/>
        <v>0.0207914750619031</v>
      </c>
      <c r="AZ51" s="35"/>
      <c r="BA51" s="43" t="s">
        <v>346</v>
      </c>
      <c r="BB51" s="44">
        <v>174.5</v>
      </c>
      <c r="BC51" s="46">
        <v>146.3</v>
      </c>
      <c r="BD51" s="46">
        <v>139.8</v>
      </c>
      <c r="BE51" s="46">
        <v>138.3</v>
      </c>
      <c r="BF51" s="46">
        <v>130.4</v>
      </c>
      <c r="BG51" s="46">
        <v>134.3</v>
      </c>
      <c r="BH51" s="46">
        <v>138.3</v>
      </c>
      <c r="BI51" s="46">
        <v>138.3</v>
      </c>
      <c r="BJ51" s="36"/>
      <c r="BK51" s="36"/>
      <c r="BL51" s="49"/>
      <c r="BM51" s="49"/>
      <c r="BN51" s="49"/>
      <c r="BO51" s="49"/>
    </row>
    <row r="52" ht="15.5" spans="1:67">
      <c r="A52" s="35"/>
      <c r="B52" s="43" t="s">
        <v>347</v>
      </c>
      <c r="C52" s="44">
        <f t="shared" ref="C52:J52" si="160">BB52/1000</f>
        <v>0.4064</v>
      </c>
      <c r="D52" s="44">
        <f t="shared" si="160"/>
        <v>0.3643</v>
      </c>
      <c r="E52" s="44">
        <f t="shared" si="160"/>
        <v>0.3546</v>
      </c>
      <c r="F52" s="44">
        <f t="shared" si="160"/>
        <v>0.3523</v>
      </c>
      <c r="G52" s="44">
        <f t="shared" si="160"/>
        <v>0.3404</v>
      </c>
      <c r="H52" s="44">
        <f t="shared" si="160"/>
        <v>0.3462</v>
      </c>
      <c r="I52" s="44">
        <f t="shared" si="160"/>
        <v>0.3523</v>
      </c>
      <c r="J52" s="44">
        <f t="shared" si="160"/>
        <v>0.3523</v>
      </c>
      <c r="K52" s="36"/>
      <c r="L52" s="36"/>
      <c r="M52" s="49">
        <v>5.937</v>
      </c>
      <c r="N52" s="49">
        <v>5.845</v>
      </c>
      <c r="O52" s="49">
        <v>5.575</v>
      </c>
      <c r="P52" s="49">
        <v>5.276</v>
      </c>
      <c r="Q52" s="49">
        <v>5.363</v>
      </c>
      <c r="R52" s="49">
        <v>6.645</v>
      </c>
      <c r="S52" s="49">
        <v>5.654</v>
      </c>
      <c r="T52" s="49"/>
      <c r="U52" s="35"/>
      <c r="V52" s="43" t="s">
        <v>347</v>
      </c>
      <c r="W52" s="46">
        <f t="shared" ref="W52:AC52" si="161">D52/M52</f>
        <v>0.0613609567121442</v>
      </c>
      <c r="X52" s="46">
        <f t="shared" si="161"/>
        <v>0.0606672369546621</v>
      </c>
      <c r="Y52" s="46">
        <f t="shared" si="161"/>
        <v>0.0631928251121076</v>
      </c>
      <c r="Z52" s="46">
        <f t="shared" si="161"/>
        <v>0.0645185746777862</v>
      </c>
      <c r="AA52" s="46">
        <f t="shared" si="161"/>
        <v>0.0645534215923923</v>
      </c>
      <c r="AB52" s="47">
        <f t="shared" si="161"/>
        <v>0.0530173062452972</v>
      </c>
      <c r="AC52" s="47">
        <f t="shared" si="161"/>
        <v>0.0623098691192076</v>
      </c>
      <c r="AD52" s="36"/>
      <c r="AE52" s="36"/>
      <c r="AF52" s="46">
        <f t="shared" ref="AF52:AJ52" si="162">W52</f>
        <v>0.0613609567121442</v>
      </c>
      <c r="AG52" s="46">
        <f t="shared" si="162"/>
        <v>0.0606672369546621</v>
      </c>
      <c r="AH52" s="46">
        <f t="shared" si="162"/>
        <v>0.0631928251121076</v>
      </c>
      <c r="AI52" s="46">
        <f t="shared" si="162"/>
        <v>0.0645185746777862</v>
      </c>
      <c r="AJ52" s="46">
        <f t="shared" si="162"/>
        <v>0.0645534215923923</v>
      </c>
      <c r="AK52" s="48">
        <f t="shared" si="127"/>
        <v>0.0609699021820918</v>
      </c>
      <c r="AL52" s="48">
        <f t="shared" si="128"/>
        <v>0.0716563494870888</v>
      </c>
      <c r="AO52" s="46">
        <f t="shared" ref="AO52:AS52" si="163">W52</f>
        <v>0.0613609567121442</v>
      </c>
      <c r="AP52" s="46">
        <f t="shared" si="163"/>
        <v>0.0606672369546621</v>
      </c>
      <c r="AQ52" s="46">
        <f t="shared" si="163"/>
        <v>0.0631928251121076</v>
      </c>
      <c r="AR52" s="46">
        <f t="shared" si="163"/>
        <v>0.0645185746777862</v>
      </c>
      <c r="AS52" s="46">
        <f t="shared" si="163"/>
        <v>0.0645534215923923</v>
      </c>
      <c r="AT52" s="48">
        <f t="shared" si="130"/>
        <v>0.0450647103085026</v>
      </c>
      <c r="AU52" s="48">
        <f t="shared" si="131"/>
        <v>0.0529633887513265</v>
      </c>
      <c r="AZ52" s="35"/>
      <c r="BA52" s="43" t="s">
        <v>347</v>
      </c>
      <c r="BB52" s="44">
        <v>406.4</v>
      </c>
      <c r="BC52" s="46">
        <v>364.3</v>
      </c>
      <c r="BD52" s="46">
        <v>354.6</v>
      </c>
      <c r="BE52" s="46">
        <v>352.3</v>
      </c>
      <c r="BF52" s="46">
        <v>340.4</v>
      </c>
      <c r="BG52" s="46">
        <v>346.2</v>
      </c>
      <c r="BH52" s="46">
        <v>352.3</v>
      </c>
      <c r="BI52" s="46">
        <v>352.3</v>
      </c>
      <c r="BJ52" s="36"/>
      <c r="BK52" s="36"/>
      <c r="BL52" s="49"/>
      <c r="BM52" s="49"/>
      <c r="BN52" s="49"/>
      <c r="BO52" s="49"/>
    </row>
    <row r="53" ht="15.5" spans="1:67">
      <c r="A53" s="35"/>
      <c r="B53" s="43" t="s">
        <v>348</v>
      </c>
      <c r="C53" s="44">
        <f t="shared" ref="C53:J53" si="164">BB53/1000</f>
        <v>0.0872</v>
      </c>
      <c r="D53" s="44">
        <f t="shared" si="164"/>
        <v>0.0791</v>
      </c>
      <c r="E53" s="44">
        <f t="shared" si="164"/>
        <v>0.077</v>
      </c>
      <c r="F53" s="44">
        <f t="shared" si="164"/>
        <v>0.0765</v>
      </c>
      <c r="G53" s="44">
        <f t="shared" si="164"/>
        <v>0.0737</v>
      </c>
      <c r="H53" s="44">
        <f t="shared" si="164"/>
        <v>0.0751</v>
      </c>
      <c r="I53" s="44">
        <f t="shared" si="164"/>
        <v>0.0765</v>
      </c>
      <c r="J53" s="44">
        <f t="shared" si="164"/>
        <v>0.0765</v>
      </c>
      <c r="K53" s="36"/>
      <c r="L53" s="36"/>
      <c r="M53" s="49">
        <v>5.937</v>
      </c>
      <c r="N53" s="49">
        <v>5.845</v>
      </c>
      <c r="O53" s="49">
        <v>5.575</v>
      </c>
      <c r="P53" s="49">
        <v>5.276</v>
      </c>
      <c r="Q53" s="49">
        <v>5.363</v>
      </c>
      <c r="R53" s="49">
        <v>6.645</v>
      </c>
      <c r="S53" s="49">
        <v>5.654</v>
      </c>
      <c r="T53" s="49"/>
      <c r="U53" s="35"/>
      <c r="V53" s="43" t="s">
        <v>348</v>
      </c>
      <c r="W53" s="46">
        <f t="shared" ref="W53:AC53" si="165">D53/M53</f>
        <v>0.0133232272191342</v>
      </c>
      <c r="X53" s="46">
        <f t="shared" si="165"/>
        <v>0.0131736526946108</v>
      </c>
      <c r="Y53" s="46">
        <f t="shared" si="165"/>
        <v>0.0137219730941704</v>
      </c>
      <c r="Z53" s="46">
        <f t="shared" si="165"/>
        <v>0.0139689158453374</v>
      </c>
      <c r="AA53" s="46">
        <f t="shared" si="165"/>
        <v>0.0140033563304121</v>
      </c>
      <c r="AB53" s="47">
        <f t="shared" si="165"/>
        <v>0.0115124153498871</v>
      </c>
      <c r="AC53" s="47">
        <f t="shared" si="165"/>
        <v>0.0135302440749912</v>
      </c>
      <c r="AD53" s="36"/>
      <c r="AE53" s="36"/>
      <c r="AF53" s="46">
        <f t="shared" ref="AF53:AJ53" si="166">W53</f>
        <v>0.0133232272191342</v>
      </c>
      <c r="AG53" s="46">
        <f t="shared" si="166"/>
        <v>0.0131736526946108</v>
      </c>
      <c r="AH53" s="46">
        <f t="shared" si="166"/>
        <v>0.0137219730941704</v>
      </c>
      <c r="AI53" s="46">
        <f t="shared" si="166"/>
        <v>0.0139689158453374</v>
      </c>
      <c r="AJ53" s="46">
        <f t="shared" si="166"/>
        <v>0.0140033563304121</v>
      </c>
      <c r="AK53" s="48">
        <f t="shared" si="127"/>
        <v>0.0132392776523702</v>
      </c>
      <c r="AL53" s="48">
        <f t="shared" si="128"/>
        <v>0.0155597806862398</v>
      </c>
      <c r="AO53" s="46">
        <f t="shared" ref="AO53:AS53" si="167">W53</f>
        <v>0.0133232272191342</v>
      </c>
      <c r="AP53" s="46">
        <f t="shared" si="167"/>
        <v>0.0131736526946108</v>
      </c>
      <c r="AQ53" s="46">
        <f t="shared" si="167"/>
        <v>0.0137219730941704</v>
      </c>
      <c r="AR53" s="46">
        <f t="shared" si="167"/>
        <v>0.0139689158453374</v>
      </c>
      <c r="AS53" s="46">
        <f t="shared" si="167"/>
        <v>0.0140033563304121</v>
      </c>
      <c r="AT53" s="48">
        <f t="shared" si="130"/>
        <v>0.00978555304740406</v>
      </c>
      <c r="AU53" s="48">
        <f t="shared" si="131"/>
        <v>0.0115007074637425</v>
      </c>
      <c r="AZ53" s="35"/>
      <c r="BA53" s="43" t="s">
        <v>348</v>
      </c>
      <c r="BB53" s="44">
        <v>87.2</v>
      </c>
      <c r="BC53" s="46">
        <v>79.1</v>
      </c>
      <c r="BD53" s="46">
        <v>77</v>
      </c>
      <c r="BE53" s="46">
        <v>76.5</v>
      </c>
      <c r="BF53" s="46">
        <v>73.7</v>
      </c>
      <c r="BG53" s="46">
        <v>75.1</v>
      </c>
      <c r="BH53" s="46">
        <v>76.5</v>
      </c>
      <c r="BI53" s="46">
        <v>76.5</v>
      </c>
      <c r="BJ53" s="36"/>
      <c r="BK53" s="36"/>
      <c r="BL53" s="49"/>
      <c r="BM53" s="49"/>
      <c r="BN53" s="49"/>
      <c r="BO53" s="49"/>
    </row>
    <row r="54" ht="15.5" spans="1:67">
      <c r="A54" s="35" t="s">
        <v>11</v>
      </c>
      <c r="B54" s="43" t="s">
        <v>344</v>
      </c>
      <c r="C54" s="44">
        <f t="shared" ref="C54:J54" si="168">BB54/1000</f>
        <v>0.6916</v>
      </c>
      <c r="D54" s="44">
        <f t="shared" si="168"/>
        <v>0.6089</v>
      </c>
      <c r="E54" s="44">
        <f t="shared" si="168"/>
        <v>0.5895</v>
      </c>
      <c r="F54" s="44">
        <f t="shared" si="168"/>
        <v>0.585</v>
      </c>
      <c r="G54" s="44">
        <f t="shared" si="168"/>
        <v>0.5612</v>
      </c>
      <c r="H54" s="44">
        <f t="shared" si="168"/>
        <v>0.573</v>
      </c>
      <c r="I54" s="44">
        <f t="shared" si="168"/>
        <v>0.585</v>
      </c>
      <c r="J54" s="44">
        <f t="shared" si="168"/>
        <v>0.585</v>
      </c>
      <c r="K54" s="36"/>
      <c r="L54" s="36"/>
      <c r="M54" s="49">
        <v>5.937</v>
      </c>
      <c r="N54" s="49">
        <v>5.845</v>
      </c>
      <c r="O54" s="49">
        <v>5.575</v>
      </c>
      <c r="P54" s="49">
        <v>5.276</v>
      </c>
      <c r="Q54" s="49">
        <v>5.363</v>
      </c>
      <c r="R54" s="49">
        <v>6.645</v>
      </c>
      <c r="S54" s="49">
        <v>5.654</v>
      </c>
      <c r="T54" s="49"/>
      <c r="U54" s="35" t="s">
        <v>11</v>
      </c>
      <c r="V54" s="43" t="s">
        <v>344</v>
      </c>
      <c r="W54" s="46">
        <f t="shared" ref="W54:AC54" si="169">D54/M54</f>
        <v>0.102560215597103</v>
      </c>
      <c r="X54" s="46">
        <f t="shared" si="169"/>
        <v>0.100855431993157</v>
      </c>
      <c r="Y54" s="46">
        <f t="shared" si="169"/>
        <v>0.104932735426009</v>
      </c>
      <c r="Z54" s="46">
        <f t="shared" si="169"/>
        <v>0.106368460955269</v>
      </c>
      <c r="AA54" s="46">
        <f t="shared" si="169"/>
        <v>0.106843184784635</v>
      </c>
      <c r="AB54" s="47">
        <f t="shared" si="169"/>
        <v>0.0880361173814898</v>
      </c>
      <c r="AC54" s="47">
        <f t="shared" si="169"/>
        <v>0.103466572338168</v>
      </c>
      <c r="AD54" s="36"/>
      <c r="AE54" s="36"/>
      <c r="AF54" s="46">
        <f t="shared" ref="AF54:AJ54" si="170">W54</f>
        <v>0.102560215597103</v>
      </c>
      <c r="AG54" s="46">
        <f t="shared" si="170"/>
        <v>0.100855431993157</v>
      </c>
      <c r="AH54" s="46">
        <f t="shared" si="170"/>
        <v>0.104932735426009</v>
      </c>
      <c r="AI54" s="46">
        <f t="shared" si="170"/>
        <v>0.106368460955269</v>
      </c>
      <c r="AJ54" s="46">
        <f t="shared" si="170"/>
        <v>0.106843184784635</v>
      </c>
      <c r="AK54" s="48">
        <f t="shared" si="127"/>
        <v>0.101241534988713</v>
      </c>
      <c r="AL54" s="48">
        <f t="shared" si="128"/>
        <v>0.118986558188893</v>
      </c>
      <c r="AO54" s="46">
        <f t="shared" ref="AO54:AS54" si="171">W54</f>
        <v>0.102560215597103</v>
      </c>
      <c r="AP54" s="46">
        <f t="shared" si="171"/>
        <v>0.100855431993157</v>
      </c>
      <c r="AQ54" s="46">
        <f t="shared" si="171"/>
        <v>0.104932735426009</v>
      </c>
      <c r="AR54" s="46">
        <f t="shared" si="171"/>
        <v>0.106368460955269</v>
      </c>
      <c r="AS54" s="46">
        <f t="shared" si="171"/>
        <v>0.106843184784635</v>
      </c>
      <c r="AT54" s="48">
        <f t="shared" si="130"/>
        <v>0.0748306997742664</v>
      </c>
      <c r="AU54" s="48">
        <f t="shared" si="131"/>
        <v>0.0879465864874425</v>
      </c>
      <c r="AZ54" s="35" t="s">
        <v>11</v>
      </c>
      <c r="BA54" s="43" t="s">
        <v>344</v>
      </c>
      <c r="BB54" s="44">
        <v>691.6</v>
      </c>
      <c r="BC54" s="46">
        <v>608.9</v>
      </c>
      <c r="BD54" s="46">
        <v>589.5</v>
      </c>
      <c r="BE54" s="46">
        <v>585</v>
      </c>
      <c r="BF54" s="46">
        <v>561.2</v>
      </c>
      <c r="BG54" s="46">
        <v>573</v>
      </c>
      <c r="BH54" s="46">
        <v>585</v>
      </c>
      <c r="BI54" s="46">
        <v>585</v>
      </c>
      <c r="BJ54" s="36"/>
      <c r="BK54" s="36"/>
      <c r="BL54" s="49"/>
      <c r="BM54" s="49"/>
      <c r="BN54" s="49"/>
      <c r="BO54" s="49"/>
    </row>
    <row r="55" ht="15.5" spans="1:67">
      <c r="A55" s="35"/>
      <c r="B55" s="43" t="s">
        <v>345</v>
      </c>
      <c r="C55" s="44">
        <f t="shared" ref="C55:J55" si="172">BB55/1000</f>
        <v>0.634</v>
      </c>
      <c r="D55" s="44">
        <f t="shared" si="172"/>
        <v>0.5608</v>
      </c>
      <c r="E55" s="44">
        <f t="shared" si="172"/>
        <v>0.5435</v>
      </c>
      <c r="F55" s="44">
        <f t="shared" si="172"/>
        <v>0.5394</v>
      </c>
      <c r="G55" s="44">
        <f t="shared" si="172"/>
        <v>0.5181</v>
      </c>
      <c r="H55" s="44">
        <f t="shared" si="172"/>
        <v>0.5287</v>
      </c>
      <c r="I55" s="44">
        <f t="shared" si="172"/>
        <v>0.5394</v>
      </c>
      <c r="J55" s="44">
        <f t="shared" si="172"/>
        <v>0.5394</v>
      </c>
      <c r="K55" s="36"/>
      <c r="L55" s="36"/>
      <c r="M55" s="49">
        <v>5.937</v>
      </c>
      <c r="N55" s="49">
        <v>5.845</v>
      </c>
      <c r="O55" s="49">
        <v>5.575</v>
      </c>
      <c r="P55" s="49">
        <v>5.276</v>
      </c>
      <c r="Q55" s="49">
        <v>5.363</v>
      </c>
      <c r="R55" s="49">
        <v>6.645</v>
      </c>
      <c r="S55" s="49">
        <v>5.654</v>
      </c>
      <c r="T55" s="49"/>
      <c r="U55" s="35"/>
      <c r="V55" s="43" t="s">
        <v>345</v>
      </c>
      <c r="W55" s="46">
        <f t="shared" ref="W55:AC55" si="173">D55/M55</f>
        <v>0.0944584807141654</v>
      </c>
      <c r="X55" s="46">
        <f t="shared" si="173"/>
        <v>0.0929854576561163</v>
      </c>
      <c r="Y55" s="46">
        <f t="shared" si="173"/>
        <v>0.0967533632286995</v>
      </c>
      <c r="Z55" s="46">
        <f t="shared" si="173"/>
        <v>0.098199393479909</v>
      </c>
      <c r="AA55" s="46">
        <f t="shared" si="173"/>
        <v>0.0985828827148984</v>
      </c>
      <c r="AB55" s="47">
        <f t="shared" si="173"/>
        <v>0.0811738148984199</v>
      </c>
      <c r="AC55" s="47">
        <f t="shared" si="173"/>
        <v>0.0954014856738592</v>
      </c>
      <c r="AD55" s="36"/>
      <c r="AE55" s="36"/>
      <c r="AF55" s="46">
        <f t="shared" ref="AF55:AJ55" si="174">W55</f>
        <v>0.0944584807141654</v>
      </c>
      <c r="AG55" s="46">
        <f t="shared" si="174"/>
        <v>0.0929854576561163</v>
      </c>
      <c r="AH55" s="46">
        <f t="shared" si="174"/>
        <v>0.0967533632286995</v>
      </c>
      <c r="AI55" s="46">
        <f t="shared" si="174"/>
        <v>0.098199393479909</v>
      </c>
      <c r="AJ55" s="46">
        <f t="shared" si="174"/>
        <v>0.0985828827148984</v>
      </c>
      <c r="AK55" s="48">
        <f t="shared" si="127"/>
        <v>0.0933498871331828</v>
      </c>
      <c r="AL55" s="48">
        <f t="shared" si="128"/>
        <v>0.109711708524938</v>
      </c>
      <c r="AO55" s="46">
        <f t="shared" ref="AO55:AS55" si="175">W55</f>
        <v>0.0944584807141654</v>
      </c>
      <c r="AP55" s="46">
        <f t="shared" si="175"/>
        <v>0.0929854576561163</v>
      </c>
      <c r="AQ55" s="46">
        <f t="shared" si="175"/>
        <v>0.0967533632286995</v>
      </c>
      <c r="AR55" s="46">
        <f t="shared" si="175"/>
        <v>0.098199393479909</v>
      </c>
      <c r="AS55" s="46">
        <f t="shared" si="175"/>
        <v>0.0985828827148984</v>
      </c>
      <c r="AT55" s="48">
        <f t="shared" si="130"/>
        <v>0.0689977426636569</v>
      </c>
      <c r="AU55" s="48">
        <f t="shared" si="131"/>
        <v>0.0810912628227803</v>
      </c>
      <c r="AZ55" s="35"/>
      <c r="BA55" s="43" t="s">
        <v>345</v>
      </c>
      <c r="BB55" s="44">
        <v>634</v>
      </c>
      <c r="BC55" s="46">
        <v>560.8</v>
      </c>
      <c r="BD55" s="46">
        <v>543.5</v>
      </c>
      <c r="BE55" s="46">
        <v>539.4</v>
      </c>
      <c r="BF55" s="46">
        <v>518.1</v>
      </c>
      <c r="BG55" s="46">
        <v>528.7</v>
      </c>
      <c r="BH55" s="46">
        <v>539.4</v>
      </c>
      <c r="BI55" s="46">
        <v>539.4</v>
      </c>
      <c r="BJ55" s="36"/>
      <c r="BK55" s="36"/>
      <c r="BL55" s="49"/>
      <c r="BM55" s="49"/>
      <c r="BN55" s="49"/>
      <c r="BO55" s="49"/>
    </row>
    <row r="56" ht="15.5" spans="1:67">
      <c r="A56" s="35"/>
      <c r="B56" s="43" t="s">
        <v>346</v>
      </c>
      <c r="C56" s="44">
        <f t="shared" ref="C56:J56" si="176">BB56/1000</f>
        <v>0.2256</v>
      </c>
      <c r="D56" s="44">
        <f t="shared" si="176"/>
        <v>0.1898</v>
      </c>
      <c r="E56" s="44">
        <f t="shared" si="176"/>
        <v>0.1816</v>
      </c>
      <c r="F56" s="44">
        <f t="shared" si="176"/>
        <v>0.1797</v>
      </c>
      <c r="G56" s="44">
        <f t="shared" si="176"/>
        <v>0.1697</v>
      </c>
      <c r="H56" s="44">
        <f t="shared" si="176"/>
        <v>0.1747</v>
      </c>
      <c r="I56" s="44">
        <f t="shared" si="176"/>
        <v>0.1797</v>
      </c>
      <c r="J56" s="44">
        <f t="shared" si="176"/>
        <v>0.1797</v>
      </c>
      <c r="K56" s="36"/>
      <c r="L56" s="36"/>
      <c r="M56" s="49">
        <v>5.937</v>
      </c>
      <c r="N56" s="49">
        <v>5.845</v>
      </c>
      <c r="O56" s="49">
        <v>5.575</v>
      </c>
      <c r="P56" s="49">
        <v>5.276</v>
      </c>
      <c r="Q56" s="49">
        <v>5.363</v>
      </c>
      <c r="R56" s="49">
        <v>6.645</v>
      </c>
      <c r="S56" s="49">
        <v>5.654</v>
      </c>
      <c r="T56" s="49"/>
      <c r="U56" s="35"/>
      <c r="V56" s="43" t="s">
        <v>346</v>
      </c>
      <c r="W56" s="46">
        <f t="shared" ref="W56:AC56" si="177">D56/M56</f>
        <v>0.0319690079164561</v>
      </c>
      <c r="X56" s="46">
        <f t="shared" si="177"/>
        <v>0.0310692899914457</v>
      </c>
      <c r="Y56" s="46">
        <f t="shared" si="177"/>
        <v>0.0322331838565022</v>
      </c>
      <c r="Z56" s="46">
        <f t="shared" si="177"/>
        <v>0.0321645185746778</v>
      </c>
      <c r="AA56" s="46">
        <f t="shared" si="177"/>
        <v>0.0325750512772702</v>
      </c>
      <c r="AB56" s="47">
        <f t="shared" si="177"/>
        <v>0.0270428893905192</v>
      </c>
      <c r="AC56" s="47">
        <f t="shared" si="177"/>
        <v>0.0317828086310577</v>
      </c>
      <c r="AD56" s="36"/>
      <c r="AE56" s="36"/>
      <c r="AF56" s="46">
        <f t="shared" ref="AF56:AJ56" si="178">W56</f>
        <v>0.0319690079164561</v>
      </c>
      <c r="AG56" s="46">
        <f t="shared" si="178"/>
        <v>0.0310692899914457</v>
      </c>
      <c r="AH56" s="46">
        <f t="shared" si="178"/>
        <v>0.0322331838565022</v>
      </c>
      <c r="AI56" s="46">
        <f t="shared" si="178"/>
        <v>0.0321645185746778</v>
      </c>
      <c r="AJ56" s="46">
        <f t="shared" si="178"/>
        <v>0.0325750512772702</v>
      </c>
      <c r="AK56" s="48">
        <f t="shared" si="127"/>
        <v>0.0310993227990971</v>
      </c>
      <c r="AL56" s="48">
        <f t="shared" si="128"/>
        <v>0.0365502299257163</v>
      </c>
      <c r="AO56" s="46">
        <f t="shared" ref="AO56:AS56" si="179">W56</f>
        <v>0.0319690079164561</v>
      </c>
      <c r="AP56" s="46">
        <f t="shared" si="179"/>
        <v>0.0310692899914457</v>
      </c>
      <c r="AQ56" s="46">
        <f t="shared" si="179"/>
        <v>0.0322331838565022</v>
      </c>
      <c r="AR56" s="46">
        <f t="shared" si="179"/>
        <v>0.0321645185746778</v>
      </c>
      <c r="AS56" s="46">
        <f t="shared" si="179"/>
        <v>0.0325750512772702</v>
      </c>
      <c r="AT56" s="48">
        <f t="shared" si="130"/>
        <v>0.0229864559819413</v>
      </c>
      <c r="AU56" s="48">
        <f t="shared" si="131"/>
        <v>0.027015387336399</v>
      </c>
      <c r="AZ56" s="35"/>
      <c r="BA56" s="43" t="s">
        <v>346</v>
      </c>
      <c r="BB56" s="44">
        <v>225.6</v>
      </c>
      <c r="BC56" s="46">
        <v>189.8</v>
      </c>
      <c r="BD56" s="46">
        <v>181.6</v>
      </c>
      <c r="BE56" s="46">
        <v>179.7</v>
      </c>
      <c r="BF56" s="46">
        <v>169.7</v>
      </c>
      <c r="BG56" s="46">
        <v>174.7</v>
      </c>
      <c r="BH56" s="46">
        <v>179.7</v>
      </c>
      <c r="BI56" s="46">
        <v>179.7</v>
      </c>
      <c r="BJ56" s="36"/>
      <c r="BK56" s="36"/>
      <c r="BL56" s="49"/>
      <c r="BM56" s="49"/>
      <c r="BN56" s="49"/>
      <c r="BO56" s="49"/>
    </row>
    <row r="57" ht="15.5" spans="1:67">
      <c r="A57" s="35"/>
      <c r="B57" s="43" t="s">
        <v>347</v>
      </c>
      <c r="C57" s="44">
        <f t="shared" ref="C57:J57" si="180">BB57/1000</f>
        <v>0.3671</v>
      </c>
      <c r="D57" s="44">
        <f t="shared" si="180"/>
        <v>0.3308</v>
      </c>
      <c r="E57" s="44">
        <f t="shared" si="180"/>
        <v>0.3224</v>
      </c>
      <c r="F57" s="44">
        <f t="shared" si="180"/>
        <v>0.3205</v>
      </c>
      <c r="G57" s="44">
        <f t="shared" si="180"/>
        <v>0.3101</v>
      </c>
      <c r="H57" s="44">
        <f t="shared" si="180"/>
        <v>0.3151</v>
      </c>
      <c r="I57" s="44">
        <f t="shared" si="180"/>
        <v>0.3205</v>
      </c>
      <c r="J57" s="44">
        <f t="shared" si="180"/>
        <v>0.3205</v>
      </c>
      <c r="K57" s="36"/>
      <c r="L57" s="36"/>
      <c r="M57" s="49">
        <v>5.937</v>
      </c>
      <c r="N57" s="49">
        <v>5.845</v>
      </c>
      <c r="O57" s="49">
        <v>5.575</v>
      </c>
      <c r="P57" s="49">
        <v>5.276</v>
      </c>
      <c r="Q57" s="49">
        <v>5.363</v>
      </c>
      <c r="R57" s="49">
        <v>6.645</v>
      </c>
      <c r="S57" s="49">
        <v>5.654</v>
      </c>
      <c r="T57" s="49"/>
      <c r="U57" s="35"/>
      <c r="V57" s="43" t="s">
        <v>347</v>
      </c>
      <c r="W57" s="46">
        <f t="shared" ref="W57:AC57" si="181">D57/M57</f>
        <v>0.0557183762843187</v>
      </c>
      <c r="X57" s="46">
        <f t="shared" si="181"/>
        <v>0.055158254918734</v>
      </c>
      <c r="Y57" s="46">
        <f t="shared" si="181"/>
        <v>0.0574887892376682</v>
      </c>
      <c r="Z57" s="46">
        <f t="shared" si="181"/>
        <v>0.0587755875663381</v>
      </c>
      <c r="AA57" s="46">
        <f t="shared" si="181"/>
        <v>0.0587544284915159</v>
      </c>
      <c r="AB57" s="47">
        <f t="shared" si="181"/>
        <v>0.0482317531978932</v>
      </c>
      <c r="AC57" s="47">
        <f t="shared" si="181"/>
        <v>0.0566855323664662</v>
      </c>
      <c r="AD57" s="36"/>
      <c r="AE57" s="36"/>
      <c r="AF57" s="46">
        <f t="shared" ref="AF57:AJ57" si="182">W57</f>
        <v>0.0557183762843187</v>
      </c>
      <c r="AG57" s="46">
        <f t="shared" si="182"/>
        <v>0.055158254918734</v>
      </c>
      <c r="AH57" s="46">
        <f t="shared" si="182"/>
        <v>0.0574887892376682</v>
      </c>
      <c r="AI57" s="46">
        <f t="shared" si="182"/>
        <v>0.0587755875663381</v>
      </c>
      <c r="AJ57" s="46">
        <f t="shared" si="182"/>
        <v>0.0587544284915159</v>
      </c>
      <c r="AK57" s="48">
        <f t="shared" si="127"/>
        <v>0.0554665161775771</v>
      </c>
      <c r="AL57" s="48">
        <f t="shared" si="128"/>
        <v>0.0651883622214361</v>
      </c>
      <c r="AO57" s="46">
        <f t="shared" ref="AO57:AS57" si="183">W57</f>
        <v>0.0557183762843187</v>
      </c>
      <c r="AP57" s="46">
        <f t="shared" si="183"/>
        <v>0.055158254918734</v>
      </c>
      <c r="AQ57" s="46">
        <f t="shared" si="183"/>
        <v>0.0574887892376682</v>
      </c>
      <c r="AR57" s="46">
        <f t="shared" si="183"/>
        <v>0.0587755875663381</v>
      </c>
      <c r="AS57" s="46">
        <f t="shared" si="183"/>
        <v>0.0587544284915159</v>
      </c>
      <c r="AT57" s="48">
        <f t="shared" si="130"/>
        <v>0.0409969902182092</v>
      </c>
      <c r="AU57" s="48">
        <f t="shared" si="131"/>
        <v>0.0481827025114963</v>
      </c>
      <c r="AZ57" s="35"/>
      <c r="BA57" s="43" t="s">
        <v>347</v>
      </c>
      <c r="BB57" s="44">
        <v>367.1</v>
      </c>
      <c r="BC57" s="46">
        <v>330.8</v>
      </c>
      <c r="BD57" s="46">
        <v>322.4</v>
      </c>
      <c r="BE57" s="46">
        <v>320.5</v>
      </c>
      <c r="BF57" s="46">
        <v>310.1</v>
      </c>
      <c r="BG57" s="46">
        <v>315.1</v>
      </c>
      <c r="BH57" s="46">
        <v>320.5</v>
      </c>
      <c r="BI57" s="46">
        <v>320.5</v>
      </c>
      <c r="BJ57" s="36"/>
      <c r="BK57" s="36"/>
      <c r="BL57" s="49"/>
      <c r="BM57" s="49"/>
      <c r="BN57" s="49"/>
      <c r="BO57" s="49"/>
    </row>
    <row r="58" ht="15.5" spans="1:67">
      <c r="A58" s="35"/>
      <c r="B58" s="43" t="s">
        <v>348</v>
      </c>
      <c r="C58" s="44">
        <f t="shared" ref="C58:J58" si="184">BB58/1000</f>
        <v>0.0853</v>
      </c>
      <c r="D58" s="44">
        <f t="shared" si="184"/>
        <v>0.0775</v>
      </c>
      <c r="E58" s="44">
        <f t="shared" si="184"/>
        <v>0.0755</v>
      </c>
      <c r="F58" s="44">
        <f t="shared" si="184"/>
        <v>0.075</v>
      </c>
      <c r="G58" s="44">
        <f t="shared" si="184"/>
        <v>0.0722</v>
      </c>
      <c r="H58" s="44">
        <f t="shared" si="184"/>
        <v>0.0736</v>
      </c>
      <c r="I58" s="44">
        <f t="shared" si="184"/>
        <v>0.075</v>
      </c>
      <c r="J58" s="44">
        <f t="shared" si="184"/>
        <v>0.075</v>
      </c>
      <c r="K58" s="36"/>
      <c r="L58" s="36"/>
      <c r="M58" s="49">
        <v>5.937</v>
      </c>
      <c r="N58" s="49">
        <v>5.845</v>
      </c>
      <c r="O58" s="49">
        <v>5.575</v>
      </c>
      <c r="P58" s="49">
        <v>5.276</v>
      </c>
      <c r="Q58" s="49">
        <v>5.363</v>
      </c>
      <c r="R58" s="49">
        <v>6.645</v>
      </c>
      <c r="S58" s="49">
        <v>5.654</v>
      </c>
      <c r="T58" s="49"/>
      <c r="U58" s="35"/>
      <c r="V58" s="43" t="s">
        <v>348</v>
      </c>
      <c r="W58" s="46">
        <f t="shared" ref="W58:AC58" si="185">D58/M58</f>
        <v>0.0130537308404918</v>
      </c>
      <c r="X58" s="46">
        <f t="shared" si="185"/>
        <v>0.0129170230966638</v>
      </c>
      <c r="Y58" s="46">
        <f t="shared" si="185"/>
        <v>0.0134529147982063</v>
      </c>
      <c r="Z58" s="46">
        <f t="shared" si="185"/>
        <v>0.0136846095526914</v>
      </c>
      <c r="AA58" s="46">
        <f t="shared" si="185"/>
        <v>0.0137236621294052</v>
      </c>
      <c r="AB58" s="47">
        <f t="shared" si="185"/>
        <v>0.0112866817155756</v>
      </c>
      <c r="AC58" s="47">
        <f t="shared" si="185"/>
        <v>0.01326494517156</v>
      </c>
      <c r="AD58" s="36"/>
      <c r="AE58" s="36"/>
      <c r="AF58" s="46">
        <f t="shared" ref="AF58:AJ58" si="186">W58</f>
        <v>0.0130537308404918</v>
      </c>
      <c r="AG58" s="46">
        <f t="shared" si="186"/>
        <v>0.0129170230966638</v>
      </c>
      <c r="AH58" s="46">
        <f t="shared" si="186"/>
        <v>0.0134529147982063</v>
      </c>
      <c r="AI58" s="46">
        <f t="shared" si="186"/>
        <v>0.0136846095526914</v>
      </c>
      <c r="AJ58" s="46">
        <f t="shared" si="186"/>
        <v>0.0137236621294052</v>
      </c>
      <c r="AK58" s="48">
        <f t="shared" si="127"/>
        <v>0.012979683972912</v>
      </c>
      <c r="AL58" s="48">
        <f t="shared" si="128"/>
        <v>0.0152546869472939</v>
      </c>
      <c r="AO58" s="46">
        <f t="shared" ref="AO58:AS58" si="187">W58</f>
        <v>0.0130537308404918</v>
      </c>
      <c r="AP58" s="46">
        <f t="shared" si="187"/>
        <v>0.0129170230966638</v>
      </c>
      <c r="AQ58" s="46">
        <f t="shared" si="187"/>
        <v>0.0134529147982063</v>
      </c>
      <c r="AR58" s="46">
        <f t="shared" si="187"/>
        <v>0.0136846095526914</v>
      </c>
      <c r="AS58" s="46">
        <f t="shared" si="187"/>
        <v>0.0137236621294052</v>
      </c>
      <c r="AT58" s="48">
        <f t="shared" si="130"/>
        <v>0.00959367945823928</v>
      </c>
      <c r="AU58" s="48">
        <f t="shared" si="131"/>
        <v>0.011275203395826</v>
      </c>
      <c r="AZ58" s="35"/>
      <c r="BA58" s="43" t="s">
        <v>348</v>
      </c>
      <c r="BB58" s="44">
        <v>85.3</v>
      </c>
      <c r="BC58" s="46">
        <v>77.5</v>
      </c>
      <c r="BD58" s="46">
        <v>75.5</v>
      </c>
      <c r="BE58" s="46">
        <v>75</v>
      </c>
      <c r="BF58" s="46">
        <v>72.2</v>
      </c>
      <c r="BG58" s="46">
        <v>73.6</v>
      </c>
      <c r="BH58" s="46">
        <v>75</v>
      </c>
      <c r="BI58" s="46">
        <v>75</v>
      </c>
      <c r="BJ58" s="36"/>
      <c r="BK58" s="36"/>
      <c r="BL58" s="49"/>
      <c r="BM58" s="49"/>
      <c r="BN58" s="49"/>
      <c r="BO58" s="49"/>
    </row>
    <row r="59" ht="15.5" spans="1:67">
      <c r="A59" s="36"/>
      <c r="B59" s="36"/>
      <c r="C59" s="39"/>
      <c r="D59" s="36"/>
      <c r="E59" s="36"/>
      <c r="F59" s="36"/>
      <c r="G59" s="36"/>
      <c r="H59" s="36"/>
      <c r="I59" s="36"/>
      <c r="J59" s="36"/>
      <c r="K59" s="36"/>
      <c r="L59" s="36"/>
      <c r="M59" s="36"/>
      <c r="N59" s="36"/>
      <c r="O59" s="36"/>
      <c r="P59" s="36"/>
      <c r="Q59" s="36"/>
      <c r="R59" s="36"/>
      <c r="S59" s="36"/>
      <c r="T59" s="36"/>
      <c r="AZ59" s="36"/>
      <c r="BA59" s="36"/>
      <c r="BB59" s="39"/>
      <c r="BC59" s="36"/>
      <c r="BD59" s="36"/>
      <c r="BE59" s="36"/>
      <c r="BF59" s="36"/>
      <c r="BG59" s="36"/>
      <c r="BH59" s="36"/>
      <c r="BI59" s="36"/>
      <c r="BJ59" s="36"/>
      <c r="BK59" s="36"/>
      <c r="BL59" s="36"/>
      <c r="BM59" s="36"/>
      <c r="BN59" s="36"/>
      <c r="BO59" s="36"/>
    </row>
    <row r="60" ht="15.5" spans="1:67">
      <c r="A60" s="36" t="s">
        <v>349</v>
      </c>
      <c r="B60" s="36"/>
      <c r="C60" s="39"/>
      <c r="D60" s="36"/>
      <c r="E60" s="36"/>
      <c r="F60" s="36"/>
      <c r="G60" s="36"/>
      <c r="H60" s="36"/>
      <c r="I60" s="36"/>
      <c r="J60" s="36"/>
      <c r="K60" s="36"/>
      <c r="L60" s="36"/>
      <c r="M60" s="36"/>
      <c r="N60" s="36"/>
      <c r="O60" s="36"/>
      <c r="P60" s="36"/>
      <c r="Q60" s="36"/>
      <c r="R60" s="36"/>
      <c r="S60" s="36"/>
      <c r="T60" s="36"/>
      <c r="AZ60" s="36" t="s">
        <v>349</v>
      </c>
      <c r="BA60" s="36"/>
      <c r="BB60" s="39"/>
      <c r="BC60" s="36"/>
      <c r="BD60" s="36"/>
      <c r="BE60" s="36"/>
      <c r="BF60" s="36"/>
      <c r="BG60" s="36"/>
      <c r="BH60" s="36"/>
      <c r="BI60" s="36"/>
      <c r="BJ60" s="36"/>
      <c r="BK60" s="36"/>
      <c r="BL60" s="36"/>
      <c r="BM60" s="36"/>
      <c r="BN60" s="36"/>
      <c r="BO60" s="36"/>
    </row>
    <row r="61" ht="15.5" spans="1:67">
      <c r="A61" s="36" t="s">
        <v>364</v>
      </c>
      <c r="B61" s="36"/>
      <c r="C61" s="39"/>
      <c r="D61" s="36"/>
      <c r="E61" s="36"/>
      <c r="F61" s="36"/>
      <c r="G61" s="36"/>
      <c r="H61" s="36"/>
      <c r="I61" s="36"/>
      <c r="J61" s="36"/>
      <c r="K61" s="36"/>
      <c r="L61" s="36"/>
      <c r="M61" s="36"/>
      <c r="N61" s="36"/>
      <c r="O61" s="36"/>
      <c r="P61" s="36"/>
      <c r="Q61" s="36"/>
      <c r="R61" s="36"/>
      <c r="S61" s="36"/>
      <c r="T61" s="36"/>
      <c r="AZ61" s="36" t="s">
        <v>364</v>
      </c>
      <c r="BA61" s="36"/>
      <c r="BB61" s="39"/>
      <c r="BC61" s="36"/>
      <c r="BD61" s="36"/>
      <c r="BE61" s="36"/>
      <c r="BF61" s="36"/>
      <c r="BG61" s="36"/>
      <c r="BH61" s="36"/>
      <c r="BI61" s="36"/>
      <c r="BJ61" s="36"/>
      <c r="BK61" s="36"/>
      <c r="BL61" s="36"/>
      <c r="BM61" s="36"/>
      <c r="BN61" s="36"/>
      <c r="BO61" s="36"/>
    </row>
    <row r="62" ht="15.5" spans="1:67">
      <c r="A62" s="36" t="s">
        <v>365</v>
      </c>
      <c r="B62" s="36"/>
      <c r="C62" s="39"/>
      <c r="D62" s="36"/>
      <c r="E62" s="36"/>
      <c r="F62" s="36"/>
      <c r="G62" s="36"/>
      <c r="H62" s="36"/>
      <c r="I62" s="36"/>
      <c r="J62" s="36"/>
      <c r="K62" s="36"/>
      <c r="L62" s="36"/>
      <c r="M62" s="36"/>
      <c r="N62" s="36"/>
      <c r="O62" s="36"/>
      <c r="P62" s="36"/>
      <c r="Q62" s="36"/>
      <c r="R62" s="36"/>
      <c r="S62" s="36"/>
      <c r="T62" s="36"/>
      <c r="AZ62" s="36" t="s">
        <v>365</v>
      </c>
      <c r="BA62" s="36"/>
      <c r="BB62" s="39"/>
      <c r="BC62" s="36"/>
      <c r="BD62" s="36"/>
      <c r="BE62" s="36"/>
      <c r="BF62" s="36"/>
      <c r="BG62" s="36"/>
      <c r="BH62" s="36"/>
      <c r="BI62" s="36"/>
      <c r="BJ62" s="36"/>
      <c r="BK62" s="36"/>
      <c r="BL62" s="36"/>
      <c r="BM62" s="36"/>
      <c r="BN62" s="36"/>
      <c r="BO62" s="36"/>
    </row>
    <row r="71" ht="15.5" spans="21:47">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row>
    <row r="72" ht="15.5" spans="21:47">
      <c r="U72" s="36"/>
      <c r="V72" s="36"/>
      <c r="W72" s="36" t="s">
        <v>336</v>
      </c>
      <c r="X72" s="36" t="s">
        <v>337</v>
      </c>
      <c r="Y72" s="40" t="s">
        <v>338</v>
      </c>
      <c r="Z72" s="36" t="s">
        <v>339</v>
      </c>
      <c r="AA72" s="36" t="s">
        <v>340</v>
      </c>
      <c r="AB72" s="42" t="s">
        <v>341</v>
      </c>
      <c r="AC72" s="42" t="s">
        <v>342</v>
      </c>
      <c r="AD72" s="36"/>
      <c r="AE72" s="36"/>
      <c r="AF72" s="36" t="s">
        <v>336</v>
      </c>
      <c r="AG72" s="36" t="s">
        <v>337</v>
      </c>
      <c r="AH72" s="40" t="s">
        <v>338</v>
      </c>
      <c r="AI72" s="36" t="s">
        <v>339</v>
      </c>
      <c r="AJ72" s="36" t="s">
        <v>340</v>
      </c>
      <c r="AK72" s="42" t="s">
        <v>341</v>
      </c>
      <c r="AL72" s="42" t="s">
        <v>342</v>
      </c>
      <c r="AM72" s="36"/>
      <c r="AN72" s="36"/>
      <c r="AO72" s="36" t="s">
        <v>336</v>
      </c>
      <c r="AP72" s="36" t="s">
        <v>337</v>
      </c>
      <c r="AQ72" s="40" t="s">
        <v>338</v>
      </c>
      <c r="AR72" s="36" t="s">
        <v>339</v>
      </c>
      <c r="AS72" s="36" t="s">
        <v>340</v>
      </c>
      <c r="AT72" s="42" t="s">
        <v>341</v>
      </c>
      <c r="AU72" s="42" t="s">
        <v>342</v>
      </c>
    </row>
    <row r="73" spans="21:47">
      <c r="U73" s="35" t="s">
        <v>343</v>
      </c>
      <c r="V73" s="50"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5"/>
      <c r="V74" s="51"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5"/>
      <c r="V75" s="50"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5"/>
      <c r="V76" s="50"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5" t="s">
        <v>241</v>
      </c>
      <c r="V77" s="50"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5"/>
      <c r="V78" s="51"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5"/>
      <c r="V79" s="50"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6"/>
      <c r="AE79" s="36"/>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6"/>
      <c r="AN79" s="36"/>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5"/>
      <c r="V80" s="50"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6"/>
      <c r="AE80" s="36"/>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6"/>
      <c r="AN80" s="36"/>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5" t="s">
        <v>369</v>
      </c>
      <c r="V81" s="50" t="s">
        <v>122</v>
      </c>
      <c r="W81" s="36">
        <f t="shared" ref="W81:AC81" si="212">W14-W15</f>
        <v>0.010830385716692</v>
      </c>
      <c r="X81" s="36">
        <f t="shared" si="212"/>
        <v>0.0104020530367836</v>
      </c>
      <c r="Y81" s="36">
        <f t="shared" si="212"/>
        <v>0.0107085201793722</v>
      </c>
      <c r="Z81" s="36">
        <f t="shared" si="212"/>
        <v>0.0117702805155421</v>
      </c>
      <c r="AA81" s="36">
        <f t="shared" si="212"/>
        <v>0.011933619242961</v>
      </c>
      <c r="AB81" s="36">
        <f t="shared" si="212"/>
        <v>0.00898419864559818</v>
      </c>
      <c r="AC81" s="36">
        <f t="shared" si="212"/>
        <v>0.0105588963565617</v>
      </c>
      <c r="AD81" s="36"/>
      <c r="AE81" s="36"/>
      <c r="AF81" s="36">
        <f t="shared" ref="AF81:AL81" si="213">AF14-AF15</f>
        <v>0.010830385716692</v>
      </c>
      <c r="AG81" s="36">
        <f t="shared" si="213"/>
        <v>0.0104020530367836</v>
      </c>
      <c r="AH81" s="36">
        <f t="shared" si="213"/>
        <v>0.0107085201793722</v>
      </c>
      <c r="AI81" s="36">
        <f t="shared" si="213"/>
        <v>0.0117702805155421</v>
      </c>
      <c r="AJ81" s="36">
        <f t="shared" si="213"/>
        <v>0.011933619242961</v>
      </c>
      <c r="AK81" s="36">
        <f t="shared" si="213"/>
        <v>0.0103318284424379</v>
      </c>
      <c r="AL81" s="36">
        <f t="shared" si="213"/>
        <v>0.012142730810046</v>
      </c>
      <c r="AM81" s="36"/>
      <c r="AN81" s="36"/>
      <c r="AO81" s="36">
        <f t="shared" ref="AO81:AU81" si="214">AO14-AO15</f>
        <v>0.010830385716692</v>
      </c>
      <c r="AP81" s="36">
        <f t="shared" si="214"/>
        <v>0.0104020530367836</v>
      </c>
      <c r="AQ81" s="36">
        <f t="shared" si="214"/>
        <v>0.0107085201793722</v>
      </c>
      <c r="AR81" s="36">
        <f t="shared" si="214"/>
        <v>0.0117702805155421</v>
      </c>
      <c r="AS81" s="36">
        <f t="shared" si="214"/>
        <v>0.011933619242961</v>
      </c>
      <c r="AT81" s="36">
        <f t="shared" si="214"/>
        <v>0.00763656884875846</v>
      </c>
      <c r="AU81" s="36">
        <f t="shared" si="214"/>
        <v>0.00897506190307747</v>
      </c>
    </row>
    <row r="82" ht="15.5" spans="21:47">
      <c r="U82" s="35"/>
      <c r="V82" s="51" t="s">
        <v>366</v>
      </c>
      <c r="W82" s="36">
        <f t="shared" ref="W82:AC82" si="215">W16</f>
        <v>0.0447027118073101</v>
      </c>
      <c r="X82" s="36">
        <f t="shared" si="215"/>
        <v>0.0428058169375535</v>
      </c>
      <c r="Y82" s="36">
        <f t="shared" si="215"/>
        <v>0.0441255605381166</v>
      </c>
      <c r="Z82" s="36">
        <f t="shared" si="215"/>
        <v>0.0456406368460955</v>
      </c>
      <c r="AA82" s="36">
        <f t="shared" si="215"/>
        <v>0.0467275778482193</v>
      </c>
      <c r="AB82" s="36">
        <f t="shared" si="215"/>
        <v>0.037020316027088</v>
      </c>
      <c r="AC82" s="36">
        <f t="shared" si="215"/>
        <v>0.0435090201627167</v>
      </c>
      <c r="AD82" s="36"/>
      <c r="AE82" s="36"/>
      <c r="AF82" s="36">
        <f t="shared" ref="AF82:AL82" si="216">AF16</f>
        <v>0.0447027118073101</v>
      </c>
      <c r="AG82" s="36">
        <f t="shared" si="216"/>
        <v>0.0428058169375535</v>
      </c>
      <c r="AH82" s="36">
        <f t="shared" si="216"/>
        <v>0.0441255605381166</v>
      </c>
      <c r="AI82" s="36">
        <f t="shared" si="216"/>
        <v>0.0456406368460955</v>
      </c>
      <c r="AJ82" s="36">
        <f t="shared" si="216"/>
        <v>0.0467275778482193</v>
      </c>
      <c r="AK82" s="36">
        <f t="shared" si="216"/>
        <v>0.0425733634311512</v>
      </c>
      <c r="AL82" s="36">
        <f t="shared" si="216"/>
        <v>0.0500353731871242</v>
      </c>
      <c r="AM82" s="36"/>
      <c r="AN82" s="36"/>
      <c r="AO82" s="36">
        <f t="shared" ref="AO82:AU82" si="217">AO16</f>
        <v>0.0447027118073101</v>
      </c>
      <c r="AP82" s="36">
        <f t="shared" si="217"/>
        <v>0.0428058169375535</v>
      </c>
      <c r="AQ82" s="36">
        <f t="shared" si="217"/>
        <v>0.0441255605381166</v>
      </c>
      <c r="AR82" s="36">
        <f t="shared" si="217"/>
        <v>0.0456406368460955</v>
      </c>
      <c r="AS82" s="36">
        <f t="shared" si="217"/>
        <v>0.0467275778482193</v>
      </c>
      <c r="AT82" s="36">
        <f t="shared" si="217"/>
        <v>0.0314672686230248</v>
      </c>
      <c r="AU82" s="36">
        <f t="shared" si="217"/>
        <v>0.0369826671383092</v>
      </c>
    </row>
    <row r="83" ht="15.5" spans="21:47">
      <c r="U83" s="35"/>
      <c r="V83" s="50" t="s">
        <v>367</v>
      </c>
      <c r="W83" s="36">
        <f t="shared" ref="W83:AC83" si="218">W17</f>
        <v>0.0724945258548088</v>
      </c>
      <c r="X83" s="36">
        <f t="shared" si="218"/>
        <v>0.0706073567151412</v>
      </c>
      <c r="Y83" s="36">
        <f t="shared" si="218"/>
        <v>0.0732017937219731</v>
      </c>
      <c r="Z83" s="36">
        <f t="shared" si="218"/>
        <v>0.076516300227445</v>
      </c>
      <c r="AA83" s="36">
        <f t="shared" si="218"/>
        <v>0.0803841133693828</v>
      </c>
      <c r="AB83" s="36">
        <f t="shared" si="218"/>
        <v>0.0614145974416855</v>
      </c>
      <c r="AC83" s="36">
        <f t="shared" si="218"/>
        <v>0.0721789883268483</v>
      </c>
      <c r="AD83" s="36"/>
      <c r="AE83" s="36"/>
      <c r="AF83" s="36">
        <f t="shared" ref="AF83:AL83" si="219">AF17</f>
        <v>0.0724945258548088</v>
      </c>
      <c r="AG83" s="36">
        <f t="shared" si="219"/>
        <v>0.0706073567151412</v>
      </c>
      <c r="AH83" s="36">
        <f t="shared" si="219"/>
        <v>0.0732017937219731</v>
      </c>
      <c r="AI83" s="36">
        <f t="shared" si="219"/>
        <v>0.076516300227445</v>
      </c>
      <c r="AJ83" s="36">
        <f t="shared" si="219"/>
        <v>0.0803841133693828</v>
      </c>
      <c r="AK83" s="36">
        <f t="shared" si="219"/>
        <v>0.0706267870579383</v>
      </c>
      <c r="AL83" s="36">
        <f t="shared" si="219"/>
        <v>0.0830058365758755</v>
      </c>
      <c r="AM83" s="36"/>
      <c r="AN83" s="36"/>
      <c r="AO83" s="36">
        <f t="shared" ref="AO83:AU83" si="220">AO17</f>
        <v>0.0724945258548088</v>
      </c>
      <c r="AP83" s="36">
        <f t="shared" si="220"/>
        <v>0.0706073567151412</v>
      </c>
      <c r="AQ83" s="36">
        <f t="shared" si="220"/>
        <v>0.0732017937219731</v>
      </c>
      <c r="AR83" s="36">
        <f t="shared" si="220"/>
        <v>0.076516300227445</v>
      </c>
      <c r="AS83" s="36">
        <f t="shared" si="220"/>
        <v>0.0803841133693828</v>
      </c>
      <c r="AT83" s="36">
        <f t="shared" si="220"/>
        <v>0.0522024078254327</v>
      </c>
      <c r="AU83" s="36">
        <f t="shared" si="220"/>
        <v>0.061352140077821</v>
      </c>
    </row>
    <row r="84" ht="15.5" spans="21:47">
      <c r="U84" s="35"/>
      <c r="V84" s="50" t="s">
        <v>368</v>
      </c>
      <c r="W84" s="36">
        <f t="shared" ref="W84:AC84" si="221">W18</f>
        <v>0.0131547919824827</v>
      </c>
      <c r="X84" s="36">
        <f t="shared" si="221"/>
        <v>0.0128656971770744</v>
      </c>
      <c r="Y84" s="36">
        <f t="shared" si="221"/>
        <v>0.0133273542600897</v>
      </c>
      <c r="Z84" s="36">
        <f t="shared" si="221"/>
        <v>0.0145564821834723</v>
      </c>
      <c r="AA84" s="36">
        <f t="shared" si="221"/>
        <v>0.0148610852134999</v>
      </c>
      <c r="AB84" s="36">
        <f t="shared" si="221"/>
        <v>0.0111813393528969</v>
      </c>
      <c r="AC84" s="36">
        <f t="shared" si="221"/>
        <v>0.0131411390166254</v>
      </c>
      <c r="AD84" s="36"/>
      <c r="AE84" s="36"/>
      <c r="AF84" s="36">
        <f t="shared" ref="AF84:AL84" si="222">AF18</f>
        <v>0.0131547919824827</v>
      </c>
      <c r="AG84" s="36">
        <f t="shared" si="222"/>
        <v>0.0128656971770744</v>
      </c>
      <c r="AH84" s="36">
        <f t="shared" si="222"/>
        <v>0.0133273542600897</v>
      </c>
      <c r="AI84" s="36">
        <f t="shared" si="222"/>
        <v>0.0145564821834723</v>
      </c>
      <c r="AJ84" s="36">
        <f t="shared" si="222"/>
        <v>0.0148610852134999</v>
      </c>
      <c r="AK84" s="36">
        <f t="shared" si="222"/>
        <v>0.0128585402558315</v>
      </c>
      <c r="AL84" s="36">
        <f t="shared" si="222"/>
        <v>0.0151123098691192</v>
      </c>
      <c r="AM84" s="36"/>
      <c r="AN84" s="36"/>
      <c r="AO84" s="36">
        <f t="shared" ref="AO84:AU84" si="223">AO18</f>
        <v>0.0131547919824827</v>
      </c>
      <c r="AP84" s="36">
        <f t="shared" si="223"/>
        <v>0.0128656971770744</v>
      </c>
      <c r="AQ84" s="36">
        <f t="shared" si="223"/>
        <v>0.0133273542600897</v>
      </c>
      <c r="AR84" s="36">
        <f t="shared" si="223"/>
        <v>0.0145564821834723</v>
      </c>
      <c r="AS84" s="36">
        <f t="shared" si="223"/>
        <v>0.0148610852134999</v>
      </c>
      <c r="AT84" s="36">
        <f t="shared" si="223"/>
        <v>0.00950413844996238</v>
      </c>
      <c r="AU84" s="36">
        <f t="shared" si="223"/>
        <v>0.0111699681641316</v>
      </c>
    </row>
    <row r="85" ht="15.5" spans="21:47">
      <c r="U85" s="35" t="s">
        <v>369</v>
      </c>
      <c r="V85" s="50" t="s">
        <v>122</v>
      </c>
      <c r="W85" s="52">
        <f t="shared" ref="W85:AC85" si="224">W81</f>
        <v>0.010830385716692</v>
      </c>
      <c r="X85" s="52">
        <f t="shared" si="224"/>
        <v>0.0104020530367836</v>
      </c>
      <c r="Y85" s="52">
        <f t="shared" si="224"/>
        <v>0.0107085201793722</v>
      </c>
      <c r="Z85" s="52">
        <f t="shared" si="224"/>
        <v>0.0117702805155421</v>
      </c>
      <c r="AA85" s="52">
        <f t="shared" si="224"/>
        <v>0.011933619242961</v>
      </c>
      <c r="AB85" s="52">
        <f t="shared" si="224"/>
        <v>0.00898419864559818</v>
      </c>
      <c r="AC85" s="52">
        <f t="shared" si="224"/>
        <v>0.0105588963565617</v>
      </c>
      <c r="AD85" s="36"/>
      <c r="AE85" s="36"/>
      <c r="AF85" s="52">
        <f t="shared" ref="AF85:AL85" si="225">AF81</f>
        <v>0.010830385716692</v>
      </c>
      <c r="AG85" s="52">
        <f t="shared" si="225"/>
        <v>0.0104020530367836</v>
      </c>
      <c r="AH85" s="52">
        <f t="shared" si="225"/>
        <v>0.0107085201793722</v>
      </c>
      <c r="AI85" s="52">
        <f t="shared" si="225"/>
        <v>0.0117702805155421</v>
      </c>
      <c r="AJ85" s="52">
        <f t="shared" si="225"/>
        <v>0.011933619242961</v>
      </c>
      <c r="AK85" s="52">
        <f t="shared" si="225"/>
        <v>0.0103318284424379</v>
      </c>
      <c r="AL85" s="52">
        <f t="shared" si="225"/>
        <v>0.012142730810046</v>
      </c>
      <c r="AM85" s="36"/>
      <c r="AN85" s="36"/>
      <c r="AO85" s="52">
        <f t="shared" ref="AO85:AU85" si="226">AO81</f>
        <v>0.010830385716692</v>
      </c>
      <c r="AP85" s="52">
        <f t="shared" si="226"/>
        <v>0.0104020530367836</v>
      </c>
      <c r="AQ85" s="52">
        <f t="shared" si="226"/>
        <v>0.0107085201793722</v>
      </c>
      <c r="AR85" s="52">
        <f t="shared" si="226"/>
        <v>0.0117702805155421</v>
      </c>
      <c r="AS85" s="52">
        <f t="shared" si="226"/>
        <v>0.011933619242961</v>
      </c>
      <c r="AT85" s="52">
        <f t="shared" si="226"/>
        <v>0.00763656884875846</v>
      </c>
      <c r="AU85" s="52">
        <f t="shared" si="226"/>
        <v>0.00897506190307747</v>
      </c>
    </row>
    <row r="86" ht="15.5" spans="21:47">
      <c r="U86" s="35"/>
      <c r="V86" s="51" t="s">
        <v>366</v>
      </c>
      <c r="W86" s="52">
        <f t="shared" ref="W86:AC86" si="227">W82</f>
        <v>0.0447027118073101</v>
      </c>
      <c r="X86" s="52">
        <f t="shared" si="227"/>
        <v>0.0428058169375535</v>
      </c>
      <c r="Y86" s="52">
        <f t="shared" si="227"/>
        <v>0.0441255605381166</v>
      </c>
      <c r="Z86" s="52">
        <f t="shared" si="227"/>
        <v>0.0456406368460955</v>
      </c>
      <c r="AA86" s="52">
        <f t="shared" si="227"/>
        <v>0.0467275778482193</v>
      </c>
      <c r="AB86" s="52">
        <f t="shared" si="227"/>
        <v>0.037020316027088</v>
      </c>
      <c r="AC86" s="52">
        <f t="shared" si="227"/>
        <v>0.0435090201627167</v>
      </c>
      <c r="AD86" s="36"/>
      <c r="AE86" s="36"/>
      <c r="AF86" s="52">
        <f t="shared" ref="AF86:AL86" si="228">AF82</f>
        <v>0.0447027118073101</v>
      </c>
      <c r="AG86" s="52">
        <f t="shared" si="228"/>
        <v>0.0428058169375535</v>
      </c>
      <c r="AH86" s="52">
        <f t="shared" si="228"/>
        <v>0.0441255605381166</v>
      </c>
      <c r="AI86" s="52">
        <f t="shared" si="228"/>
        <v>0.0456406368460955</v>
      </c>
      <c r="AJ86" s="52">
        <f t="shared" si="228"/>
        <v>0.0467275778482193</v>
      </c>
      <c r="AK86" s="52">
        <f t="shared" si="228"/>
        <v>0.0425733634311512</v>
      </c>
      <c r="AL86" s="52">
        <f t="shared" si="228"/>
        <v>0.0500353731871242</v>
      </c>
      <c r="AM86" s="36"/>
      <c r="AN86" s="36"/>
      <c r="AO86" s="52">
        <f t="shared" ref="AO86:AU86" si="229">AO82</f>
        <v>0.0447027118073101</v>
      </c>
      <c r="AP86" s="52">
        <f t="shared" si="229"/>
        <v>0.0428058169375535</v>
      </c>
      <c r="AQ86" s="52">
        <f t="shared" si="229"/>
        <v>0.0441255605381166</v>
      </c>
      <c r="AR86" s="52">
        <f t="shared" si="229"/>
        <v>0.0456406368460955</v>
      </c>
      <c r="AS86" s="52">
        <f t="shared" si="229"/>
        <v>0.0467275778482193</v>
      </c>
      <c r="AT86" s="52">
        <f t="shared" si="229"/>
        <v>0.0314672686230248</v>
      </c>
      <c r="AU86" s="52">
        <f t="shared" si="229"/>
        <v>0.0369826671383092</v>
      </c>
    </row>
    <row r="87" ht="15.5" spans="21:47">
      <c r="U87" s="35"/>
      <c r="V87" s="50" t="s">
        <v>367</v>
      </c>
      <c r="W87" s="52">
        <f t="shared" ref="W87:AC87" si="230">W83</f>
        <v>0.0724945258548088</v>
      </c>
      <c r="X87" s="52">
        <f t="shared" si="230"/>
        <v>0.0706073567151412</v>
      </c>
      <c r="Y87" s="52">
        <f t="shared" si="230"/>
        <v>0.0732017937219731</v>
      </c>
      <c r="Z87" s="52">
        <f t="shared" si="230"/>
        <v>0.076516300227445</v>
      </c>
      <c r="AA87" s="52">
        <f t="shared" si="230"/>
        <v>0.0803841133693828</v>
      </c>
      <c r="AB87" s="52">
        <f t="shared" si="230"/>
        <v>0.0614145974416855</v>
      </c>
      <c r="AC87" s="52">
        <f t="shared" si="230"/>
        <v>0.0721789883268483</v>
      </c>
      <c r="AD87" s="36"/>
      <c r="AE87" s="36"/>
      <c r="AF87" s="52">
        <f t="shared" ref="AF87:AL87" si="231">AF83</f>
        <v>0.0724945258548088</v>
      </c>
      <c r="AG87" s="52">
        <f t="shared" si="231"/>
        <v>0.0706073567151412</v>
      </c>
      <c r="AH87" s="52">
        <f t="shared" si="231"/>
        <v>0.0732017937219731</v>
      </c>
      <c r="AI87" s="52">
        <f t="shared" si="231"/>
        <v>0.076516300227445</v>
      </c>
      <c r="AJ87" s="52">
        <f t="shared" si="231"/>
        <v>0.0803841133693828</v>
      </c>
      <c r="AK87" s="52">
        <f t="shared" si="231"/>
        <v>0.0706267870579383</v>
      </c>
      <c r="AL87" s="52">
        <f t="shared" si="231"/>
        <v>0.0830058365758755</v>
      </c>
      <c r="AM87" s="36"/>
      <c r="AN87" s="36"/>
      <c r="AO87" s="52">
        <f t="shared" ref="AO87:AU87" si="232">AO83</f>
        <v>0.0724945258548088</v>
      </c>
      <c r="AP87" s="52">
        <f t="shared" si="232"/>
        <v>0.0706073567151412</v>
      </c>
      <c r="AQ87" s="52">
        <f t="shared" si="232"/>
        <v>0.0732017937219731</v>
      </c>
      <c r="AR87" s="52">
        <f t="shared" si="232"/>
        <v>0.076516300227445</v>
      </c>
      <c r="AS87" s="52">
        <f t="shared" si="232"/>
        <v>0.0803841133693828</v>
      </c>
      <c r="AT87" s="52">
        <f t="shared" si="232"/>
        <v>0.0522024078254327</v>
      </c>
      <c r="AU87" s="52">
        <f t="shared" si="232"/>
        <v>0.061352140077821</v>
      </c>
    </row>
    <row r="88" ht="15.5" spans="21:47">
      <c r="U88" s="35"/>
      <c r="V88" s="50" t="s">
        <v>368</v>
      </c>
      <c r="W88" s="52">
        <f t="shared" ref="W88:AC88" si="233">W84</f>
        <v>0.0131547919824827</v>
      </c>
      <c r="X88" s="52">
        <f t="shared" si="233"/>
        <v>0.0128656971770744</v>
      </c>
      <c r="Y88" s="52">
        <f t="shared" si="233"/>
        <v>0.0133273542600897</v>
      </c>
      <c r="Z88" s="52">
        <f t="shared" si="233"/>
        <v>0.0145564821834723</v>
      </c>
      <c r="AA88" s="52">
        <f t="shared" si="233"/>
        <v>0.0148610852134999</v>
      </c>
      <c r="AB88" s="52">
        <f t="shared" si="233"/>
        <v>0.0111813393528969</v>
      </c>
      <c r="AC88" s="52">
        <f t="shared" si="233"/>
        <v>0.0131411390166254</v>
      </c>
      <c r="AD88" s="36"/>
      <c r="AE88" s="36"/>
      <c r="AF88" s="52">
        <f t="shared" ref="AF88:AL88" si="234">AF84</f>
        <v>0.0131547919824827</v>
      </c>
      <c r="AG88" s="52">
        <f t="shared" si="234"/>
        <v>0.0128656971770744</v>
      </c>
      <c r="AH88" s="52">
        <f t="shared" si="234"/>
        <v>0.0133273542600897</v>
      </c>
      <c r="AI88" s="52">
        <f t="shared" si="234"/>
        <v>0.0145564821834723</v>
      </c>
      <c r="AJ88" s="52">
        <f t="shared" si="234"/>
        <v>0.0148610852134999</v>
      </c>
      <c r="AK88" s="52">
        <f t="shared" si="234"/>
        <v>0.0128585402558315</v>
      </c>
      <c r="AL88" s="52">
        <f t="shared" si="234"/>
        <v>0.0151123098691192</v>
      </c>
      <c r="AM88" s="36"/>
      <c r="AN88" s="36"/>
      <c r="AO88" s="52">
        <f t="shared" ref="AO88:AU88" si="235">AO84</f>
        <v>0.0131547919824827</v>
      </c>
      <c r="AP88" s="52">
        <f t="shared" si="235"/>
        <v>0.0128656971770744</v>
      </c>
      <c r="AQ88" s="52">
        <f t="shared" si="235"/>
        <v>0.0133273542600897</v>
      </c>
      <c r="AR88" s="52">
        <f t="shared" si="235"/>
        <v>0.0145564821834723</v>
      </c>
      <c r="AS88" s="52">
        <f t="shared" si="235"/>
        <v>0.0148610852134999</v>
      </c>
      <c r="AT88" s="52">
        <f t="shared" si="235"/>
        <v>0.00950413844996238</v>
      </c>
      <c r="AU88" s="52">
        <f t="shared" si="235"/>
        <v>0.0111699681641316</v>
      </c>
    </row>
    <row r="89" ht="15.5" spans="21:47">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row>
    <row r="90" ht="15.5" spans="21:47">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row>
    <row r="91" ht="15.5" spans="21:47">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row>
    <row r="92" ht="15.5" spans="21:47">
      <c r="U92" s="36"/>
      <c r="V92" s="36"/>
      <c r="W92" s="36" t="s">
        <v>336</v>
      </c>
      <c r="X92" s="36" t="s">
        <v>337</v>
      </c>
      <c r="Y92" s="40" t="s">
        <v>338</v>
      </c>
      <c r="Z92" s="36" t="s">
        <v>339</v>
      </c>
      <c r="AA92" s="36" t="s">
        <v>340</v>
      </c>
      <c r="AB92" s="42" t="s">
        <v>341</v>
      </c>
      <c r="AC92" s="42" t="s">
        <v>342</v>
      </c>
      <c r="AD92" s="36"/>
      <c r="AE92" s="36"/>
      <c r="AF92" s="36" t="s">
        <v>336</v>
      </c>
      <c r="AG92" s="36" t="s">
        <v>337</v>
      </c>
      <c r="AH92" s="40" t="s">
        <v>338</v>
      </c>
      <c r="AI92" s="36" t="s">
        <v>339</v>
      </c>
      <c r="AJ92" s="36" t="s">
        <v>340</v>
      </c>
      <c r="AK92" s="42" t="s">
        <v>341</v>
      </c>
      <c r="AL92" s="42" t="s">
        <v>342</v>
      </c>
      <c r="AM92" s="36"/>
      <c r="AN92" s="36"/>
      <c r="AO92" s="36" t="s">
        <v>336</v>
      </c>
      <c r="AP92" s="36" t="s">
        <v>337</v>
      </c>
      <c r="AQ92" s="40" t="s">
        <v>338</v>
      </c>
      <c r="AR92" s="36" t="s">
        <v>339</v>
      </c>
      <c r="AS92" s="36" t="s">
        <v>340</v>
      </c>
      <c r="AT92" s="42" t="s">
        <v>341</v>
      </c>
      <c r="AU92" s="42" t="s">
        <v>342</v>
      </c>
    </row>
    <row r="93" spans="21:47">
      <c r="U93" s="35" t="s">
        <v>343</v>
      </c>
      <c r="V93" s="50"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5"/>
      <c r="V94" s="51"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5"/>
      <c r="V95" s="50"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5"/>
      <c r="V96" s="50"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5" t="s">
        <v>241</v>
      </c>
      <c r="V97" s="50"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5"/>
      <c r="V98" s="51"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5"/>
      <c r="V99" s="50"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6"/>
      <c r="AE99" s="36"/>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6"/>
      <c r="AN99" s="36"/>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5"/>
      <c r="V100" s="50"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6"/>
      <c r="AE100" s="36"/>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6"/>
      <c r="AN100" s="36"/>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5" t="s">
        <v>369</v>
      </c>
      <c r="V101" s="50" t="s">
        <v>122</v>
      </c>
      <c r="W101" s="36">
        <f t="shared" ref="W101:AC101" si="260">W34-W35</f>
        <v>0.011840997136601</v>
      </c>
      <c r="X101" s="36">
        <f t="shared" si="260"/>
        <v>0.011377245508982</v>
      </c>
      <c r="Y101" s="36">
        <f t="shared" si="260"/>
        <v>0.0117668161434977</v>
      </c>
      <c r="Z101" s="36">
        <f t="shared" si="260"/>
        <v>0.0120924943138741</v>
      </c>
      <c r="AA101" s="36">
        <f t="shared" si="260"/>
        <v>0.0122878985642364</v>
      </c>
      <c r="AB101" s="36">
        <f t="shared" si="260"/>
        <v>0.00987208427389014</v>
      </c>
      <c r="AC101" s="36">
        <f t="shared" si="260"/>
        <v>0.0116024053767244</v>
      </c>
      <c r="AD101" s="36"/>
      <c r="AE101" s="36"/>
      <c r="AF101" s="36">
        <f t="shared" ref="AF101:AL101" si="261">AF34-AF35</f>
        <v>0.011840997136601</v>
      </c>
      <c r="AG101" s="36">
        <f t="shared" si="261"/>
        <v>0.011377245508982</v>
      </c>
      <c r="AH101" s="36">
        <f t="shared" si="261"/>
        <v>0.0117668161434977</v>
      </c>
      <c r="AI101" s="36">
        <f t="shared" si="261"/>
        <v>0.0120924943138741</v>
      </c>
      <c r="AJ101" s="36">
        <f t="shared" si="261"/>
        <v>0.0122878985642364</v>
      </c>
      <c r="AK101" s="36">
        <f t="shared" si="261"/>
        <v>0.0113528969149737</v>
      </c>
      <c r="AL101" s="36">
        <f t="shared" si="261"/>
        <v>0.0133427661832331</v>
      </c>
      <c r="AM101" s="36"/>
      <c r="AN101" s="36"/>
      <c r="AO101" s="36">
        <f t="shared" ref="AO101:AU101" si="262">AO34-AO35</f>
        <v>0.011840997136601</v>
      </c>
      <c r="AP101" s="36">
        <f t="shared" si="262"/>
        <v>0.011377245508982</v>
      </c>
      <c r="AQ101" s="36">
        <f t="shared" si="262"/>
        <v>0.0117668161434977</v>
      </c>
      <c r="AR101" s="36">
        <f t="shared" si="262"/>
        <v>0.0120924943138741</v>
      </c>
      <c r="AS101" s="36">
        <f t="shared" si="262"/>
        <v>0.0122878985642364</v>
      </c>
      <c r="AT101" s="36">
        <f t="shared" si="262"/>
        <v>0.00839127163280662</v>
      </c>
      <c r="AU101" s="36">
        <f t="shared" si="262"/>
        <v>0.00986204457021578</v>
      </c>
    </row>
    <row r="102" ht="15.5" spans="21:47">
      <c r="U102" s="35"/>
      <c r="V102" s="51" t="s">
        <v>366</v>
      </c>
      <c r="W102" s="36">
        <f t="shared" ref="W102:AC102" si="263">W36</f>
        <v>0.0404413003200269</v>
      </c>
      <c r="X102" s="36">
        <f t="shared" si="263"/>
        <v>0.0389734816082122</v>
      </c>
      <c r="Y102" s="36">
        <f t="shared" si="263"/>
        <v>0.0403408071748879</v>
      </c>
      <c r="Z102" s="36">
        <f t="shared" si="263"/>
        <v>0.0420204700530705</v>
      </c>
      <c r="AA102" s="36">
        <f t="shared" si="263"/>
        <v>0.0428118590341227</v>
      </c>
      <c r="AB102" s="36">
        <f t="shared" si="263"/>
        <v>0.0338449962377728</v>
      </c>
      <c r="AC102" s="36">
        <f t="shared" si="263"/>
        <v>0.0397771489211178</v>
      </c>
      <c r="AD102" s="36"/>
      <c r="AE102" s="36"/>
      <c r="AF102" s="36">
        <f t="shared" ref="AF102:AL102" si="264">AF36</f>
        <v>0.0404413003200269</v>
      </c>
      <c r="AG102" s="36">
        <f t="shared" si="264"/>
        <v>0.0389734816082122</v>
      </c>
      <c r="AH102" s="36">
        <f t="shared" si="264"/>
        <v>0.0403408071748879</v>
      </c>
      <c r="AI102" s="36">
        <f t="shared" si="264"/>
        <v>0.0420204700530705</v>
      </c>
      <c r="AJ102" s="36">
        <f t="shared" si="264"/>
        <v>0.0428118590341227</v>
      </c>
      <c r="AK102" s="36">
        <f t="shared" si="264"/>
        <v>0.0389217456734387</v>
      </c>
      <c r="AL102" s="36">
        <f t="shared" si="264"/>
        <v>0.0457437212592855</v>
      </c>
      <c r="AM102" s="36"/>
      <c r="AN102" s="36"/>
      <c r="AO102" s="36">
        <f t="shared" ref="AO102:AU102" si="265">AO36</f>
        <v>0.0404413003200269</v>
      </c>
      <c r="AP102" s="36">
        <f t="shared" si="265"/>
        <v>0.0389734816082122</v>
      </c>
      <c r="AQ102" s="36">
        <f t="shared" si="265"/>
        <v>0.0403408071748879</v>
      </c>
      <c r="AR102" s="36">
        <f t="shared" si="265"/>
        <v>0.0420204700530705</v>
      </c>
      <c r="AS102" s="36">
        <f t="shared" si="265"/>
        <v>0.0428118590341227</v>
      </c>
      <c r="AT102" s="36">
        <f t="shared" si="265"/>
        <v>0.0287682468021069</v>
      </c>
      <c r="AU102" s="36">
        <f t="shared" si="265"/>
        <v>0.0338105765829501</v>
      </c>
    </row>
    <row r="103" ht="15.5" spans="21:47">
      <c r="U103" s="35"/>
      <c r="V103" s="50" t="s">
        <v>367</v>
      </c>
      <c r="W103" s="36">
        <f t="shared" ref="W103:AC103" si="266">W37</f>
        <v>0.0870304867778339</v>
      </c>
      <c r="X103" s="36">
        <f t="shared" si="266"/>
        <v>0.0843627031650984</v>
      </c>
      <c r="Y103" s="36">
        <f t="shared" si="266"/>
        <v>0.0874439461883408</v>
      </c>
      <c r="Z103" s="36">
        <f t="shared" si="266"/>
        <v>0.0881918119787718</v>
      </c>
      <c r="AA103" s="36">
        <f t="shared" si="266"/>
        <v>0.0922245012120082</v>
      </c>
      <c r="AB103" s="36">
        <f t="shared" si="266"/>
        <v>0.0733634311512415</v>
      </c>
      <c r="AC103" s="36">
        <f t="shared" si="266"/>
        <v>0.0862221436151397</v>
      </c>
      <c r="AD103" s="36"/>
      <c r="AE103" s="36"/>
      <c r="AF103" s="36">
        <f t="shared" ref="AF103:AL103" si="267">AF37</f>
        <v>0.0870304867778339</v>
      </c>
      <c r="AG103" s="36">
        <f t="shared" si="267"/>
        <v>0.0843627031650984</v>
      </c>
      <c r="AH103" s="36">
        <f t="shared" si="267"/>
        <v>0.0874439461883408</v>
      </c>
      <c r="AI103" s="36">
        <f t="shared" si="267"/>
        <v>0.0881918119787718</v>
      </c>
      <c r="AJ103" s="36">
        <f t="shared" si="267"/>
        <v>0.0922245012120082</v>
      </c>
      <c r="AK103" s="36">
        <f t="shared" si="267"/>
        <v>0.0843679458239278</v>
      </c>
      <c r="AL103" s="36">
        <f t="shared" si="267"/>
        <v>0.0991554651574107</v>
      </c>
      <c r="AM103" s="36"/>
      <c r="AN103" s="36"/>
      <c r="AO103" s="36">
        <f t="shared" ref="AO103:AU103" si="268">AO37</f>
        <v>0.0870304867778339</v>
      </c>
      <c r="AP103" s="36">
        <f t="shared" si="268"/>
        <v>0.0843627031650984</v>
      </c>
      <c r="AQ103" s="36">
        <f t="shared" si="268"/>
        <v>0.0874439461883408</v>
      </c>
      <c r="AR103" s="36">
        <f t="shared" si="268"/>
        <v>0.0881918119787718</v>
      </c>
      <c r="AS103" s="36">
        <f t="shared" si="268"/>
        <v>0.0922245012120082</v>
      </c>
      <c r="AT103" s="36">
        <f t="shared" si="268"/>
        <v>0.0623589164785553</v>
      </c>
      <c r="AU103" s="36">
        <f t="shared" si="268"/>
        <v>0.0732888220728688</v>
      </c>
    </row>
    <row r="104" ht="15.5" spans="21:47">
      <c r="U104" s="35"/>
      <c r="V104" s="50" t="s">
        <v>368</v>
      </c>
      <c r="W104" s="36">
        <f t="shared" ref="W104:AC104" si="269">W38</f>
        <v>0.0133569142664645</v>
      </c>
      <c r="X104" s="36">
        <f t="shared" si="269"/>
        <v>0.0131907613344739</v>
      </c>
      <c r="Y104" s="36">
        <f t="shared" si="269"/>
        <v>0.0137399103139013</v>
      </c>
      <c r="Z104" s="36">
        <f t="shared" si="269"/>
        <v>0.0141015921152388</v>
      </c>
      <c r="AA104" s="36">
        <f t="shared" si="269"/>
        <v>0.0143016968114861</v>
      </c>
      <c r="AB104" s="36">
        <f t="shared" si="269"/>
        <v>0.0115274642588412</v>
      </c>
      <c r="AC104" s="36">
        <f t="shared" si="269"/>
        <v>0.0135479306685532</v>
      </c>
      <c r="AD104" s="36"/>
      <c r="AE104" s="36"/>
      <c r="AF104" s="36">
        <f t="shared" ref="AF104:AL104" si="270">AF38</f>
        <v>0.0133569142664645</v>
      </c>
      <c r="AG104" s="36">
        <f t="shared" si="270"/>
        <v>0.0131907613344739</v>
      </c>
      <c r="AH104" s="36">
        <f t="shared" si="270"/>
        <v>0.0137399103139013</v>
      </c>
      <c r="AI104" s="36">
        <f t="shared" si="270"/>
        <v>0.0141015921152388</v>
      </c>
      <c r="AJ104" s="36">
        <f t="shared" si="270"/>
        <v>0.0143016968114861</v>
      </c>
      <c r="AK104" s="36">
        <f t="shared" si="270"/>
        <v>0.0132565838976674</v>
      </c>
      <c r="AL104" s="36">
        <f t="shared" si="270"/>
        <v>0.0155801202688362</v>
      </c>
      <c r="AM104" s="36"/>
      <c r="AN104" s="36"/>
      <c r="AO104" s="36">
        <f t="shared" ref="AO104:AU104" si="271">AO38</f>
        <v>0.0133569142664645</v>
      </c>
      <c r="AP104" s="36">
        <f t="shared" si="271"/>
        <v>0.0131907613344739</v>
      </c>
      <c r="AQ104" s="36">
        <f t="shared" si="271"/>
        <v>0.0137399103139013</v>
      </c>
      <c r="AR104" s="36">
        <f t="shared" si="271"/>
        <v>0.0141015921152388</v>
      </c>
      <c r="AS104" s="36">
        <f t="shared" si="271"/>
        <v>0.0143016968114861</v>
      </c>
      <c r="AT104" s="36">
        <f t="shared" si="271"/>
        <v>0.00979834462001505</v>
      </c>
      <c r="AU104" s="36">
        <f t="shared" si="271"/>
        <v>0.0115157410682703</v>
      </c>
    </row>
    <row r="105" ht="15.5" spans="21:47">
      <c r="U105" s="35" t="s">
        <v>369</v>
      </c>
      <c r="V105" s="50" t="s">
        <v>122</v>
      </c>
      <c r="W105" s="52">
        <f t="shared" ref="W105:AC105" si="272">W101</f>
        <v>0.011840997136601</v>
      </c>
      <c r="X105" s="52">
        <f t="shared" si="272"/>
        <v>0.011377245508982</v>
      </c>
      <c r="Y105" s="52">
        <f t="shared" si="272"/>
        <v>0.0117668161434977</v>
      </c>
      <c r="Z105" s="52">
        <f t="shared" si="272"/>
        <v>0.0120924943138741</v>
      </c>
      <c r="AA105" s="52">
        <f t="shared" si="272"/>
        <v>0.0122878985642364</v>
      </c>
      <c r="AB105" s="52">
        <f t="shared" si="272"/>
        <v>0.00987208427389014</v>
      </c>
      <c r="AC105" s="52">
        <f t="shared" si="272"/>
        <v>0.0116024053767244</v>
      </c>
      <c r="AD105" s="36"/>
      <c r="AE105" s="36"/>
      <c r="AF105" s="52">
        <f t="shared" ref="AF105:AL105" si="273">AF101</f>
        <v>0.011840997136601</v>
      </c>
      <c r="AG105" s="52">
        <f t="shared" si="273"/>
        <v>0.011377245508982</v>
      </c>
      <c r="AH105" s="52">
        <f t="shared" si="273"/>
        <v>0.0117668161434977</v>
      </c>
      <c r="AI105" s="52">
        <f t="shared" si="273"/>
        <v>0.0120924943138741</v>
      </c>
      <c r="AJ105" s="52">
        <f t="shared" si="273"/>
        <v>0.0122878985642364</v>
      </c>
      <c r="AK105" s="52">
        <f t="shared" si="273"/>
        <v>0.0113528969149737</v>
      </c>
      <c r="AL105" s="52">
        <f t="shared" si="273"/>
        <v>0.0133427661832331</v>
      </c>
      <c r="AM105" s="36"/>
      <c r="AN105" s="36"/>
      <c r="AO105" s="52">
        <f t="shared" ref="AO105:AU105" si="274">AO101</f>
        <v>0.011840997136601</v>
      </c>
      <c r="AP105" s="52">
        <f t="shared" si="274"/>
        <v>0.011377245508982</v>
      </c>
      <c r="AQ105" s="52">
        <f t="shared" si="274"/>
        <v>0.0117668161434977</v>
      </c>
      <c r="AR105" s="52">
        <f t="shared" si="274"/>
        <v>0.0120924943138741</v>
      </c>
      <c r="AS105" s="52">
        <f t="shared" si="274"/>
        <v>0.0122878985642364</v>
      </c>
      <c r="AT105" s="52">
        <f t="shared" si="274"/>
        <v>0.00839127163280662</v>
      </c>
      <c r="AU105" s="52">
        <f t="shared" si="274"/>
        <v>0.00986204457021578</v>
      </c>
    </row>
    <row r="106" ht="15.5" spans="21:47">
      <c r="U106" s="35"/>
      <c r="V106" s="51" t="s">
        <v>366</v>
      </c>
      <c r="W106" s="52">
        <f t="shared" ref="W106:AC106" si="275">W102</f>
        <v>0.0404413003200269</v>
      </c>
      <c r="X106" s="52">
        <f t="shared" si="275"/>
        <v>0.0389734816082122</v>
      </c>
      <c r="Y106" s="52">
        <f t="shared" si="275"/>
        <v>0.0403408071748879</v>
      </c>
      <c r="Z106" s="52">
        <f t="shared" si="275"/>
        <v>0.0420204700530705</v>
      </c>
      <c r="AA106" s="52">
        <f t="shared" si="275"/>
        <v>0.0428118590341227</v>
      </c>
      <c r="AB106" s="52">
        <f t="shared" si="275"/>
        <v>0.0338449962377728</v>
      </c>
      <c r="AC106" s="52">
        <f t="shared" si="275"/>
        <v>0.0397771489211178</v>
      </c>
      <c r="AD106" s="36"/>
      <c r="AE106" s="36"/>
      <c r="AF106" s="52">
        <f t="shared" ref="AF106:AL106" si="276">AF102</f>
        <v>0.0404413003200269</v>
      </c>
      <c r="AG106" s="52">
        <f t="shared" si="276"/>
        <v>0.0389734816082122</v>
      </c>
      <c r="AH106" s="52">
        <f t="shared" si="276"/>
        <v>0.0403408071748879</v>
      </c>
      <c r="AI106" s="52">
        <f t="shared" si="276"/>
        <v>0.0420204700530705</v>
      </c>
      <c r="AJ106" s="52">
        <f t="shared" si="276"/>
        <v>0.0428118590341227</v>
      </c>
      <c r="AK106" s="52">
        <f t="shared" si="276"/>
        <v>0.0389217456734387</v>
      </c>
      <c r="AL106" s="52">
        <f t="shared" si="276"/>
        <v>0.0457437212592855</v>
      </c>
      <c r="AM106" s="36"/>
      <c r="AN106" s="36"/>
      <c r="AO106" s="52">
        <f t="shared" ref="AO106:AU106" si="277">AO102</f>
        <v>0.0404413003200269</v>
      </c>
      <c r="AP106" s="52">
        <f t="shared" si="277"/>
        <v>0.0389734816082122</v>
      </c>
      <c r="AQ106" s="52">
        <f t="shared" si="277"/>
        <v>0.0403408071748879</v>
      </c>
      <c r="AR106" s="52">
        <f t="shared" si="277"/>
        <v>0.0420204700530705</v>
      </c>
      <c r="AS106" s="52">
        <f t="shared" si="277"/>
        <v>0.0428118590341227</v>
      </c>
      <c r="AT106" s="52">
        <f t="shared" si="277"/>
        <v>0.0287682468021069</v>
      </c>
      <c r="AU106" s="52">
        <f t="shared" si="277"/>
        <v>0.0338105765829501</v>
      </c>
    </row>
    <row r="107" ht="15.5" spans="21:47">
      <c r="U107" s="35"/>
      <c r="V107" s="50" t="s">
        <v>367</v>
      </c>
      <c r="W107" s="52">
        <f t="shared" ref="W107:AC107" si="278">W103</f>
        <v>0.0870304867778339</v>
      </c>
      <c r="X107" s="52">
        <f t="shared" si="278"/>
        <v>0.0843627031650984</v>
      </c>
      <c r="Y107" s="52">
        <f t="shared" si="278"/>
        <v>0.0874439461883408</v>
      </c>
      <c r="Z107" s="52">
        <f t="shared" si="278"/>
        <v>0.0881918119787718</v>
      </c>
      <c r="AA107" s="52">
        <f t="shared" si="278"/>
        <v>0.0922245012120082</v>
      </c>
      <c r="AB107" s="52">
        <f t="shared" si="278"/>
        <v>0.0733634311512415</v>
      </c>
      <c r="AC107" s="52">
        <f t="shared" si="278"/>
        <v>0.0862221436151397</v>
      </c>
      <c r="AD107" s="36"/>
      <c r="AE107" s="36"/>
      <c r="AF107" s="52">
        <f t="shared" ref="AF107:AL107" si="279">AF103</f>
        <v>0.0870304867778339</v>
      </c>
      <c r="AG107" s="52">
        <f t="shared" si="279"/>
        <v>0.0843627031650984</v>
      </c>
      <c r="AH107" s="52">
        <f t="shared" si="279"/>
        <v>0.0874439461883408</v>
      </c>
      <c r="AI107" s="52">
        <f t="shared" si="279"/>
        <v>0.0881918119787718</v>
      </c>
      <c r="AJ107" s="52">
        <f t="shared" si="279"/>
        <v>0.0922245012120082</v>
      </c>
      <c r="AK107" s="52">
        <f t="shared" si="279"/>
        <v>0.0843679458239278</v>
      </c>
      <c r="AL107" s="52">
        <f t="shared" si="279"/>
        <v>0.0991554651574107</v>
      </c>
      <c r="AM107" s="36"/>
      <c r="AN107" s="36"/>
      <c r="AO107" s="52">
        <f t="shared" ref="AO107:AU107" si="280">AO103</f>
        <v>0.0870304867778339</v>
      </c>
      <c r="AP107" s="52">
        <f t="shared" si="280"/>
        <v>0.0843627031650984</v>
      </c>
      <c r="AQ107" s="52">
        <f t="shared" si="280"/>
        <v>0.0874439461883408</v>
      </c>
      <c r="AR107" s="52">
        <f t="shared" si="280"/>
        <v>0.0881918119787718</v>
      </c>
      <c r="AS107" s="52">
        <f t="shared" si="280"/>
        <v>0.0922245012120082</v>
      </c>
      <c r="AT107" s="52">
        <f t="shared" si="280"/>
        <v>0.0623589164785553</v>
      </c>
      <c r="AU107" s="52">
        <f t="shared" si="280"/>
        <v>0.0732888220728688</v>
      </c>
    </row>
    <row r="108" ht="15.5" spans="21:47">
      <c r="U108" s="35"/>
      <c r="V108" s="50" t="s">
        <v>368</v>
      </c>
      <c r="W108" s="52">
        <f t="shared" ref="W108:AC108" si="281">W104</f>
        <v>0.0133569142664645</v>
      </c>
      <c r="X108" s="52">
        <f t="shared" si="281"/>
        <v>0.0131907613344739</v>
      </c>
      <c r="Y108" s="52">
        <f t="shared" si="281"/>
        <v>0.0137399103139013</v>
      </c>
      <c r="Z108" s="52">
        <f t="shared" si="281"/>
        <v>0.0141015921152388</v>
      </c>
      <c r="AA108" s="52">
        <f t="shared" si="281"/>
        <v>0.0143016968114861</v>
      </c>
      <c r="AB108" s="52">
        <f t="shared" si="281"/>
        <v>0.0115274642588412</v>
      </c>
      <c r="AC108" s="52">
        <f t="shared" si="281"/>
        <v>0.0135479306685532</v>
      </c>
      <c r="AD108" s="36"/>
      <c r="AE108" s="36"/>
      <c r="AF108" s="52">
        <f t="shared" ref="AF108:AL108" si="282">AF104</f>
        <v>0.0133569142664645</v>
      </c>
      <c r="AG108" s="52">
        <f t="shared" si="282"/>
        <v>0.0131907613344739</v>
      </c>
      <c r="AH108" s="52">
        <f t="shared" si="282"/>
        <v>0.0137399103139013</v>
      </c>
      <c r="AI108" s="52">
        <f t="shared" si="282"/>
        <v>0.0141015921152388</v>
      </c>
      <c r="AJ108" s="52">
        <f t="shared" si="282"/>
        <v>0.0143016968114861</v>
      </c>
      <c r="AK108" s="52">
        <f t="shared" si="282"/>
        <v>0.0132565838976674</v>
      </c>
      <c r="AL108" s="52">
        <f t="shared" si="282"/>
        <v>0.0155801202688362</v>
      </c>
      <c r="AM108" s="36"/>
      <c r="AN108" s="36"/>
      <c r="AO108" s="52">
        <f t="shared" ref="AO108:AU108" si="283">AO104</f>
        <v>0.0133569142664645</v>
      </c>
      <c r="AP108" s="52">
        <f t="shared" si="283"/>
        <v>0.0131907613344739</v>
      </c>
      <c r="AQ108" s="52">
        <f t="shared" si="283"/>
        <v>0.0137399103139013</v>
      </c>
      <c r="AR108" s="52">
        <f t="shared" si="283"/>
        <v>0.0141015921152388</v>
      </c>
      <c r="AS108" s="52">
        <f t="shared" si="283"/>
        <v>0.0143016968114861</v>
      </c>
      <c r="AT108" s="52">
        <f t="shared" si="283"/>
        <v>0.00979834462001505</v>
      </c>
      <c r="AU108" s="52">
        <f t="shared" si="283"/>
        <v>0.0115157410682703</v>
      </c>
    </row>
    <row r="112" ht="15.5" spans="21:47">
      <c r="U112" s="36"/>
      <c r="V112" s="36"/>
      <c r="W112" s="36" t="s">
        <v>336</v>
      </c>
      <c r="X112" s="36" t="s">
        <v>337</v>
      </c>
      <c r="Y112" s="40" t="s">
        <v>338</v>
      </c>
      <c r="Z112" s="36" t="s">
        <v>339</v>
      </c>
      <c r="AA112" s="36" t="s">
        <v>340</v>
      </c>
      <c r="AB112" s="42" t="s">
        <v>341</v>
      </c>
      <c r="AC112" s="42" t="s">
        <v>342</v>
      </c>
      <c r="AD112" s="36"/>
      <c r="AE112" s="36"/>
      <c r="AF112" s="36" t="s">
        <v>336</v>
      </c>
      <c r="AG112" s="36" t="s">
        <v>337</v>
      </c>
      <c r="AH112" s="40" t="s">
        <v>338</v>
      </c>
      <c r="AI112" s="36" t="s">
        <v>339</v>
      </c>
      <c r="AJ112" s="36" t="s">
        <v>340</v>
      </c>
      <c r="AK112" s="42" t="s">
        <v>341</v>
      </c>
      <c r="AL112" s="42" t="s">
        <v>342</v>
      </c>
      <c r="AM112" s="36"/>
      <c r="AN112" s="36"/>
      <c r="AO112" s="36" t="s">
        <v>336</v>
      </c>
      <c r="AP112" s="36" t="s">
        <v>337</v>
      </c>
      <c r="AQ112" s="40" t="s">
        <v>338</v>
      </c>
      <c r="AR112" s="36" t="s">
        <v>339</v>
      </c>
      <c r="AS112" s="36" t="s">
        <v>340</v>
      </c>
      <c r="AT112" s="42" t="s">
        <v>341</v>
      </c>
      <c r="AU112" s="42" t="s">
        <v>342</v>
      </c>
    </row>
    <row r="113" spans="21:47">
      <c r="U113" s="35" t="s">
        <v>343</v>
      </c>
      <c r="V113" s="50"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5"/>
      <c r="V114" s="51"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5"/>
      <c r="V115" s="50"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5"/>
      <c r="V116" s="50"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5" t="s">
        <v>241</v>
      </c>
      <c r="V117" s="50"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5"/>
      <c r="V118" s="51"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5"/>
      <c r="V119" s="50"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6"/>
      <c r="AE119" s="36"/>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6"/>
      <c r="AN119" s="36"/>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5"/>
      <c r="V120" s="50"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6"/>
      <c r="AE120" s="36"/>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6"/>
      <c r="AN120" s="36"/>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5" t="s">
        <v>369</v>
      </c>
      <c r="V121" s="50" t="s">
        <v>122</v>
      </c>
      <c r="W121" s="36">
        <f t="shared" ref="W121:AC121" si="308">W54-W55</f>
        <v>0.00810173488293751</v>
      </c>
      <c r="X121" s="36">
        <f t="shared" si="308"/>
        <v>0.00786997433704022</v>
      </c>
      <c r="Y121" s="36">
        <f t="shared" si="308"/>
        <v>0.00817937219730942</v>
      </c>
      <c r="Z121" s="36">
        <f t="shared" si="308"/>
        <v>0.00816906747536013</v>
      </c>
      <c r="AA121" s="36">
        <f t="shared" si="308"/>
        <v>0.00826030206973706</v>
      </c>
      <c r="AB121" s="36">
        <f t="shared" si="308"/>
        <v>0.00686230248306997</v>
      </c>
      <c r="AC121" s="36">
        <f t="shared" si="308"/>
        <v>0.00806508666430845</v>
      </c>
      <c r="AD121" s="36"/>
      <c r="AE121" s="36"/>
      <c r="AF121" s="36">
        <f t="shared" ref="AF121:AL121" si="309">AF54-AF55</f>
        <v>0.00810173488293751</v>
      </c>
      <c r="AG121" s="36">
        <f t="shared" si="309"/>
        <v>0.00786997433704022</v>
      </c>
      <c r="AH121" s="36">
        <f t="shared" si="309"/>
        <v>0.00817937219730942</v>
      </c>
      <c r="AI121" s="36">
        <f t="shared" si="309"/>
        <v>0.00816906747536013</v>
      </c>
      <c r="AJ121" s="36">
        <f t="shared" si="309"/>
        <v>0.00826030206973706</v>
      </c>
      <c r="AK121" s="36">
        <f t="shared" si="309"/>
        <v>0.00789164785553047</v>
      </c>
      <c r="AL121" s="36">
        <f t="shared" si="309"/>
        <v>0.00927484966395473</v>
      </c>
      <c r="AM121" s="36"/>
      <c r="AN121" s="36"/>
      <c r="AO121" s="36">
        <f t="shared" ref="AO121:AU121" si="310">AO54-AO55</f>
        <v>0.00810173488293751</v>
      </c>
      <c r="AP121" s="36">
        <f t="shared" si="310"/>
        <v>0.00786997433704022</v>
      </c>
      <c r="AQ121" s="36">
        <f t="shared" si="310"/>
        <v>0.00817937219730942</v>
      </c>
      <c r="AR121" s="36">
        <f t="shared" si="310"/>
        <v>0.00816906747536013</v>
      </c>
      <c r="AS121" s="36">
        <f t="shared" si="310"/>
        <v>0.00826030206973706</v>
      </c>
      <c r="AT121" s="36">
        <f t="shared" si="310"/>
        <v>0.00583295711060948</v>
      </c>
      <c r="AU121" s="36">
        <f t="shared" si="310"/>
        <v>0.00685532366466218</v>
      </c>
    </row>
    <row r="122" ht="15.5" spans="21:47">
      <c r="U122" s="35"/>
      <c r="V122" s="51" t="s">
        <v>366</v>
      </c>
      <c r="W122" s="36">
        <f t="shared" ref="W122:AC122" si="311">W56</f>
        <v>0.0319690079164561</v>
      </c>
      <c r="X122" s="36">
        <f t="shared" si="311"/>
        <v>0.0310692899914457</v>
      </c>
      <c r="Y122" s="36">
        <f t="shared" si="311"/>
        <v>0.0322331838565022</v>
      </c>
      <c r="Z122" s="36">
        <f t="shared" si="311"/>
        <v>0.0321645185746778</v>
      </c>
      <c r="AA122" s="36">
        <f t="shared" si="311"/>
        <v>0.0325750512772702</v>
      </c>
      <c r="AB122" s="36">
        <f t="shared" si="311"/>
        <v>0.0270428893905192</v>
      </c>
      <c r="AC122" s="36">
        <f t="shared" si="311"/>
        <v>0.0317828086310577</v>
      </c>
      <c r="AD122" s="36"/>
      <c r="AE122" s="36"/>
      <c r="AF122" s="36">
        <f t="shared" ref="AF122:AL122" si="312">AF56</f>
        <v>0.0319690079164561</v>
      </c>
      <c r="AG122" s="36">
        <f t="shared" si="312"/>
        <v>0.0310692899914457</v>
      </c>
      <c r="AH122" s="36">
        <f t="shared" si="312"/>
        <v>0.0322331838565022</v>
      </c>
      <c r="AI122" s="36">
        <f t="shared" si="312"/>
        <v>0.0321645185746778</v>
      </c>
      <c r="AJ122" s="36">
        <f t="shared" si="312"/>
        <v>0.0325750512772702</v>
      </c>
      <c r="AK122" s="36">
        <f t="shared" si="312"/>
        <v>0.0310993227990971</v>
      </c>
      <c r="AL122" s="36">
        <f t="shared" si="312"/>
        <v>0.0365502299257163</v>
      </c>
      <c r="AM122" s="36"/>
      <c r="AN122" s="36"/>
      <c r="AO122" s="36">
        <f t="shared" ref="AO122:AU122" si="313">AO56</f>
        <v>0.0319690079164561</v>
      </c>
      <c r="AP122" s="36">
        <f t="shared" si="313"/>
        <v>0.0310692899914457</v>
      </c>
      <c r="AQ122" s="36">
        <f t="shared" si="313"/>
        <v>0.0322331838565022</v>
      </c>
      <c r="AR122" s="36">
        <f t="shared" si="313"/>
        <v>0.0321645185746778</v>
      </c>
      <c r="AS122" s="36">
        <f t="shared" si="313"/>
        <v>0.0325750512772702</v>
      </c>
      <c r="AT122" s="36">
        <f t="shared" si="313"/>
        <v>0.0229864559819413</v>
      </c>
      <c r="AU122" s="36">
        <f t="shared" si="313"/>
        <v>0.027015387336399</v>
      </c>
    </row>
    <row r="123" ht="15.5" spans="21:47">
      <c r="U123" s="35"/>
      <c r="V123" s="50" t="s">
        <v>367</v>
      </c>
      <c r="W123" s="36">
        <f t="shared" ref="W123:AC123" si="314">W57</f>
        <v>0.0557183762843187</v>
      </c>
      <c r="X123" s="36">
        <f t="shared" si="314"/>
        <v>0.055158254918734</v>
      </c>
      <c r="Y123" s="36">
        <f t="shared" si="314"/>
        <v>0.0574887892376682</v>
      </c>
      <c r="Z123" s="36">
        <f t="shared" si="314"/>
        <v>0.0587755875663381</v>
      </c>
      <c r="AA123" s="36">
        <f t="shared" si="314"/>
        <v>0.0587544284915159</v>
      </c>
      <c r="AB123" s="36">
        <f t="shared" si="314"/>
        <v>0.0482317531978932</v>
      </c>
      <c r="AC123" s="36">
        <f t="shared" si="314"/>
        <v>0.0566855323664662</v>
      </c>
      <c r="AD123" s="36"/>
      <c r="AE123" s="36"/>
      <c r="AF123" s="36">
        <f t="shared" ref="AF123:AL123" si="315">AF57</f>
        <v>0.0557183762843187</v>
      </c>
      <c r="AG123" s="36">
        <f t="shared" si="315"/>
        <v>0.055158254918734</v>
      </c>
      <c r="AH123" s="36">
        <f t="shared" si="315"/>
        <v>0.0574887892376682</v>
      </c>
      <c r="AI123" s="36">
        <f t="shared" si="315"/>
        <v>0.0587755875663381</v>
      </c>
      <c r="AJ123" s="36">
        <f t="shared" si="315"/>
        <v>0.0587544284915159</v>
      </c>
      <c r="AK123" s="36">
        <f t="shared" si="315"/>
        <v>0.0554665161775771</v>
      </c>
      <c r="AL123" s="36">
        <f t="shared" si="315"/>
        <v>0.0651883622214361</v>
      </c>
      <c r="AM123" s="36"/>
      <c r="AN123" s="36"/>
      <c r="AO123" s="36">
        <f t="shared" ref="AO123:AU123" si="316">AO57</f>
        <v>0.0557183762843187</v>
      </c>
      <c r="AP123" s="36">
        <f t="shared" si="316"/>
        <v>0.055158254918734</v>
      </c>
      <c r="AQ123" s="36">
        <f t="shared" si="316"/>
        <v>0.0574887892376682</v>
      </c>
      <c r="AR123" s="36">
        <f t="shared" si="316"/>
        <v>0.0587755875663381</v>
      </c>
      <c r="AS123" s="36">
        <f t="shared" si="316"/>
        <v>0.0587544284915159</v>
      </c>
      <c r="AT123" s="36">
        <f t="shared" si="316"/>
        <v>0.0409969902182092</v>
      </c>
      <c r="AU123" s="36">
        <f t="shared" si="316"/>
        <v>0.0481827025114963</v>
      </c>
    </row>
    <row r="124" ht="15.5" spans="21:47">
      <c r="U124" s="35"/>
      <c r="V124" s="50" t="s">
        <v>368</v>
      </c>
      <c r="W124" s="36">
        <f t="shared" ref="W124:AC124" si="317">W58</f>
        <v>0.0130537308404918</v>
      </c>
      <c r="X124" s="36">
        <f t="shared" si="317"/>
        <v>0.0129170230966638</v>
      </c>
      <c r="Y124" s="36">
        <f t="shared" si="317"/>
        <v>0.0134529147982063</v>
      </c>
      <c r="Z124" s="36">
        <f t="shared" si="317"/>
        <v>0.0136846095526914</v>
      </c>
      <c r="AA124" s="36">
        <f t="shared" si="317"/>
        <v>0.0137236621294052</v>
      </c>
      <c r="AB124" s="36">
        <f t="shared" si="317"/>
        <v>0.0112866817155756</v>
      </c>
      <c r="AC124" s="36">
        <f t="shared" si="317"/>
        <v>0.01326494517156</v>
      </c>
      <c r="AD124" s="36"/>
      <c r="AE124" s="36"/>
      <c r="AF124" s="36">
        <f t="shared" ref="AF124:AL124" si="318">AF58</f>
        <v>0.0130537308404918</v>
      </c>
      <c r="AG124" s="36">
        <f t="shared" si="318"/>
        <v>0.0129170230966638</v>
      </c>
      <c r="AH124" s="36">
        <f t="shared" si="318"/>
        <v>0.0134529147982063</v>
      </c>
      <c r="AI124" s="36">
        <f t="shared" si="318"/>
        <v>0.0136846095526914</v>
      </c>
      <c r="AJ124" s="36">
        <f t="shared" si="318"/>
        <v>0.0137236621294052</v>
      </c>
      <c r="AK124" s="36">
        <f t="shared" si="318"/>
        <v>0.012979683972912</v>
      </c>
      <c r="AL124" s="36">
        <f t="shared" si="318"/>
        <v>0.0152546869472939</v>
      </c>
      <c r="AM124" s="36"/>
      <c r="AN124" s="36"/>
      <c r="AO124" s="36">
        <f t="shared" ref="AO124:AU124" si="319">AO58</f>
        <v>0.0130537308404918</v>
      </c>
      <c r="AP124" s="36">
        <f t="shared" si="319"/>
        <v>0.0129170230966638</v>
      </c>
      <c r="AQ124" s="36">
        <f t="shared" si="319"/>
        <v>0.0134529147982063</v>
      </c>
      <c r="AR124" s="36">
        <f t="shared" si="319"/>
        <v>0.0136846095526914</v>
      </c>
      <c r="AS124" s="36">
        <f t="shared" si="319"/>
        <v>0.0137236621294052</v>
      </c>
      <c r="AT124" s="36">
        <f t="shared" si="319"/>
        <v>0.00959367945823928</v>
      </c>
      <c r="AU124" s="36">
        <f t="shared" si="319"/>
        <v>0.011275203395826</v>
      </c>
    </row>
    <row r="125" ht="15.5" spans="21:47">
      <c r="U125" s="35" t="s">
        <v>369</v>
      </c>
      <c r="V125" s="50" t="s">
        <v>122</v>
      </c>
      <c r="W125" s="52">
        <f t="shared" ref="W125:AC125" si="320">W121</f>
        <v>0.00810173488293751</v>
      </c>
      <c r="X125" s="52">
        <f t="shared" si="320"/>
        <v>0.00786997433704022</v>
      </c>
      <c r="Y125" s="52">
        <f t="shared" si="320"/>
        <v>0.00817937219730942</v>
      </c>
      <c r="Z125" s="52">
        <f t="shared" si="320"/>
        <v>0.00816906747536013</v>
      </c>
      <c r="AA125" s="52">
        <f t="shared" si="320"/>
        <v>0.00826030206973706</v>
      </c>
      <c r="AB125" s="52">
        <f t="shared" si="320"/>
        <v>0.00686230248306997</v>
      </c>
      <c r="AC125" s="52">
        <f t="shared" si="320"/>
        <v>0.00806508666430845</v>
      </c>
      <c r="AD125" s="36"/>
      <c r="AE125" s="36"/>
      <c r="AF125" s="52">
        <f t="shared" ref="AF125:AL125" si="321">AF121</f>
        <v>0.00810173488293751</v>
      </c>
      <c r="AG125" s="52">
        <f t="shared" si="321"/>
        <v>0.00786997433704022</v>
      </c>
      <c r="AH125" s="52">
        <f t="shared" si="321"/>
        <v>0.00817937219730942</v>
      </c>
      <c r="AI125" s="52">
        <f t="shared" si="321"/>
        <v>0.00816906747536013</v>
      </c>
      <c r="AJ125" s="52">
        <f t="shared" si="321"/>
        <v>0.00826030206973706</v>
      </c>
      <c r="AK125" s="52">
        <f t="shared" si="321"/>
        <v>0.00789164785553047</v>
      </c>
      <c r="AL125" s="52">
        <f t="shared" si="321"/>
        <v>0.00927484966395473</v>
      </c>
      <c r="AM125" s="36"/>
      <c r="AN125" s="36"/>
      <c r="AO125" s="52">
        <f t="shared" ref="AO125:AU125" si="322">AO121</f>
        <v>0.00810173488293751</v>
      </c>
      <c r="AP125" s="52">
        <f t="shared" si="322"/>
        <v>0.00786997433704022</v>
      </c>
      <c r="AQ125" s="52">
        <f t="shared" si="322"/>
        <v>0.00817937219730942</v>
      </c>
      <c r="AR125" s="52">
        <f t="shared" si="322"/>
        <v>0.00816906747536013</v>
      </c>
      <c r="AS125" s="52">
        <f t="shared" si="322"/>
        <v>0.00826030206973706</v>
      </c>
      <c r="AT125" s="52">
        <f t="shared" si="322"/>
        <v>0.00583295711060948</v>
      </c>
      <c r="AU125" s="52">
        <f t="shared" si="322"/>
        <v>0.00685532366466218</v>
      </c>
    </row>
    <row r="126" ht="15.5" spans="21:47">
      <c r="U126" s="35"/>
      <c r="V126" s="51" t="s">
        <v>366</v>
      </c>
      <c r="W126" s="52">
        <f t="shared" ref="W126:AC126" si="323">W122</f>
        <v>0.0319690079164561</v>
      </c>
      <c r="X126" s="52">
        <f t="shared" si="323"/>
        <v>0.0310692899914457</v>
      </c>
      <c r="Y126" s="52">
        <f t="shared" si="323"/>
        <v>0.0322331838565022</v>
      </c>
      <c r="Z126" s="52">
        <f t="shared" si="323"/>
        <v>0.0321645185746778</v>
      </c>
      <c r="AA126" s="52">
        <f t="shared" si="323"/>
        <v>0.0325750512772702</v>
      </c>
      <c r="AB126" s="52">
        <f t="shared" si="323"/>
        <v>0.0270428893905192</v>
      </c>
      <c r="AC126" s="52">
        <f t="shared" si="323"/>
        <v>0.0317828086310577</v>
      </c>
      <c r="AD126" s="36"/>
      <c r="AE126" s="36"/>
      <c r="AF126" s="52">
        <f t="shared" ref="AF126:AL126" si="324">AF122</f>
        <v>0.0319690079164561</v>
      </c>
      <c r="AG126" s="52">
        <f t="shared" si="324"/>
        <v>0.0310692899914457</v>
      </c>
      <c r="AH126" s="52">
        <f t="shared" si="324"/>
        <v>0.0322331838565022</v>
      </c>
      <c r="AI126" s="52">
        <f t="shared" si="324"/>
        <v>0.0321645185746778</v>
      </c>
      <c r="AJ126" s="52">
        <f t="shared" si="324"/>
        <v>0.0325750512772702</v>
      </c>
      <c r="AK126" s="52">
        <f t="shared" si="324"/>
        <v>0.0310993227990971</v>
      </c>
      <c r="AL126" s="52">
        <f t="shared" si="324"/>
        <v>0.0365502299257163</v>
      </c>
      <c r="AM126" s="36"/>
      <c r="AN126" s="36"/>
      <c r="AO126" s="52">
        <f t="shared" ref="AO126:AU126" si="325">AO122</f>
        <v>0.0319690079164561</v>
      </c>
      <c r="AP126" s="52">
        <f t="shared" si="325"/>
        <v>0.0310692899914457</v>
      </c>
      <c r="AQ126" s="52">
        <f t="shared" si="325"/>
        <v>0.0322331838565022</v>
      </c>
      <c r="AR126" s="52">
        <f t="shared" si="325"/>
        <v>0.0321645185746778</v>
      </c>
      <c r="AS126" s="52">
        <f t="shared" si="325"/>
        <v>0.0325750512772702</v>
      </c>
      <c r="AT126" s="52">
        <f t="shared" si="325"/>
        <v>0.0229864559819413</v>
      </c>
      <c r="AU126" s="52">
        <f t="shared" si="325"/>
        <v>0.027015387336399</v>
      </c>
    </row>
    <row r="127" ht="15.5" spans="21:47">
      <c r="U127" s="35"/>
      <c r="V127" s="50" t="s">
        <v>367</v>
      </c>
      <c r="W127" s="52">
        <f t="shared" ref="W127:AC127" si="326">W123</f>
        <v>0.0557183762843187</v>
      </c>
      <c r="X127" s="52">
        <f t="shared" si="326"/>
        <v>0.055158254918734</v>
      </c>
      <c r="Y127" s="52">
        <f t="shared" si="326"/>
        <v>0.0574887892376682</v>
      </c>
      <c r="Z127" s="52">
        <f t="shared" si="326"/>
        <v>0.0587755875663381</v>
      </c>
      <c r="AA127" s="52">
        <f t="shared" si="326"/>
        <v>0.0587544284915159</v>
      </c>
      <c r="AB127" s="52">
        <f t="shared" si="326"/>
        <v>0.0482317531978932</v>
      </c>
      <c r="AC127" s="52">
        <f t="shared" si="326"/>
        <v>0.0566855323664662</v>
      </c>
      <c r="AD127" s="36"/>
      <c r="AE127" s="36"/>
      <c r="AF127" s="52">
        <f t="shared" ref="AF127:AL127" si="327">AF123</f>
        <v>0.0557183762843187</v>
      </c>
      <c r="AG127" s="52">
        <f t="shared" si="327"/>
        <v>0.055158254918734</v>
      </c>
      <c r="AH127" s="52">
        <f t="shared" si="327"/>
        <v>0.0574887892376682</v>
      </c>
      <c r="AI127" s="52">
        <f t="shared" si="327"/>
        <v>0.0587755875663381</v>
      </c>
      <c r="AJ127" s="52">
        <f t="shared" si="327"/>
        <v>0.0587544284915159</v>
      </c>
      <c r="AK127" s="52">
        <f t="shared" si="327"/>
        <v>0.0554665161775771</v>
      </c>
      <c r="AL127" s="52">
        <f t="shared" si="327"/>
        <v>0.0651883622214361</v>
      </c>
      <c r="AM127" s="36"/>
      <c r="AN127" s="36"/>
      <c r="AO127" s="52">
        <f t="shared" ref="AO127:AU127" si="328">AO123</f>
        <v>0.0557183762843187</v>
      </c>
      <c r="AP127" s="52">
        <f t="shared" si="328"/>
        <v>0.055158254918734</v>
      </c>
      <c r="AQ127" s="52">
        <f t="shared" si="328"/>
        <v>0.0574887892376682</v>
      </c>
      <c r="AR127" s="52">
        <f t="shared" si="328"/>
        <v>0.0587755875663381</v>
      </c>
      <c r="AS127" s="52">
        <f t="shared" si="328"/>
        <v>0.0587544284915159</v>
      </c>
      <c r="AT127" s="52">
        <f t="shared" si="328"/>
        <v>0.0409969902182092</v>
      </c>
      <c r="AU127" s="52">
        <f t="shared" si="328"/>
        <v>0.0481827025114963</v>
      </c>
    </row>
    <row r="128" ht="15.5" spans="21:47">
      <c r="U128" s="35"/>
      <c r="V128" s="50" t="s">
        <v>368</v>
      </c>
      <c r="W128" s="52">
        <f t="shared" ref="W128:AC128" si="329">W124</f>
        <v>0.0130537308404918</v>
      </c>
      <c r="X128" s="52">
        <f t="shared" si="329"/>
        <v>0.0129170230966638</v>
      </c>
      <c r="Y128" s="52">
        <f t="shared" si="329"/>
        <v>0.0134529147982063</v>
      </c>
      <c r="Z128" s="52">
        <f t="shared" si="329"/>
        <v>0.0136846095526914</v>
      </c>
      <c r="AA128" s="52">
        <f t="shared" si="329"/>
        <v>0.0137236621294052</v>
      </c>
      <c r="AB128" s="52">
        <f t="shared" si="329"/>
        <v>0.0112866817155756</v>
      </c>
      <c r="AC128" s="52">
        <f t="shared" si="329"/>
        <v>0.01326494517156</v>
      </c>
      <c r="AD128" s="36"/>
      <c r="AE128" s="36"/>
      <c r="AF128" s="52">
        <f t="shared" ref="AF128:AL128" si="330">AF124</f>
        <v>0.0130537308404918</v>
      </c>
      <c r="AG128" s="52">
        <f t="shared" si="330"/>
        <v>0.0129170230966638</v>
      </c>
      <c r="AH128" s="52">
        <f t="shared" si="330"/>
        <v>0.0134529147982063</v>
      </c>
      <c r="AI128" s="52">
        <f t="shared" si="330"/>
        <v>0.0136846095526914</v>
      </c>
      <c r="AJ128" s="52">
        <f t="shared" si="330"/>
        <v>0.0137236621294052</v>
      </c>
      <c r="AK128" s="52">
        <f t="shared" si="330"/>
        <v>0.012979683972912</v>
      </c>
      <c r="AL128" s="52">
        <f t="shared" si="330"/>
        <v>0.0152546869472939</v>
      </c>
      <c r="AM128" s="36"/>
      <c r="AN128" s="36"/>
      <c r="AO128" s="52">
        <f t="shared" ref="AO128:AU128" si="331">AO124</f>
        <v>0.0130537308404918</v>
      </c>
      <c r="AP128" s="52">
        <f t="shared" si="331"/>
        <v>0.0129170230966638</v>
      </c>
      <c r="AQ128" s="52">
        <f t="shared" si="331"/>
        <v>0.0134529147982063</v>
      </c>
      <c r="AR128" s="52">
        <f t="shared" si="331"/>
        <v>0.0136846095526914</v>
      </c>
      <c r="AS128" s="52">
        <f t="shared" si="331"/>
        <v>0.0137236621294052</v>
      </c>
      <c r="AT128" s="52">
        <f t="shared" si="331"/>
        <v>0.00959367945823928</v>
      </c>
      <c r="AU128" s="52">
        <f t="shared" si="331"/>
        <v>0.011275203395826</v>
      </c>
    </row>
    <row r="160" ht="15.5" spans="21:53">
      <c r="U160" s="53"/>
      <c r="V160" s="21" t="s">
        <v>326</v>
      </c>
      <c r="W160" s="53"/>
      <c r="X160" s="54"/>
      <c r="Z160" s="53"/>
      <c r="AA160" s="21" t="s">
        <v>326</v>
      </c>
      <c r="AB160" s="53"/>
      <c r="AC160" s="54"/>
      <c r="AE160" s="53"/>
      <c r="AF160" s="21" t="s">
        <v>326</v>
      </c>
      <c r="AG160" s="53"/>
      <c r="AH160" s="54"/>
      <c r="AJ160" s="53"/>
      <c r="AK160" s="21" t="s">
        <v>326</v>
      </c>
      <c r="AL160" s="53"/>
      <c r="AM160" s="54"/>
      <c r="AO160" s="53"/>
      <c r="AP160" s="21" t="s">
        <v>326</v>
      </c>
      <c r="AQ160" s="53"/>
      <c r="AR160" s="54"/>
      <c r="AT160" s="53"/>
      <c r="AU160" s="21" t="s">
        <v>326</v>
      </c>
      <c r="AV160" s="53"/>
      <c r="AW160" s="54"/>
      <c r="AY160" s="53"/>
      <c r="AZ160" s="21" t="s">
        <v>326</v>
      </c>
      <c r="BA160" s="53"/>
    </row>
    <row r="161" ht="15.5" spans="21:54">
      <c r="U161" s="21" t="s">
        <v>65</v>
      </c>
      <c r="V161" s="21" t="s">
        <v>112</v>
      </c>
      <c r="W161" s="21" t="s">
        <v>11</v>
      </c>
      <c r="X161" s="54" t="s">
        <v>41</v>
      </c>
      <c r="Z161" s="21" t="s">
        <v>65</v>
      </c>
      <c r="AA161" s="21" t="s">
        <v>112</v>
      </c>
      <c r="AB161" s="21" t="s">
        <v>11</v>
      </c>
      <c r="AC161" s="54" t="s">
        <v>41</v>
      </c>
      <c r="AE161" s="21" t="s">
        <v>65</v>
      </c>
      <c r="AF161" s="21" t="s">
        <v>112</v>
      </c>
      <c r="AG161" s="21" t="s">
        <v>11</v>
      </c>
      <c r="AH161" s="54" t="s">
        <v>41</v>
      </c>
      <c r="AJ161" s="21" t="s">
        <v>65</v>
      </c>
      <c r="AK161" s="21" t="s">
        <v>112</v>
      </c>
      <c r="AL161" s="21" t="s">
        <v>11</v>
      </c>
      <c r="AM161" s="54" t="s">
        <v>41</v>
      </c>
      <c r="AO161" s="21" t="s">
        <v>65</v>
      </c>
      <c r="AP161" s="21" t="s">
        <v>112</v>
      </c>
      <c r="AQ161" s="21" t="s">
        <v>11</v>
      </c>
      <c r="AR161" s="54" t="s">
        <v>41</v>
      </c>
      <c r="AT161" s="21" t="s">
        <v>65</v>
      </c>
      <c r="AU161" s="21" t="s">
        <v>112</v>
      </c>
      <c r="AV161" s="21" t="s">
        <v>11</v>
      </c>
      <c r="AW161" s="54" t="s">
        <v>41</v>
      </c>
      <c r="AY161" s="21" t="s">
        <v>65</v>
      </c>
      <c r="AZ161" s="21" t="s">
        <v>112</v>
      </c>
      <c r="BA161" s="21" t="s">
        <v>11</v>
      </c>
      <c r="BB161" s="54" t="s">
        <v>41</v>
      </c>
    </row>
    <row r="162" ht="15.5" spans="21:54">
      <c r="U162" s="54" t="s">
        <v>250</v>
      </c>
      <c r="V162" s="55" t="s">
        <v>327</v>
      </c>
      <c r="W162" s="54">
        <f t="shared" ref="W162:W165" si="332">W85</f>
        <v>0.010830385716692</v>
      </c>
      <c r="X162" s="54">
        <v>2020</v>
      </c>
      <c r="Z162" s="54" t="s">
        <v>252</v>
      </c>
      <c r="AA162" s="55" t="s">
        <v>327</v>
      </c>
      <c r="AB162" s="54">
        <f t="shared" ref="AB162:AB165" si="333">X85</f>
        <v>0.0104020530367836</v>
      </c>
      <c r="AC162" s="54">
        <v>2020</v>
      </c>
      <c r="AE162" s="54" t="s">
        <v>254</v>
      </c>
      <c r="AF162" s="55" t="s">
        <v>327</v>
      </c>
      <c r="AG162" s="54">
        <f t="shared" ref="AG162:AG165" si="334">Y85</f>
        <v>0.0107085201793722</v>
      </c>
      <c r="AH162" s="54">
        <v>2020</v>
      </c>
      <c r="AJ162" s="54" t="s">
        <v>256</v>
      </c>
      <c r="AK162" s="55" t="s">
        <v>327</v>
      </c>
      <c r="AL162" s="54">
        <f t="shared" ref="AL162:AL165" si="335">Z85</f>
        <v>0.0117702805155421</v>
      </c>
      <c r="AM162" s="54">
        <v>2020</v>
      </c>
      <c r="AO162" s="54" t="s">
        <v>248</v>
      </c>
      <c r="AP162" s="55" t="s">
        <v>327</v>
      </c>
      <c r="AQ162" s="54">
        <f t="shared" ref="AQ162:AQ165" si="336">AA85</f>
        <v>0.011933619242961</v>
      </c>
      <c r="AR162" s="54">
        <v>2020</v>
      </c>
      <c r="AT162" s="54" t="s">
        <v>246</v>
      </c>
      <c r="AU162" s="55" t="s">
        <v>327</v>
      </c>
      <c r="AV162" s="54">
        <f t="shared" ref="AV162:AV165" si="337">AB85</f>
        <v>0.00898419864559818</v>
      </c>
      <c r="AW162" s="54">
        <v>2020</v>
      </c>
      <c r="AY162" s="54" t="s">
        <v>244</v>
      </c>
      <c r="AZ162" s="55" t="s">
        <v>327</v>
      </c>
      <c r="BA162" s="54">
        <f t="shared" ref="BA162:BA165" si="338">AC85</f>
        <v>0.0105588963565617</v>
      </c>
      <c r="BB162" s="54">
        <v>2020</v>
      </c>
    </row>
    <row r="163" ht="15.5" spans="21:54">
      <c r="U163" s="54" t="str">
        <f t="shared" ref="U163:U165" si="339">U162</f>
        <v>PyroRecy-NMC111</v>
      </c>
      <c r="V163" s="55" t="s">
        <v>328</v>
      </c>
      <c r="W163" s="54">
        <f t="shared" si="332"/>
        <v>0.0447027118073101</v>
      </c>
      <c r="X163" s="54">
        <v>2020</v>
      </c>
      <c r="Z163" s="54" t="str">
        <f t="shared" ref="Z163:Z165" si="340">Z162</f>
        <v>PyroRecy-NMC532</v>
      </c>
      <c r="AA163" s="55" t="s">
        <v>328</v>
      </c>
      <c r="AB163" s="54">
        <f t="shared" si="333"/>
        <v>0.0428058169375535</v>
      </c>
      <c r="AC163" s="54">
        <v>2020</v>
      </c>
      <c r="AE163" s="54" t="str">
        <f t="shared" ref="AE163:AE165" si="341">AE162</f>
        <v>PyroRecy-NMC622</v>
      </c>
      <c r="AF163" s="55" t="s">
        <v>328</v>
      </c>
      <c r="AG163" s="54">
        <f t="shared" si="334"/>
        <v>0.0441255605381166</v>
      </c>
      <c r="AH163" s="54">
        <v>2020</v>
      </c>
      <c r="AJ163" s="54" t="str">
        <f t="shared" ref="AJ163:AJ165" si="342">AJ162</f>
        <v>PyroRecy-NMC811</v>
      </c>
      <c r="AK163" s="55" t="s">
        <v>328</v>
      </c>
      <c r="AL163" s="54">
        <f t="shared" si="335"/>
        <v>0.0456406368460955</v>
      </c>
      <c r="AM163" s="54">
        <v>2020</v>
      </c>
      <c r="AO163" s="54" t="str">
        <f t="shared" ref="AO163:AO165" si="343">AO162</f>
        <v>PyroRecy-NCA</v>
      </c>
      <c r="AP163" s="55" t="s">
        <v>328</v>
      </c>
      <c r="AQ163" s="54">
        <f t="shared" si="336"/>
        <v>0.0467275778482193</v>
      </c>
      <c r="AR163" s="54">
        <v>2020</v>
      </c>
      <c r="AT163" s="54" t="str">
        <f t="shared" ref="AT163:AT165" si="344">AT162</f>
        <v>PyroRecy-LMO</v>
      </c>
      <c r="AU163" s="55" t="s">
        <v>328</v>
      </c>
      <c r="AV163" s="54">
        <f t="shared" si="337"/>
        <v>0.037020316027088</v>
      </c>
      <c r="AW163" s="54">
        <v>2020</v>
      </c>
      <c r="AY163" s="54" t="str">
        <f t="shared" ref="AY163:AY165" si="345">AY162</f>
        <v>PyroRecy-LFP</v>
      </c>
      <c r="AZ163" s="55" t="s">
        <v>328</v>
      </c>
      <c r="BA163" s="54">
        <f t="shared" si="338"/>
        <v>0.0435090201627167</v>
      </c>
      <c r="BB163" s="54">
        <v>2020</v>
      </c>
    </row>
    <row r="164" ht="15.5" spans="21:54">
      <c r="U164" s="54" t="str">
        <f t="shared" si="339"/>
        <v>PyroRecy-NMC111</v>
      </c>
      <c r="V164" s="55" t="s">
        <v>329</v>
      </c>
      <c r="W164" s="54">
        <f t="shared" si="332"/>
        <v>0.0724945258548088</v>
      </c>
      <c r="X164" s="54">
        <v>2020</v>
      </c>
      <c r="Z164" s="54" t="str">
        <f t="shared" si="340"/>
        <v>PyroRecy-NMC532</v>
      </c>
      <c r="AA164" s="55" t="s">
        <v>329</v>
      </c>
      <c r="AB164" s="54">
        <f t="shared" si="333"/>
        <v>0.0706073567151412</v>
      </c>
      <c r="AC164" s="54">
        <v>2020</v>
      </c>
      <c r="AE164" s="54" t="str">
        <f t="shared" si="341"/>
        <v>PyroRecy-NMC622</v>
      </c>
      <c r="AF164" s="55" t="s">
        <v>329</v>
      </c>
      <c r="AG164" s="54">
        <f t="shared" si="334"/>
        <v>0.0732017937219731</v>
      </c>
      <c r="AH164" s="54">
        <v>2020</v>
      </c>
      <c r="AJ164" s="54" t="str">
        <f t="shared" si="342"/>
        <v>PyroRecy-NMC811</v>
      </c>
      <c r="AK164" s="55" t="s">
        <v>329</v>
      </c>
      <c r="AL164" s="54">
        <f t="shared" si="335"/>
        <v>0.076516300227445</v>
      </c>
      <c r="AM164" s="54">
        <v>2020</v>
      </c>
      <c r="AO164" s="54" t="str">
        <f t="shared" si="343"/>
        <v>PyroRecy-NCA</v>
      </c>
      <c r="AP164" s="55" t="s">
        <v>329</v>
      </c>
      <c r="AQ164" s="54">
        <f t="shared" si="336"/>
        <v>0.0803841133693828</v>
      </c>
      <c r="AR164" s="54">
        <v>2020</v>
      </c>
      <c r="AT164" s="54" t="str">
        <f t="shared" si="344"/>
        <v>PyroRecy-LMO</v>
      </c>
      <c r="AU164" s="55" t="s">
        <v>329</v>
      </c>
      <c r="AV164" s="54">
        <f t="shared" si="337"/>
        <v>0.0614145974416855</v>
      </c>
      <c r="AW164" s="54">
        <v>2020</v>
      </c>
      <c r="AY164" s="54" t="str">
        <f t="shared" si="345"/>
        <v>PyroRecy-LFP</v>
      </c>
      <c r="AZ164" s="55" t="s">
        <v>329</v>
      </c>
      <c r="BA164" s="54">
        <f t="shared" si="338"/>
        <v>0.0721789883268483</v>
      </c>
      <c r="BB164" s="54">
        <v>2020</v>
      </c>
    </row>
    <row r="165" ht="15.5" spans="21:54">
      <c r="U165" s="54" t="str">
        <f t="shared" si="339"/>
        <v>PyroRecy-NMC111</v>
      </c>
      <c r="V165" s="55" t="s">
        <v>330</v>
      </c>
      <c r="W165" s="54">
        <f t="shared" si="332"/>
        <v>0.0131547919824827</v>
      </c>
      <c r="X165" s="54">
        <v>2020</v>
      </c>
      <c r="Z165" s="54" t="str">
        <f t="shared" si="340"/>
        <v>PyroRecy-NMC532</v>
      </c>
      <c r="AA165" s="55" t="s">
        <v>330</v>
      </c>
      <c r="AB165" s="54">
        <f t="shared" si="333"/>
        <v>0.0128656971770744</v>
      </c>
      <c r="AC165" s="54">
        <v>2020</v>
      </c>
      <c r="AE165" s="54" t="str">
        <f t="shared" si="341"/>
        <v>PyroRecy-NMC622</v>
      </c>
      <c r="AF165" s="55" t="s">
        <v>330</v>
      </c>
      <c r="AG165" s="54">
        <f t="shared" si="334"/>
        <v>0.0133273542600897</v>
      </c>
      <c r="AH165" s="54">
        <v>2020</v>
      </c>
      <c r="AJ165" s="54" t="str">
        <f t="shared" si="342"/>
        <v>PyroRecy-NMC811</v>
      </c>
      <c r="AK165" s="55" t="s">
        <v>330</v>
      </c>
      <c r="AL165" s="54">
        <f t="shared" si="335"/>
        <v>0.0145564821834723</v>
      </c>
      <c r="AM165" s="54">
        <v>2020</v>
      </c>
      <c r="AO165" s="54" t="str">
        <f t="shared" si="343"/>
        <v>PyroRecy-NCA</v>
      </c>
      <c r="AP165" s="55" t="s">
        <v>330</v>
      </c>
      <c r="AQ165" s="54">
        <f t="shared" si="336"/>
        <v>0.0148610852134999</v>
      </c>
      <c r="AR165" s="54">
        <v>2020</v>
      </c>
      <c r="AT165" s="54" t="str">
        <f t="shared" si="344"/>
        <v>PyroRecy-LMO</v>
      </c>
      <c r="AU165" s="55" t="s">
        <v>330</v>
      </c>
      <c r="AV165" s="54">
        <f t="shared" si="337"/>
        <v>0.0111813393528969</v>
      </c>
      <c r="AW165" s="54">
        <v>2020</v>
      </c>
      <c r="AY165" s="54" t="str">
        <f t="shared" si="345"/>
        <v>PyroRecy-LFP</v>
      </c>
      <c r="AZ165" s="55" t="s">
        <v>330</v>
      </c>
      <c r="BA165" s="54">
        <f t="shared" si="338"/>
        <v>0.0131411390166254</v>
      </c>
      <c r="BB165" s="54">
        <v>2020</v>
      </c>
    </row>
    <row r="166" ht="15.5" spans="21:54">
      <c r="U166" s="56"/>
      <c r="V166" s="56"/>
      <c r="W166" s="56"/>
      <c r="X166" s="56"/>
      <c r="Z166" s="56"/>
      <c r="AA166" s="56"/>
      <c r="AB166" s="56"/>
      <c r="AC166" s="56"/>
      <c r="AE166" s="56"/>
      <c r="AF166" s="56"/>
      <c r="AG166" s="56"/>
      <c r="AH166" s="56"/>
      <c r="AJ166" s="56"/>
      <c r="AK166" s="56"/>
      <c r="AL166" s="56"/>
      <c r="AM166" s="56"/>
      <c r="AO166" s="56"/>
      <c r="AP166" s="56"/>
      <c r="AQ166" s="56"/>
      <c r="AR166" s="56"/>
      <c r="AT166" s="56"/>
      <c r="AU166" s="56"/>
      <c r="AV166" s="56"/>
      <c r="AW166" s="56"/>
      <c r="AY166" s="56"/>
      <c r="AZ166" s="56"/>
      <c r="BA166" s="56"/>
    </row>
    <row r="167" ht="15.5" spans="21:54">
      <c r="U167" s="36"/>
      <c r="V167" s="36"/>
      <c r="W167" s="36"/>
      <c r="X167" s="36"/>
      <c r="Z167" s="36"/>
      <c r="AA167" s="36"/>
      <c r="AB167" s="36"/>
      <c r="AC167" s="36"/>
      <c r="AE167" s="36"/>
      <c r="AF167" s="36"/>
      <c r="AG167" s="36"/>
      <c r="AH167" s="36"/>
      <c r="AJ167" s="36"/>
      <c r="AK167" s="36"/>
      <c r="AL167" s="36"/>
      <c r="AM167" s="36"/>
      <c r="AO167" s="36"/>
      <c r="AP167" s="36"/>
      <c r="AQ167" s="36"/>
      <c r="AR167" s="36"/>
      <c r="AT167" s="36"/>
      <c r="AU167" s="36"/>
      <c r="AV167" s="36"/>
      <c r="AW167" s="36"/>
      <c r="AY167" s="36"/>
      <c r="AZ167" s="36"/>
      <c r="BA167" s="36"/>
    </row>
    <row r="168" ht="15.5" spans="21:54">
      <c r="U168" s="36"/>
      <c r="V168" s="36"/>
      <c r="W168" s="36"/>
      <c r="X168" s="36"/>
      <c r="Z168" s="36"/>
      <c r="AA168" s="36"/>
      <c r="AB168" s="36"/>
      <c r="AC168" s="36"/>
      <c r="AE168" s="36"/>
      <c r="AF168" s="36"/>
      <c r="AG168" s="36"/>
      <c r="AH168" s="36"/>
      <c r="AJ168" s="36"/>
      <c r="AK168" s="36"/>
      <c r="AL168" s="36"/>
      <c r="AM168" s="36"/>
      <c r="AO168" s="36"/>
      <c r="AP168" s="36"/>
      <c r="AQ168" s="36"/>
      <c r="AR168" s="36"/>
      <c r="AT168" s="36"/>
      <c r="AU168" s="36"/>
      <c r="AV168" s="36"/>
      <c r="AW168" s="36"/>
      <c r="AY168" s="36"/>
      <c r="AZ168" s="36"/>
      <c r="BA168" s="36"/>
    </row>
    <row r="169" ht="15.5" spans="21:54">
      <c r="U169" s="36"/>
      <c r="V169" s="36"/>
      <c r="W169" s="36"/>
      <c r="X169" s="36"/>
      <c r="Z169" s="36"/>
      <c r="AA169" s="36"/>
      <c r="AB169" s="36"/>
      <c r="AC169" s="36"/>
      <c r="AE169" s="36"/>
      <c r="AF169" s="36"/>
      <c r="AG169" s="36"/>
      <c r="AH169" s="36"/>
      <c r="AJ169" s="36"/>
      <c r="AK169" s="36"/>
      <c r="AL169" s="36"/>
      <c r="AM169" s="36"/>
      <c r="AO169" s="36"/>
      <c r="AP169" s="36"/>
      <c r="AQ169" s="36"/>
      <c r="AR169" s="36"/>
      <c r="AT169" s="36"/>
      <c r="AU169" s="36"/>
      <c r="AV169" s="36"/>
      <c r="AW169" s="36"/>
      <c r="AY169" s="36"/>
      <c r="AZ169" s="36"/>
      <c r="BA169" s="36"/>
    </row>
    <row r="170" ht="15.5" spans="21:54">
      <c r="U170" s="36"/>
      <c r="V170" s="36"/>
      <c r="W170" s="36"/>
      <c r="X170" s="36"/>
      <c r="Z170" s="36"/>
      <c r="AA170" s="36"/>
      <c r="AB170" s="36"/>
      <c r="AC170" s="36"/>
      <c r="AE170" s="36"/>
      <c r="AF170" s="36"/>
      <c r="AG170" s="36"/>
      <c r="AH170" s="36"/>
      <c r="AJ170" s="36"/>
      <c r="AK170" s="36"/>
      <c r="AL170" s="36"/>
      <c r="AM170" s="36"/>
      <c r="AO170" s="36"/>
      <c r="AP170" s="36"/>
      <c r="AQ170" s="36"/>
      <c r="AR170" s="36"/>
      <c r="AT170" s="36"/>
      <c r="AU170" s="36"/>
      <c r="AV170" s="36"/>
      <c r="AW170" s="36"/>
      <c r="AY170" s="36"/>
      <c r="AZ170" s="36"/>
      <c r="BA170" s="36"/>
    </row>
    <row r="171" ht="15.5" spans="21:54">
      <c r="U171" s="36"/>
      <c r="V171" s="36"/>
      <c r="W171" s="36"/>
      <c r="X171" s="36"/>
      <c r="Z171" s="36"/>
      <c r="AA171" s="36"/>
      <c r="AB171" s="36"/>
      <c r="AC171" s="36"/>
      <c r="AE171" s="36"/>
      <c r="AF171" s="36"/>
      <c r="AG171" s="36"/>
      <c r="AH171" s="36"/>
      <c r="AJ171" s="36"/>
      <c r="AK171" s="36"/>
      <c r="AL171" s="36"/>
      <c r="AM171" s="36"/>
      <c r="AO171" s="36"/>
      <c r="AP171" s="36"/>
      <c r="AQ171" s="36"/>
      <c r="AR171" s="36"/>
      <c r="AT171" s="36"/>
      <c r="AU171" s="36"/>
      <c r="AV171" s="36"/>
      <c r="AW171" s="36"/>
      <c r="AY171" s="36"/>
      <c r="AZ171" s="36"/>
      <c r="BA171" s="36"/>
    </row>
    <row r="172" ht="15.5" spans="21:54">
      <c r="U172" s="53"/>
      <c r="V172" s="21" t="s">
        <v>326</v>
      </c>
      <c r="W172" s="53"/>
      <c r="X172" s="54"/>
      <c r="Z172" s="53"/>
      <c r="AA172" s="21" t="s">
        <v>326</v>
      </c>
      <c r="AB172" s="53"/>
      <c r="AC172" s="54"/>
      <c r="AE172" s="53"/>
      <c r="AF172" s="21" t="s">
        <v>326</v>
      </c>
      <c r="AG172" s="53"/>
      <c r="AH172" s="54"/>
      <c r="AJ172" s="53"/>
      <c r="AK172" s="21" t="s">
        <v>326</v>
      </c>
      <c r="AL172" s="53"/>
      <c r="AM172" s="54"/>
      <c r="AO172" s="53"/>
      <c r="AP172" s="21" t="s">
        <v>326</v>
      </c>
      <c r="AQ172" s="53"/>
      <c r="AR172" s="54"/>
      <c r="AT172" s="53"/>
      <c r="AU172" s="21" t="s">
        <v>326</v>
      </c>
      <c r="AV172" s="53"/>
      <c r="AW172" s="54"/>
      <c r="AY172" s="53"/>
      <c r="AZ172" s="21" t="s">
        <v>326</v>
      </c>
      <c r="BA172" s="53"/>
    </row>
    <row r="173" ht="15.5" spans="21:54">
      <c r="U173" s="21" t="s">
        <v>65</v>
      </c>
      <c r="V173" s="21" t="s">
        <v>112</v>
      </c>
      <c r="W173" s="21" t="s">
        <v>11</v>
      </c>
      <c r="X173" s="54" t="s">
        <v>41</v>
      </c>
      <c r="Z173" s="21" t="s">
        <v>65</v>
      </c>
      <c r="AA173" s="21" t="s">
        <v>112</v>
      </c>
      <c r="AB173" s="21" t="s">
        <v>11</v>
      </c>
      <c r="AC173" s="54" t="s">
        <v>41</v>
      </c>
      <c r="AE173" s="21" t="s">
        <v>65</v>
      </c>
      <c r="AF173" s="21" t="s">
        <v>112</v>
      </c>
      <c r="AG173" s="21" t="s">
        <v>11</v>
      </c>
      <c r="AH173" s="54" t="s">
        <v>41</v>
      </c>
      <c r="AJ173" s="21" t="s">
        <v>65</v>
      </c>
      <c r="AK173" s="21" t="s">
        <v>112</v>
      </c>
      <c r="AL173" s="21" t="s">
        <v>11</v>
      </c>
      <c r="AM173" s="54" t="s">
        <v>41</v>
      </c>
      <c r="AO173" s="21" t="s">
        <v>65</v>
      </c>
      <c r="AP173" s="21" t="s">
        <v>112</v>
      </c>
      <c r="AQ173" s="21" t="s">
        <v>11</v>
      </c>
      <c r="AR173" s="54" t="s">
        <v>41</v>
      </c>
      <c r="AT173" s="21" t="s">
        <v>65</v>
      </c>
      <c r="AU173" s="21" t="s">
        <v>112</v>
      </c>
      <c r="AV173" s="21" t="s">
        <v>11</v>
      </c>
      <c r="AW173" s="54" t="s">
        <v>41</v>
      </c>
      <c r="AY173" s="21" t="s">
        <v>65</v>
      </c>
      <c r="AZ173" s="21" t="s">
        <v>112</v>
      </c>
      <c r="BA173" s="21" t="s">
        <v>11</v>
      </c>
      <c r="BB173" s="54" t="s">
        <v>41</v>
      </c>
    </row>
    <row r="174" ht="15.5" spans="21:54">
      <c r="U174" s="54" t="s">
        <v>263</v>
      </c>
      <c r="V174" s="55" t="s">
        <v>327</v>
      </c>
      <c r="W174" s="54">
        <f t="shared" ref="W174:W177" si="346">W105</f>
        <v>0.011840997136601</v>
      </c>
      <c r="X174" s="54">
        <v>2020</v>
      </c>
      <c r="Z174" s="54" t="s">
        <v>265</v>
      </c>
      <c r="AA174" s="55" t="s">
        <v>327</v>
      </c>
      <c r="AB174" s="54">
        <f t="shared" ref="AB174:AB177" si="347">X105</f>
        <v>0.011377245508982</v>
      </c>
      <c r="AC174" s="54">
        <v>2020</v>
      </c>
      <c r="AE174" s="54" t="s">
        <v>267</v>
      </c>
      <c r="AF174" s="55" t="s">
        <v>327</v>
      </c>
      <c r="AG174" s="54">
        <f t="shared" ref="AG174:AG177" si="348">Y105</f>
        <v>0.0117668161434977</v>
      </c>
      <c r="AH174" s="54">
        <v>2020</v>
      </c>
      <c r="AJ174" s="54" t="s">
        <v>269</v>
      </c>
      <c r="AK174" s="55" t="s">
        <v>327</v>
      </c>
      <c r="AL174" s="54">
        <f t="shared" ref="AL174:AL177" si="349">Z105</f>
        <v>0.0120924943138741</v>
      </c>
      <c r="AM174" s="54">
        <v>2020</v>
      </c>
      <c r="AO174" s="54" t="s">
        <v>261</v>
      </c>
      <c r="AP174" s="55" t="s">
        <v>327</v>
      </c>
      <c r="AQ174" s="54">
        <f t="shared" ref="AQ174:AQ177" si="350">AA105</f>
        <v>0.0122878985642364</v>
      </c>
      <c r="AR174" s="54">
        <v>2020</v>
      </c>
      <c r="AT174" s="54" t="s">
        <v>260</v>
      </c>
      <c r="AU174" s="55" t="s">
        <v>327</v>
      </c>
      <c r="AV174" s="54">
        <f t="shared" ref="AV174:AV177" si="351">AB105</f>
        <v>0.00987208427389014</v>
      </c>
      <c r="AW174" s="54">
        <v>2020</v>
      </c>
      <c r="AY174" s="54" t="s">
        <v>258</v>
      </c>
      <c r="AZ174" s="55" t="s">
        <v>327</v>
      </c>
      <c r="BA174" s="54">
        <f t="shared" ref="BA174:BA177" si="352">AC105</f>
        <v>0.0116024053767244</v>
      </c>
      <c r="BB174" s="54">
        <v>2020</v>
      </c>
    </row>
    <row r="175" ht="15.5" spans="21:54">
      <c r="U175" s="54" t="str">
        <f t="shared" ref="U175:U177" si="353">U174</f>
        <v>HydRecy-NMC111</v>
      </c>
      <c r="V175" s="55" t="s">
        <v>328</v>
      </c>
      <c r="W175" s="54">
        <f t="shared" si="346"/>
        <v>0.0404413003200269</v>
      </c>
      <c r="X175" s="54">
        <v>2020</v>
      </c>
      <c r="Z175" s="54" t="str">
        <f t="shared" ref="Z175:Z177" si="354">Z174</f>
        <v>HydRecy-NMC532</v>
      </c>
      <c r="AA175" s="55" t="s">
        <v>328</v>
      </c>
      <c r="AB175" s="54">
        <f t="shared" si="347"/>
        <v>0.0389734816082122</v>
      </c>
      <c r="AC175" s="54">
        <v>2020</v>
      </c>
      <c r="AE175" s="54" t="str">
        <f t="shared" ref="AE175:AE177" si="355">AE174</f>
        <v>HydRecy-NMC622</v>
      </c>
      <c r="AF175" s="55" t="s">
        <v>328</v>
      </c>
      <c r="AG175" s="54">
        <f t="shared" si="348"/>
        <v>0.0403408071748879</v>
      </c>
      <c r="AH175" s="54">
        <v>2020</v>
      </c>
      <c r="AJ175" s="54" t="str">
        <f t="shared" ref="AJ175:AJ177" si="356">AJ174</f>
        <v>HydRecy-NMC811</v>
      </c>
      <c r="AK175" s="55" t="s">
        <v>328</v>
      </c>
      <c r="AL175" s="54">
        <f t="shared" si="349"/>
        <v>0.0420204700530705</v>
      </c>
      <c r="AM175" s="54">
        <v>2020</v>
      </c>
      <c r="AO175" s="54" t="str">
        <f t="shared" ref="AO175:AO177" si="357">AO174</f>
        <v>HydRecy-NCA</v>
      </c>
      <c r="AP175" s="55" t="s">
        <v>328</v>
      </c>
      <c r="AQ175" s="54">
        <f t="shared" si="350"/>
        <v>0.0428118590341227</v>
      </c>
      <c r="AR175" s="54">
        <v>2020</v>
      </c>
      <c r="AT175" s="54" t="str">
        <f t="shared" ref="AT175:AT177" si="358">AT174</f>
        <v>HydRecy-LMO</v>
      </c>
      <c r="AU175" s="55" t="s">
        <v>328</v>
      </c>
      <c r="AV175" s="54">
        <f t="shared" si="351"/>
        <v>0.0338449962377728</v>
      </c>
      <c r="AW175" s="54">
        <v>2020</v>
      </c>
      <c r="AY175" s="54" t="str">
        <f t="shared" ref="AY175:AY177" si="359">AY174</f>
        <v>HydRecy-LFP</v>
      </c>
      <c r="AZ175" s="55" t="s">
        <v>328</v>
      </c>
      <c r="BA175" s="54">
        <f t="shared" si="352"/>
        <v>0.0397771489211178</v>
      </c>
      <c r="BB175" s="54">
        <v>2020</v>
      </c>
    </row>
    <row r="176" ht="15.5" spans="21:54">
      <c r="U176" s="54" t="str">
        <f t="shared" si="353"/>
        <v>HydRecy-NMC111</v>
      </c>
      <c r="V176" s="55" t="s">
        <v>329</v>
      </c>
      <c r="W176" s="54">
        <f t="shared" si="346"/>
        <v>0.0870304867778339</v>
      </c>
      <c r="X176" s="54">
        <v>2020</v>
      </c>
      <c r="Z176" s="54" t="str">
        <f t="shared" si="354"/>
        <v>HydRecy-NMC532</v>
      </c>
      <c r="AA176" s="55" t="s">
        <v>329</v>
      </c>
      <c r="AB176" s="54">
        <f t="shared" si="347"/>
        <v>0.0843627031650984</v>
      </c>
      <c r="AC176" s="54">
        <v>2020</v>
      </c>
      <c r="AE176" s="54" t="str">
        <f t="shared" si="355"/>
        <v>HydRecy-NMC622</v>
      </c>
      <c r="AF176" s="55" t="s">
        <v>329</v>
      </c>
      <c r="AG176" s="54">
        <f t="shared" si="348"/>
        <v>0.0874439461883408</v>
      </c>
      <c r="AH176" s="54">
        <v>2020</v>
      </c>
      <c r="AJ176" s="54" t="str">
        <f t="shared" si="356"/>
        <v>HydRecy-NMC811</v>
      </c>
      <c r="AK176" s="55" t="s">
        <v>329</v>
      </c>
      <c r="AL176" s="54">
        <f t="shared" si="349"/>
        <v>0.0881918119787718</v>
      </c>
      <c r="AM176" s="54">
        <v>2020</v>
      </c>
      <c r="AO176" s="54" t="str">
        <f t="shared" si="357"/>
        <v>HydRecy-NCA</v>
      </c>
      <c r="AP176" s="55" t="s">
        <v>329</v>
      </c>
      <c r="AQ176" s="54">
        <f t="shared" si="350"/>
        <v>0.0922245012120082</v>
      </c>
      <c r="AR176" s="54">
        <v>2020</v>
      </c>
      <c r="AT176" s="54" t="str">
        <f t="shared" si="358"/>
        <v>HydRecy-LMO</v>
      </c>
      <c r="AU176" s="55" t="s">
        <v>329</v>
      </c>
      <c r="AV176" s="54">
        <f t="shared" si="351"/>
        <v>0.0733634311512415</v>
      </c>
      <c r="AW176" s="54">
        <v>2020</v>
      </c>
      <c r="AY176" s="54" t="str">
        <f t="shared" si="359"/>
        <v>HydRecy-LFP</v>
      </c>
      <c r="AZ176" s="55" t="s">
        <v>329</v>
      </c>
      <c r="BA176" s="54">
        <f t="shared" si="352"/>
        <v>0.0862221436151397</v>
      </c>
      <c r="BB176" s="54">
        <v>2020</v>
      </c>
    </row>
    <row r="177" ht="15.5" spans="21:54">
      <c r="U177" s="54" t="str">
        <f t="shared" si="353"/>
        <v>HydRecy-NMC111</v>
      </c>
      <c r="V177" s="55" t="s">
        <v>330</v>
      </c>
      <c r="W177" s="54">
        <f t="shared" si="346"/>
        <v>0.0133569142664645</v>
      </c>
      <c r="X177" s="54">
        <v>2020</v>
      </c>
      <c r="Z177" s="54" t="str">
        <f t="shared" si="354"/>
        <v>HydRecy-NMC532</v>
      </c>
      <c r="AA177" s="55" t="s">
        <v>330</v>
      </c>
      <c r="AB177" s="54">
        <f t="shared" si="347"/>
        <v>0.0131907613344739</v>
      </c>
      <c r="AC177" s="54">
        <v>2020</v>
      </c>
      <c r="AE177" s="54" t="str">
        <f t="shared" si="355"/>
        <v>HydRecy-NMC622</v>
      </c>
      <c r="AF177" s="55" t="s">
        <v>330</v>
      </c>
      <c r="AG177" s="54">
        <f t="shared" si="348"/>
        <v>0.0137399103139013</v>
      </c>
      <c r="AH177" s="54">
        <v>2020</v>
      </c>
      <c r="AJ177" s="54" t="str">
        <f t="shared" si="356"/>
        <v>HydRecy-NMC811</v>
      </c>
      <c r="AK177" s="55" t="s">
        <v>330</v>
      </c>
      <c r="AL177" s="54">
        <f t="shared" si="349"/>
        <v>0.0141015921152388</v>
      </c>
      <c r="AM177" s="54">
        <v>2020</v>
      </c>
      <c r="AO177" s="54" t="str">
        <f t="shared" si="357"/>
        <v>HydRecy-NCA</v>
      </c>
      <c r="AP177" s="55" t="s">
        <v>330</v>
      </c>
      <c r="AQ177" s="54">
        <f t="shared" si="350"/>
        <v>0.0143016968114861</v>
      </c>
      <c r="AR177" s="54">
        <v>2020</v>
      </c>
      <c r="AT177" s="54" t="str">
        <f t="shared" si="358"/>
        <v>HydRecy-LMO</v>
      </c>
      <c r="AU177" s="55" t="s">
        <v>330</v>
      </c>
      <c r="AV177" s="54">
        <f t="shared" si="351"/>
        <v>0.0115274642588412</v>
      </c>
      <c r="AW177" s="54">
        <v>2020</v>
      </c>
      <c r="AY177" s="54" t="str">
        <f t="shared" si="359"/>
        <v>HydRecy-LFP</v>
      </c>
      <c r="AZ177" s="55" t="s">
        <v>330</v>
      </c>
      <c r="BA177" s="54">
        <f t="shared" si="352"/>
        <v>0.0135479306685532</v>
      </c>
      <c r="BB177" s="54">
        <v>2020</v>
      </c>
    </row>
    <row r="178" ht="15.5" spans="21:54">
      <c r="U178" s="56"/>
      <c r="V178" s="56"/>
      <c r="W178" s="56"/>
      <c r="X178" s="56"/>
      <c r="Z178" s="56"/>
      <c r="AA178" s="56"/>
      <c r="AB178" s="56"/>
      <c r="AC178" s="56"/>
      <c r="AE178" s="56"/>
      <c r="AF178" s="56"/>
      <c r="AG178" s="56"/>
      <c r="AH178" s="56"/>
      <c r="AJ178" s="56"/>
      <c r="AK178" s="56"/>
      <c r="AL178" s="56"/>
      <c r="AM178" s="56"/>
      <c r="AO178" s="56"/>
      <c r="AP178" s="56"/>
      <c r="AQ178" s="56"/>
      <c r="AR178" s="56"/>
      <c r="AT178" s="56"/>
      <c r="AU178" s="56"/>
      <c r="AV178" s="56"/>
      <c r="AW178" s="56"/>
      <c r="AY178" s="56"/>
      <c r="AZ178" s="56"/>
      <c r="BA178" s="56"/>
    </row>
    <row r="183" ht="15.5" spans="21:54">
      <c r="U183" s="53"/>
      <c r="V183" s="21" t="s">
        <v>326</v>
      </c>
      <c r="W183" s="53"/>
      <c r="X183" s="54"/>
      <c r="Z183" s="53"/>
      <c r="AA183" s="21" t="s">
        <v>326</v>
      </c>
      <c r="AB183" s="53"/>
      <c r="AC183" s="54"/>
      <c r="AE183" s="53"/>
      <c r="AF183" s="21" t="s">
        <v>326</v>
      </c>
      <c r="AG183" s="53"/>
      <c r="AH183" s="54"/>
      <c r="AJ183" s="53"/>
      <c r="AK183" s="21" t="s">
        <v>326</v>
      </c>
      <c r="AL183" s="53"/>
      <c r="AM183" s="54"/>
      <c r="AO183" s="53"/>
      <c r="AP183" s="21" t="s">
        <v>326</v>
      </c>
      <c r="AQ183" s="53"/>
      <c r="AR183" s="54"/>
      <c r="AT183" s="53"/>
      <c r="AU183" s="21" t="s">
        <v>326</v>
      </c>
      <c r="AV183" s="53"/>
      <c r="AW183" s="54"/>
      <c r="AY183" s="53"/>
      <c r="AZ183" s="21" t="s">
        <v>326</v>
      </c>
      <c r="BA183" s="53"/>
    </row>
    <row r="184" ht="15.5" spans="21:54">
      <c r="U184" s="21" t="s">
        <v>65</v>
      </c>
      <c r="V184" s="21" t="s">
        <v>112</v>
      </c>
      <c r="W184" s="21" t="s">
        <v>11</v>
      </c>
      <c r="X184" s="54" t="s">
        <v>41</v>
      </c>
      <c r="Z184" s="21" t="s">
        <v>65</v>
      </c>
      <c r="AA184" s="21" t="s">
        <v>112</v>
      </c>
      <c r="AB184" s="21" t="s">
        <v>11</v>
      </c>
      <c r="AC184" s="54" t="s">
        <v>41</v>
      </c>
      <c r="AE184" s="21" t="s">
        <v>65</v>
      </c>
      <c r="AF184" s="21" t="s">
        <v>112</v>
      </c>
      <c r="AG184" s="21" t="s">
        <v>11</v>
      </c>
      <c r="AH184" s="54" t="s">
        <v>41</v>
      </c>
      <c r="AJ184" s="21" t="s">
        <v>65</v>
      </c>
      <c r="AK184" s="21" t="s">
        <v>112</v>
      </c>
      <c r="AL184" s="21" t="s">
        <v>11</v>
      </c>
      <c r="AM184" s="54" t="s">
        <v>41</v>
      </c>
      <c r="AO184" s="21" t="s">
        <v>65</v>
      </c>
      <c r="AP184" s="21" t="s">
        <v>112</v>
      </c>
      <c r="AQ184" s="21" t="s">
        <v>11</v>
      </c>
      <c r="AR184" s="54" t="s">
        <v>41</v>
      </c>
      <c r="AT184" s="21" t="s">
        <v>65</v>
      </c>
      <c r="AU184" s="21" t="s">
        <v>112</v>
      </c>
      <c r="AV184" s="21" t="s">
        <v>11</v>
      </c>
      <c r="AW184" s="54" t="s">
        <v>41</v>
      </c>
      <c r="AY184" s="21" t="s">
        <v>65</v>
      </c>
      <c r="AZ184" s="21" t="s">
        <v>112</v>
      </c>
      <c r="BA184" s="21" t="s">
        <v>11</v>
      </c>
      <c r="BB184" s="54" t="s">
        <v>41</v>
      </c>
    </row>
    <row r="185" ht="15.5" spans="21:54">
      <c r="U185" s="54" t="s">
        <v>276</v>
      </c>
      <c r="V185" s="55" t="s">
        <v>327</v>
      </c>
      <c r="W185" s="54">
        <f t="shared" ref="W185:W188" si="360">W125</f>
        <v>0.00810173488293751</v>
      </c>
      <c r="X185" s="54">
        <v>2020</v>
      </c>
      <c r="Z185" s="54" t="s">
        <v>278</v>
      </c>
      <c r="AA185" s="55" t="s">
        <v>327</v>
      </c>
      <c r="AB185" s="54">
        <f t="shared" ref="AB185:AB188" si="361">X125</f>
        <v>0.00786997433704022</v>
      </c>
      <c r="AC185" s="54">
        <v>2020</v>
      </c>
      <c r="AE185" s="54" t="s">
        <v>280</v>
      </c>
      <c r="AF185" s="55" t="s">
        <v>327</v>
      </c>
      <c r="AG185" s="54">
        <f t="shared" ref="AG185:AG188" si="362">Y125</f>
        <v>0.00817937219730942</v>
      </c>
      <c r="AH185" s="54">
        <v>2020</v>
      </c>
      <c r="AJ185" s="54" t="s">
        <v>281</v>
      </c>
      <c r="AK185" s="55" t="s">
        <v>327</v>
      </c>
      <c r="AL185" s="54">
        <f t="shared" ref="AL185:AL188" si="363">Z125</f>
        <v>0.00816906747536013</v>
      </c>
      <c r="AM185" s="54">
        <v>2020</v>
      </c>
      <c r="AO185" s="54" t="s">
        <v>275</v>
      </c>
      <c r="AP185" s="55" t="s">
        <v>327</v>
      </c>
      <c r="AQ185" s="54">
        <f t="shared" ref="AQ185:AQ188" si="364">AA125</f>
        <v>0.00826030206973706</v>
      </c>
      <c r="AR185" s="54">
        <v>2020</v>
      </c>
      <c r="AT185" s="54" t="s">
        <v>273</v>
      </c>
      <c r="AU185" s="55" t="s">
        <v>327</v>
      </c>
      <c r="AV185" s="54">
        <f t="shared" ref="AV185:AV188" si="365">AB125</f>
        <v>0.00686230248306997</v>
      </c>
      <c r="AW185" s="54">
        <v>2020</v>
      </c>
      <c r="AY185" s="54" t="s">
        <v>271</v>
      </c>
      <c r="AZ185" s="55" t="s">
        <v>327</v>
      </c>
      <c r="BA185" s="54">
        <f t="shared" ref="BA185:BA188" si="366">AC125</f>
        <v>0.00806508666430845</v>
      </c>
      <c r="BB185" s="54">
        <v>2020</v>
      </c>
    </row>
    <row r="186" ht="15.5" spans="21:54">
      <c r="U186" s="54" t="str">
        <f t="shared" ref="U186:U188" si="367">U185</f>
        <v>DirRecy-NMC111</v>
      </c>
      <c r="V186" s="55" t="s">
        <v>328</v>
      </c>
      <c r="W186" s="54">
        <f t="shared" si="360"/>
        <v>0.0319690079164561</v>
      </c>
      <c r="X186" s="54">
        <v>2020</v>
      </c>
      <c r="Z186" s="54" t="str">
        <f t="shared" ref="Z186:Z188" si="368">Z185</f>
        <v>DirRecy-NMC532</v>
      </c>
      <c r="AA186" s="55" t="s">
        <v>328</v>
      </c>
      <c r="AB186" s="54">
        <f t="shared" si="361"/>
        <v>0.0310692899914457</v>
      </c>
      <c r="AC186" s="54">
        <v>2020</v>
      </c>
      <c r="AE186" s="54" t="str">
        <f t="shared" ref="AE186:AE188" si="369">AE185</f>
        <v>DirRecy-NMC622</v>
      </c>
      <c r="AF186" s="55" t="s">
        <v>328</v>
      </c>
      <c r="AG186" s="54">
        <f t="shared" si="362"/>
        <v>0.0322331838565022</v>
      </c>
      <c r="AH186" s="54">
        <v>2020</v>
      </c>
      <c r="AJ186" s="54" t="str">
        <f t="shared" ref="AJ186:AJ188" si="370">AJ185</f>
        <v>DirRecy-NMC811</v>
      </c>
      <c r="AK186" s="55" t="s">
        <v>328</v>
      </c>
      <c r="AL186" s="54">
        <f t="shared" si="363"/>
        <v>0.0321645185746778</v>
      </c>
      <c r="AM186" s="54">
        <v>2020</v>
      </c>
      <c r="AO186" s="54" t="str">
        <f t="shared" ref="AO186:AO188" si="371">AO185</f>
        <v>DirRecy-NCA</v>
      </c>
      <c r="AP186" s="55" t="s">
        <v>328</v>
      </c>
      <c r="AQ186" s="54">
        <f t="shared" si="364"/>
        <v>0.0325750512772702</v>
      </c>
      <c r="AR186" s="54">
        <v>2020</v>
      </c>
      <c r="AT186" s="54" t="str">
        <f t="shared" ref="AT186:AT188" si="372">AT185</f>
        <v>DirRecy-LMO</v>
      </c>
      <c r="AU186" s="55" t="s">
        <v>328</v>
      </c>
      <c r="AV186" s="54">
        <f t="shared" si="365"/>
        <v>0.0270428893905192</v>
      </c>
      <c r="AW186" s="54">
        <v>2020</v>
      </c>
      <c r="AY186" s="54" t="str">
        <f t="shared" ref="AY186:AY188" si="373">AY185</f>
        <v>DirRecy-LFP</v>
      </c>
      <c r="AZ186" s="55" t="s">
        <v>328</v>
      </c>
      <c r="BA186" s="54">
        <f t="shared" si="366"/>
        <v>0.0317828086310577</v>
      </c>
      <c r="BB186" s="54">
        <v>2020</v>
      </c>
    </row>
    <row r="187" ht="15.5" spans="21:54">
      <c r="U187" s="54" t="str">
        <f t="shared" si="367"/>
        <v>DirRecy-NMC111</v>
      </c>
      <c r="V187" s="55" t="s">
        <v>329</v>
      </c>
      <c r="W187" s="54">
        <f t="shared" si="360"/>
        <v>0.0557183762843187</v>
      </c>
      <c r="X187" s="54">
        <v>2020</v>
      </c>
      <c r="Z187" s="54" t="str">
        <f t="shared" si="368"/>
        <v>DirRecy-NMC532</v>
      </c>
      <c r="AA187" s="55" t="s">
        <v>329</v>
      </c>
      <c r="AB187" s="54">
        <f t="shared" si="361"/>
        <v>0.055158254918734</v>
      </c>
      <c r="AC187" s="54">
        <v>2020</v>
      </c>
      <c r="AE187" s="54" t="str">
        <f t="shared" si="369"/>
        <v>DirRecy-NMC622</v>
      </c>
      <c r="AF187" s="55" t="s">
        <v>329</v>
      </c>
      <c r="AG187" s="54">
        <f t="shared" si="362"/>
        <v>0.0574887892376682</v>
      </c>
      <c r="AH187" s="54">
        <v>2020</v>
      </c>
      <c r="AJ187" s="54" t="str">
        <f t="shared" si="370"/>
        <v>DirRecy-NMC811</v>
      </c>
      <c r="AK187" s="55" t="s">
        <v>329</v>
      </c>
      <c r="AL187" s="54">
        <f t="shared" si="363"/>
        <v>0.0587755875663381</v>
      </c>
      <c r="AM187" s="54">
        <v>2020</v>
      </c>
      <c r="AO187" s="54" t="str">
        <f t="shared" si="371"/>
        <v>DirRecy-NCA</v>
      </c>
      <c r="AP187" s="55" t="s">
        <v>329</v>
      </c>
      <c r="AQ187" s="54">
        <f t="shared" si="364"/>
        <v>0.0587544284915159</v>
      </c>
      <c r="AR187" s="54">
        <v>2020</v>
      </c>
      <c r="AT187" s="54" t="str">
        <f t="shared" si="372"/>
        <v>DirRecy-LMO</v>
      </c>
      <c r="AU187" s="55" t="s">
        <v>329</v>
      </c>
      <c r="AV187" s="54">
        <f t="shared" si="365"/>
        <v>0.0482317531978932</v>
      </c>
      <c r="AW187" s="54">
        <v>2020</v>
      </c>
      <c r="AY187" s="54" t="str">
        <f t="shared" si="373"/>
        <v>DirRecy-LFP</v>
      </c>
      <c r="AZ187" s="55" t="s">
        <v>329</v>
      </c>
      <c r="BA187" s="54">
        <f t="shared" si="366"/>
        <v>0.0566855323664662</v>
      </c>
      <c r="BB187" s="54">
        <v>2020</v>
      </c>
    </row>
    <row r="188" ht="15.5" spans="21:54">
      <c r="U188" s="54" t="str">
        <f t="shared" si="367"/>
        <v>DirRecy-NMC111</v>
      </c>
      <c r="V188" s="55" t="s">
        <v>330</v>
      </c>
      <c r="W188" s="54">
        <f t="shared" si="360"/>
        <v>0.0130537308404918</v>
      </c>
      <c r="X188" s="54">
        <v>2020</v>
      </c>
      <c r="Z188" s="54" t="str">
        <f t="shared" si="368"/>
        <v>DirRecy-NMC532</v>
      </c>
      <c r="AA188" s="55" t="s">
        <v>330</v>
      </c>
      <c r="AB188" s="54">
        <f t="shared" si="361"/>
        <v>0.0129170230966638</v>
      </c>
      <c r="AC188" s="54">
        <v>2020</v>
      </c>
      <c r="AE188" s="54" t="str">
        <f t="shared" si="369"/>
        <v>DirRecy-NMC622</v>
      </c>
      <c r="AF188" s="55" t="s">
        <v>330</v>
      </c>
      <c r="AG188" s="54">
        <f t="shared" si="362"/>
        <v>0.0134529147982063</v>
      </c>
      <c r="AH188" s="54">
        <v>2020</v>
      </c>
      <c r="AJ188" s="54" t="str">
        <f t="shared" si="370"/>
        <v>DirRecy-NMC811</v>
      </c>
      <c r="AK188" s="55" t="s">
        <v>330</v>
      </c>
      <c r="AL188" s="54">
        <f t="shared" si="363"/>
        <v>0.0136846095526914</v>
      </c>
      <c r="AM188" s="54">
        <v>2020</v>
      </c>
      <c r="AO188" s="54" t="str">
        <f t="shared" si="371"/>
        <v>DirRecy-NCA</v>
      </c>
      <c r="AP188" s="55" t="s">
        <v>330</v>
      </c>
      <c r="AQ188" s="54">
        <f t="shared" si="364"/>
        <v>0.0137236621294052</v>
      </c>
      <c r="AR188" s="54">
        <v>2020</v>
      </c>
      <c r="AT188" s="54" t="str">
        <f t="shared" si="372"/>
        <v>DirRecy-LMO</v>
      </c>
      <c r="AU188" s="55" t="s">
        <v>330</v>
      </c>
      <c r="AV188" s="54">
        <f t="shared" si="365"/>
        <v>0.0112866817155756</v>
      </c>
      <c r="AW188" s="54">
        <v>2020</v>
      </c>
      <c r="AY188" s="54" t="str">
        <f t="shared" si="373"/>
        <v>DirRecy-LFP</v>
      </c>
      <c r="AZ188" s="55" t="s">
        <v>330</v>
      </c>
      <c r="BA188" s="54">
        <f t="shared" si="366"/>
        <v>0.01326494517156</v>
      </c>
      <c r="BB188" s="54">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4" t="s">
        <v>41</v>
      </c>
      <c r="Z199" s="1" t="s">
        <v>65</v>
      </c>
      <c r="AA199" s="1" t="s">
        <v>112</v>
      </c>
      <c r="AB199" s="1" t="s">
        <v>11</v>
      </c>
      <c r="AC199" s="54" t="s">
        <v>41</v>
      </c>
      <c r="AE199" s="1" t="s">
        <v>65</v>
      </c>
      <c r="AF199" s="1" t="s">
        <v>112</v>
      </c>
      <c r="AG199" s="1" t="s">
        <v>11</v>
      </c>
      <c r="AH199" s="54" t="s">
        <v>41</v>
      </c>
      <c r="AJ199" s="1" t="s">
        <v>65</v>
      </c>
      <c r="AK199" s="1" t="s">
        <v>112</v>
      </c>
      <c r="AL199" s="1" t="s">
        <v>11</v>
      </c>
      <c r="AM199" s="54" t="s">
        <v>41</v>
      </c>
      <c r="AO199" s="1" t="s">
        <v>65</v>
      </c>
      <c r="AP199" s="1" t="s">
        <v>112</v>
      </c>
      <c r="AQ199" s="1" t="s">
        <v>11</v>
      </c>
      <c r="AR199" s="54" t="s">
        <v>41</v>
      </c>
      <c r="AT199" s="1" t="s">
        <v>65</v>
      </c>
      <c r="AU199" s="1" t="s">
        <v>112</v>
      </c>
      <c r="AV199" s="1" t="s">
        <v>11</v>
      </c>
      <c r="AW199" s="54" t="s">
        <v>41</v>
      </c>
      <c r="AY199" s="1" t="s">
        <v>65</v>
      </c>
      <c r="AZ199" s="1" t="s">
        <v>112</v>
      </c>
      <c r="BA199" s="1" t="s">
        <v>11</v>
      </c>
      <c r="BB199" s="54" t="s">
        <v>41</v>
      </c>
    </row>
    <row r="200" ht="15.5" spans="21:54">
      <c r="U200" s="1" t="s">
        <v>250</v>
      </c>
      <c r="V200" s="1" t="s">
        <v>327</v>
      </c>
      <c r="W200" s="1">
        <f>SUM(W162:W165)</f>
        <v>0.141182415361294</v>
      </c>
      <c r="X200" s="54" t="s">
        <v>351</v>
      </c>
      <c r="Z200" s="1" t="s">
        <v>252</v>
      </c>
      <c r="AA200" s="1" t="s">
        <v>327</v>
      </c>
      <c r="AB200" s="1">
        <f>SUM(AB162:AB165)</f>
        <v>0.136680923866553</v>
      </c>
      <c r="AC200" s="54" t="s">
        <v>351</v>
      </c>
      <c r="AE200" s="1" t="s">
        <v>254</v>
      </c>
      <c r="AF200" s="1" t="s">
        <v>327</v>
      </c>
      <c r="AG200" s="1">
        <f>SUM(AG162:AG165)</f>
        <v>0.141363228699552</v>
      </c>
      <c r="AH200" s="54" t="s">
        <v>351</v>
      </c>
      <c r="AJ200" s="1" t="s">
        <v>256</v>
      </c>
      <c r="AK200" s="1" t="s">
        <v>327</v>
      </c>
      <c r="AL200" s="1">
        <f>SUM(AL162:AL165)</f>
        <v>0.148483699772555</v>
      </c>
      <c r="AM200" s="54" t="s">
        <v>351</v>
      </c>
      <c r="AO200" s="1" t="s">
        <v>248</v>
      </c>
      <c r="AP200" s="1" t="s">
        <v>327</v>
      </c>
      <c r="AQ200" s="1">
        <f>SUM(AQ162:AQ165)</f>
        <v>0.153906395674063</v>
      </c>
      <c r="AR200" s="54" t="s">
        <v>351</v>
      </c>
      <c r="AT200" s="1" t="s">
        <v>246</v>
      </c>
      <c r="AU200" s="1" t="s">
        <v>327</v>
      </c>
      <c r="AV200" s="1">
        <f>SUM(AV162:AV165)</f>
        <v>0.118600451467269</v>
      </c>
      <c r="AW200" s="54" t="s">
        <v>351</v>
      </c>
      <c r="AY200" s="1" t="s">
        <v>244</v>
      </c>
      <c r="AZ200" s="1" t="s">
        <v>327</v>
      </c>
      <c r="BA200" s="1">
        <f>SUM(BA162:BA165)</f>
        <v>0.139388043862752</v>
      </c>
      <c r="BB200" s="54" t="s">
        <v>351</v>
      </c>
    </row>
    <row r="201" ht="15.5" spans="21:54">
      <c r="U201" s="1" t="s">
        <v>250</v>
      </c>
      <c r="V201" s="1" t="s">
        <v>328</v>
      </c>
      <c r="W201" s="1">
        <v>0</v>
      </c>
      <c r="X201" s="54" t="s">
        <v>351</v>
      </c>
      <c r="Z201" s="1" t="s">
        <v>252</v>
      </c>
      <c r="AA201" s="1" t="s">
        <v>328</v>
      </c>
      <c r="AB201" s="1">
        <v>0</v>
      </c>
      <c r="AC201" s="54" t="s">
        <v>351</v>
      </c>
      <c r="AE201" s="1" t="s">
        <v>254</v>
      </c>
      <c r="AF201" s="1" t="s">
        <v>328</v>
      </c>
      <c r="AG201" s="1">
        <v>0</v>
      </c>
      <c r="AH201" s="54" t="s">
        <v>351</v>
      </c>
      <c r="AJ201" s="1" t="s">
        <v>256</v>
      </c>
      <c r="AK201" s="1" t="s">
        <v>328</v>
      </c>
      <c r="AL201" s="1">
        <v>0</v>
      </c>
      <c r="AM201" s="54" t="s">
        <v>351</v>
      </c>
      <c r="AO201" s="1" t="s">
        <v>248</v>
      </c>
      <c r="AP201" s="1" t="s">
        <v>328</v>
      </c>
      <c r="AQ201" s="1">
        <v>0</v>
      </c>
      <c r="AR201" s="54" t="s">
        <v>351</v>
      </c>
      <c r="AT201" s="1" t="s">
        <v>246</v>
      </c>
      <c r="AU201" s="1" t="s">
        <v>328</v>
      </c>
      <c r="AV201" s="1">
        <v>0</v>
      </c>
      <c r="AW201" s="54" t="s">
        <v>351</v>
      </c>
      <c r="AY201" s="1" t="s">
        <v>244</v>
      </c>
      <c r="AZ201" s="1" t="s">
        <v>328</v>
      </c>
      <c r="BA201" s="1">
        <v>0</v>
      </c>
      <c r="BB201" s="54" t="s">
        <v>351</v>
      </c>
    </row>
    <row r="202" ht="15.5" spans="21:54">
      <c r="U202" s="1" t="s">
        <v>250</v>
      </c>
      <c r="V202" s="1" t="s">
        <v>329</v>
      </c>
      <c r="W202" s="1">
        <v>0</v>
      </c>
      <c r="X202" s="54" t="s">
        <v>351</v>
      </c>
      <c r="Z202" s="1" t="s">
        <v>252</v>
      </c>
      <c r="AA202" s="1" t="s">
        <v>329</v>
      </c>
      <c r="AB202" s="1">
        <v>0</v>
      </c>
      <c r="AC202" s="54" t="s">
        <v>351</v>
      </c>
      <c r="AE202" s="1" t="s">
        <v>254</v>
      </c>
      <c r="AF202" s="1" t="s">
        <v>329</v>
      </c>
      <c r="AG202" s="1">
        <v>0</v>
      </c>
      <c r="AH202" s="54" t="s">
        <v>351</v>
      </c>
      <c r="AJ202" s="1" t="s">
        <v>256</v>
      </c>
      <c r="AK202" s="1" t="s">
        <v>329</v>
      </c>
      <c r="AL202" s="1">
        <v>0</v>
      </c>
      <c r="AM202" s="54" t="s">
        <v>351</v>
      </c>
      <c r="AO202" s="1" t="s">
        <v>248</v>
      </c>
      <c r="AP202" s="1" t="s">
        <v>329</v>
      </c>
      <c r="AQ202" s="1">
        <v>0</v>
      </c>
      <c r="AR202" s="54" t="s">
        <v>351</v>
      </c>
      <c r="AT202" s="1" t="s">
        <v>246</v>
      </c>
      <c r="AU202" s="1" t="s">
        <v>329</v>
      </c>
      <c r="AV202" s="1">
        <v>0</v>
      </c>
      <c r="AW202" s="54" t="s">
        <v>351</v>
      </c>
      <c r="AY202" s="1" t="s">
        <v>244</v>
      </c>
      <c r="AZ202" s="1" t="s">
        <v>329</v>
      </c>
      <c r="BA202" s="1">
        <v>0</v>
      </c>
      <c r="BB202" s="54" t="s">
        <v>351</v>
      </c>
    </row>
    <row r="203" ht="15.5" spans="21:54">
      <c r="U203" s="1" t="s">
        <v>250</v>
      </c>
      <c r="V203" s="1" t="s">
        <v>330</v>
      </c>
      <c r="W203" s="1">
        <v>0</v>
      </c>
      <c r="X203" s="54" t="s">
        <v>351</v>
      </c>
      <c r="Z203" s="1" t="s">
        <v>252</v>
      </c>
      <c r="AA203" s="1" t="s">
        <v>330</v>
      </c>
      <c r="AB203" s="1">
        <v>0</v>
      </c>
      <c r="AC203" s="54" t="s">
        <v>351</v>
      </c>
      <c r="AE203" s="1" t="s">
        <v>254</v>
      </c>
      <c r="AF203" s="1" t="s">
        <v>330</v>
      </c>
      <c r="AG203" s="1">
        <v>0</v>
      </c>
      <c r="AH203" s="54" t="s">
        <v>351</v>
      </c>
      <c r="AJ203" s="1" t="s">
        <v>256</v>
      </c>
      <c r="AK203" s="1" t="s">
        <v>330</v>
      </c>
      <c r="AL203" s="1">
        <v>0</v>
      </c>
      <c r="AM203" s="54" t="s">
        <v>351</v>
      </c>
      <c r="AO203" s="1" t="s">
        <v>248</v>
      </c>
      <c r="AP203" s="1" t="s">
        <v>330</v>
      </c>
      <c r="AQ203" s="1">
        <v>0</v>
      </c>
      <c r="AR203" s="54" t="s">
        <v>351</v>
      </c>
      <c r="AT203" s="1" t="s">
        <v>246</v>
      </c>
      <c r="AU203" s="1" t="s">
        <v>330</v>
      </c>
      <c r="AV203" s="1">
        <v>0</v>
      </c>
      <c r="AW203" s="54" t="s">
        <v>351</v>
      </c>
      <c r="AY203" s="1" t="s">
        <v>244</v>
      </c>
      <c r="AZ203" s="1" t="s">
        <v>330</v>
      </c>
      <c r="BA203" s="1">
        <v>0</v>
      </c>
      <c r="BB203" s="54"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4" t="s">
        <v>41</v>
      </c>
      <c r="Z211" s="1" t="s">
        <v>65</v>
      </c>
      <c r="AA211" s="1" t="s">
        <v>112</v>
      </c>
      <c r="AB211" s="1" t="s">
        <v>11</v>
      </c>
      <c r="AC211" s="54" t="s">
        <v>41</v>
      </c>
      <c r="AE211" s="1" t="s">
        <v>65</v>
      </c>
      <c r="AF211" s="1" t="s">
        <v>112</v>
      </c>
      <c r="AG211" s="1" t="s">
        <v>11</v>
      </c>
      <c r="AH211" s="54" t="s">
        <v>41</v>
      </c>
      <c r="AJ211" s="1" t="s">
        <v>65</v>
      </c>
      <c r="AK211" s="1" t="s">
        <v>112</v>
      </c>
      <c r="AL211" s="1" t="s">
        <v>11</v>
      </c>
      <c r="AM211" s="54" t="s">
        <v>41</v>
      </c>
      <c r="AO211" s="1" t="s">
        <v>65</v>
      </c>
      <c r="AP211" s="1" t="s">
        <v>112</v>
      </c>
      <c r="AQ211" s="1" t="s">
        <v>11</v>
      </c>
      <c r="AR211" s="54" t="s">
        <v>41</v>
      </c>
      <c r="AT211" s="1" t="s">
        <v>65</v>
      </c>
      <c r="AU211" s="1" t="s">
        <v>112</v>
      </c>
      <c r="AV211" s="1" t="s">
        <v>11</v>
      </c>
      <c r="AW211" s="54" t="s">
        <v>41</v>
      </c>
      <c r="AY211" s="1" t="s">
        <v>65</v>
      </c>
      <c r="AZ211" s="1" t="s">
        <v>112</v>
      </c>
      <c r="BA211" s="1" t="s">
        <v>11</v>
      </c>
      <c r="BB211" s="54" t="s">
        <v>41</v>
      </c>
    </row>
    <row r="212" ht="15.5" spans="21:54">
      <c r="U212" s="1" t="s">
        <v>263</v>
      </c>
      <c r="V212" s="1" t="s">
        <v>327</v>
      </c>
      <c r="W212" s="1">
        <f>SUM(W174:W177)</f>
        <v>0.152669698500926</v>
      </c>
      <c r="X212" s="54" t="s">
        <v>351</v>
      </c>
      <c r="Z212" s="1" t="s">
        <v>265</v>
      </c>
      <c r="AA212" s="1" t="s">
        <v>327</v>
      </c>
      <c r="AB212" s="1">
        <f>SUM(AB174:AB177)</f>
        <v>0.147904191616766</v>
      </c>
      <c r="AC212" s="54" t="s">
        <v>351</v>
      </c>
      <c r="AE212" s="1" t="s">
        <v>267</v>
      </c>
      <c r="AF212" s="1" t="s">
        <v>327</v>
      </c>
      <c r="AG212" s="1">
        <f>SUM(AG174:AG177)</f>
        <v>0.153291479820628</v>
      </c>
      <c r="AH212" s="54" t="s">
        <v>351</v>
      </c>
      <c r="AJ212" s="1" t="s">
        <v>269</v>
      </c>
      <c r="AK212" s="1" t="s">
        <v>327</v>
      </c>
      <c r="AL212" s="1">
        <f>SUM(AL174:AL177)</f>
        <v>0.156406368460955</v>
      </c>
      <c r="AM212" s="54" t="s">
        <v>351</v>
      </c>
      <c r="AO212" s="1" t="s">
        <v>261</v>
      </c>
      <c r="AP212" s="1" t="s">
        <v>327</v>
      </c>
      <c r="AQ212" s="1">
        <f>SUM(AQ174:AQ177)</f>
        <v>0.161625955621853</v>
      </c>
      <c r="AR212" s="54" t="s">
        <v>351</v>
      </c>
      <c r="AT212" s="1" t="s">
        <v>260</v>
      </c>
      <c r="AU212" s="1" t="s">
        <v>327</v>
      </c>
      <c r="AV212" s="1">
        <f>SUM(AV174:AV177)</f>
        <v>0.128607975921746</v>
      </c>
      <c r="AW212" s="54" t="s">
        <v>351</v>
      </c>
      <c r="AY212" s="1" t="s">
        <v>258</v>
      </c>
      <c r="AZ212" s="1" t="s">
        <v>327</v>
      </c>
      <c r="BA212" s="1">
        <f>SUM(BA174:BA177)</f>
        <v>0.151149628581535</v>
      </c>
      <c r="BB212" s="54" t="s">
        <v>351</v>
      </c>
    </row>
    <row r="213" ht="15.5" spans="21:54">
      <c r="U213" s="1" t="s">
        <v>263</v>
      </c>
      <c r="V213" s="1" t="s">
        <v>328</v>
      </c>
      <c r="W213" s="1">
        <v>0</v>
      </c>
      <c r="X213" s="54" t="s">
        <v>351</v>
      </c>
      <c r="Z213" s="1" t="s">
        <v>265</v>
      </c>
      <c r="AA213" s="1" t="s">
        <v>328</v>
      </c>
      <c r="AB213" s="1">
        <v>0</v>
      </c>
      <c r="AC213" s="54" t="s">
        <v>351</v>
      </c>
      <c r="AE213" s="1" t="s">
        <v>267</v>
      </c>
      <c r="AF213" s="1" t="s">
        <v>328</v>
      </c>
      <c r="AG213" s="1">
        <v>0</v>
      </c>
      <c r="AH213" s="54" t="s">
        <v>351</v>
      </c>
      <c r="AJ213" s="1" t="s">
        <v>269</v>
      </c>
      <c r="AK213" s="1" t="s">
        <v>328</v>
      </c>
      <c r="AL213" s="1">
        <v>0</v>
      </c>
      <c r="AM213" s="54" t="s">
        <v>351</v>
      </c>
      <c r="AO213" s="1" t="s">
        <v>261</v>
      </c>
      <c r="AP213" s="1" t="s">
        <v>328</v>
      </c>
      <c r="AQ213" s="1">
        <v>0</v>
      </c>
      <c r="AR213" s="54" t="s">
        <v>351</v>
      </c>
      <c r="AT213" s="1" t="s">
        <v>260</v>
      </c>
      <c r="AU213" s="1" t="s">
        <v>328</v>
      </c>
      <c r="AV213" s="1">
        <v>0</v>
      </c>
      <c r="AW213" s="54" t="s">
        <v>351</v>
      </c>
      <c r="AY213" s="1" t="s">
        <v>258</v>
      </c>
      <c r="AZ213" s="1" t="s">
        <v>328</v>
      </c>
      <c r="BA213" s="1">
        <v>0</v>
      </c>
      <c r="BB213" s="54" t="s">
        <v>351</v>
      </c>
    </row>
    <row r="214" ht="15.5" spans="21:54">
      <c r="U214" s="1" t="s">
        <v>263</v>
      </c>
      <c r="V214" s="1" t="s">
        <v>329</v>
      </c>
      <c r="W214" s="1">
        <v>0</v>
      </c>
      <c r="X214" s="54" t="s">
        <v>351</v>
      </c>
      <c r="Z214" s="1" t="s">
        <v>265</v>
      </c>
      <c r="AA214" s="1" t="s">
        <v>329</v>
      </c>
      <c r="AB214" s="1">
        <v>0</v>
      </c>
      <c r="AC214" s="54" t="s">
        <v>351</v>
      </c>
      <c r="AE214" s="1" t="s">
        <v>267</v>
      </c>
      <c r="AF214" s="1" t="s">
        <v>329</v>
      </c>
      <c r="AG214" s="1">
        <v>0</v>
      </c>
      <c r="AH214" s="54" t="s">
        <v>351</v>
      </c>
      <c r="AJ214" s="1" t="s">
        <v>269</v>
      </c>
      <c r="AK214" s="1" t="s">
        <v>329</v>
      </c>
      <c r="AL214" s="1">
        <v>0</v>
      </c>
      <c r="AM214" s="54" t="s">
        <v>351</v>
      </c>
      <c r="AO214" s="1" t="s">
        <v>261</v>
      </c>
      <c r="AP214" s="1" t="s">
        <v>329</v>
      </c>
      <c r="AQ214" s="1">
        <v>0</v>
      </c>
      <c r="AR214" s="54" t="s">
        <v>351</v>
      </c>
      <c r="AT214" s="1" t="s">
        <v>260</v>
      </c>
      <c r="AU214" s="1" t="s">
        <v>329</v>
      </c>
      <c r="AV214" s="1">
        <v>0</v>
      </c>
      <c r="AW214" s="54" t="s">
        <v>351</v>
      </c>
      <c r="AY214" s="1" t="s">
        <v>258</v>
      </c>
      <c r="AZ214" s="1" t="s">
        <v>329</v>
      </c>
      <c r="BA214" s="1">
        <v>0</v>
      </c>
      <c r="BB214" s="54" t="s">
        <v>351</v>
      </c>
    </row>
    <row r="215" ht="15.5" spans="21:54">
      <c r="U215" s="1" t="s">
        <v>263</v>
      </c>
      <c r="V215" s="1" t="s">
        <v>330</v>
      </c>
      <c r="W215" s="1">
        <v>0</v>
      </c>
      <c r="X215" s="54" t="s">
        <v>351</v>
      </c>
      <c r="Z215" s="1" t="s">
        <v>265</v>
      </c>
      <c r="AA215" s="1" t="s">
        <v>330</v>
      </c>
      <c r="AB215" s="1">
        <v>0</v>
      </c>
      <c r="AC215" s="54" t="s">
        <v>351</v>
      </c>
      <c r="AE215" s="1" t="s">
        <v>267</v>
      </c>
      <c r="AF215" s="1" t="s">
        <v>330</v>
      </c>
      <c r="AG215" s="1">
        <v>0</v>
      </c>
      <c r="AH215" s="54" t="s">
        <v>351</v>
      </c>
      <c r="AJ215" s="1" t="s">
        <v>269</v>
      </c>
      <c r="AK215" s="1" t="s">
        <v>330</v>
      </c>
      <c r="AL215" s="1">
        <v>0</v>
      </c>
      <c r="AM215" s="54" t="s">
        <v>351</v>
      </c>
      <c r="AO215" s="1" t="s">
        <v>261</v>
      </c>
      <c r="AP215" s="1" t="s">
        <v>330</v>
      </c>
      <c r="AQ215" s="1">
        <v>0</v>
      </c>
      <c r="AR215" s="54" t="s">
        <v>351</v>
      </c>
      <c r="AT215" s="1" t="s">
        <v>260</v>
      </c>
      <c r="AU215" s="1" t="s">
        <v>330</v>
      </c>
      <c r="AV215" s="1">
        <v>0</v>
      </c>
      <c r="AW215" s="54" t="s">
        <v>351</v>
      </c>
      <c r="AY215" s="1" t="s">
        <v>258</v>
      </c>
      <c r="AZ215" s="1" t="s">
        <v>330</v>
      </c>
      <c r="BA215" s="1">
        <v>0</v>
      </c>
      <c r="BB215" s="54"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4" t="s">
        <v>41</v>
      </c>
      <c r="Z222" s="1" t="s">
        <v>65</v>
      </c>
      <c r="AA222" s="1" t="s">
        <v>112</v>
      </c>
      <c r="AB222" s="1" t="s">
        <v>11</v>
      </c>
      <c r="AC222" s="54" t="s">
        <v>41</v>
      </c>
      <c r="AE222" s="1" t="s">
        <v>65</v>
      </c>
      <c r="AF222" s="1" t="s">
        <v>112</v>
      </c>
      <c r="AG222" s="1" t="s">
        <v>11</v>
      </c>
      <c r="AH222" s="54" t="s">
        <v>41</v>
      </c>
      <c r="AJ222" s="1" t="s">
        <v>65</v>
      </c>
      <c r="AK222" s="1" t="s">
        <v>112</v>
      </c>
      <c r="AL222" s="1" t="s">
        <v>11</v>
      </c>
      <c r="AM222" s="54" t="s">
        <v>41</v>
      </c>
      <c r="AO222" s="1" t="s">
        <v>65</v>
      </c>
      <c r="AP222" s="1" t="s">
        <v>112</v>
      </c>
      <c r="AQ222" s="1" t="s">
        <v>11</v>
      </c>
      <c r="AR222" s="54" t="s">
        <v>41</v>
      </c>
      <c r="AT222" s="1" t="s">
        <v>65</v>
      </c>
      <c r="AU222" s="1" t="s">
        <v>112</v>
      </c>
      <c r="AV222" s="1" t="s">
        <v>11</v>
      </c>
      <c r="AW222" s="54" t="s">
        <v>41</v>
      </c>
      <c r="AY222" s="1" t="s">
        <v>65</v>
      </c>
      <c r="AZ222" s="1" t="s">
        <v>112</v>
      </c>
      <c r="BA222" s="1" t="s">
        <v>11</v>
      </c>
      <c r="BB222" s="54" t="s">
        <v>41</v>
      </c>
    </row>
    <row r="223" ht="15.5" spans="21:54">
      <c r="U223" s="1" t="s">
        <v>276</v>
      </c>
      <c r="V223" s="1" t="s">
        <v>327</v>
      </c>
      <c r="W223" s="1">
        <f>SUM(W185:W188)</f>
        <v>0.108842849924204</v>
      </c>
      <c r="X223" s="54" t="s">
        <v>351</v>
      </c>
      <c r="Z223" s="1" t="s">
        <v>278</v>
      </c>
      <c r="AA223" s="1" t="s">
        <v>327</v>
      </c>
      <c r="AB223" s="1">
        <f>SUM(AB185:AB188)</f>
        <v>0.107014542343884</v>
      </c>
      <c r="AC223" s="54" t="s">
        <v>351</v>
      </c>
      <c r="AE223" s="1" t="s">
        <v>280</v>
      </c>
      <c r="AF223" s="1" t="s">
        <v>327</v>
      </c>
      <c r="AG223" s="1">
        <f>SUM(AG185:AG188)</f>
        <v>0.111354260089686</v>
      </c>
      <c r="AH223" s="54" t="s">
        <v>351</v>
      </c>
      <c r="AJ223" s="1" t="s">
        <v>281</v>
      </c>
      <c r="AK223" s="1" t="s">
        <v>327</v>
      </c>
      <c r="AL223" s="1">
        <f>SUM(AL185:AL188)</f>
        <v>0.112793783169067</v>
      </c>
      <c r="AM223" s="54" t="s">
        <v>351</v>
      </c>
      <c r="AO223" s="1" t="s">
        <v>275</v>
      </c>
      <c r="AP223" s="1" t="s">
        <v>327</v>
      </c>
      <c r="AQ223" s="1">
        <f>SUM(AQ185:AQ188)</f>
        <v>0.113313443967928</v>
      </c>
      <c r="AR223" s="54" t="s">
        <v>351</v>
      </c>
      <c r="AT223" s="1" t="s">
        <v>273</v>
      </c>
      <c r="AU223" s="1" t="s">
        <v>327</v>
      </c>
      <c r="AV223" s="1">
        <f>SUM(AV185:AV188)</f>
        <v>0.0934236267870579</v>
      </c>
      <c r="AW223" s="54" t="s">
        <v>351</v>
      </c>
      <c r="AY223" s="1" t="s">
        <v>271</v>
      </c>
      <c r="AZ223" s="1" t="s">
        <v>327</v>
      </c>
      <c r="BA223" s="1">
        <f>SUM(BA185:BA188)</f>
        <v>0.109798372833392</v>
      </c>
      <c r="BB223" s="54" t="s">
        <v>351</v>
      </c>
    </row>
    <row r="224" ht="15.5" spans="21:54">
      <c r="U224" s="1" t="s">
        <v>276</v>
      </c>
      <c r="V224" s="1" t="s">
        <v>328</v>
      </c>
      <c r="W224" s="1">
        <v>0</v>
      </c>
      <c r="X224" s="54" t="s">
        <v>351</v>
      </c>
      <c r="Z224" s="1" t="s">
        <v>278</v>
      </c>
      <c r="AA224" s="1" t="s">
        <v>328</v>
      </c>
      <c r="AB224" s="1">
        <v>0</v>
      </c>
      <c r="AC224" s="54" t="s">
        <v>351</v>
      </c>
      <c r="AE224" s="1" t="s">
        <v>280</v>
      </c>
      <c r="AF224" s="1" t="s">
        <v>328</v>
      </c>
      <c r="AG224" s="1">
        <v>0</v>
      </c>
      <c r="AH224" s="54" t="s">
        <v>351</v>
      </c>
      <c r="AJ224" s="1" t="s">
        <v>281</v>
      </c>
      <c r="AK224" s="1" t="s">
        <v>328</v>
      </c>
      <c r="AL224" s="1">
        <v>0</v>
      </c>
      <c r="AM224" s="54" t="s">
        <v>351</v>
      </c>
      <c r="AO224" s="1" t="s">
        <v>275</v>
      </c>
      <c r="AP224" s="1" t="s">
        <v>328</v>
      </c>
      <c r="AQ224" s="1">
        <v>0</v>
      </c>
      <c r="AR224" s="54" t="s">
        <v>351</v>
      </c>
      <c r="AT224" s="1" t="s">
        <v>273</v>
      </c>
      <c r="AU224" s="1" t="s">
        <v>328</v>
      </c>
      <c r="AV224" s="1">
        <v>0</v>
      </c>
      <c r="AW224" s="54" t="s">
        <v>351</v>
      </c>
      <c r="AY224" s="1" t="s">
        <v>271</v>
      </c>
      <c r="AZ224" s="1" t="s">
        <v>328</v>
      </c>
      <c r="BA224" s="1">
        <v>0</v>
      </c>
      <c r="BB224" s="54" t="s">
        <v>351</v>
      </c>
    </row>
    <row r="225" ht="15.5" spans="21:54">
      <c r="U225" s="1" t="s">
        <v>276</v>
      </c>
      <c r="V225" s="1" t="s">
        <v>329</v>
      </c>
      <c r="W225" s="1">
        <v>0</v>
      </c>
      <c r="X225" s="54" t="s">
        <v>351</v>
      </c>
      <c r="Z225" s="1" t="s">
        <v>278</v>
      </c>
      <c r="AA225" s="1" t="s">
        <v>329</v>
      </c>
      <c r="AB225" s="1">
        <v>0</v>
      </c>
      <c r="AC225" s="54" t="s">
        <v>351</v>
      </c>
      <c r="AE225" s="1" t="s">
        <v>280</v>
      </c>
      <c r="AF225" s="1" t="s">
        <v>329</v>
      </c>
      <c r="AG225" s="1">
        <v>0</v>
      </c>
      <c r="AH225" s="54" t="s">
        <v>351</v>
      </c>
      <c r="AJ225" s="1" t="s">
        <v>281</v>
      </c>
      <c r="AK225" s="1" t="s">
        <v>329</v>
      </c>
      <c r="AL225" s="1">
        <v>0</v>
      </c>
      <c r="AM225" s="54" t="s">
        <v>351</v>
      </c>
      <c r="AO225" s="1" t="s">
        <v>275</v>
      </c>
      <c r="AP225" s="1" t="s">
        <v>329</v>
      </c>
      <c r="AQ225" s="1">
        <v>0</v>
      </c>
      <c r="AR225" s="54" t="s">
        <v>351</v>
      </c>
      <c r="AT225" s="1" t="s">
        <v>273</v>
      </c>
      <c r="AU225" s="1" t="s">
        <v>329</v>
      </c>
      <c r="AV225" s="1">
        <v>0</v>
      </c>
      <c r="AW225" s="54" t="s">
        <v>351</v>
      </c>
      <c r="AY225" s="1" t="s">
        <v>271</v>
      </c>
      <c r="AZ225" s="1" t="s">
        <v>329</v>
      </c>
      <c r="BA225" s="1">
        <v>0</v>
      </c>
      <c r="BB225" s="54" t="s">
        <v>351</v>
      </c>
    </row>
    <row r="226" ht="15.5" spans="21:54">
      <c r="U226" s="1" t="s">
        <v>276</v>
      </c>
      <c r="V226" s="1" t="s">
        <v>330</v>
      </c>
      <c r="W226" s="1">
        <v>0</v>
      </c>
      <c r="X226" s="54" t="s">
        <v>351</v>
      </c>
      <c r="Z226" s="1" t="s">
        <v>278</v>
      </c>
      <c r="AA226" s="1" t="s">
        <v>330</v>
      </c>
      <c r="AB226" s="1">
        <v>0</v>
      </c>
      <c r="AC226" s="54" t="s">
        <v>351</v>
      </c>
      <c r="AE226" s="1" t="s">
        <v>280</v>
      </c>
      <c r="AF226" s="1" t="s">
        <v>330</v>
      </c>
      <c r="AG226" s="1">
        <v>0</v>
      </c>
      <c r="AH226" s="54" t="s">
        <v>351</v>
      </c>
      <c r="AJ226" s="1" t="s">
        <v>281</v>
      </c>
      <c r="AK226" s="1" t="s">
        <v>330</v>
      </c>
      <c r="AL226" s="1">
        <v>0</v>
      </c>
      <c r="AM226" s="54" t="s">
        <v>351</v>
      </c>
      <c r="AO226" s="1" t="s">
        <v>275</v>
      </c>
      <c r="AP226" s="1" t="s">
        <v>330</v>
      </c>
      <c r="AQ226" s="1">
        <v>0</v>
      </c>
      <c r="AR226" s="54" t="s">
        <v>351</v>
      </c>
      <c r="AT226" s="1" t="s">
        <v>273</v>
      </c>
      <c r="AU226" s="1" t="s">
        <v>330</v>
      </c>
      <c r="AV226" s="1">
        <v>0</v>
      </c>
      <c r="AW226" s="54" t="s">
        <v>351</v>
      </c>
      <c r="AY226" s="1" t="s">
        <v>271</v>
      </c>
      <c r="AZ226" s="1" t="s">
        <v>330</v>
      </c>
      <c r="BA226" s="1">
        <v>0</v>
      </c>
      <c r="BB226" s="54"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3" customWidth="1"/>
    <col min="6" max="6" width="12.8545454545455" style="33"/>
    <col min="9" max="10" width="12.8545454545455" style="33"/>
    <col min="12" max="12" width="12.8545454545455" style="33"/>
    <col min="22" max="22" width="12.8545454545455" style="33" customWidth="1"/>
  </cols>
  <sheetData>
    <row r="1" spans="1:89">
      <c r="A1" s="34" t="s">
        <v>370</v>
      </c>
      <c r="B1" s="34"/>
      <c r="C1" s="34"/>
      <c r="D1" s="34"/>
      <c r="E1" s="34"/>
      <c r="F1" s="34"/>
      <c r="G1" s="34"/>
      <c r="H1" s="34"/>
      <c r="I1" s="34"/>
      <c r="J1" s="34"/>
      <c r="K1" s="34"/>
      <c r="L1" s="34"/>
      <c r="M1" s="34"/>
      <c r="N1" s="34"/>
      <c r="O1" s="34"/>
      <c r="P1" s="34"/>
      <c r="Q1" s="34"/>
      <c r="R1" s="34"/>
      <c r="S1" s="34"/>
      <c r="T1" s="34"/>
      <c r="U1" s="34"/>
      <c r="V1" s="34"/>
      <c r="W1" s="34"/>
      <c r="AI1" t="s">
        <v>371</v>
      </c>
      <c r="BL1" t="s">
        <v>372</v>
      </c>
    </row>
    <row r="2" spans="1:89">
      <c r="A2" s="34" t="s">
        <v>1</v>
      </c>
      <c r="B2" s="34" t="s">
        <v>136</v>
      </c>
      <c r="C2" s="34" t="s">
        <v>4</v>
      </c>
      <c r="D2" s="34" t="s">
        <v>4</v>
      </c>
      <c r="E2" s="34">
        <v>2020</v>
      </c>
      <c r="F2" s="34">
        <v>2024</v>
      </c>
      <c r="G2" s="34">
        <v>2025</v>
      </c>
      <c r="H2" s="34">
        <v>2030</v>
      </c>
      <c r="I2" s="34">
        <v>2035</v>
      </c>
      <c r="J2" s="34">
        <v>2040</v>
      </c>
      <c r="K2" s="34">
        <v>2045</v>
      </c>
      <c r="L2" s="34">
        <v>2050</v>
      </c>
      <c r="M2" s="34">
        <v>2055</v>
      </c>
      <c r="N2" s="34">
        <v>2060</v>
      </c>
      <c r="O2" s="34">
        <v>2065</v>
      </c>
      <c r="P2" s="34">
        <v>2070</v>
      </c>
      <c r="Q2" s="34">
        <v>2075</v>
      </c>
      <c r="R2" s="34">
        <v>2080</v>
      </c>
      <c r="S2" s="34">
        <v>2085</v>
      </c>
      <c r="T2" s="34">
        <v>2090</v>
      </c>
      <c r="U2" s="34">
        <v>2095</v>
      </c>
      <c r="V2" s="34">
        <v>2100</v>
      </c>
      <c r="W2" s="34">
        <v>0</v>
      </c>
      <c r="AH2" t="s">
        <v>373</v>
      </c>
      <c r="BK2" t="s">
        <v>373</v>
      </c>
    </row>
    <row r="3" spans="1:89">
      <c r="A3" s="34" t="s">
        <v>3</v>
      </c>
      <c r="B3" s="34" t="s">
        <v>374</v>
      </c>
      <c r="C3" s="34" t="s">
        <v>374</v>
      </c>
      <c r="D3" s="34"/>
      <c r="E3" s="34">
        <v>29.5822608017472</v>
      </c>
      <c r="F3" s="34">
        <f>E3</f>
        <v>29.5822608017472</v>
      </c>
      <c r="G3" s="34"/>
      <c r="H3" s="34"/>
      <c r="I3" s="34">
        <f>F3</f>
        <v>29.5822608017472</v>
      </c>
      <c r="J3" s="34">
        <f>I3</f>
        <v>29.5822608017472</v>
      </c>
      <c r="K3" s="34"/>
      <c r="L3" s="34">
        <f>J3</f>
        <v>29.5822608017472</v>
      </c>
      <c r="M3" s="34"/>
      <c r="N3" s="34"/>
      <c r="O3" s="34"/>
      <c r="P3" s="34"/>
      <c r="Q3" s="34"/>
      <c r="R3" s="34"/>
      <c r="S3" s="34"/>
      <c r="T3" s="34"/>
      <c r="U3" s="34"/>
      <c r="V3" s="34">
        <f>L3</f>
        <v>29.5822608017472</v>
      </c>
      <c r="W3" s="34">
        <v>3</v>
      </c>
      <c r="AG3" s="167"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4" t="s">
        <v>3</v>
      </c>
      <c r="B4" s="34" t="s">
        <v>377</v>
      </c>
      <c r="C4" s="34" t="s">
        <v>377</v>
      </c>
      <c r="D4" s="34"/>
      <c r="E4" s="34">
        <v>101.446710074843</v>
      </c>
      <c r="F4" s="34">
        <f>E4</f>
        <v>101.446710074843</v>
      </c>
      <c r="G4" s="34"/>
      <c r="H4" s="34"/>
      <c r="I4" s="34">
        <f>F4</f>
        <v>101.446710074843</v>
      </c>
      <c r="J4" s="34">
        <f>I4</f>
        <v>101.446710074843</v>
      </c>
      <c r="K4" s="34"/>
      <c r="L4" s="34">
        <f>J4</f>
        <v>101.446710074843</v>
      </c>
      <c r="M4" s="34"/>
      <c r="N4" s="34"/>
      <c r="O4" s="34"/>
      <c r="P4" s="34"/>
      <c r="Q4" s="34"/>
      <c r="R4" s="34"/>
      <c r="S4" s="34"/>
      <c r="T4" s="34"/>
      <c r="U4" s="34"/>
      <c r="V4" s="34">
        <f>L4</f>
        <v>101.446710074843</v>
      </c>
      <c r="W4" s="34">
        <v>3</v>
      </c>
      <c r="AG4" s="167"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4" t="s">
        <v>3</v>
      </c>
      <c r="B5" s="34" t="s">
        <v>378</v>
      </c>
      <c r="C5" s="34" t="s">
        <v>378</v>
      </c>
      <c r="D5" s="34"/>
      <c r="E5" s="34">
        <v>7.339410306728</v>
      </c>
      <c r="F5" s="34"/>
      <c r="G5" s="34"/>
      <c r="H5" s="34"/>
      <c r="I5" s="34">
        <v>13.841847071751</v>
      </c>
      <c r="J5" s="34">
        <v>17.0217286798939</v>
      </c>
      <c r="K5" s="34"/>
      <c r="L5" s="34">
        <v>25.0152093842934</v>
      </c>
      <c r="M5" s="34"/>
      <c r="N5" s="34"/>
      <c r="O5" s="34"/>
      <c r="P5" s="34"/>
      <c r="Q5" s="34"/>
      <c r="R5" s="34"/>
      <c r="S5" s="34"/>
      <c r="T5" s="34"/>
      <c r="U5" s="34"/>
      <c r="V5" s="34">
        <v>87.2541501773716</v>
      </c>
      <c r="W5" s="34">
        <v>3</v>
      </c>
      <c r="AG5" s="167"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4" t="s">
        <v>3</v>
      </c>
      <c r="B6" s="34" t="s">
        <v>379</v>
      </c>
      <c r="C6" s="34" t="s">
        <v>379</v>
      </c>
      <c r="D6" s="34"/>
      <c r="E6" s="34">
        <v>7.64151346723974</v>
      </c>
      <c r="F6" s="34"/>
      <c r="G6" s="34"/>
      <c r="H6" s="34"/>
      <c r="I6" s="34">
        <v>9.2993927266152</v>
      </c>
      <c r="J6" s="34">
        <v>9.79653150802128</v>
      </c>
      <c r="K6" s="34"/>
      <c r="L6" s="34">
        <v>10.6662053125579</v>
      </c>
      <c r="M6" s="34"/>
      <c r="N6" s="34"/>
      <c r="O6" s="34"/>
      <c r="P6" s="34"/>
      <c r="Q6" s="34"/>
      <c r="R6" s="34"/>
      <c r="S6" s="34"/>
      <c r="T6" s="34"/>
      <c r="U6" s="34"/>
      <c r="V6" s="34">
        <v>11.9574774350737</v>
      </c>
      <c r="W6" s="34">
        <v>3</v>
      </c>
      <c r="AG6" s="167"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4" t="s">
        <v>3</v>
      </c>
      <c r="B7" s="34" t="s">
        <v>381</v>
      </c>
      <c r="C7" s="34" t="s">
        <v>381</v>
      </c>
      <c r="D7" s="34"/>
      <c r="E7" s="34">
        <v>12.3151564281066</v>
      </c>
      <c r="F7" s="34">
        <f>E7</f>
        <v>12.3151564281066</v>
      </c>
      <c r="G7" s="34"/>
      <c r="H7" s="34"/>
      <c r="I7" s="34">
        <f>F7</f>
        <v>12.3151564281066</v>
      </c>
      <c r="J7" s="34">
        <f>I7</f>
        <v>12.3151564281066</v>
      </c>
      <c r="K7" s="34"/>
      <c r="L7" s="34">
        <f>J7</f>
        <v>12.3151564281066</v>
      </c>
      <c r="M7" s="34"/>
      <c r="N7" s="34"/>
      <c r="O7" s="34"/>
      <c r="P7" s="34"/>
      <c r="Q7" s="34"/>
      <c r="R7" s="34"/>
      <c r="S7" s="34"/>
      <c r="T7" s="34"/>
      <c r="U7" s="34"/>
      <c r="V7" s="34">
        <f>L7</f>
        <v>12.3151564281066</v>
      </c>
      <c r="W7" s="34">
        <v>3</v>
      </c>
      <c r="AG7" s="167"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4" t="s">
        <v>3</v>
      </c>
      <c r="B8" s="34" t="s">
        <v>382</v>
      </c>
      <c r="C8" s="34" t="s">
        <v>382</v>
      </c>
      <c r="D8" s="34"/>
      <c r="E8" s="34">
        <v>36.6868983480112</v>
      </c>
      <c r="F8" s="34">
        <f>E8</f>
        <v>36.6868983480112</v>
      </c>
      <c r="G8" s="34"/>
      <c r="H8" s="34"/>
      <c r="I8" s="34">
        <f>F8</f>
        <v>36.6868983480112</v>
      </c>
      <c r="J8" s="34">
        <f>I8</f>
        <v>36.6868983480112</v>
      </c>
      <c r="K8" s="34"/>
      <c r="L8" s="34">
        <f>J8</f>
        <v>36.6868983480112</v>
      </c>
      <c r="M8" s="34"/>
      <c r="N8" s="34"/>
      <c r="O8" s="34"/>
      <c r="P8" s="34"/>
      <c r="Q8" s="34"/>
      <c r="R8" s="34"/>
      <c r="S8" s="34"/>
      <c r="T8" s="34"/>
      <c r="U8" s="34"/>
      <c r="V8" s="34">
        <f>L8</f>
        <v>36.6868983480112</v>
      </c>
      <c r="W8" s="34">
        <v>3</v>
      </c>
      <c r="AG8" s="167"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4" t="s">
        <v>3</v>
      </c>
      <c r="B9" s="34" t="s">
        <v>383</v>
      </c>
      <c r="C9" s="34" t="s">
        <v>383</v>
      </c>
      <c r="D9" s="34">
        <v>247.982</v>
      </c>
      <c r="E9" s="34">
        <v>251.90200832557</v>
      </c>
      <c r="F9" s="34"/>
      <c r="G9" s="34">
        <v>271.261704044487</v>
      </c>
      <c r="H9" s="34">
        <v>289.432930760334</v>
      </c>
      <c r="I9" s="34">
        <v>306.553893294221</v>
      </c>
      <c r="J9" s="34">
        <v>322.9420417925</v>
      </c>
      <c r="K9" s="34">
        <v>338.141840360066</v>
      </c>
      <c r="L9" s="34">
        <v>351.610783775369</v>
      </c>
      <c r="M9" s="34">
        <v>362.954194116709</v>
      </c>
      <c r="N9" s="34">
        <v>372.185166951014</v>
      </c>
      <c r="O9" s="34">
        <v>379.233344772678</v>
      </c>
      <c r="P9" s="34">
        <v>384.46910184135</v>
      </c>
      <c r="Q9" s="34">
        <v>388.463732040384</v>
      </c>
      <c r="R9" s="34">
        <v>391.472678094125</v>
      </c>
      <c r="S9" s="34">
        <v>393.540363884459</v>
      </c>
      <c r="T9" s="34">
        <v>394.791775711966</v>
      </c>
      <c r="U9" s="34">
        <v>395.014029925036</v>
      </c>
      <c r="V9" s="34">
        <v>394.177487655569</v>
      </c>
      <c r="W9" s="34">
        <v>3</v>
      </c>
      <c r="AG9" s="167"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4" t="s">
        <v>3</v>
      </c>
      <c r="B10" s="34" t="s">
        <v>384</v>
      </c>
      <c r="C10" s="34" t="s">
        <v>384</v>
      </c>
      <c r="D10" s="34">
        <v>42.015</v>
      </c>
      <c r="E10" s="34">
        <v>42.6791576799881</v>
      </c>
      <c r="F10" s="34"/>
      <c r="G10" s="34">
        <v>45.9592248446626</v>
      </c>
      <c r="H10" s="34">
        <v>49.0379325350042</v>
      </c>
      <c r="I10" s="34">
        <v>51.9386964648914</v>
      </c>
      <c r="J10" s="34">
        <v>54.7153014570085</v>
      </c>
      <c r="K10" s="34">
        <v>57.290567148939</v>
      </c>
      <c r="L10" s="34">
        <v>59.5725781722954</v>
      </c>
      <c r="M10" s="34">
        <v>61.4944651862374</v>
      </c>
      <c r="N10" s="34">
        <v>63.0584469414992</v>
      </c>
      <c r="O10" s="34">
        <v>64.2526029333745</v>
      </c>
      <c r="P10" s="34">
        <v>65.139684791091</v>
      </c>
      <c r="Q10" s="34">
        <v>65.8164854774811</v>
      </c>
      <c r="R10" s="34">
        <v>66.3262840453124</v>
      </c>
      <c r="S10" s="34">
        <v>66.6766071271525</v>
      </c>
      <c r="T10" s="34">
        <v>66.8886308544098</v>
      </c>
      <c r="U10" s="34">
        <v>66.9262868567089</v>
      </c>
      <c r="V10" s="34">
        <v>66.7845534911757</v>
      </c>
      <c r="W10" s="34">
        <v>3</v>
      </c>
      <c r="AG10" s="167"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4" t="s">
        <v>3</v>
      </c>
      <c r="B11" s="34" t="s">
        <v>385</v>
      </c>
      <c r="C11" s="34" t="s">
        <v>385</v>
      </c>
      <c r="D11" s="34">
        <v>26.355</v>
      </c>
      <c r="E11" s="34">
        <v>26.7716101548515</v>
      </c>
      <c r="F11" s="34"/>
      <c r="G11" s="34">
        <v>28.8291174766413</v>
      </c>
      <c r="H11" s="34">
        <v>30.7603168382729</v>
      </c>
      <c r="I11" s="34">
        <v>32.5798963544499</v>
      </c>
      <c r="J11" s="34">
        <v>34.321593952147</v>
      </c>
      <c r="K11" s="34">
        <v>35.9369962444433</v>
      </c>
      <c r="L11" s="34">
        <v>37.3684469292121</v>
      </c>
      <c r="M11" s="34">
        <v>38.5740004756227</v>
      </c>
      <c r="N11" s="34">
        <v>39.5550486527005</v>
      </c>
      <c r="O11" s="34">
        <v>40.3041140142589</v>
      </c>
      <c r="P11" s="34">
        <v>40.8605591495705</v>
      </c>
      <c r="Q11" s="34">
        <v>41.2850999585628</v>
      </c>
      <c r="R11" s="34">
        <v>41.6048843511652</v>
      </c>
      <c r="S11" s="34">
        <v>41.8246336031442</v>
      </c>
      <c r="T11" s="34">
        <v>41.9576309929304</v>
      </c>
      <c r="U11" s="34">
        <v>41.9812516984069</v>
      </c>
      <c r="V11" s="34">
        <v>41.8923457636543</v>
      </c>
      <c r="W11" s="34">
        <v>3</v>
      </c>
      <c r="AG11" s="167"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4" t="s">
        <v>3</v>
      </c>
      <c r="B12" s="34" t="s">
        <v>386</v>
      </c>
      <c r="C12" s="34" t="s">
        <v>386</v>
      </c>
      <c r="D12" s="34">
        <v>256.56</v>
      </c>
      <c r="E12" s="34">
        <v>258.488216374671</v>
      </c>
      <c r="F12" s="34"/>
      <c r="G12" s="34">
        <v>294.286020754547</v>
      </c>
      <c r="H12" s="34">
        <v>341.924767254561</v>
      </c>
      <c r="I12" s="34">
        <v>400.307827734166</v>
      </c>
      <c r="J12" s="34">
        <v>467.106424430855</v>
      </c>
      <c r="K12" s="34">
        <v>543.15498327552</v>
      </c>
      <c r="L12" s="34">
        <v>629.950239527197</v>
      </c>
      <c r="M12" s="34">
        <v>729.086667683432</v>
      </c>
      <c r="N12" s="34">
        <v>840.299707157724</v>
      </c>
      <c r="O12" s="34">
        <v>962.26354015926</v>
      </c>
      <c r="P12" s="34">
        <v>1089.75698872903</v>
      </c>
      <c r="Q12" s="34">
        <v>1222.39049391052</v>
      </c>
      <c r="R12" s="34">
        <v>1359.11460985926</v>
      </c>
      <c r="S12" s="34">
        <v>1500.10371974867</v>
      </c>
      <c r="T12" s="34">
        <v>1646.11243965391</v>
      </c>
      <c r="U12" s="34">
        <v>1798.44559883895</v>
      </c>
      <c r="V12" s="34">
        <v>1956.60846480586</v>
      </c>
      <c r="W12" s="34">
        <v>3</v>
      </c>
      <c r="AG12" s="167"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4" t="s">
        <v>3</v>
      </c>
      <c r="B13" s="34" t="s">
        <v>388</v>
      </c>
      <c r="C13" s="34" t="s">
        <v>388</v>
      </c>
      <c r="D13" s="34">
        <v>62.8</v>
      </c>
      <c r="E13" s="34">
        <v>64.2721816156436</v>
      </c>
      <c r="F13" s="34"/>
      <c r="G13" s="34">
        <v>78.8069957193348</v>
      </c>
      <c r="H13" s="34">
        <v>97.7214433171068</v>
      </c>
      <c r="I13" s="34">
        <v>121.214875815842</v>
      </c>
      <c r="J13" s="34">
        <v>149.061517397857</v>
      </c>
      <c r="K13" s="34">
        <v>181.565286874014</v>
      </c>
      <c r="L13" s="34">
        <v>219.061479534236</v>
      </c>
      <c r="M13" s="34">
        <v>261.822022187319</v>
      </c>
      <c r="N13" s="34">
        <v>309.547171328579</v>
      </c>
      <c r="O13" s="34">
        <v>361.296517570375</v>
      </c>
      <c r="P13" s="34">
        <v>414.909300321866</v>
      </c>
      <c r="Q13" s="34">
        <v>470.326824387375</v>
      </c>
      <c r="R13" s="34">
        <v>527.055197101302</v>
      </c>
      <c r="S13" s="34">
        <v>584.858414345939</v>
      </c>
      <c r="T13" s="34">
        <v>643.863292151739</v>
      </c>
      <c r="U13" s="34">
        <v>703.850907296216</v>
      </c>
      <c r="V13" s="34">
        <v>764.096072102391</v>
      </c>
      <c r="W13" s="34">
        <v>3</v>
      </c>
      <c r="AG13" s="167"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4" t="s">
        <v>3</v>
      </c>
      <c r="B14" s="34" t="s">
        <v>389</v>
      </c>
      <c r="C14" s="34" t="s">
        <v>389</v>
      </c>
      <c r="D14" s="34">
        <v>82.28</v>
      </c>
      <c r="E14" s="34">
        <v>84.2088392250821</v>
      </c>
      <c r="F14" s="34"/>
      <c r="G14" s="34">
        <v>103.252223053931</v>
      </c>
      <c r="H14" s="34">
        <v>128.033763632668</v>
      </c>
      <c r="I14" s="34">
        <v>158.814649396934</v>
      </c>
      <c r="J14" s="34">
        <v>195.299070883689</v>
      </c>
      <c r="K14" s="34">
        <v>237.88521980882</v>
      </c>
      <c r="L14" s="34">
        <v>287.012397071289</v>
      </c>
      <c r="M14" s="34">
        <v>343.036878751156</v>
      </c>
      <c r="N14" s="34">
        <v>405.565943581456</v>
      </c>
      <c r="O14" s="34">
        <v>473.367475568319</v>
      </c>
      <c r="P14" s="34">
        <v>543.610465453553</v>
      </c>
      <c r="Q14" s="34">
        <v>616.218011315178</v>
      </c>
      <c r="R14" s="34">
        <v>690.543019386865</v>
      </c>
      <c r="S14" s="34">
        <v>766.276279178086</v>
      </c>
      <c r="T14" s="34">
        <v>843.5839439211</v>
      </c>
      <c r="U14" s="34">
        <v>922.179182361985</v>
      </c>
      <c r="V14" s="34">
        <v>1001.11186007301</v>
      </c>
      <c r="W14" s="34">
        <v>3</v>
      </c>
      <c r="AG14" s="167"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4" t="s">
        <v>5</v>
      </c>
      <c r="B15" s="34" t="s">
        <v>374</v>
      </c>
      <c r="C15" s="34" t="s">
        <v>374</v>
      </c>
      <c r="D15" s="34"/>
      <c r="E15" s="34">
        <v>23.1803432118412</v>
      </c>
      <c r="F15" s="34">
        <f>E15</f>
        <v>23.1803432118412</v>
      </c>
      <c r="G15" s="34"/>
      <c r="H15" s="34"/>
      <c r="I15" s="34">
        <f>F15</f>
        <v>23.1803432118412</v>
      </c>
      <c r="J15" s="34">
        <f>I15</f>
        <v>23.1803432118412</v>
      </c>
      <c r="K15" s="34"/>
      <c r="L15" s="34">
        <f>J15</f>
        <v>23.1803432118412</v>
      </c>
      <c r="M15" s="34"/>
      <c r="N15" s="34"/>
      <c r="O15" s="34"/>
      <c r="P15" s="34"/>
      <c r="Q15" s="34"/>
      <c r="R15" s="34"/>
      <c r="S15" s="34"/>
      <c r="T15" s="34"/>
      <c r="U15" s="34"/>
      <c r="V15" s="34">
        <f>L15</f>
        <v>23.1803432118412</v>
      </c>
      <c r="W15" s="34">
        <v>3</v>
      </c>
      <c r="AG15" s="167"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4" t="s">
        <v>5</v>
      </c>
      <c r="B16" s="34" t="s">
        <v>377</v>
      </c>
      <c r="C16" s="34" t="s">
        <v>377</v>
      </c>
      <c r="D16" s="34"/>
      <c r="E16" s="34">
        <v>196.398393249324</v>
      </c>
      <c r="F16" s="34">
        <f>E16</f>
        <v>196.398393249324</v>
      </c>
      <c r="G16" s="34"/>
      <c r="H16" s="34"/>
      <c r="I16" s="34">
        <f>F16</f>
        <v>196.398393249324</v>
      </c>
      <c r="J16" s="34">
        <f>I16</f>
        <v>196.398393249324</v>
      </c>
      <c r="K16" s="34"/>
      <c r="L16" s="34">
        <f>J16</f>
        <v>196.398393249324</v>
      </c>
      <c r="M16" s="34"/>
      <c r="N16" s="34"/>
      <c r="O16" s="34"/>
      <c r="P16" s="34"/>
      <c r="Q16" s="34"/>
      <c r="R16" s="34"/>
      <c r="S16" s="34"/>
      <c r="T16" s="34"/>
      <c r="U16" s="34"/>
      <c r="V16" s="34">
        <f>L16</f>
        <v>196.398393249324</v>
      </c>
      <c r="W16" s="34">
        <v>3</v>
      </c>
      <c r="AG16" s="167"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4" t="s">
        <v>5</v>
      </c>
      <c r="B17" s="34" t="s">
        <v>378</v>
      </c>
      <c r="C17" s="34" t="s">
        <v>378</v>
      </c>
      <c r="D17" s="34"/>
      <c r="E17" s="34">
        <v>10.9711987039902</v>
      </c>
      <c r="F17" s="34"/>
      <c r="G17" s="34"/>
      <c r="H17" s="34"/>
      <c r="I17" s="34">
        <v>21.9803324306003</v>
      </c>
      <c r="J17" s="34">
        <v>27.9653136634823</v>
      </c>
      <c r="K17" s="34"/>
      <c r="L17" s="34">
        <v>44.1146915834348</v>
      </c>
      <c r="M17" s="34"/>
      <c r="N17" s="34"/>
      <c r="O17" s="34"/>
      <c r="P17" s="34"/>
      <c r="Q17" s="34"/>
      <c r="R17" s="34"/>
      <c r="S17" s="34"/>
      <c r="T17" s="34"/>
      <c r="U17" s="34"/>
      <c r="V17" s="34">
        <v>243.633869506012</v>
      </c>
      <c r="W17" s="34">
        <v>3</v>
      </c>
      <c r="AG17" s="167"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4" t="s">
        <v>5</v>
      </c>
      <c r="B18" s="34" t="s">
        <v>379</v>
      </c>
      <c r="C18" s="34" t="s">
        <v>379</v>
      </c>
      <c r="D18" s="34"/>
      <c r="E18" s="34">
        <v>4.81437254044958</v>
      </c>
      <c r="F18" s="34"/>
      <c r="G18" s="34"/>
      <c r="H18" s="34"/>
      <c r="I18" s="34">
        <v>6.86787428674687</v>
      </c>
      <c r="J18" s="34">
        <v>7.58517428493052</v>
      </c>
      <c r="K18" s="34"/>
      <c r="L18" s="34">
        <v>8.98931157796759</v>
      </c>
      <c r="M18" s="34"/>
      <c r="N18" s="34"/>
      <c r="O18" s="34"/>
      <c r="P18" s="34"/>
      <c r="Q18" s="34"/>
      <c r="R18" s="34"/>
      <c r="S18" s="34"/>
      <c r="T18" s="34"/>
      <c r="U18" s="34"/>
      <c r="V18" s="34">
        <v>13.0281374717101</v>
      </c>
      <c r="W18" s="34">
        <v>3</v>
      </c>
      <c r="AG18" s="167"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4" t="s">
        <v>5</v>
      </c>
      <c r="B19" s="34" t="s">
        <v>381</v>
      </c>
      <c r="C19" s="34" t="s">
        <v>381</v>
      </c>
      <c r="D19" s="34"/>
      <c r="E19" s="34">
        <v>24.0823261432321</v>
      </c>
      <c r="F19" s="34">
        <f>E19</f>
        <v>24.0823261432321</v>
      </c>
      <c r="G19" s="34"/>
      <c r="H19" s="34"/>
      <c r="I19" s="34">
        <f>F19</f>
        <v>24.0823261432321</v>
      </c>
      <c r="J19" s="34">
        <f>I19</f>
        <v>24.0823261432321</v>
      </c>
      <c r="K19" s="34"/>
      <c r="L19" s="34">
        <f>J19</f>
        <v>24.0823261432321</v>
      </c>
      <c r="M19" s="34"/>
      <c r="N19" s="34"/>
      <c r="O19" s="34"/>
      <c r="P19" s="34"/>
      <c r="Q19" s="34"/>
      <c r="R19" s="34"/>
      <c r="S19" s="34"/>
      <c r="T19" s="34"/>
      <c r="U19" s="34"/>
      <c r="V19" s="34">
        <f>L19</f>
        <v>24.0823261432321</v>
      </c>
      <c r="W19" s="34">
        <v>3</v>
      </c>
      <c r="AG19" s="167"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4" t="s">
        <v>5</v>
      </c>
      <c r="B20" s="34" t="s">
        <v>382</v>
      </c>
      <c r="C20" s="34" t="s">
        <v>382</v>
      </c>
      <c r="D20" s="34"/>
      <c r="E20" s="34">
        <v>90.4088922329234</v>
      </c>
      <c r="F20" s="34">
        <f>E20</f>
        <v>90.4088922329234</v>
      </c>
      <c r="G20" s="34"/>
      <c r="H20" s="34"/>
      <c r="I20" s="34">
        <f>F20</f>
        <v>90.4088922329234</v>
      </c>
      <c r="J20" s="34">
        <f>I20</f>
        <v>90.4088922329234</v>
      </c>
      <c r="K20" s="34"/>
      <c r="L20" s="34">
        <f>J20</f>
        <v>90.4088922329234</v>
      </c>
      <c r="M20" s="34"/>
      <c r="N20" s="34"/>
      <c r="O20" s="34"/>
      <c r="P20" s="34"/>
      <c r="Q20" s="34"/>
      <c r="R20" s="34"/>
      <c r="S20" s="34"/>
      <c r="T20" s="34"/>
      <c r="U20" s="34"/>
      <c r="V20" s="34">
        <f>L20</f>
        <v>90.4088922329234</v>
      </c>
      <c r="W20" s="34">
        <v>3</v>
      </c>
      <c r="AG20" s="167"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4" t="s">
        <v>5</v>
      </c>
      <c r="B21" s="34" t="s">
        <v>383</v>
      </c>
      <c r="C21" s="34" t="s">
        <v>383</v>
      </c>
      <c r="D21" s="34">
        <v>430.612</v>
      </c>
      <c r="E21" s="34">
        <v>442.794218633489</v>
      </c>
      <c r="F21" s="34"/>
      <c r="G21" s="34">
        <v>502.956630473746</v>
      </c>
      <c r="H21" s="34">
        <v>566.379930005521</v>
      </c>
      <c r="I21" s="34">
        <v>631.661759226702</v>
      </c>
      <c r="J21" s="34">
        <v>697.634279955618</v>
      </c>
      <c r="K21" s="34">
        <v>763.073669799907</v>
      </c>
      <c r="L21" s="34">
        <v>826.777562969283</v>
      </c>
      <c r="M21" s="34">
        <v>887.114426195659</v>
      </c>
      <c r="N21" s="34">
        <v>943.490456473223</v>
      </c>
      <c r="O21" s="34">
        <v>995.042086942428</v>
      </c>
      <c r="P21" s="34">
        <v>1041.40666630462</v>
      </c>
      <c r="Q21" s="34">
        <v>1082.11534915572</v>
      </c>
      <c r="R21" s="34">
        <v>1116.8467951166</v>
      </c>
      <c r="S21" s="34">
        <v>1145.58839431704</v>
      </c>
      <c r="T21" s="34">
        <v>1168.56251709046</v>
      </c>
      <c r="U21" s="34">
        <v>1185.97837943395</v>
      </c>
      <c r="V21" s="34">
        <v>1198.24211848318</v>
      </c>
      <c r="W21" s="34">
        <v>3</v>
      </c>
      <c r="AG21" s="167"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4" t="s">
        <v>5</v>
      </c>
      <c r="B22" s="34" t="s">
        <v>384</v>
      </c>
      <c r="C22" s="34" t="s">
        <v>384</v>
      </c>
      <c r="D22" s="34">
        <v>72.945</v>
      </c>
      <c r="E22" s="34">
        <v>75.0086488026805</v>
      </c>
      <c r="F22" s="34"/>
      <c r="G22" s="34">
        <v>85.2000673690175</v>
      </c>
      <c r="H22" s="34">
        <v>95.9438752153974</v>
      </c>
      <c r="I22" s="34">
        <v>107.002515087345</v>
      </c>
      <c r="J22" s="34">
        <v>118.178157021547</v>
      </c>
      <c r="K22" s="34">
        <v>129.263487416872</v>
      </c>
      <c r="L22" s="34">
        <v>140.054827387055</v>
      </c>
      <c r="M22" s="34">
        <v>150.275797745633</v>
      </c>
      <c r="N22" s="34">
        <v>159.825809191196</v>
      </c>
      <c r="O22" s="34">
        <v>168.558574846998</v>
      </c>
      <c r="P22" s="34">
        <v>176.412662149663</v>
      </c>
      <c r="Q22" s="34">
        <v>183.308649420276</v>
      </c>
      <c r="R22" s="34">
        <v>189.192102100686</v>
      </c>
      <c r="S22" s="34">
        <v>194.060884098577</v>
      </c>
      <c r="T22" s="34">
        <v>197.952664600994</v>
      </c>
      <c r="U22" s="34">
        <v>200.902884470961</v>
      </c>
      <c r="V22" s="34">
        <v>202.980342704699</v>
      </c>
      <c r="W22" s="34">
        <v>3</v>
      </c>
      <c r="AG22" s="167"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4" t="s">
        <v>5</v>
      </c>
      <c r="B23" s="34" t="s">
        <v>385</v>
      </c>
      <c r="C23" s="34" t="s">
        <v>385</v>
      </c>
      <c r="D23" s="34">
        <v>22.435</v>
      </c>
      <c r="E23" s="34">
        <v>23.0696968385515</v>
      </c>
      <c r="F23" s="34"/>
      <c r="G23" s="34">
        <v>26.2041745345659</v>
      </c>
      <c r="H23" s="34">
        <v>29.5085453486523</v>
      </c>
      <c r="I23" s="34">
        <v>32.9097460550358</v>
      </c>
      <c r="J23" s="34">
        <v>36.3469319731087</v>
      </c>
      <c r="K23" s="34">
        <v>39.7563416299613</v>
      </c>
      <c r="L23" s="34">
        <v>43.0753314473722</v>
      </c>
      <c r="M23" s="34">
        <v>46.2188981071117</v>
      </c>
      <c r="N23" s="34">
        <v>49.1561043142708</v>
      </c>
      <c r="O23" s="34">
        <v>51.8419580052422</v>
      </c>
      <c r="P23" s="34">
        <v>54.2575649506847</v>
      </c>
      <c r="Q23" s="34">
        <v>56.378498180052</v>
      </c>
      <c r="R23" s="34">
        <v>58.1880157739241</v>
      </c>
      <c r="S23" s="34">
        <v>59.6854607546999</v>
      </c>
      <c r="T23" s="34">
        <v>60.8824186760341</v>
      </c>
      <c r="U23" s="34">
        <v>61.7897897471522</v>
      </c>
      <c r="V23" s="34">
        <v>62.4287338210969</v>
      </c>
      <c r="W23" s="34">
        <v>3</v>
      </c>
      <c r="AG23" s="167"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4" t="s">
        <v>5</v>
      </c>
      <c r="B24" s="34" t="s">
        <v>386</v>
      </c>
      <c r="C24" s="34" t="s">
        <v>386</v>
      </c>
      <c r="D24" s="34">
        <v>370.728</v>
      </c>
      <c r="E24" s="34">
        <v>368.609545137503</v>
      </c>
      <c r="F24" s="34"/>
      <c r="G24" s="34">
        <v>395.435178075436</v>
      </c>
      <c r="H24" s="34">
        <v>445.971902816158</v>
      </c>
      <c r="I24" s="34">
        <v>517.141154478426</v>
      </c>
      <c r="J24" s="34">
        <v>595.333345692313</v>
      </c>
      <c r="K24" s="34">
        <v>685.695337785793</v>
      </c>
      <c r="L24" s="34">
        <v>791.163028948559</v>
      </c>
      <c r="M24" s="34">
        <v>914.800189861376</v>
      </c>
      <c r="N24" s="34">
        <v>1058.25315588521</v>
      </c>
      <c r="O24" s="34">
        <v>1223.45868731069</v>
      </c>
      <c r="P24" s="34">
        <v>1409.22996358322</v>
      </c>
      <c r="Q24" s="34">
        <v>1617.00184979229</v>
      </c>
      <c r="R24" s="34">
        <v>1846.49755642542</v>
      </c>
      <c r="S24" s="34">
        <v>2098.24711298761</v>
      </c>
      <c r="T24" s="34">
        <v>2373.14758692814</v>
      </c>
      <c r="U24" s="34">
        <v>2671.92673123458</v>
      </c>
      <c r="V24" s="34">
        <v>2994.76314727127</v>
      </c>
      <c r="W24" s="34">
        <v>3</v>
      </c>
      <c r="AG24" s="167"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4" t="s">
        <v>5</v>
      </c>
      <c r="B25" s="34" t="s">
        <v>388</v>
      </c>
      <c r="C25" s="34" t="s">
        <v>388</v>
      </c>
      <c r="D25" s="34">
        <v>55.8</v>
      </c>
      <c r="E25" s="34">
        <v>57.0507073497713</v>
      </c>
      <c r="F25" s="34"/>
      <c r="G25" s="34">
        <v>69.5265516034102</v>
      </c>
      <c r="H25" s="34">
        <v>88.3307885559441</v>
      </c>
      <c r="I25" s="34">
        <v>114.29867845642</v>
      </c>
      <c r="J25" s="34">
        <v>145.42083949128</v>
      </c>
      <c r="K25" s="34">
        <v>183.344751327249</v>
      </c>
      <c r="L25" s="34">
        <v>229.398302524283</v>
      </c>
      <c r="M25" s="34">
        <v>284.856100771211</v>
      </c>
      <c r="N25" s="34">
        <v>350.782083424432</v>
      </c>
      <c r="O25" s="34">
        <v>428.08108204192</v>
      </c>
      <c r="P25" s="34">
        <v>516.489467462947</v>
      </c>
      <c r="Q25" s="34">
        <v>616.279701105412</v>
      </c>
      <c r="R25" s="34">
        <v>726.828998311414</v>
      </c>
      <c r="S25" s="34">
        <v>847.673739517023</v>
      </c>
      <c r="T25" s="34">
        <v>978.43040271808</v>
      </c>
      <c r="U25" s="34">
        <v>1118.45649782882</v>
      </c>
      <c r="V25" s="34">
        <v>1266.90664937321</v>
      </c>
      <c r="W25" s="34">
        <v>3</v>
      </c>
      <c r="AG25" s="167"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4" t="s">
        <v>5</v>
      </c>
      <c r="B26" s="34" t="s">
        <v>389</v>
      </c>
      <c r="C26" s="34" t="s">
        <v>389</v>
      </c>
      <c r="D26" s="34">
        <v>67.52</v>
      </c>
      <c r="E26" s="34">
        <v>69.0334007214437</v>
      </c>
      <c r="F26" s="34"/>
      <c r="G26" s="34">
        <v>84.1296194312232</v>
      </c>
      <c r="H26" s="34">
        <v>106.883420130777</v>
      </c>
      <c r="I26" s="34">
        <v>138.305497659095</v>
      </c>
      <c r="J26" s="34">
        <v>175.964428000918</v>
      </c>
      <c r="K26" s="34">
        <v>221.853720602435</v>
      </c>
      <c r="L26" s="34">
        <v>277.580168215763</v>
      </c>
      <c r="M26" s="34">
        <v>344.68609182925</v>
      </c>
      <c r="N26" s="34">
        <v>424.458893778094</v>
      </c>
      <c r="O26" s="34">
        <v>517.993452678681</v>
      </c>
      <c r="P26" s="34">
        <v>624.970767797459</v>
      </c>
      <c r="Q26" s="34">
        <v>745.720527215725</v>
      </c>
      <c r="R26" s="34">
        <v>879.489139175389</v>
      </c>
      <c r="S26" s="34">
        <v>1025.71560738691</v>
      </c>
      <c r="T26" s="34">
        <v>1183.93585647894</v>
      </c>
      <c r="U26" s="34">
        <v>1353.37245041939</v>
      </c>
      <c r="V26" s="34">
        <v>1533.00245458206</v>
      </c>
      <c r="W26" s="34">
        <v>3</v>
      </c>
      <c r="AG26" s="167"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4" t="s">
        <v>6</v>
      </c>
      <c r="B27" s="34" t="s">
        <v>374</v>
      </c>
      <c r="C27" s="34" t="s">
        <v>374</v>
      </c>
      <c r="D27" s="34"/>
      <c r="E27" s="34">
        <v>125.236568967332</v>
      </c>
      <c r="F27" s="34">
        <f>E27</f>
        <v>125.236568967332</v>
      </c>
      <c r="G27" s="34"/>
      <c r="H27" s="34"/>
      <c r="I27" s="34">
        <f>F27</f>
        <v>125.236568967332</v>
      </c>
      <c r="J27" s="34">
        <f>I27</f>
        <v>125.236568967332</v>
      </c>
      <c r="K27" s="34"/>
      <c r="L27" s="34">
        <f>J27</f>
        <v>125.236568967332</v>
      </c>
      <c r="M27" s="34"/>
      <c r="N27" s="34"/>
      <c r="O27" s="34"/>
      <c r="P27" s="34"/>
      <c r="Q27" s="34"/>
      <c r="R27" s="34"/>
      <c r="S27" s="34"/>
      <c r="T27" s="34"/>
      <c r="U27" s="34"/>
      <c r="V27" s="34">
        <f>L27</f>
        <v>125.236568967332</v>
      </c>
      <c r="W27" s="34">
        <v>3</v>
      </c>
      <c r="AG27" s="167"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4" t="s">
        <v>6</v>
      </c>
      <c r="B28" s="34" t="s">
        <v>377</v>
      </c>
      <c r="C28" s="34" t="s">
        <v>377</v>
      </c>
      <c r="D28" s="34"/>
      <c r="E28" s="34">
        <v>213.949612782254</v>
      </c>
      <c r="F28" s="34">
        <f>E28</f>
        <v>213.949612782254</v>
      </c>
      <c r="G28" s="34"/>
      <c r="H28" s="34"/>
      <c r="I28" s="34">
        <f>F28</f>
        <v>213.949612782254</v>
      </c>
      <c r="J28" s="34">
        <f>I28</f>
        <v>213.949612782254</v>
      </c>
      <c r="K28" s="34"/>
      <c r="L28" s="34">
        <f>J28</f>
        <v>213.949612782254</v>
      </c>
      <c r="M28" s="34"/>
      <c r="N28" s="34"/>
      <c r="O28" s="34"/>
      <c r="P28" s="34"/>
      <c r="Q28" s="34"/>
      <c r="R28" s="34"/>
      <c r="S28" s="34"/>
      <c r="T28" s="34"/>
      <c r="U28" s="34"/>
      <c r="V28" s="34">
        <f>L28</f>
        <v>213.949612782254</v>
      </c>
      <c r="W28" s="34">
        <v>3</v>
      </c>
      <c r="AG28" s="167"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4" t="s">
        <v>6</v>
      </c>
      <c r="B29" s="34" t="s">
        <v>378</v>
      </c>
      <c r="C29" s="34" t="s">
        <v>378</v>
      </c>
      <c r="D29" s="34"/>
      <c r="E29" s="34">
        <v>37.3435930436258</v>
      </c>
      <c r="F29" s="34"/>
      <c r="G29" s="34"/>
      <c r="H29" s="34"/>
      <c r="I29" s="34">
        <v>50.867806738396</v>
      </c>
      <c r="J29" s="34">
        <v>55.6372129625937</v>
      </c>
      <c r="K29" s="34"/>
      <c r="L29" s="34">
        <v>65.4610142006929</v>
      </c>
      <c r="M29" s="34"/>
      <c r="N29" s="34"/>
      <c r="O29" s="34"/>
      <c r="P29" s="34"/>
      <c r="Q29" s="34"/>
      <c r="R29" s="34"/>
      <c r="S29" s="34"/>
      <c r="T29" s="34"/>
      <c r="U29" s="34"/>
      <c r="V29" s="34">
        <v>104.777296697505</v>
      </c>
      <c r="W29" s="34">
        <v>3</v>
      </c>
      <c r="AG29" s="167"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4" t="s">
        <v>6</v>
      </c>
      <c r="B30" s="34" t="s">
        <v>379</v>
      </c>
      <c r="C30" s="34" t="s">
        <v>379</v>
      </c>
      <c r="D30" s="34"/>
      <c r="E30" s="34">
        <v>22.6322603522854</v>
      </c>
      <c r="F30" s="34"/>
      <c r="G30" s="34"/>
      <c r="H30" s="34"/>
      <c r="I30" s="34">
        <v>24.6222738080731</v>
      </c>
      <c r="J30" s="34">
        <v>25.1847275482685</v>
      </c>
      <c r="K30" s="34"/>
      <c r="L30" s="34">
        <v>26.2652817642942</v>
      </c>
      <c r="M30" s="34"/>
      <c r="N30" s="34"/>
      <c r="O30" s="34"/>
      <c r="P30" s="34"/>
      <c r="Q30" s="34"/>
      <c r="R30" s="34"/>
      <c r="S30" s="34"/>
      <c r="T30" s="34"/>
      <c r="U30" s="34"/>
      <c r="V30" s="34">
        <v>28.4622983069202</v>
      </c>
      <c r="W30" s="34">
        <v>3</v>
      </c>
      <c r="AG30" s="167"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4" t="s">
        <v>6</v>
      </c>
      <c r="B31" s="34" t="s">
        <v>381</v>
      </c>
      <c r="C31" s="34" t="s">
        <v>381</v>
      </c>
      <c r="D31" s="34"/>
      <c r="E31" s="34">
        <v>29.5450191028017</v>
      </c>
      <c r="F31" s="34">
        <f>E31</f>
        <v>29.5450191028017</v>
      </c>
      <c r="G31" s="34"/>
      <c r="H31" s="34"/>
      <c r="I31" s="34">
        <f>F31</f>
        <v>29.5450191028017</v>
      </c>
      <c r="J31" s="34">
        <f>I31</f>
        <v>29.5450191028017</v>
      </c>
      <c r="K31" s="34"/>
      <c r="L31" s="34">
        <f>J31</f>
        <v>29.5450191028017</v>
      </c>
      <c r="M31" s="34"/>
      <c r="N31" s="34"/>
      <c r="O31" s="34"/>
      <c r="P31" s="34"/>
      <c r="Q31" s="34"/>
      <c r="R31" s="34"/>
      <c r="S31" s="34"/>
      <c r="T31" s="34"/>
      <c r="U31" s="34"/>
      <c r="V31" s="34">
        <f>L31</f>
        <v>29.5450191028017</v>
      </c>
      <c r="W31" s="34">
        <v>3</v>
      </c>
      <c r="AG31" s="167"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4" t="s">
        <v>6</v>
      </c>
      <c r="B32" s="34" t="s">
        <v>382</v>
      </c>
      <c r="C32" s="34" t="s">
        <v>382</v>
      </c>
      <c r="D32" s="34"/>
      <c r="E32" s="34">
        <v>32.4911044377169</v>
      </c>
      <c r="F32" s="34">
        <f>E32</f>
        <v>32.4911044377169</v>
      </c>
      <c r="G32" s="34"/>
      <c r="H32" s="34"/>
      <c r="I32" s="34">
        <f>F32</f>
        <v>32.4911044377169</v>
      </c>
      <c r="J32" s="34">
        <f>I32</f>
        <v>32.4911044377169</v>
      </c>
      <c r="K32" s="34"/>
      <c r="L32" s="34">
        <f>J32</f>
        <v>32.4911044377169</v>
      </c>
      <c r="M32" s="34"/>
      <c r="N32" s="34"/>
      <c r="O32" s="34"/>
      <c r="P32" s="34"/>
      <c r="Q32" s="34"/>
      <c r="R32" s="34"/>
      <c r="S32" s="34"/>
      <c r="T32" s="34"/>
      <c r="U32" s="34"/>
      <c r="V32" s="34">
        <f>L32</f>
        <v>32.4911044377169</v>
      </c>
      <c r="W32" s="34">
        <v>3</v>
      </c>
      <c r="AG32" s="167"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4" t="s">
        <v>6</v>
      </c>
      <c r="B33" s="34" t="s">
        <v>383</v>
      </c>
      <c r="C33" s="34" t="s">
        <v>383</v>
      </c>
      <c r="D33" s="34">
        <v>10.136</v>
      </c>
      <c r="E33" s="34">
        <v>10.2012187918135</v>
      </c>
      <c r="F33" s="34"/>
      <c r="G33" s="34">
        <v>10.5218063719303</v>
      </c>
      <c r="H33" s="34">
        <v>10.8237877485925</v>
      </c>
      <c r="I33" s="34">
        <v>11.0981933911311</v>
      </c>
      <c r="J33" s="34">
        <v>11.3517126408523</v>
      </c>
      <c r="K33" s="34">
        <v>11.5961288722843</v>
      </c>
      <c r="L33" s="34">
        <v>11.8387594405318</v>
      </c>
      <c r="M33" s="34">
        <v>12.0594980212159</v>
      </c>
      <c r="N33" s="34">
        <v>12.2592721683466</v>
      </c>
      <c r="O33" s="34">
        <v>12.4280736302691</v>
      </c>
      <c r="P33" s="34">
        <v>12.5703656537178</v>
      </c>
      <c r="Q33" s="34">
        <v>12.6870303979346</v>
      </c>
      <c r="R33" s="34">
        <v>12.7754390085566</v>
      </c>
      <c r="S33" s="34">
        <v>12.8302035513989</v>
      </c>
      <c r="T33" s="34">
        <v>12.8522951454964</v>
      </c>
      <c r="U33" s="34">
        <v>12.8493085373166</v>
      </c>
      <c r="V33" s="34">
        <v>12.8290381882884</v>
      </c>
      <c r="W33" s="34">
        <v>3</v>
      </c>
      <c r="AG33" s="167"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4" t="s">
        <v>6</v>
      </c>
      <c r="B34" s="34" t="s">
        <v>384</v>
      </c>
      <c r="C34" s="34" t="s">
        <v>384</v>
      </c>
      <c r="D34" s="34">
        <v>0</v>
      </c>
      <c r="E34" s="34">
        <v>0</v>
      </c>
      <c r="F34" s="34"/>
      <c r="G34" s="34">
        <v>0</v>
      </c>
      <c r="H34" s="34">
        <v>0</v>
      </c>
      <c r="I34" s="34">
        <v>0</v>
      </c>
      <c r="J34" s="34">
        <v>0</v>
      </c>
      <c r="K34" s="34">
        <v>0</v>
      </c>
      <c r="L34" s="34">
        <v>0</v>
      </c>
      <c r="M34" s="34">
        <v>0</v>
      </c>
      <c r="N34" s="34">
        <v>0</v>
      </c>
      <c r="O34" s="34">
        <v>0</v>
      </c>
      <c r="P34" s="34">
        <v>0</v>
      </c>
      <c r="Q34" s="34">
        <v>0</v>
      </c>
      <c r="R34" s="34">
        <v>0</v>
      </c>
      <c r="S34" s="34">
        <v>0</v>
      </c>
      <c r="T34" s="34">
        <v>0</v>
      </c>
      <c r="U34" s="34">
        <v>0</v>
      </c>
      <c r="V34" s="34">
        <v>0</v>
      </c>
      <c r="W34" s="34">
        <v>3</v>
      </c>
      <c r="AG34" s="167"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4" t="s">
        <v>6</v>
      </c>
      <c r="B35" s="34" t="s">
        <v>385</v>
      </c>
      <c r="C35" s="34" t="s">
        <v>385</v>
      </c>
      <c r="D35" s="34">
        <v>7.14</v>
      </c>
      <c r="E35" s="34">
        <v>7.18594141412276</v>
      </c>
      <c r="F35" s="34"/>
      <c r="G35" s="34">
        <v>7.41176968188462</v>
      </c>
      <c r="H35" s="34">
        <v>7.62449136986489</v>
      </c>
      <c r="I35" s="34">
        <v>7.81778816226085</v>
      </c>
      <c r="J35" s="34">
        <v>7.99637216413631</v>
      </c>
      <c r="K35" s="34">
        <v>8.16854381887434</v>
      </c>
      <c r="L35" s="34">
        <v>8.33945761694923</v>
      </c>
      <c r="M35" s="34">
        <v>8.4949502635637</v>
      </c>
      <c r="N35" s="34">
        <v>8.63567514621098</v>
      </c>
      <c r="O35" s="34">
        <v>8.75458225336639</v>
      </c>
      <c r="P35" s="34">
        <v>8.85481558480123</v>
      </c>
      <c r="Q35" s="34">
        <v>8.9369965510313</v>
      </c>
      <c r="R35" s="34">
        <v>8.99927333475672</v>
      </c>
      <c r="S35" s="34">
        <v>9.03785056797438</v>
      </c>
      <c r="T35" s="34">
        <v>9.05341232624746</v>
      </c>
      <c r="U35" s="34">
        <v>9.05130850004345</v>
      </c>
      <c r="V35" s="34">
        <v>9.03702966302085</v>
      </c>
      <c r="W35" s="34">
        <v>3</v>
      </c>
      <c r="AG35" s="167"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4" t="s">
        <v>6</v>
      </c>
      <c r="B36" s="34" t="s">
        <v>386</v>
      </c>
      <c r="C36" s="34" t="s">
        <v>386</v>
      </c>
      <c r="D36" s="34">
        <v>242.172</v>
      </c>
      <c r="E36" s="34">
        <v>243.573612891857</v>
      </c>
      <c r="F36" s="34"/>
      <c r="G36" s="34">
        <v>263.829853570693</v>
      </c>
      <c r="H36" s="34">
        <v>283.899264297911</v>
      </c>
      <c r="I36" s="34">
        <v>304.439246599583</v>
      </c>
      <c r="J36" s="34">
        <v>325.390163313964</v>
      </c>
      <c r="K36" s="34">
        <v>346.593714879194</v>
      </c>
      <c r="L36" s="34">
        <v>366.7672330622</v>
      </c>
      <c r="M36" s="34">
        <v>386.053778837822</v>
      </c>
      <c r="N36" s="34">
        <v>405.173342067379</v>
      </c>
      <c r="O36" s="34">
        <v>424.477977613716</v>
      </c>
      <c r="P36" s="34">
        <v>443.250698062686</v>
      </c>
      <c r="Q36" s="34">
        <v>461.198987217964</v>
      </c>
      <c r="R36" s="34">
        <v>478.306581903341</v>
      </c>
      <c r="S36" s="34">
        <v>494.774356421311</v>
      </c>
      <c r="T36" s="34">
        <v>510.745611134922</v>
      </c>
      <c r="U36" s="34">
        <v>526.176215384945</v>
      </c>
      <c r="V36" s="34">
        <v>540.865815707178</v>
      </c>
      <c r="W36" s="34">
        <v>3</v>
      </c>
      <c r="AG36" s="167"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4" t="s">
        <v>6</v>
      </c>
      <c r="B37" s="34" t="s">
        <v>388</v>
      </c>
      <c r="C37" s="34" t="s">
        <v>388</v>
      </c>
      <c r="D37" s="34">
        <v>51.1</v>
      </c>
      <c r="E37" s="34">
        <v>51.7269325835117</v>
      </c>
      <c r="F37" s="34"/>
      <c r="G37" s="34">
        <v>57.8264100285185</v>
      </c>
      <c r="H37" s="34">
        <v>64.0481726602432</v>
      </c>
      <c r="I37" s="34">
        <v>70.4601618476892</v>
      </c>
      <c r="J37" s="34">
        <v>77.0665629493252</v>
      </c>
      <c r="K37" s="34">
        <v>83.8946211750688</v>
      </c>
      <c r="L37" s="34">
        <v>90.6741208445533</v>
      </c>
      <c r="M37" s="34">
        <v>97.2577289310377</v>
      </c>
      <c r="N37" s="34">
        <v>103.799614110601</v>
      </c>
      <c r="O37" s="34">
        <v>110.273482654212</v>
      </c>
      <c r="P37" s="34">
        <v>116.495643536256</v>
      </c>
      <c r="Q37" s="34">
        <v>122.360104321629</v>
      </c>
      <c r="R37" s="34">
        <v>127.800214002118</v>
      </c>
      <c r="S37" s="34">
        <v>132.777718617817</v>
      </c>
      <c r="T37" s="34">
        <v>137.304197073765</v>
      </c>
      <c r="U37" s="34">
        <v>141.418939666899</v>
      </c>
      <c r="V37" s="34">
        <v>145.133548242743</v>
      </c>
      <c r="W37" s="34">
        <v>3</v>
      </c>
      <c r="AG37" s="167"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4" t="s">
        <v>6</v>
      </c>
      <c r="B38" s="34" t="s">
        <v>389</v>
      </c>
      <c r="C38" s="34" t="s">
        <v>389</v>
      </c>
      <c r="D38" s="34">
        <v>64.16</v>
      </c>
      <c r="E38" s="34">
        <v>64.9471623201196</v>
      </c>
      <c r="F38" s="34"/>
      <c r="G38" s="34">
        <v>72.6055277383512</v>
      </c>
      <c r="H38" s="34">
        <v>80.4174316610803</v>
      </c>
      <c r="I38" s="34">
        <v>88.4681797289185</v>
      </c>
      <c r="J38" s="34">
        <v>96.7630269829491</v>
      </c>
      <c r="K38" s="34">
        <v>105.336181890262</v>
      </c>
      <c r="L38" s="34">
        <v>113.848367776645</v>
      </c>
      <c r="M38" s="34">
        <v>122.114596638266</v>
      </c>
      <c r="N38" s="34">
        <v>130.328439165091</v>
      </c>
      <c r="O38" s="34">
        <v>138.456881547833</v>
      </c>
      <c r="P38" s="34">
        <v>146.269285504622</v>
      </c>
      <c r="Q38" s="34">
        <v>153.632569340033</v>
      </c>
      <c r="R38" s="34">
        <v>160.463047561172</v>
      </c>
      <c r="S38" s="34">
        <v>166.712689364366</v>
      </c>
      <c r="T38" s="34">
        <v>172.396032959937</v>
      </c>
      <c r="U38" s="34">
        <v>177.562410352803</v>
      </c>
      <c r="V38" s="34">
        <v>182.226388556838</v>
      </c>
      <c r="W38" s="34">
        <v>3</v>
      </c>
      <c r="AG38" s="167"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4" t="s">
        <v>7</v>
      </c>
      <c r="B39" s="34" t="s">
        <v>374</v>
      </c>
      <c r="C39" s="34" t="s">
        <v>374</v>
      </c>
      <c r="D39" s="34"/>
      <c r="E39" s="34">
        <v>1.31029971791135</v>
      </c>
      <c r="F39" s="34">
        <f>E39</f>
        <v>1.31029971791135</v>
      </c>
      <c r="G39" s="34"/>
      <c r="H39" s="34"/>
      <c r="I39" s="34">
        <f>F39</f>
        <v>1.31029971791135</v>
      </c>
      <c r="J39" s="34">
        <f>I39</f>
        <v>1.31029971791135</v>
      </c>
      <c r="K39" s="34"/>
      <c r="L39" s="34">
        <f>J39</f>
        <v>1.31029971791135</v>
      </c>
      <c r="M39" s="34"/>
      <c r="N39" s="34"/>
      <c r="O39" s="34"/>
      <c r="P39" s="34"/>
      <c r="Q39" s="34"/>
      <c r="R39" s="34"/>
      <c r="S39" s="34"/>
      <c r="T39" s="34"/>
      <c r="U39" s="34"/>
      <c r="V39" s="34">
        <f>L39</f>
        <v>1.31029971791135</v>
      </c>
      <c r="W39" s="34">
        <v>3</v>
      </c>
      <c r="AG39" s="167"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4" t="s">
        <v>7</v>
      </c>
      <c r="B40" s="34" t="s">
        <v>377</v>
      </c>
      <c r="C40" s="34" t="s">
        <v>377</v>
      </c>
      <c r="D40" s="34"/>
      <c r="E40" s="34">
        <v>39.7497370273663</v>
      </c>
      <c r="F40" s="34">
        <f>E40</f>
        <v>39.7497370273663</v>
      </c>
      <c r="G40" s="34"/>
      <c r="H40" s="34"/>
      <c r="I40" s="34">
        <f>F40</f>
        <v>39.7497370273663</v>
      </c>
      <c r="J40" s="34">
        <f>I40</f>
        <v>39.7497370273663</v>
      </c>
      <c r="K40" s="34"/>
      <c r="L40" s="34">
        <f>J40</f>
        <v>39.7497370273663</v>
      </c>
      <c r="M40" s="34"/>
      <c r="N40" s="34"/>
      <c r="O40" s="34"/>
      <c r="P40" s="34"/>
      <c r="Q40" s="34"/>
      <c r="R40" s="34"/>
      <c r="S40" s="34"/>
      <c r="T40" s="34"/>
      <c r="U40" s="34"/>
      <c r="V40" s="34">
        <f>L40</f>
        <v>39.7497370273663</v>
      </c>
      <c r="W40" s="34">
        <v>3</v>
      </c>
      <c r="AG40" s="167"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4" t="s">
        <v>7</v>
      </c>
      <c r="B41" s="34" t="s">
        <v>378</v>
      </c>
      <c r="C41" s="34" t="s">
        <v>378</v>
      </c>
      <c r="D41" s="34"/>
      <c r="E41" s="34">
        <v>1.27011069498277</v>
      </c>
      <c r="F41" s="34"/>
      <c r="G41" s="34"/>
      <c r="H41" s="34"/>
      <c r="I41" s="34">
        <v>1.56700840734804</v>
      </c>
      <c r="J41" s="34">
        <v>1.64178868795761</v>
      </c>
      <c r="K41" s="34"/>
      <c r="L41" s="34">
        <v>1.7820875475286</v>
      </c>
      <c r="M41" s="34"/>
      <c r="N41" s="34"/>
      <c r="O41" s="34"/>
      <c r="P41" s="34"/>
      <c r="Q41" s="34"/>
      <c r="R41" s="34"/>
      <c r="S41" s="34"/>
      <c r="T41" s="34"/>
      <c r="U41" s="34"/>
      <c r="V41" s="34">
        <v>2.26478361303252</v>
      </c>
      <c r="W41" s="34">
        <v>3</v>
      </c>
      <c r="AG41" s="167"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4" t="s">
        <v>7</v>
      </c>
      <c r="B42" s="34" t="s">
        <v>379</v>
      </c>
      <c r="C42" s="34" t="s">
        <v>379</v>
      </c>
      <c r="D42" s="34"/>
      <c r="E42" s="34">
        <v>7.31143704140328</v>
      </c>
      <c r="F42" s="34"/>
      <c r="G42" s="34"/>
      <c r="H42" s="34"/>
      <c r="I42" s="34">
        <v>7.4712788225843</v>
      </c>
      <c r="J42" s="34">
        <v>7.49446942090852</v>
      </c>
      <c r="K42" s="34"/>
      <c r="L42" s="34">
        <v>7.53994546338287</v>
      </c>
      <c r="M42" s="34"/>
      <c r="N42" s="34"/>
      <c r="O42" s="34"/>
      <c r="P42" s="34"/>
      <c r="Q42" s="34"/>
      <c r="R42" s="34"/>
      <c r="S42" s="34"/>
      <c r="T42" s="34"/>
      <c r="U42" s="34"/>
      <c r="V42" s="34">
        <v>7.26035151569322</v>
      </c>
      <c r="W42" s="34">
        <v>3</v>
      </c>
      <c r="AG42" s="167"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4" t="s">
        <v>7</v>
      </c>
      <c r="B43" s="34" t="s">
        <v>381</v>
      </c>
      <c r="C43" s="34" t="s">
        <v>381</v>
      </c>
      <c r="D43" s="34"/>
      <c r="E43" s="34">
        <v>1.13972076127334</v>
      </c>
      <c r="F43" s="34">
        <f>E43</f>
        <v>1.13972076127334</v>
      </c>
      <c r="G43" s="34"/>
      <c r="H43" s="34"/>
      <c r="I43" s="34">
        <f>F43</f>
        <v>1.13972076127334</v>
      </c>
      <c r="J43" s="34">
        <f>I43</f>
        <v>1.13972076127334</v>
      </c>
      <c r="K43" s="34"/>
      <c r="L43" s="34">
        <f>J43</f>
        <v>1.13972076127334</v>
      </c>
      <c r="M43" s="34"/>
      <c r="N43" s="34"/>
      <c r="O43" s="34"/>
      <c r="P43" s="34"/>
      <c r="Q43" s="34"/>
      <c r="R43" s="34"/>
      <c r="S43" s="34"/>
      <c r="T43" s="34"/>
      <c r="U43" s="34"/>
      <c r="V43" s="34">
        <f>L43</f>
        <v>1.13972076127334</v>
      </c>
      <c r="W43" s="34">
        <v>3</v>
      </c>
      <c r="AG43" s="167"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4" t="s">
        <v>7</v>
      </c>
      <c r="B44" s="34" t="s">
        <v>382</v>
      </c>
      <c r="C44" s="34" t="s">
        <v>382</v>
      </c>
      <c r="D44" s="34"/>
      <c r="E44" s="34">
        <v>0.614101020779717</v>
      </c>
      <c r="F44" s="34">
        <f>E44</f>
        <v>0.614101020779717</v>
      </c>
      <c r="G44" s="34"/>
      <c r="H44" s="34"/>
      <c r="I44" s="34">
        <f>F44</f>
        <v>0.614101020779717</v>
      </c>
      <c r="J44" s="34">
        <f>I44</f>
        <v>0.614101020779717</v>
      </c>
      <c r="K44" s="34"/>
      <c r="L44" s="34">
        <f>J44</f>
        <v>0.614101020779717</v>
      </c>
      <c r="M44" s="34"/>
      <c r="N44" s="34"/>
      <c r="O44" s="34"/>
      <c r="P44" s="34"/>
      <c r="Q44" s="34"/>
      <c r="R44" s="34"/>
      <c r="S44" s="34"/>
      <c r="T44" s="34"/>
      <c r="U44" s="34"/>
      <c r="V44" s="34">
        <f>L44</f>
        <v>0.614101020779717</v>
      </c>
      <c r="W44" s="34">
        <v>3</v>
      </c>
      <c r="AG44" s="167"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4" t="s">
        <v>7</v>
      </c>
      <c r="B45" s="34" t="s">
        <v>383</v>
      </c>
      <c r="C45" s="34" t="s">
        <v>383</v>
      </c>
      <c r="D45" s="34">
        <v>0.329</v>
      </c>
      <c r="E45" s="34">
        <v>0.329849740083138</v>
      </c>
      <c r="F45" s="34"/>
      <c r="G45" s="34">
        <v>0.334030741773154</v>
      </c>
      <c r="H45" s="34">
        <v>0.335772213021045</v>
      </c>
      <c r="I45" s="34">
        <v>0.337060876509318</v>
      </c>
      <c r="J45" s="34">
        <v>0.33810710213997</v>
      </c>
      <c r="K45" s="34">
        <v>0.339202349301157</v>
      </c>
      <c r="L45" s="34">
        <v>0.340158718081574</v>
      </c>
      <c r="M45" s="34">
        <v>0.340543809603631</v>
      </c>
      <c r="N45" s="34">
        <v>0.340455373754921</v>
      </c>
      <c r="O45" s="34">
        <v>0.339938338832083</v>
      </c>
      <c r="P45" s="34">
        <v>0.339363697761251</v>
      </c>
      <c r="Q45" s="34">
        <v>0.33863444359812</v>
      </c>
      <c r="R45" s="34">
        <v>0.337410524767833</v>
      </c>
      <c r="S45" s="34">
        <v>0.335536392557153</v>
      </c>
      <c r="T45" s="34">
        <v>0.333142382673514</v>
      </c>
      <c r="U45" s="34">
        <v>0.330435193491893</v>
      </c>
      <c r="V45" s="34">
        <v>0.327545056710765</v>
      </c>
      <c r="W45" s="34">
        <v>3</v>
      </c>
      <c r="AG45" s="167"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4" t="s">
        <v>7</v>
      </c>
      <c r="B46" s="34" t="s">
        <v>384</v>
      </c>
      <c r="C46" s="34" t="s">
        <v>384</v>
      </c>
      <c r="D46" s="34">
        <v>0.195</v>
      </c>
      <c r="E46" s="34">
        <v>0.19550364533803</v>
      </c>
      <c r="F46" s="34"/>
      <c r="G46" s="34">
        <v>0.197981746643663</v>
      </c>
      <c r="H46" s="34">
        <v>0.199013925650771</v>
      </c>
      <c r="I46" s="34">
        <v>0.199777723159018</v>
      </c>
      <c r="J46" s="34">
        <v>0.200397826496335</v>
      </c>
      <c r="K46" s="34">
        <v>0.201046985148102</v>
      </c>
      <c r="L46" s="34">
        <v>0.201613829865978</v>
      </c>
      <c r="M46" s="34">
        <v>0.201842075600936</v>
      </c>
      <c r="N46" s="34">
        <v>0.201789659216442</v>
      </c>
      <c r="O46" s="34">
        <v>0.201483209946067</v>
      </c>
      <c r="P46" s="34">
        <v>0.201142617214116</v>
      </c>
      <c r="Q46" s="34">
        <v>0.200710384503445</v>
      </c>
      <c r="R46" s="34">
        <v>0.199984961488533</v>
      </c>
      <c r="S46" s="34">
        <v>0.198874153643297</v>
      </c>
      <c r="T46" s="34">
        <v>0.197455211615001</v>
      </c>
      <c r="U46" s="34">
        <v>0.195850646598538</v>
      </c>
      <c r="V46" s="34">
        <v>0.194137647594526</v>
      </c>
      <c r="W46" s="34">
        <v>3</v>
      </c>
      <c r="AG46" s="167"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4" t="s">
        <v>7</v>
      </c>
      <c r="B47" s="34" t="s">
        <v>385</v>
      </c>
      <c r="C47" s="34" t="s">
        <v>385</v>
      </c>
      <c r="D47" s="34">
        <v>0.77</v>
      </c>
      <c r="E47" s="34">
        <v>0.771988753386067</v>
      </c>
      <c r="F47" s="34"/>
      <c r="G47" s="34">
        <v>0.78177407649036</v>
      </c>
      <c r="H47" s="34">
        <v>0.78584986026202</v>
      </c>
      <c r="I47" s="34">
        <v>0.78886588119202</v>
      </c>
      <c r="J47" s="34">
        <v>0.791314494370143</v>
      </c>
      <c r="K47" s="34">
        <v>0.793877838789942</v>
      </c>
      <c r="L47" s="34">
        <v>0.796116148701556</v>
      </c>
      <c r="M47" s="34">
        <v>0.797017426731902</v>
      </c>
      <c r="N47" s="34">
        <v>0.796810449213644</v>
      </c>
      <c r="O47" s="34">
        <v>0.795600367479342</v>
      </c>
      <c r="P47" s="34">
        <v>0.794255462845482</v>
      </c>
      <c r="Q47" s="34">
        <v>0.792548697782834</v>
      </c>
      <c r="R47" s="34">
        <v>0.78968420690344</v>
      </c>
      <c r="S47" s="34">
        <v>0.785297940027379</v>
      </c>
      <c r="T47" s="34">
        <v>0.779694938172054</v>
      </c>
      <c r="U47" s="34">
        <v>0.773358963491663</v>
      </c>
      <c r="V47" s="34">
        <v>0.766594813578386</v>
      </c>
      <c r="W47" s="34">
        <v>3</v>
      </c>
      <c r="AG47" s="167"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4" t="s">
        <v>7</v>
      </c>
      <c r="B48" s="34" t="s">
        <v>386</v>
      </c>
      <c r="C48" s="34" t="s">
        <v>386</v>
      </c>
      <c r="D48" s="34">
        <v>60.552</v>
      </c>
      <c r="E48" s="34">
        <v>60.5030877608683</v>
      </c>
      <c r="F48" s="34"/>
      <c r="G48" s="34">
        <v>65.0276530408567</v>
      </c>
      <c r="H48" s="34">
        <v>69.6859216382221</v>
      </c>
      <c r="I48" s="34">
        <v>73.0203234250387</v>
      </c>
      <c r="J48" s="34">
        <v>76.2648737855567</v>
      </c>
      <c r="K48" s="34">
        <v>79.3872210176143</v>
      </c>
      <c r="L48" s="34">
        <v>82.2759651766126</v>
      </c>
      <c r="M48" s="34">
        <v>85.1178360916168</v>
      </c>
      <c r="N48" s="34">
        <v>88.0423220356544</v>
      </c>
      <c r="O48" s="34">
        <v>91.0788293341822</v>
      </c>
      <c r="P48" s="34">
        <v>94.0289767594457</v>
      </c>
      <c r="Q48" s="34">
        <v>96.8432309401162</v>
      </c>
      <c r="R48" s="34">
        <v>99.4953449667202</v>
      </c>
      <c r="S48" s="34">
        <v>101.997712843937</v>
      </c>
      <c r="T48" s="34">
        <v>104.354947803445</v>
      </c>
      <c r="U48" s="34">
        <v>106.573243303633</v>
      </c>
      <c r="V48" s="34">
        <v>108.643930898978</v>
      </c>
      <c r="W48" s="34">
        <v>3</v>
      </c>
      <c r="AG48" s="167"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4" t="s">
        <v>7</v>
      </c>
      <c r="B49" s="34" t="s">
        <v>388</v>
      </c>
      <c r="C49" s="34" t="s">
        <v>388</v>
      </c>
      <c r="D49" s="34">
        <v>24.7</v>
      </c>
      <c r="E49" s="34">
        <v>24.743778484055</v>
      </c>
      <c r="F49" s="34"/>
      <c r="G49" s="34">
        <v>26.9376810531496</v>
      </c>
      <c r="H49" s="34">
        <v>29.0208187561915</v>
      </c>
      <c r="I49" s="34">
        <v>30.5278186123753</v>
      </c>
      <c r="J49" s="34">
        <v>31.9846575364848</v>
      </c>
      <c r="K49" s="34">
        <v>33.4035042705639</v>
      </c>
      <c r="L49" s="34">
        <v>34.7179026910239</v>
      </c>
      <c r="M49" s="34">
        <v>35.9582940947106</v>
      </c>
      <c r="N49" s="34">
        <v>37.1839559107832</v>
      </c>
      <c r="O49" s="34">
        <v>38.4070974420523</v>
      </c>
      <c r="P49" s="34">
        <v>39.5831073160645</v>
      </c>
      <c r="Q49" s="34">
        <v>40.6789134471302</v>
      </c>
      <c r="R49" s="34">
        <v>41.639712301189</v>
      </c>
      <c r="S49" s="34">
        <v>42.4465654917359</v>
      </c>
      <c r="T49" s="34">
        <v>43.1134844084097</v>
      </c>
      <c r="U49" s="34">
        <v>43.6674480973478</v>
      </c>
      <c r="V49" s="34">
        <v>44.1215905484165</v>
      </c>
      <c r="W49" s="34">
        <v>3</v>
      </c>
      <c r="AG49" s="167"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4" t="s">
        <v>7</v>
      </c>
      <c r="B50" s="34" t="s">
        <v>389</v>
      </c>
      <c r="C50" s="34" t="s">
        <v>389</v>
      </c>
      <c r="D50" s="34">
        <v>13.36</v>
      </c>
      <c r="E50" s="34">
        <v>13.3836793743715</v>
      </c>
      <c r="F50" s="34"/>
      <c r="G50" s="34">
        <v>14.5703408449424</v>
      </c>
      <c r="H50" s="34">
        <v>15.6970906308793</v>
      </c>
      <c r="I50" s="34">
        <v>16.5122128202969</v>
      </c>
      <c r="J50" s="34">
        <v>17.3002034286411</v>
      </c>
      <c r="K50" s="34">
        <v>18.0676444151714</v>
      </c>
      <c r="L50" s="34">
        <v>18.7785902814607</v>
      </c>
      <c r="M50" s="34">
        <v>19.4495064415115</v>
      </c>
      <c r="N50" s="34">
        <v>20.1124555047799</v>
      </c>
      <c r="O50" s="34">
        <v>20.7740413694664</v>
      </c>
      <c r="P50" s="34">
        <v>21.4101341596203</v>
      </c>
      <c r="Q50" s="34">
        <v>22.002845492051</v>
      </c>
      <c r="R50" s="34">
        <v>22.5225326455014</v>
      </c>
      <c r="S50" s="34">
        <v>22.9589520230604</v>
      </c>
      <c r="T50" s="34">
        <v>23.3196822549131</v>
      </c>
      <c r="U50" s="34">
        <v>23.6193160558934</v>
      </c>
      <c r="V50" s="34">
        <v>23.8649574788196</v>
      </c>
      <c r="W50" s="34">
        <v>3</v>
      </c>
      <c r="AG50" s="167"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4" t="s">
        <v>8</v>
      </c>
      <c r="B51" s="34" t="s">
        <v>374</v>
      </c>
      <c r="C51" s="34" t="s">
        <v>374</v>
      </c>
      <c r="D51" s="34"/>
      <c r="E51" s="34">
        <v>0.0904007668523383</v>
      </c>
      <c r="F51" s="34">
        <f>E51</f>
        <v>0.0904007668523383</v>
      </c>
      <c r="G51" s="34"/>
      <c r="H51" s="34"/>
      <c r="I51" s="34">
        <f>F51</f>
        <v>0.0904007668523383</v>
      </c>
      <c r="J51" s="34">
        <f>I51</f>
        <v>0.0904007668523383</v>
      </c>
      <c r="K51" s="34"/>
      <c r="L51" s="34">
        <f>J51</f>
        <v>0.0904007668523383</v>
      </c>
      <c r="M51" s="34"/>
      <c r="N51" s="34"/>
      <c r="O51" s="34"/>
      <c r="P51" s="34"/>
      <c r="Q51" s="34"/>
      <c r="R51" s="34"/>
      <c r="S51" s="34"/>
      <c r="T51" s="34"/>
      <c r="U51" s="34"/>
      <c r="V51" s="34">
        <f>L51</f>
        <v>0.0904007668523383</v>
      </c>
      <c r="W51" s="34">
        <v>3</v>
      </c>
      <c r="AG51" s="167"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4" t="s">
        <v>8</v>
      </c>
      <c r="B52" s="34" t="s">
        <v>377</v>
      </c>
      <c r="C52" s="34" t="s">
        <v>377</v>
      </c>
      <c r="D52" s="34"/>
      <c r="E52" s="34">
        <v>14.8181528799758</v>
      </c>
      <c r="F52" s="34">
        <f>E52</f>
        <v>14.8181528799758</v>
      </c>
      <c r="G52" s="34"/>
      <c r="H52" s="34"/>
      <c r="I52" s="34">
        <f>F52</f>
        <v>14.8181528799758</v>
      </c>
      <c r="J52" s="34">
        <f>I52</f>
        <v>14.8181528799758</v>
      </c>
      <c r="K52" s="34"/>
      <c r="L52" s="34">
        <f>J52</f>
        <v>14.8181528799758</v>
      </c>
      <c r="M52" s="34"/>
      <c r="N52" s="34"/>
      <c r="O52" s="34"/>
      <c r="P52" s="34"/>
      <c r="Q52" s="34"/>
      <c r="R52" s="34"/>
      <c r="S52" s="34"/>
      <c r="T52" s="34"/>
      <c r="U52" s="34"/>
      <c r="V52" s="34">
        <f>L52</f>
        <v>14.8181528799758</v>
      </c>
      <c r="W52" s="34">
        <v>3</v>
      </c>
      <c r="AG52" s="167"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4" t="s">
        <v>8</v>
      </c>
      <c r="B53" s="34" t="s">
        <v>378</v>
      </c>
      <c r="C53" s="34" t="s">
        <v>378</v>
      </c>
      <c r="D53" s="34"/>
      <c r="E53" s="34">
        <v>4.41815872313833</v>
      </c>
      <c r="F53" s="34"/>
      <c r="G53" s="34"/>
      <c r="H53" s="34"/>
      <c r="I53" s="34">
        <v>5.64904106823887</v>
      </c>
      <c r="J53" s="34">
        <v>5.82978759084491</v>
      </c>
      <c r="K53" s="34"/>
      <c r="L53" s="34">
        <v>6.00578208244984</v>
      </c>
      <c r="M53" s="34"/>
      <c r="N53" s="34"/>
      <c r="O53" s="34"/>
      <c r="P53" s="34"/>
      <c r="Q53" s="34"/>
      <c r="R53" s="34"/>
      <c r="S53" s="34"/>
      <c r="T53" s="34"/>
      <c r="U53" s="34"/>
      <c r="V53" s="34">
        <v>6.43196534717608</v>
      </c>
      <c r="W53" s="34">
        <v>3</v>
      </c>
      <c r="AG53" s="167"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4" t="s">
        <v>8</v>
      </c>
      <c r="B54" s="34" t="s">
        <v>379</v>
      </c>
      <c r="C54" s="34" t="s">
        <v>379</v>
      </c>
      <c r="D54" s="34"/>
      <c r="E54" s="34">
        <v>0.743295306072797</v>
      </c>
      <c r="F54" s="34"/>
      <c r="G54" s="34"/>
      <c r="H54" s="34"/>
      <c r="I54" s="34">
        <v>0.677223548832968</v>
      </c>
      <c r="J54" s="34">
        <v>0.656209277870055</v>
      </c>
      <c r="K54" s="34"/>
      <c r="L54" s="34">
        <v>0.62247470653344</v>
      </c>
      <c r="M54" s="34"/>
      <c r="N54" s="34"/>
      <c r="O54" s="34"/>
      <c r="P54" s="34"/>
      <c r="Q54" s="34"/>
      <c r="R54" s="34"/>
      <c r="S54" s="34"/>
      <c r="T54" s="34"/>
      <c r="U54" s="34"/>
      <c r="V54" s="34">
        <v>0.524452135498622</v>
      </c>
      <c r="W54" s="34">
        <v>3</v>
      </c>
      <c r="AG54" s="167"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4" t="s">
        <v>8</v>
      </c>
      <c r="B55" s="34" t="s">
        <v>381</v>
      </c>
      <c r="C55" s="34" t="s">
        <v>381</v>
      </c>
      <c r="D55" s="34"/>
      <c r="E55" s="34">
        <v>0.53141239378321</v>
      </c>
      <c r="F55" s="34">
        <f>E55</f>
        <v>0.53141239378321</v>
      </c>
      <c r="G55" s="34"/>
      <c r="H55" s="34"/>
      <c r="I55" s="34">
        <f>F55</f>
        <v>0.53141239378321</v>
      </c>
      <c r="J55" s="34">
        <f>I55</f>
        <v>0.53141239378321</v>
      </c>
      <c r="K55" s="34"/>
      <c r="L55" s="34">
        <f>J55</f>
        <v>0.53141239378321</v>
      </c>
      <c r="M55" s="34"/>
      <c r="N55" s="34"/>
      <c r="O55" s="34"/>
      <c r="P55" s="34"/>
      <c r="Q55" s="34"/>
      <c r="R55" s="34"/>
      <c r="S55" s="34"/>
      <c r="T55" s="34"/>
      <c r="U55" s="34"/>
      <c r="V55" s="34">
        <f>L55</f>
        <v>0.53141239378321</v>
      </c>
      <c r="W55" s="34">
        <v>3</v>
      </c>
      <c r="AG55" s="167"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4" t="s">
        <v>8</v>
      </c>
      <c r="B56" s="34" t="s">
        <v>382</v>
      </c>
      <c r="C56" s="34" t="s">
        <v>382</v>
      </c>
      <c r="D56" s="34"/>
      <c r="E56" s="34">
        <v>28.7369724475552</v>
      </c>
      <c r="F56" s="34">
        <f>E56</f>
        <v>28.7369724475552</v>
      </c>
      <c r="G56" s="34"/>
      <c r="H56" s="34"/>
      <c r="I56" s="34">
        <f>F56</f>
        <v>28.7369724475552</v>
      </c>
      <c r="J56" s="34">
        <f>I56</f>
        <v>28.7369724475552</v>
      </c>
      <c r="K56" s="34"/>
      <c r="L56" s="34">
        <f>J56</f>
        <v>28.7369724475552</v>
      </c>
      <c r="M56" s="34"/>
      <c r="N56" s="34"/>
      <c r="O56" s="34"/>
      <c r="P56" s="34"/>
      <c r="Q56" s="34"/>
      <c r="R56" s="34"/>
      <c r="S56" s="34"/>
      <c r="T56" s="34"/>
      <c r="U56" s="34"/>
      <c r="V56" s="34">
        <f>L56</f>
        <v>28.7369724475552</v>
      </c>
      <c r="W56" s="34">
        <v>3</v>
      </c>
      <c r="AG56" s="167"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4" t="s">
        <v>8</v>
      </c>
      <c r="B57" s="34" t="s">
        <v>383</v>
      </c>
      <c r="C57" s="34" t="s">
        <v>383</v>
      </c>
      <c r="D57" s="34">
        <v>0.301</v>
      </c>
      <c r="E57" s="34">
        <v>0.299717000584587</v>
      </c>
      <c r="F57" s="34"/>
      <c r="G57" s="34">
        <v>0.293393221113225</v>
      </c>
      <c r="H57" s="34">
        <v>0.282747979982797</v>
      </c>
      <c r="I57" s="34">
        <v>0.273075060642974</v>
      </c>
      <c r="J57" s="34">
        <v>0.264601531735933</v>
      </c>
      <c r="K57" s="34">
        <v>0.25736063841315</v>
      </c>
      <c r="L57" s="34">
        <v>0.2509988297487</v>
      </c>
      <c r="M57" s="34">
        <v>0.245000005370027</v>
      </c>
      <c r="N57" s="34">
        <v>0.239306120729086</v>
      </c>
      <c r="O57" s="34">
        <v>0.234158753321223</v>
      </c>
      <c r="P57" s="34">
        <v>0.229609078524824</v>
      </c>
      <c r="Q57" s="34">
        <v>0.225632353900795</v>
      </c>
      <c r="R57" s="34">
        <v>0.222151972071459</v>
      </c>
      <c r="S57" s="34">
        <v>0.219054545705653</v>
      </c>
      <c r="T57" s="34">
        <v>0.216280910080545</v>
      </c>
      <c r="U57" s="34">
        <v>0.213796211065374</v>
      </c>
      <c r="V57" s="34">
        <v>0.211473447656124</v>
      </c>
      <c r="W57" s="34">
        <v>3</v>
      </c>
      <c r="AG57" s="167"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4" t="s">
        <v>8</v>
      </c>
      <c r="B58" s="34" t="s">
        <v>384</v>
      </c>
      <c r="C58" s="34" t="s">
        <v>384</v>
      </c>
      <c r="D58" s="34">
        <v>0.06</v>
      </c>
      <c r="E58" s="34">
        <v>0.0597442526082234</v>
      </c>
      <c r="F58" s="34"/>
      <c r="G58" s="34">
        <v>0.0584836985607757</v>
      </c>
      <c r="H58" s="34">
        <v>0.0563617235846107</v>
      </c>
      <c r="I58" s="34">
        <v>0.0544335669055762</v>
      </c>
      <c r="J58" s="34">
        <v>0.0527444913759334</v>
      </c>
      <c r="K58" s="34">
        <v>0.051301123936176</v>
      </c>
      <c r="L58" s="34">
        <v>0.0500329893186777</v>
      </c>
      <c r="M58" s="34">
        <v>0.0488372103727629</v>
      </c>
      <c r="N58" s="34">
        <v>0.0477022167566283</v>
      </c>
      <c r="O58" s="34">
        <v>0.0466761634527356</v>
      </c>
      <c r="P58" s="34">
        <v>0.0457692515331876</v>
      </c>
      <c r="Q58" s="34">
        <v>0.0449765489503246</v>
      </c>
      <c r="R58" s="34">
        <v>0.0442827851305234</v>
      </c>
      <c r="S58" s="34">
        <v>0.0436653579479707</v>
      </c>
      <c r="T58" s="34">
        <v>0.0431124737702083</v>
      </c>
      <c r="U58" s="34">
        <v>0.0426171849299748</v>
      </c>
      <c r="V58" s="34">
        <v>0.0421541756125165</v>
      </c>
      <c r="W58" s="34">
        <v>3</v>
      </c>
      <c r="AG58" s="167"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4" t="s">
        <v>8</v>
      </c>
      <c r="B59" s="34" t="s">
        <v>385</v>
      </c>
      <c r="C59" s="34" t="s">
        <v>385</v>
      </c>
      <c r="D59" s="34">
        <v>1.015</v>
      </c>
      <c r="E59" s="34">
        <v>1.01067360662245</v>
      </c>
      <c r="F59" s="34"/>
      <c r="G59" s="34">
        <v>0.989349233986455</v>
      </c>
      <c r="H59" s="34">
        <v>0.953452490639665</v>
      </c>
      <c r="I59" s="34">
        <v>0.920834506819331</v>
      </c>
      <c r="J59" s="34">
        <v>0.89226097910954</v>
      </c>
      <c r="K59" s="34">
        <v>0.867844013253645</v>
      </c>
      <c r="L59" s="34">
        <v>0.846391402640965</v>
      </c>
      <c r="M59" s="34">
        <v>0.826162808805906</v>
      </c>
      <c r="N59" s="34">
        <v>0.806962500132963</v>
      </c>
      <c r="O59" s="34">
        <v>0.789605098408777</v>
      </c>
      <c r="P59" s="34">
        <v>0.774263171769757</v>
      </c>
      <c r="Q59" s="34">
        <v>0.760853286409657</v>
      </c>
      <c r="R59" s="34">
        <v>0.749117115124688</v>
      </c>
      <c r="S59" s="34">
        <v>0.738672305286504</v>
      </c>
      <c r="T59" s="34">
        <v>0.729319347946025</v>
      </c>
      <c r="U59" s="34">
        <v>0.720940711732074</v>
      </c>
      <c r="V59" s="34">
        <v>0.713108137445071</v>
      </c>
      <c r="W59" s="34">
        <v>3</v>
      </c>
      <c r="AG59" s="167"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4" t="s">
        <v>8</v>
      </c>
      <c r="B60" s="34" t="s">
        <v>386</v>
      </c>
      <c r="C60" s="34" t="s">
        <v>386</v>
      </c>
      <c r="D60" s="34">
        <v>14.676</v>
      </c>
      <c r="E60" s="34">
        <v>15.0279359114907</v>
      </c>
      <c r="F60" s="34"/>
      <c r="G60" s="34">
        <v>16.8889599183515</v>
      </c>
      <c r="H60" s="34">
        <v>19.3807876412468</v>
      </c>
      <c r="I60" s="34">
        <v>21.1527204765845</v>
      </c>
      <c r="J60" s="34">
        <v>22.543527989314</v>
      </c>
      <c r="K60" s="34">
        <v>23.6234992372747</v>
      </c>
      <c r="L60" s="34">
        <v>24.5024464883538</v>
      </c>
      <c r="M60" s="34">
        <v>25.3074958134495</v>
      </c>
      <c r="N60" s="34">
        <v>26.1350145681235</v>
      </c>
      <c r="O60" s="34">
        <v>26.9736653362655</v>
      </c>
      <c r="P60" s="34">
        <v>27.7709105010172</v>
      </c>
      <c r="Q60" s="34">
        <v>28.4819078040894</v>
      </c>
      <c r="R60" s="34">
        <v>29.1085797201388</v>
      </c>
      <c r="S60" s="34">
        <v>29.6751278254503</v>
      </c>
      <c r="T60" s="34">
        <v>30.2087461262979</v>
      </c>
      <c r="U60" s="34">
        <v>30.7221740134875</v>
      </c>
      <c r="V60" s="34">
        <v>31.2130070740177</v>
      </c>
      <c r="W60" s="34">
        <v>3</v>
      </c>
      <c r="AG60" s="167"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4" t="s">
        <v>8</v>
      </c>
      <c r="B61" s="34" t="s">
        <v>388</v>
      </c>
      <c r="C61" s="34" t="s">
        <v>388</v>
      </c>
      <c r="D61" s="34">
        <v>13.8</v>
      </c>
      <c r="E61" s="34">
        <v>14.0703386014217</v>
      </c>
      <c r="F61" s="34"/>
      <c r="G61" s="34">
        <v>15.4690923009141</v>
      </c>
      <c r="H61" s="34">
        <v>17.0830571616842</v>
      </c>
      <c r="I61" s="34">
        <v>17.9902818310245</v>
      </c>
      <c r="J61" s="34">
        <v>18.5658982661647</v>
      </c>
      <c r="K61" s="34">
        <v>18.9142128548411</v>
      </c>
      <c r="L61" s="34">
        <v>19.1263810926186</v>
      </c>
      <c r="M61" s="34">
        <v>19.2765899198589</v>
      </c>
      <c r="N61" s="34">
        <v>19.4379852884852</v>
      </c>
      <c r="O61" s="34">
        <v>19.6241166447833</v>
      </c>
      <c r="P61" s="34">
        <v>19.8061454827833</v>
      </c>
      <c r="Q61" s="34">
        <v>19.9569371208929</v>
      </c>
      <c r="R61" s="34">
        <v>20.0777825189643</v>
      </c>
      <c r="S61" s="34">
        <v>20.1800739853741</v>
      </c>
      <c r="T61" s="34">
        <v>20.2800835912654</v>
      </c>
      <c r="U61" s="34">
        <v>20.3853153612151</v>
      </c>
      <c r="V61" s="34">
        <v>20.4836303941326</v>
      </c>
      <c r="W61" s="34">
        <v>3</v>
      </c>
      <c r="AG61" s="167"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4" t="s">
        <v>8</v>
      </c>
      <c r="B62" s="34" t="s">
        <v>389</v>
      </c>
      <c r="C62" s="34" t="s">
        <v>389</v>
      </c>
      <c r="D62" s="34">
        <v>7.68</v>
      </c>
      <c r="E62" s="34">
        <v>7.83044930861729</v>
      </c>
      <c r="F62" s="34"/>
      <c r="G62" s="34">
        <v>8.60888615007394</v>
      </c>
      <c r="H62" s="34">
        <v>9.50709268128512</v>
      </c>
      <c r="I62" s="34">
        <v>10.0119829320484</v>
      </c>
      <c r="J62" s="34">
        <v>10.3323259916047</v>
      </c>
      <c r="K62" s="34">
        <v>10.5261706322594</v>
      </c>
      <c r="L62" s="34">
        <v>10.6442468689356</v>
      </c>
      <c r="M62" s="34">
        <v>10.7278413467041</v>
      </c>
      <c r="N62" s="34">
        <v>10.8176613779396</v>
      </c>
      <c r="O62" s="34">
        <v>10.9212475240533</v>
      </c>
      <c r="P62" s="34">
        <v>11.0225505295489</v>
      </c>
      <c r="Q62" s="34">
        <v>11.106469354236</v>
      </c>
      <c r="R62" s="34">
        <v>11.1737224453366</v>
      </c>
      <c r="S62" s="34">
        <v>11.2306498701212</v>
      </c>
      <c r="T62" s="34">
        <v>11.2863073899216</v>
      </c>
      <c r="U62" s="34">
        <v>11.3448711575458</v>
      </c>
      <c r="V62" s="34">
        <v>11.3995856106477</v>
      </c>
      <c r="W62" s="34">
        <v>3</v>
      </c>
      <c r="AG62" s="167"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4" t="s">
        <v>9</v>
      </c>
      <c r="B63" s="34" t="s">
        <v>374</v>
      </c>
      <c r="C63" s="34" t="s">
        <v>374</v>
      </c>
      <c r="D63" s="34"/>
      <c r="E63" s="34">
        <v>0.556097471395552</v>
      </c>
      <c r="F63" s="34">
        <f>E63</f>
        <v>0.556097471395552</v>
      </c>
      <c r="G63" s="34"/>
      <c r="H63" s="34"/>
      <c r="I63" s="34">
        <f>F63</f>
        <v>0.556097471395552</v>
      </c>
      <c r="J63" s="34">
        <f>I63</f>
        <v>0.556097471395552</v>
      </c>
      <c r="K63" s="34"/>
      <c r="L63" s="34">
        <f>J63</f>
        <v>0.556097471395552</v>
      </c>
      <c r="M63" s="34"/>
      <c r="N63" s="34"/>
      <c r="O63" s="34"/>
      <c r="P63" s="34"/>
      <c r="Q63" s="34"/>
      <c r="R63" s="34"/>
      <c r="S63" s="34"/>
      <c r="T63" s="34"/>
      <c r="U63" s="34"/>
      <c r="V63" s="34">
        <f>L63</f>
        <v>0.556097471395552</v>
      </c>
      <c r="W63" s="34">
        <v>3</v>
      </c>
      <c r="AG63" s="167"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4" t="s">
        <v>9</v>
      </c>
      <c r="B64" s="34" t="s">
        <v>377</v>
      </c>
      <c r="C64" s="34" t="s">
        <v>377</v>
      </c>
      <c r="D64" s="34"/>
      <c r="E64" s="34">
        <v>262.50625171618</v>
      </c>
      <c r="F64" s="34">
        <f>E64</f>
        <v>262.50625171618</v>
      </c>
      <c r="G64" s="34"/>
      <c r="H64" s="34"/>
      <c r="I64" s="34">
        <f>F64</f>
        <v>262.50625171618</v>
      </c>
      <c r="J64" s="34">
        <f>I64</f>
        <v>262.50625171618</v>
      </c>
      <c r="K64" s="34"/>
      <c r="L64" s="34">
        <f>J64</f>
        <v>262.50625171618</v>
      </c>
      <c r="M64" s="34"/>
      <c r="N64" s="34"/>
      <c r="O64" s="34"/>
      <c r="P64" s="34"/>
      <c r="Q64" s="34"/>
      <c r="R64" s="34"/>
      <c r="S64" s="34"/>
      <c r="T64" s="34"/>
      <c r="U64" s="34"/>
      <c r="V64" s="34">
        <f>L64</f>
        <v>262.50625171618</v>
      </c>
      <c r="W64" s="34">
        <v>3</v>
      </c>
      <c r="AG64" s="167"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4" t="s">
        <v>9</v>
      </c>
      <c r="B65" s="34" t="s">
        <v>378</v>
      </c>
      <c r="C65" s="34" t="s">
        <v>378</v>
      </c>
      <c r="D65" s="34"/>
      <c r="E65" s="34">
        <v>1.78356265105312</v>
      </c>
      <c r="F65" s="34"/>
      <c r="G65" s="34"/>
      <c r="H65" s="34"/>
      <c r="I65" s="34">
        <v>2.22661580785633</v>
      </c>
      <c r="J65" s="34">
        <v>2.32708131726095</v>
      </c>
      <c r="K65" s="34"/>
      <c r="L65" s="34">
        <v>2.50388201247059</v>
      </c>
      <c r="M65" s="34"/>
      <c r="N65" s="34"/>
      <c r="O65" s="34"/>
      <c r="P65" s="34"/>
      <c r="Q65" s="34"/>
      <c r="R65" s="34"/>
      <c r="S65" s="34"/>
      <c r="T65" s="34"/>
      <c r="U65" s="34"/>
      <c r="V65" s="34">
        <v>3.07152023009688</v>
      </c>
      <c r="W65" s="34">
        <v>3</v>
      </c>
      <c r="AG65" s="167"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4" t="s">
        <v>9</v>
      </c>
      <c r="B66" s="34" t="s">
        <v>379</v>
      </c>
      <c r="C66" s="34" t="s">
        <v>379</v>
      </c>
      <c r="D66" s="34"/>
      <c r="E66" s="34">
        <v>12.3807603168204</v>
      </c>
      <c r="F66" s="34"/>
      <c r="G66" s="34"/>
      <c r="H66" s="34"/>
      <c r="I66" s="34">
        <v>12.6644810306856</v>
      </c>
      <c r="J66" s="34">
        <v>12.7260322944271</v>
      </c>
      <c r="K66" s="34"/>
      <c r="L66" s="34">
        <v>12.8232854254518</v>
      </c>
      <c r="M66" s="34"/>
      <c r="N66" s="34"/>
      <c r="O66" s="34"/>
      <c r="P66" s="34"/>
      <c r="Q66" s="34"/>
      <c r="R66" s="34"/>
      <c r="S66" s="34"/>
      <c r="T66" s="34"/>
      <c r="U66" s="34"/>
      <c r="V66" s="34">
        <v>12.828033432102</v>
      </c>
      <c r="W66" s="34">
        <v>3</v>
      </c>
      <c r="AG66" s="167"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4" t="s">
        <v>9</v>
      </c>
      <c r="B67" s="34" t="s">
        <v>381</v>
      </c>
      <c r="C67" s="34" t="s">
        <v>381</v>
      </c>
      <c r="D67" s="34"/>
      <c r="E67" s="34">
        <v>18.0740611496268</v>
      </c>
      <c r="F67" s="34">
        <f>E67</f>
        <v>18.0740611496268</v>
      </c>
      <c r="G67" s="34"/>
      <c r="H67" s="34"/>
      <c r="I67" s="34">
        <f>F67</f>
        <v>18.0740611496268</v>
      </c>
      <c r="J67" s="34">
        <f>I67</f>
        <v>18.0740611496268</v>
      </c>
      <c r="K67" s="34"/>
      <c r="L67" s="34">
        <f>J67</f>
        <v>18.0740611496268</v>
      </c>
      <c r="M67" s="34"/>
      <c r="N67" s="34"/>
      <c r="O67" s="34"/>
      <c r="P67" s="34"/>
      <c r="Q67" s="34"/>
      <c r="R67" s="34"/>
      <c r="S67" s="34"/>
      <c r="T67" s="34"/>
      <c r="U67" s="34"/>
      <c r="V67" s="34">
        <f>L67</f>
        <v>18.0740611496268</v>
      </c>
      <c r="W67" s="34">
        <v>3</v>
      </c>
      <c r="AG67" s="167"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4" t="s">
        <v>9</v>
      </c>
      <c r="B68" s="34" t="s">
        <v>382</v>
      </c>
      <c r="C68" s="34" t="s">
        <v>382</v>
      </c>
      <c r="D68" s="34"/>
      <c r="E68" s="34">
        <v>816.254772786243</v>
      </c>
      <c r="F68" s="34">
        <f>E68</f>
        <v>816.254772786243</v>
      </c>
      <c r="G68" s="34"/>
      <c r="H68" s="34"/>
      <c r="I68" s="34">
        <f>F68</f>
        <v>816.254772786243</v>
      </c>
      <c r="J68" s="34">
        <f>I68</f>
        <v>816.254772786243</v>
      </c>
      <c r="K68" s="34"/>
      <c r="L68" s="34">
        <f>J68</f>
        <v>816.254772786243</v>
      </c>
      <c r="M68" s="34"/>
      <c r="N68" s="34"/>
      <c r="O68" s="34"/>
      <c r="P68" s="34"/>
      <c r="Q68" s="34"/>
      <c r="R68" s="34"/>
      <c r="S68" s="34"/>
      <c r="T68" s="34"/>
      <c r="U68" s="34"/>
      <c r="V68" s="34">
        <f>L68</f>
        <v>816.254772786243</v>
      </c>
      <c r="W68" s="34">
        <v>3</v>
      </c>
      <c r="AG68" s="167"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4" t="s">
        <v>9</v>
      </c>
      <c r="B69" s="34" t="s">
        <v>383</v>
      </c>
      <c r="C69" s="34" t="s">
        <v>383</v>
      </c>
      <c r="D69" s="34">
        <v>1.288</v>
      </c>
      <c r="E69" s="34">
        <v>1.29052733657438</v>
      </c>
      <c r="F69" s="34"/>
      <c r="G69" s="34">
        <v>1.30296461567403</v>
      </c>
      <c r="H69" s="34">
        <v>1.31214024490941</v>
      </c>
      <c r="I69" s="34">
        <v>1.32010139566493</v>
      </c>
      <c r="J69" s="34">
        <v>1.32651728503089</v>
      </c>
      <c r="K69" s="34">
        <v>1.33170411203091</v>
      </c>
      <c r="L69" s="34">
        <v>1.33665461270246</v>
      </c>
      <c r="M69" s="34">
        <v>1.33969354009986</v>
      </c>
      <c r="N69" s="34">
        <v>1.34197403541685</v>
      </c>
      <c r="O69" s="34">
        <v>1.34396006473482</v>
      </c>
      <c r="P69" s="34">
        <v>1.34648340380928</v>
      </c>
      <c r="Q69" s="34">
        <v>1.34920567563357</v>
      </c>
      <c r="R69" s="34">
        <v>1.35081284478202</v>
      </c>
      <c r="S69" s="34">
        <v>1.3502008397929</v>
      </c>
      <c r="T69" s="34">
        <v>1.34732252838514</v>
      </c>
      <c r="U69" s="34">
        <v>1.34279667640736</v>
      </c>
      <c r="V69" s="34">
        <v>1.33714952837964</v>
      </c>
      <c r="W69" s="34">
        <v>3</v>
      </c>
      <c r="AG69" s="167"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4" t="s">
        <v>9</v>
      </c>
      <c r="B70" s="34" t="s">
        <v>384</v>
      </c>
      <c r="C70" s="34" t="s">
        <v>384</v>
      </c>
      <c r="D70" s="34">
        <v>0.765</v>
      </c>
      <c r="E70" s="34">
        <v>0.7665010966455</v>
      </c>
      <c r="F70" s="34"/>
      <c r="G70" s="34">
        <v>0.773888145179065</v>
      </c>
      <c r="H70" s="34">
        <v>0.779337956021502</v>
      </c>
      <c r="I70" s="34">
        <v>0.784066434537011</v>
      </c>
      <c r="J70" s="34">
        <v>0.787877114168189</v>
      </c>
      <c r="K70" s="34">
        <v>0.790957799459353</v>
      </c>
      <c r="L70" s="34">
        <v>0.793898120122189</v>
      </c>
      <c r="M70" s="34">
        <v>0.795703073118319</v>
      </c>
      <c r="N70" s="34">
        <v>0.797057559855507</v>
      </c>
      <c r="O70" s="34">
        <v>0.798237150250104</v>
      </c>
      <c r="P70" s="34">
        <v>0.799735872604115</v>
      </c>
      <c r="Q70" s="34">
        <v>0.801352749891055</v>
      </c>
      <c r="R70" s="34">
        <v>0.802307318523482</v>
      </c>
      <c r="S70" s="34">
        <v>0.801943821771405</v>
      </c>
      <c r="T70" s="34">
        <v>0.800234265694592</v>
      </c>
      <c r="U70" s="34">
        <v>0.797546162617726</v>
      </c>
      <c r="V70" s="34">
        <v>0.794192072368342</v>
      </c>
      <c r="W70" s="34">
        <v>3</v>
      </c>
      <c r="AG70" s="167"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4" t="s">
        <v>9</v>
      </c>
      <c r="B71" s="34" t="s">
        <v>385</v>
      </c>
      <c r="C71" s="34" t="s">
        <v>385</v>
      </c>
      <c r="D71" s="34">
        <v>1.785</v>
      </c>
      <c r="E71" s="34">
        <v>1.7885025588395</v>
      </c>
      <c r="F71" s="34"/>
      <c r="G71" s="34">
        <v>1.80573900541782</v>
      </c>
      <c r="H71" s="34">
        <v>1.81845523071684</v>
      </c>
      <c r="I71" s="34">
        <v>1.82948834725303</v>
      </c>
      <c r="J71" s="34">
        <v>1.83837993305911</v>
      </c>
      <c r="K71" s="34">
        <v>1.84556819873849</v>
      </c>
      <c r="L71" s="34">
        <v>1.85242894695178</v>
      </c>
      <c r="M71" s="34">
        <v>1.85664050394275</v>
      </c>
      <c r="N71" s="34">
        <v>1.85980097299618</v>
      </c>
      <c r="O71" s="34">
        <v>1.86255335058358</v>
      </c>
      <c r="P71" s="34">
        <v>1.8660503694096</v>
      </c>
      <c r="Q71" s="34">
        <v>1.86982308307913</v>
      </c>
      <c r="R71" s="34">
        <v>1.87205040988813</v>
      </c>
      <c r="S71" s="34">
        <v>1.87120225079995</v>
      </c>
      <c r="T71" s="34">
        <v>1.86721328662072</v>
      </c>
      <c r="U71" s="34">
        <v>1.86094104610803</v>
      </c>
      <c r="V71" s="34">
        <v>1.85311483552613</v>
      </c>
      <c r="W71" s="34">
        <v>3</v>
      </c>
      <c r="AG71" s="167"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4" t="s">
        <v>9</v>
      </c>
      <c r="B72" s="34" t="s">
        <v>386</v>
      </c>
      <c r="C72" s="34" t="s">
        <v>386</v>
      </c>
      <c r="D72" s="34">
        <v>188.412</v>
      </c>
      <c r="E72" s="34">
        <v>189.256036060692</v>
      </c>
      <c r="F72" s="34"/>
      <c r="G72" s="34">
        <v>207.250544007891</v>
      </c>
      <c r="H72" s="34">
        <v>220.587584191758</v>
      </c>
      <c r="I72" s="34">
        <v>230.875419859672</v>
      </c>
      <c r="J72" s="34">
        <v>240.110549584008</v>
      </c>
      <c r="K72" s="34">
        <v>248.601538699814</v>
      </c>
      <c r="L72" s="34">
        <v>256.37049935059</v>
      </c>
      <c r="M72" s="34">
        <v>263.854922313545</v>
      </c>
      <c r="N72" s="34">
        <v>271.248583254919</v>
      </c>
      <c r="O72" s="34">
        <v>278.549570282268</v>
      </c>
      <c r="P72" s="34">
        <v>285.230759175177</v>
      </c>
      <c r="Q72" s="34">
        <v>291.263552420858</v>
      </c>
      <c r="R72" s="34">
        <v>296.72867535095</v>
      </c>
      <c r="S72" s="34">
        <v>301.761506209798</v>
      </c>
      <c r="T72" s="34">
        <v>306.417023848534</v>
      </c>
      <c r="U72" s="34">
        <v>310.645815593219</v>
      </c>
      <c r="V72" s="34">
        <v>314.364198685293</v>
      </c>
      <c r="W72" s="34">
        <v>3</v>
      </c>
      <c r="AG72" s="167"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4" t="s">
        <v>9</v>
      </c>
      <c r="B73" s="34" t="s">
        <v>388</v>
      </c>
      <c r="C73" s="34" t="s">
        <v>388</v>
      </c>
      <c r="D73" s="34">
        <v>52.2</v>
      </c>
      <c r="E73" s="34">
        <v>52.5368453175476</v>
      </c>
      <c r="F73" s="34"/>
      <c r="G73" s="34">
        <v>58.0996745557037</v>
      </c>
      <c r="H73" s="34">
        <v>62.2817182028071</v>
      </c>
      <c r="I73" s="34">
        <v>65.5874747152184</v>
      </c>
      <c r="J73" s="34">
        <v>68.5467993704095</v>
      </c>
      <c r="K73" s="34">
        <v>71.2517014664645</v>
      </c>
      <c r="L73" s="34">
        <v>73.7546628400662</v>
      </c>
      <c r="M73" s="34">
        <v>76.0823971237345</v>
      </c>
      <c r="N73" s="34">
        <v>78.3490503416236</v>
      </c>
      <c r="O73" s="34">
        <v>80.578401556557</v>
      </c>
      <c r="P73" s="34">
        <v>82.6677909919788</v>
      </c>
      <c r="Q73" s="34">
        <v>84.5887325390831</v>
      </c>
      <c r="R73" s="34">
        <v>86.2795834978481</v>
      </c>
      <c r="S73" s="34">
        <v>87.7028458960293</v>
      </c>
      <c r="T73" s="34">
        <v>88.8643313409043</v>
      </c>
      <c r="U73" s="34">
        <v>89.7854936532617</v>
      </c>
      <c r="V73" s="34">
        <v>90.4750854269331</v>
      </c>
      <c r="W73" s="34">
        <v>3</v>
      </c>
      <c r="AG73" s="167"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4" t="s">
        <v>9</v>
      </c>
      <c r="B74" s="34" t="s">
        <v>389</v>
      </c>
      <c r="C74" s="34" t="s">
        <v>389</v>
      </c>
      <c r="D74" s="34">
        <v>30.4</v>
      </c>
      <c r="E74" s="34">
        <v>30.5961704531311</v>
      </c>
      <c r="F74" s="34"/>
      <c r="G74" s="34">
        <v>33.8358257948926</v>
      </c>
      <c r="H74" s="34">
        <v>36.2713454667689</v>
      </c>
      <c r="I74" s="34">
        <v>38.1965369989011</v>
      </c>
      <c r="J74" s="34">
        <v>39.9199751122691</v>
      </c>
      <c r="K74" s="34">
        <v>41.4952437659104</v>
      </c>
      <c r="L74" s="34">
        <v>42.952907094598</v>
      </c>
      <c r="M74" s="34">
        <v>44.3085224628645</v>
      </c>
      <c r="N74" s="34">
        <v>45.6285657161946</v>
      </c>
      <c r="O74" s="34">
        <v>46.9268851976884</v>
      </c>
      <c r="P74" s="34">
        <v>48.1436943708076</v>
      </c>
      <c r="Q74" s="34">
        <v>49.2624036242936</v>
      </c>
      <c r="R74" s="34">
        <v>50.2471137611989</v>
      </c>
      <c r="S74" s="34">
        <v>51.0759868819787</v>
      </c>
      <c r="T74" s="34">
        <v>51.7524075242048</v>
      </c>
      <c r="U74" s="34">
        <v>52.2888698670337</v>
      </c>
      <c r="V74" s="34">
        <v>52.6904712064898</v>
      </c>
      <c r="W74" s="34">
        <v>3</v>
      </c>
      <c r="AG74" s="167"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4" t="s">
        <v>10</v>
      </c>
      <c r="B75" s="34" t="s">
        <v>374</v>
      </c>
      <c r="C75" s="34" t="s">
        <v>374</v>
      </c>
      <c r="D75" s="34"/>
      <c r="E75" s="34">
        <v>139.408253389821</v>
      </c>
      <c r="F75" s="34">
        <f>E75</f>
        <v>139.408253389821</v>
      </c>
      <c r="G75" s="34"/>
      <c r="H75" s="34"/>
      <c r="I75" s="34">
        <f>F75</f>
        <v>139.408253389821</v>
      </c>
      <c r="J75" s="34">
        <f>I75</f>
        <v>139.408253389821</v>
      </c>
      <c r="K75" s="34"/>
      <c r="L75" s="34">
        <f>J75</f>
        <v>139.408253389821</v>
      </c>
      <c r="M75" s="34"/>
      <c r="N75" s="34"/>
      <c r="O75" s="34"/>
      <c r="P75" s="34"/>
      <c r="Q75" s="34"/>
      <c r="R75" s="34"/>
      <c r="S75" s="34"/>
      <c r="T75" s="34"/>
      <c r="U75" s="34"/>
      <c r="V75" s="34">
        <f>L75</f>
        <v>139.408253389821</v>
      </c>
      <c r="W75" s="34">
        <v>3</v>
      </c>
      <c r="AG75" s="167"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4" t="s">
        <v>10</v>
      </c>
      <c r="B76" s="34" t="s">
        <v>377</v>
      </c>
      <c r="C76" s="34" t="s">
        <v>377</v>
      </c>
      <c r="D76" s="34"/>
      <c r="E76" s="34">
        <v>100.89549985663</v>
      </c>
      <c r="F76" s="34">
        <f>E76</f>
        <v>100.89549985663</v>
      </c>
      <c r="G76" s="34"/>
      <c r="H76" s="34"/>
      <c r="I76" s="34">
        <f>F76</f>
        <v>100.89549985663</v>
      </c>
      <c r="J76" s="34">
        <f>I76</f>
        <v>100.89549985663</v>
      </c>
      <c r="K76" s="34"/>
      <c r="L76" s="34">
        <f>J76</f>
        <v>100.89549985663</v>
      </c>
      <c r="M76" s="34"/>
      <c r="N76" s="34"/>
      <c r="O76" s="34"/>
      <c r="P76" s="34"/>
      <c r="Q76" s="34"/>
      <c r="R76" s="34"/>
      <c r="S76" s="34"/>
      <c r="T76" s="34"/>
      <c r="U76" s="34"/>
      <c r="V76" s="34">
        <f>L76</f>
        <v>100.89549985663</v>
      </c>
      <c r="W76" s="34">
        <v>3</v>
      </c>
      <c r="AG76" s="167"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4" t="s">
        <v>10</v>
      </c>
      <c r="B77" s="34" t="s">
        <v>378</v>
      </c>
      <c r="C77" s="34" t="s">
        <v>378</v>
      </c>
      <c r="D77" s="34"/>
      <c r="E77" s="34">
        <v>36.3491412681947</v>
      </c>
      <c r="F77" s="34"/>
      <c r="G77" s="34"/>
      <c r="H77" s="34"/>
      <c r="I77" s="34">
        <v>51.7238503606635</v>
      </c>
      <c r="J77" s="34">
        <v>59.47712543275</v>
      </c>
      <c r="K77" s="34"/>
      <c r="L77" s="34">
        <v>79.1294823604451</v>
      </c>
      <c r="M77" s="34"/>
      <c r="N77" s="34"/>
      <c r="O77" s="34"/>
      <c r="P77" s="34"/>
      <c r="Q77" s="34"/>
      <c r="R77" s="34"/>
      <c r="S77" s="34"/>
      <c r="T77" s="34"/>
      <c r="U77" s="34"/>
      <c r="V77" s="34">
        <v>192.459870143503</v>
      </c>
      <c r="W77" s="34">
        <v>3</v>
      </c>
      <c r="AG77" s="167"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4" t="s">
        <v>10</v>
      </c>
      <c r="B78" s="34" t="s">
        <v>379</v>
      </c>
      <c r="C78" s="34" t="s">
        <v>379</v>
      </c>
      <c r="D78" s="34"/>
      <c r="E78" s="34">
        <v>16.8114020843873</v>
      </c>
      <c r="F78" s="34"/>
      <c r="G78" s="34"/>
      <c r="H78" s="34"/>
      <c r="I78" s="34">
        <v>17.8160951323929</v>
      </c>
      <c r="J78" s="34">
        <v>17.9690096349578</v>
      </c>
      <c r="K78" s="34"/>
      <c r="L78" s="34">
        <v>17.9821026520996</v>
      </c>
      <c r="M78" s="34"/>
      <c r="N78" s="34"/>
      <c r="O78" s="34"/>
      <c r="P78" s="34"/>
      <c r="Q78" s="34"/>
      <c r="R78" s="34"/>
      <c r="S78" s="34"/>
      <c r="T78" s="34"/>
      <c r="U78" s="34"/>
      <c r="V78" s="34">
        <v>14.8844598657544</v>
      </c>
      <c r="W78" s="34">
        <v>3</v>
      </c>
      <c r="AG78" s="167"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4" t="s">
        <v>10</v>
      </c>
      <c r="B79" s="34" t="s">
        <v>381</v>
      </c>
      <c r="C79" s="34" t="s">
        <v>381</v>
      </c>
      <c r="D79" s="34"/>
      <c r="E79" s="34">
        <v>54.0166941738206</v>
      </c>
      <c r="F79" s="34">
        <f>E79</f>
        <v>54.0166941738206</v>
      </c>
      <c r="G79" s="34"/>
      <c r="H79" s="34"/>
      <c r="I79" s="34">
        <f>F79</f>
        <v>54.0166941738206</v>
      </c>
      <c r="J79" s="34">
        <f>I79</f>
        <v>54.0166941738206</v>
      </c>
      <c r="K79" s="34"/>
      <c r="L79" s="34">
        <f>J79</f>
        <v>54.0166941738206</v>
      </c>
      <c r="M79" s="34"/>
      <c r="N79" s="34"/>
      <c r="O79" s="34"/>
      <c r="P79" s="34"/>
      <c r="Q79" s="34"/>
      <c r="R79" s="34"/>
      <c r="S79" s="34"/>
      <c r="T79" s="34"/>
      <c r="U79" s="34"/>
      <c r="V79" s="34">
        <f>L79</f>
        <v>54.0166941738206</v>
      </c>
      <c r="W79" s="34">
        <v>3</v>
      </c>
      <c r="AG79" s="167"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4" t="s">
        <v>10</v>
      </c>
      <c r="B80" s="34" t="s">
        <v>382</v>
      </c>
      <c r="C80" s="34" t="s">
        <v>382</v>
      </c>
      <c r="D80" s="34"/>
      <c r="E80" s="34">
        <v>138.398524415336</v>
      </c>
      <c r="F80" s="34">
        <f>E80</f>
        <v>138.398524415336</v>
      </c>
      <c r="G80" s="34"/>
      <c r="H80" s="34"/>
      <c r="I80" s="34">
        <f>F80</f>
        <v>138.398524415336</v>
      </c>
      <c r="J80" s="34">
        <f>I80</f>
        <v>138.398524415336</v>
      </c>
      <c r="K80" s="34"/>
      <c r="L80" s="34">
        <f>J80</f>
        <v>138.398524415336</v>
      </c>
      <c r="M80" s="34"/>
      <c r="N80" s="34"/>
      <c r="O80" s="34"/>
      <c r="P80" s="34"/>
      <c r="Q80" s="34"/>
      <c r="R80" s="34"/>
      <c r="S80" s="34"/>
      <c r="T80" s="34"/>
      <c r="U80" s="34"/>
      <c r="V80" s="34">
        <f>L80</f>
        <v>138.398524415336</v>
      </c>
      <c r="W80" s="34">
        <v>3</v>
      </c>
      <c r="AG80" s="167"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4" t="s">
        <v>10</v>
      </c>
      <c r="B81" s="34" t="s">
        <v>383</v>
      </c>
      <c r="C81" s="34" t="s">
        <v>383</v>
      </c>
      <c r="D81" s="34">
        <v>12.005</v>
      </c>
      <c r="E81" s="34">
        <v>12.0615714316121</v>
      </c>
      <c r="F81" s="34"/>
      <c r="G81" s="34">
        <v>12.3409674742218</v>
      </c>
      <c r="H81" s="34">
        <v>12.5981382597297</v>
      </c>
      <c r="I81" s="34">
        <v>12.7824022644323</v>
      </c>
      <c r="J81" s="34">
        <v>12.892112875502</v>
      </c>
      <c r="K81" s="34">
        <v>12.9312811464046</v>
      </c>
      <c r="L81" s="34">
        <v>12.901506640562</v>
      </c>
      <c r="M81" s="34">
        <v>12.8157886888742</v>
      </c>
      <c r="N81" s="34">
        <v>12.6818283601122</v>
      </c>
      <c r="O81" s="34">
        <v>12.5035471857187</v>
      </c>
      <c r="P81" s="34">
        <v>12.2884810093951</v>
      </c>
      <c r="Q81" s="34">
        <v>12.0431564060854</v>
      </c>
      <c r="R81" s="34">
        <v>11.7732069741516</v>
      </c>
      <c r="S81" s="34">
        <v>11.4941527544462</v>
      </c>
      <c r="T81" s="34">
        <v>11.2142598633916</v>
      </c>
      <c r="U81" s="34">
        <v>10.9409800577595</v>
      </c>
      <c r="V81" s="34">
        <v>10.6790602586615</v>
      </c>
      <c r="W81" s="34">
        <v>3</v>
      </c>
      <c r="AG81" s="167"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4" t="s">
        <v>10</v>
      </c>
      <c r="B82" s="34" t="s">
        <v>384</v>
      </c>
      <c r="C82" s="34" t="s">
        <v>384</v>
      </c>
      <c r="D82" s="34">
        <v>3.225</v>
      </c>
      <c r="E82" s="34">
        <v>3.24019724006239</v>
      </c>
      <c r="F82" s="34"/>
      <c r="G82" s="34">
        <v>3.31525365300835</v>
      </c>
      <c r="H82" s="34">
        <v>3.38433951583743</v>
      </c>
      <c r="I82" s="34">
        <v>3.43383984196536</v>
      </c>
      <c r="J82" s="34">
        <v>3.46331228850428</v>
      </c>
      <c r="K82" s="34">
        <v>3.47383437710577</v>
      </c>
      <c r="L82" s="34">
        <v>3.46583581139629</v>
      </c>
      <c r="M82" s="34">
        <v>3.44280870650722</v>
      </c>
      <c r="N82" s="34">
        <v>3.40682186267071</v>
      </c>
      <c r="O82" s="34">
        <v>3.35892875251503</v>
      </c>
      <c r="P82" s="34">
        <v>3.30115379052887</v>
      </c>
      <c r="Q82" s="34">
        <v>3.23525026319245</v>
      </c>
      <c r="R82" s="34">
        <v>3.16273156948263</v>
      </c>
      <c r="S82" s="34">
        <v>3.08776698318109</v>
      </c>
      <c r="T82" s="34">
        <v>3.01257709782908</v>
      </c>
      <c r="U82" s="34">
        <v>2.93916373896497</v>
      </c>
      <c r="V82" s="34">
        <v>2.86880211030266</v>
      </c>
      <c r="W82" s="34">
        <v>3</v>
      </c>
      <c r="AG82" s="167"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4" t="s">
        <v>10</v>
      </c>
      <c r="B83" s="34" t="s">
        <v>385</v>
      </c>
      <c r="C83" s="34" t="s">
        <v>385</v>
      </c>
      <c r="D83" s="34">
        <v>16.415</v>
      </c>
      <c r="E83" s="34">
        <v>16.4923527738369</v>
      </c>
      <c r="F83" s="34"/>
      <c r="G83" s="34">
        <v>16.8743840974053</v>
      </c>
      <c r="H83" s="34">
        <v>17.226025783712</v>
      </c>
      <c r="I83" s="34">
        <v>17.4779786064686</v>
      </c>
      <c r="J83" s="34">
        <v>17.6279910746659</v>
      </c>
      <c r="K83" s="34">
        <v>17.6815476899817</v>
      </c>
      <c r="L83" s="34">
        <v>17.6408356105644</v>
      </c>
      <c r="M83" s="34">
        <v>17.5236294317259</v>
      </c>
      <c r="N83" s="34">
        <v>17.3404591862759</v>
      </c>
      <c r="O83" s="34">
        <v>17.0966869682277</v>
      </c>
      <c r="P83" s="34">
        <v>16.8026168903973</v>
      </c>
      <c r="Q83" s="34">
        <v>16.4671730450555</v>
      </c>
      <c r="R83" s="34">
        <v>16.0980585156767</v>
      </c>
      <c r="S83" s="34">
        <v>15.7164945826101</v>
      </c>
      <c r="T83" s="34">
        <v>15.3337838948416</v>
      </c>
      <c r="U83" s="34">
        <v>14.9601155891814</v>
      </c>
      <c r="V83" s="34">
        <v>14.6019803536801</v>
      </c>
      <c r="W83" s="34">
        <v>3</v>
      </c>
      <c r="AG83" s="167"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4" t="s">
        <v>10</v>
      </c>
      <c r="B84" s="34" t="s">
        <v>386</v>
      </c>
      <c r="C84" s="34" t="s">
        <v>386</v>
      </c>
      <c r="D84" s="34">
        <v>463.596</v>
      </c>
      <c r="E84" s="34">
        <v>458.916777938121</v>
      </c>
      <c r="F84" s="34"/>
      <c r="G84" s="34">
        <v>519.864790981081</v>
      </c>
      <c r="H84" s="34">
        <v>552.351303546928</v>
      </c>
      <c r="I84" s="34">
        <v>616.118477150593</v>
      </c>
      <c r="J84" s="34">
        <v>702.404410939197</v>
      </c>
      <c r="K84" s="34">
        <v>809.260079309927</v>
      </c>
      <c r="L84" s="34">
        <v>933.8098000596</v>
      </c>
      <c r="M84" s="34">
        <v>1073.58947904128</v>
      </c>
      <c r="N84" s="34">
        <v>1225.78112349894</v>
      </c>
      <c r="O84" s="34">
        <v>1391.38807440142</v>
      </c>
      <c r="P84" s="34">
        <v>1566.34193666892</v>
      </c>
      <c r="Q84" s="34">
        <v>1750.88026123174</v>
      </c>
      <c r="R84" s="34">
        <v>1942.04947863317</v>
      </c>
      <c r="S84" s="34">
        <v>2138.84370882204</v>
      </c>
      <c r="T84" s="34">
        <v>2340.38824623336</v>
      </c>
      <c r="U84" s="34">
        <v>2545.4916888418</v>
      </c>
      <c r="V84" s="34">
        <v>2752.9135272842</v>
      </c>
      <c r="W84" s="34">
        <v>3</v>
      </c>
      <c r="AG84" s="167"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4" t="s">
        <v>10</v>
      </c>
      <c r="B85" s="34" t="s">
        <v>388</v>
      </c>
      <c r="C85" s="34" t="s">
        <v>388</v>
      </c>
      <c r="D85" s="34">
        <v>220.2</v>
      </c>
      <c r="E85" s="34">
        <v>219.004605717371</v>
      </c>
      <c r="F85" s="34"/>
      <c r="G85" s="34">
        <v>253.847067776885</v>
      </c>
      <c r="H85" s="34">
        <v>275.339593496499</v>
      </c>
      <c r="I85" s="34">
        <v>311.637663482662</v>
      </c>
      <c r="J85" s="34">
        <v>358.351365400742</v>
      </c>
      <c r="K85" s="34">
        <v>414.132358613992</v>
      </c>
      <c r="L85" s="34">
        <v>476.757372536125</v>
      </c>
      <c r="M85" s="34">
        <v>544.434627193422</v>
      </c>
      <c r="N85" s="34">
        <v>615.026265376979</v>
      </c>
      <c r="O85" s="34">
        <v>688.156062701103</v>
      </c>
      <c r="P85" s="34">
        <v>761.147640687482</v>
      </c>
      <c r="Q85" s="34">
        <v>833.551096442647</v>
      </c>
      <c r="R85" s="34">
        <v>903.477843171256</v>
      </c>
      <c r="S85" s="34">
        <v>971.024476786969</v>
      </c>
      <c r="T85" s="34">
        <v>1036.17864519791</v>
      </c>
      <c r="U85" s="34">
        <v>1099.01159004118</v>
      </c>
      <c r="V85" s="34">
        <v>1159.57616897197</v>
      </c>
      <c r="W85" s="34">
        <v>3</v>
      </c>
      <c r="AG85" s="167"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4" t="s">
        <v>10</v>
      </c>
      <c r="B86" s="34" t="s">
        <v>389</v>
      </c>
      <c r="C86" s="34" t="s">
        <v>389</v>
      </c>
      <c r="D86" s="34">
        <v>98.64</v>
      </c>
      <c r="E86" s="34">
        <v>98.1045154766641</v>
      </c>
      <c r="F86" s="34"/>
      <c r="G86" s="34">
        <v>113.712419461907</v>
      </c>
      <c r="H86" s="34">
        <v>123.340133980448</v>
      </c>
      <c r="I86" s="34">
        <v>139.600086857084</v>
      </c>
      <c r="J86" s="34">
        <v>160.525788751722</v>
      </c>
      <c r="K86" s="34">
        <v>185.513241842344</v>
      </c>
      <c r="L86" s="34">
        <v>213.566517833621</v>
      </c>
      <c r="M86" s="34">
        <v>243.882977413075</v>
      </c>
      <c r="N86" s="34">
        <v>275.504953754701</v>
      </c>
      <c r="O86" s="34">
        <v>308.263914735862</v>
      </c>
      <c r="P86" s="34">
        <v>340.960959479624</v>
      </c>
      <c r="Q86" s="34">
        <v>373.394551104009</v>
      </c>
      <c r="R86" s="34">
        <v>404.718685060911</v>
      </c>
      <c r="S86" s="34">
        <v>434.976632108386</v>
      </c>
      <c r="T86" s="34">
        <v>464.162859047785</v>
      </c>
      <c r="U86" s="34">
        <v>492.309279026621</v>
      </c>
      <c r="V86" s="34">
        <v>519.439569970007</v>
      </c>
      <c r="W86" s="34">
        <v>3</v>
      </c>
      <c r="AG86" s="167"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2" customFormat="1" spans="1:89">
      <c r="A87" s="34" t="s">
        <v>11</v>
      </c>
      <c r="B87" s="34" t="s">
        <v>374</v>
      </c>
      <c r="C87" s="34" t="s">
        <v>374</v>
      </c>
      <c r="D87" s="34"/>
      <c r="E87" s="34">
        <v>1188.16711411818</v>
      </c>
      <c r="F87" s="34">
        <f>E87</f>
        <v>1188.16711411818</v>
      </c>
      <c r="G87" s="34"/>
      <c r="H87" s="34"/>
      <c r="I87" s="34">
        <f>F87</f>
        <v>1188.16711411818</v>
      </c>
      <c r="J87" s="34">
        <f>I87</f>
        <v>1188.16711411818</v>
      </c>
      <c r="K87" s="34"/>
      <c r="L87" s="34">
        <f>J87</f>
        <v>1188.16711411818</v>
      </c>
      <c r="M87" s="34"/>
      <c r="N87" s="34"/>
      <c r="O87" s="34"/>
      <c r="P87" s="34"/>
      <c r="Q87" s="34"/>
      <c r="R87" s="34"/>
      <c r="S87" s="34"/>
      <c r="T87" s="34"/>
      <c r="U87" s="34"/>
      <c r="V87" s="34">
        <f>L87</f>
        <v>1188.16711411818</v>
      </c>
      <c r="W87" s="34">
        <v>3</v>
      </c>
      <c r="AG87" s="168" t="s">
        <v>375</v>
      </c>
      <c r="AI87" s="32">
        <v>1</v>
      </c>
      <c r="AJ87" s="32">
        <v>1.05112854144243</v>
      </c>
      <c r="AK87" s="32">
        <v>1.34748241570804</v>
      </c>
      <c r="AL87" s="32">
        <v>1.61939081647613</v>
      </c>
      <c r="AM87" s="32">
        <v>1.86637100263541</v>
      </c>
      <c r="AN87" s="32">
        <v>2.06432167722141</v>
      </c>
      <c r="AO87" s="32">
        <v>2.25382438235957</v>
      </c>
      <c r="AP87" s="32">
        <v>2.43076687895356</v>
      </c>
      <c r="AQ87" s="32">
        <v>2.58432772042495</v>
      </c>
      <c r="AR87" s="32">
        <v>2.73235938824186</v>
      </c>
      <c r="AS87" s="32">
        <v>2.8725062845741</v>
      </c>
      <c r="AT87" s="32">
        <v>2.98524868318952</v>
      </c>
      <c r="AU87" s="32">
        <v>3.06916517970485</v>
      </c>
      <c r="AV87" s="32">
        <v>3.130871115275</v>
      </c>
      <c r="AW87" s="32">
        <v>3.17630688746411</v>
      </c>
      <c r="AX87" s="32">
        <v>3.21307119895013</v>
      </c>
      <c r="AY87" s="32">
        <v>3.24296091942514</v>
      </c>
      <c r="AZ87" s="32">
        <v>3.25990155657189</v>
      </c>
      <c r="BA87" s="32">
        <v>0</v>
      </c>
      <c r="BB87" s="32">
        <v>0</v>
      </c>
      <c r="BC87" s="32">
        <v>0</v>
      </c>
      <c r="BD87" s="32">
        <v>0</v>
      </c>
      <c r="BE87" s="32">
        <v>0</v>
      </c>
      <c r="BF87" s="32">
        <v>0</v>
      </c>
      <c r="BG87" s="32">
        <v>0</v>
      </c>
      <c r="BH87" s="32">
        <v>0</v>
      </c>
      <c r="BJ87" s="32" t="s">
        <v>391</v>
      </c>
      <c r="BL87" s="32">
        <v>0.799999999999999</v>
      </c>
      <c r="BM87" s="32">
        <v>0.795121951219512</v>
      </c>
      <c r="BN87" s="32">
        <v>0.770731707317072</v>
      </c>
      <c r="BO87" s="32">
        <v>0.746341463414634</v>
      </c>
      <c r="BP87" s="32">
        <v>0.721951219512194</v>
      </c>
      <c r="BQ87" s="32">
        <v>0.697560975609756</v>
      </c>
      <c r="BR87" s="32">
        <v>0.673170731707316</v>
      </c>
      <c r="BS87" s="32">
        <v>0.648780487804878</v>
      </c>
      <c r="BT87" s="32">
        <v>0.62439024390244</v>
      </c>
      <c r="BU87" s="32">
        <v>0.6</v>
      </c>
      <c r="BV87" s="32">
        <v>0.574999999999999</v>
      </c>
      <c r="BW87" s="32">
        <v>0.550000000000001</v>
      </c>
      <c r="BX87" s="32">
        <v>0.525</v>
      </c>
      <c r="BY87" s="32">
        <v>0.5</v>
      </c>
      <c r="BZ87" s="32">
        <v>0.475</v>
      </c>
      <c r="CA87" s="32">
        <v>0.449999999999999</v>
      </c>
      <c r="CB87" s="32">
        <v>0.425000000000001</v>
      </c>
      <c r="CC87" s="32">
        <v>0.4</v>
      </c>
      <c r="CD87" s="32" t="e">
        <v>#VALUE!</v>
      </c>
      <c r="CE87" s="32" t="e">
        <v>#VALUE!</v>
      </c>
      <c r="CF87" s="32" t="e">
        <v>#VALUE!</v>
      </c>
      <c r="CG87" s="32" t="e">
        <v>#VALUE!</v>
      </c>
      <c r="CH87" s="32" t="e">
        <v>#VALUE!</v>
      </c>
      <c r="CI87" s="32" t="e">
        <v>#VALUE!</v>
      </c>
      <c r="CJ87" s="32" t="e">
        <v>#VALUE!</v>
      </c>
      <c r="CK87" s="32" t="e">
        <v>#VALUE!</v>
      </c>
    </row>
    <row r="88" spans="1:89">
      <c r="A88" s="34" t="s">
        <v>11</v>
      </c>
      <c r="B88" s="34" t="s">
        <v>377</v>
      </c>
      <c r="C88" s="34" t="s">
        <v>377</v>
      </c>
      <c r="D88" s="34"/>
      <c r="E88" s="34">
        <v>467.444758409838</v>
      </c>
      <c r="F88" s="34">
        <f>E88</f>
        <v>467.444758409838</v>
      </c>
      <c r="G88" s="34"/>
      <c r="H88" s="34"/>
      <c r="I88" s="34">
        <f>F88</f>
        <v>467.444758409838</v>
      </c>
      <c r="J88" s="34">
        <f>I88</f>
        <v>467.444758409838</v>
      </c>
      <c r="K88" s="34"/>
      <c r="L88" s="34">
        <f>J88</f>
        <v>467.444758409838</v>
      </c>
      <c r="M88" s="34"/>
      <c r="N88" s="34"/>
      <c r="O88" s="34"/>
      <c r="P88" s="34"/>
      <c r="Q88" s="34"/>
      <c r="R88" s="34"/>
      <c r="S88" s="34"/>
      <c r="T88" s="34"/>
      <c r="U88" s="34"/>
      <c r="V88" s="34">
        <f>L88</f>
        <v>467.444758409838</v>
      </c>
      <c r="W88" s="34">
        <v>3</v>
      </c>
      <c r="AG88" s="167"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4" t="s">
        <v>11</v>
      </c>
      <c r="B89" s="34" t="s">
        <v>378</v>
      </c>
      <c r="C89" s="34" t="s">
        <v>378</v>
      </c>
      <c r="D89" s="34"/>
      <c r="E89" s="34">
        <v>144.327570907279</v>
      </c>
      <c r="F89" s="34"/>
      <c r="G89" s="34"/>
      <c r="H89" s="34"/>
      <c r="I89" s="34">
        <v>224.407696622378</v>
      </c>
      <c r="J89" s="34">
        <v>241.010404715518</v>
      </c>
      <c r="K89" s="34"/>
      <c r="L89" s="34">
        <v>268.938258912685</v>
      </c>
      <c r="M89" s="34"/>
      <c r="N89" s="34"/>
      <c r="O89" s="34"/>
      <c r="P89" s="34"/>
      <c r="Q89" s="34"/>
      <c r="R89" s="34"/>
      <c r="S89" s="34"/>
      <c r="T89" s="34"/>
      <c r="U89" s="34"/>
      <c r="V89" s="34">
        <v>317.390632286557</v>
      </c>
      <c r="W89" s="34">
        <v>3</v>
      </c>
      <c r="AG89" s="167"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4" t="s">
        <v>11</v>
      </c>
      <c r="B90" s="34" t="s">
        <v>379</v>
      </c>
      <c r="C90" s="34" t="s">
        <v>379</v>
      </c>
      <c r="D90" s="34"/>
      <c r="E90" s="34">
        <v>326.607668327134</v>
      </c>
      <c r="F90" s="34"/>
      <c r="G90" s="34"/>
      <c r="H90" s="34"/>
      <c r="I90" s="34">
        <v>322.411094673057</v>
      </c>
      <c r="J90" s="34">
        <v>318.688567557196</v>
      </c>
      <c r="K90" s="34"/>
      <c r="L90" s="34">
        <v>308.001346625873</v>
      </c>
      <c r="M90" s="34"/>
      <c r="N90" s="34"/>
      <c r="O90" s="34"/>
      <c r="P90" s="34"/>
      <c r="Q90" s="34"/>
      <c r="R90" s="34"/>
      <c r="S90" s="34"/>
      <c r="T90" s="34"/>
      <c r="U90" s="34"/>
      <c r="V90" s="34">
        <v>240.985198947612</v>
      </c>
      <c r="W90" s="34">
        <v>3</v>
      </c>
      <c r="AG90" s="167"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4" t="s">
        <v>11</v>
      </c>
      <c r="B91" s="34" t="s">
        <v>381</v>
      </c>
      <c r="C91" s="34" t="s">
        <v>381</v>
      </c>
      <c r="D91" s="34"/>
      <c r="E91" s="34">
        <v>1059.41231504256</v>
      </c>
      <c r="F91" s="34">
        <f>E91</f>
        <v>1059.41231504256</v>
      </c>
      <c r="G91" s="34"/>
      <c r="H91" s="34"/>
      <c r="I91" s="34">
        <f>F91</f>
        <v>1059.41231504256</v>
      </c>
      <c r="J91" s="34">
        <f>I91</f>
        <v>1059.41231504256</v>
      </c>
      <c r="K91" s="34"/>
      <c r="L91" s="34">
        <f>J91</f>
        <v>1059.41231504256</v>
      </c>
      <c r="M91" s="34"/>
      <c r="N91" s="34"/>
      <c r="O91" s="34"/>
      <c r="P91" s="34"/>
      <c r="Q91" s="34"/>
      <c r="R91" s="34"/>
      <c r="S91" s="34"/>
      <c r="T91" s="34"/>
      <c r="U91" s="34"/>
      <c r="V91" s="34">
        <f>L91</f>
        <v>1059.41231504256</v>
      </c>
      <c r="W91" s="34">
        <v>3</v>
      </c>
      <c r="AG91" s="167"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4" t="s">
        <v>11</v>
      </c>
      <c r="B92" s="34" t="s">
        <v>382</v>
      </c>
      <c r="C92" s="34" t="s">
        <v>382</v>
      </c>
      <c r="D92" s="34"/>
      <c r="E92" s="34">
        <v>494.941546836131</v>
      </c>
      <c r="F92" s="34">
        <f>E92</f>
        <v>494.941546836131</v>
      </c>
      <c r="G92" s="34"/>
      <c r="H92" s="34"/>
      <c r="I92" s="34">
        <f>F92</f>
        <v>494.941546836131</v>
      </c>
      <c r="J92" s="34">
        <f>I92</f>
        <v>494.941546836131</v>
      </c>
      <c r="K92" s="34"/>
      <c r="L92" s="34">
        <f>J92</f>
        <v>494.941546836131</v>
      </c>
      <c r="M92" s="34"/>
      <c r="N92" s="34"/>
      <c r="O92" s="34"/>
      <c r="P92" s="34"/>
      <c r="Q92" s="34"/>
      <c r="R92" s="34"/>
      <c r="S92" s="34"/>
      <c r="T92" s="34"/>
      <c r="U92" s="34"/>
      <c r="V92" s="34">
        <f>L92</f>
        <v>494.941546836131</v>
      </c>
      <c r="W92" s="34">
        <v>3</v>
      </c>
      <c r="AG92" s="167"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4" t="s">
        <v>11</v>
      </c>
      <c r="B93" s="34" t="s">
        <v>383</v>
      </c>
      <c r="C93" s="34" t="s">
        <v>383</v>
      </c>
      <c r="D93" s="34">
        <v>1604.309</v>
      </c>
      <c r="E93" s="34">
        <v>1604.73418519603</v>
      </c>
      <c r="F93" s="34"/>
      <c r="G93" s="34">
        <v>1606.79475804532</v>
      </c>
      <c r="H93" s="34">
        <v>1598.30512648533</v>
      </c>
      <c r="I93" s="34">
        <v>1584.11499631451</v>
      </c>
      <c r="J93" s="34">
        <v>1565.82495876353</v>
      </c>
      <c r="K93" s="34">
        <v>1542.5492553052</v>
      </c>
      <c r="L93" s="34">
        <v>1513.31501966419</v>
      </c>
      <c r="M93" s="34">
        <v>1478.27435603251</v>
      </c>
      <c r="N93" s="34">
        <v>1439.9230005318</v>
      </c>
      <c r="O93" s="34">
        <v>1401.06754765522</v>
      </c>
      <c r="P93" s="34">
        <v>1364.0480345869</v>
      </c>
      <c r="Q93" s="34">
        <v>1329.3130573773</v>
      </c>
      <c r="R93" s="34">
        <v>1295.99924107868</v>
      </c>
      <c r="S93" s="34">
        <v>1264.15245247344</v>
      </c>
      <c r="T93" s="34">
        <v>1234.84805743446</v>
      </c>
      <c r="U93" s="34">
        <v>1208.45701594855</v>
      </c>
      <c r="V93" s="34">
        <v>1184.041969554</v>
      </c>
      <c r="W93" s="34">
        <v>3</v>
      </c>
      <c r="AG93" s="167"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4" t="s">
        <v>11</v>
      </c>
      <c r="B94" s="34" t="s">
        <v>384</v>
      </c>
      <c r="C94" s="34" t="s">
        <v>384</v>
      </c>
      <c r="D94" s="34">
        <v>138.03</v>
      </c>
      <c r="E94" s="34">
        <v>138.066581676353</v>
      </c>
      <c r="F94" s="34"/>
      <c r="G94" s="34">
        <v>138.243867268086</v>
      </c>
      <c r="H94" s="34">
        <v>137.513444485302</v>
      </c>
      <c r="I94" s="34">
        <v>136.292567667009</v>
      </c>
      <c r="J94" s="34">
        <v>134.718946947334</v>
      </c>
      <c r="K94" s="34">
        <v>132.716374283119</v>
      </c>
      <c r="L94" s="34">
        <v>130.201147138268</v>
      </c>
      <c r="M94" s="34">
        <v>127.18635210746</v>
      </c>
      <c r="N94" s="34">
        <v>123.886714942947</v>
      </c>
      <c r="O94" s="34">
        <v>120.54370673159</v>
      </c>
      <c r="P94" s="34">
        <v>117.358657349694</v>
      </c>
      <c r="Q94" s="34">
        <v>114.370162674266</v>
      </c>
      <c r="R94" s="34">
        <v>111.503940479104</v>
      </c>
      <c r="S94" s="34">
        <v>108.763937006468</v>
      </c>
      <c r="T94" s="34">
        <v>106.242673554582</v>
      </c>
      <c r="U94" s="34">
        <v>103.972066423226</v>
      </c>
      <c r="V94" s="34">
        <v>101.871468063533</v>
      </c>
      <c r="W94" s="34">
        <v>3</v>
      </c>
      <c r="AG94" s="167"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4" t="s">
        <v>11</v>
      </c>
      <c r="B95" s="34" t="s">
        <v>385</v>
      </c>
      <c r="C95" s="34" t="s">
        <v>385</v>
      </c>
      <c r="D95" s="34">
        <v>134.54</v>
      </c>
      <c r="E95" s="34">
        <v>134.575656732135</v>
      </c>
      <c r="F95" s="34"/>
      <c r="G95" s="34">
        <v>134.748459771414</v>
      </c>
      <c r="H95" s="34">
        <v>134.036505260107</v>
      </c>
      <c r="I95" s="34">
        <v>132.846497528939</v>
      </c>
      <c r="J95" s="34">
        <v>131.31266479964</v>
      </c>
      <c r="K95" s="34">
        <v>129.360725900535</v>
      </c>
      <c r="L95" s="34">
        <v>126.909094660455</v>
      </c>
      <c r="M95" s="34">
        <v>123.970526787928</v>
      </c>
      <c r="N95" s="34">
        <v>120.754318832312</v>
      </c>
      <c r="O95" s="34">
        <v>117.495836438948</v>
      </c>
      <c r="P95" s="34">
        <v>114.391318987378</v>
      </c>
      <c r="Q95" s="34">
        <v>111.478386482618</v>
      </c>
      <c r="R95" s="34">
        <v>108.684634876901</v>
      </c>
      <c r="S95" s="34">
        <v>106.013910634283</v>
      </c>
      <c r="T95" s="34">
        <v>103.55639571132</v>
      </c>
      <c r="U95" s="34">
        <v>101.343199424624</v>
      </c>
      <c r="V95" s="34">
        <v>99.2957133468648</v>
      </c>
      <c r="W95" s="34">
        <v>3</v>
      </c>
      <c r="AG95" s="167"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4" t="s">
        <v>11</v>
      </c>
      <c r="B96" s="34" t="s">
        <v>386</v>
      </c>
      <c r="C96" s="34" t="s">
        <v>386</v>
      </c>
      <c r="D96" s="34">
        <v>2265.18</v>
      </c>
      <c r="E96" s="34">
        <v>2356.63650889439</v>
      </c>
      <c r="F96" s="34"/>
      <c r="G96" s="34">
        <v>2864.85882333747</v>
      </c>
      <c r="H96" s="34">
        <v>3314.63945189034</v>
      </c>
      <c r="I96" s="34">
        <v>3713.94593218176</v>
      </c>
      <c r="J96" s="34">
        <v>4036.94777009022</v>
      </c>
      <c r="K96" s="34">
        <v>4353.41328289509</v>
      </c>
      <c r="L96" s="34">
        <v>4666.81138811138</v>
      </c>
      <c r="M96" s="34">
        <v>4970.20494638726</v>
      </c>
      <c r="N96" s="34">
        <v>5283.513293256</v>
      </c>
      <c r="O96" s="34">
        <v>5596.60354725042</v>
      </c>
      <c r="P96" s="34">
        <v>5878.8513563106</v>
      </c>
      <c r="Q96" s="34">
        <v>6127.36800440491</v>
      </c>
      <c r="R96" s="34">
        <v>6353.87416532668</v>
      </c>
      <c r="S96" s="34">
        <v>6564.71540805506</v>
      </c>
      <c r="T96" s="34">
        <v>6761.20706420262</v>
      </c>
      <c r="U96" s="34">
        <v>6941.50440837993</v>
      </c>
      <c r="V96" s="34">
        <v>7104.483325142</v>
      </c>
      <c r="W96" s="34">
        <v>3</v>
      </c>
      <c r="AG96" s="167"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4" t="s">
        <v>11</v>
      </c>
      <c r="B97" s="34" t="s">
        <v>388</v>
      </c>
      <c r="C97" s="34" t="s">
        <v>388</v>
      </c>
      <c r="D97" s="34">
        <v>278.8</v>
      </c>
      <c r="E97" s="34">
        <v>290.134175066958</v>
      </c>
      <c r="F97" s="34"/>
      <c r="G97" s="34">
        <v>353.180081627416</v>
      </c>
      <c r="H97" s="34">
        <v>406.370485935307</v>
      </c>
      <c r="I97" s="34">
        <v>451.115067820531</v>
      </c>
      <c r="J97" s="34">
        <v>484.490624453264</v>
      </c>
      <c r="K97" s="34">
        <v>514.430407117449</v>
      </c>
      <c r="L97" s="34">
        <v>540.632530590456</v>
      </c>
      <c r="M97" s="34">
        <v>561.957845641691</v>
      </c>
      <c r="N97" s="34">
        <v>581.271392404899</v>
      </c>
      <c r="O97" s="34">
        <v>598.414614707802</v>
      </c>
      <c r="P97" s="34">
        <v>611.332492264778</v>
      </c>
      <c r="Q97" s="34">
        <v>620.354508639497</v>
      </c>
      <c r="R97" s="34">
        <v>626.590659693518</v>
      </c>
      <c r="S97" s="34">
        <v>630.909928668568</v>
      </c>
      <c r="T97" s="34">
        <v>634.196051981442</v>
      </c>
      <c r="U97" s="34">
        <v>636.703396250273</v>
      </c>
      <c r="V97" s="34">
        <v>638.033805277575</v>
      </c>
      <c r="W97" s="34">
        <v>3</v>
      </c>
      <c r="AG97" s="167"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4" t="s">
        <v>11</v>
      </c>
      <c r="B98" s="34" t="s">
        <v>389</v>
      </c>
      <c r="C98" s="34" t="s">
        <v>389</v>
      </c>
      <c r="D98" s="34">
        <v>375.92</v>
      </c>
      <c r="E98" s="34">
        <v>391.202435764601</v>
      </c>
      <c r="F98" s="34"/>
      <c r="G98" s="34">
        <v>476.210388398057</v>
      </c>
      <c r="H98" s="34">
        <v>547.92967386227</v>
      </c>
      <c r="I98" s="34">
        <v>608.261034057009</v>
      </c>
      <c r="J98" s="34">
        <v>653.262968236984</v>
      </c>
      <c r="K98" s="34">
        <v>693.632276339998</v>
      </c>
      <c r="L98" s="34">
        <v>728.961911404462</v>
      </c>
      <c r="M98" s="34">
        <v>757.715901483588</v>
      </c>
      <c r="N98" s="34">
        <v>783.757323647237</v>
      </c>
      <c r="O98" s="34">
        <v>806.872388669142</v>
      </c>
      <c r="P98" s="34">
        <v>824.290209799768</v>
      </c>
      <c r="Q98" s="34">
        <v>836.455046225824</v>
      </c>
      <c r="R98" s="34">
        <v>844.86356094687</v>
      </c>
      <c r="S98" s="34">
        <v>850.687447579226</v>
      </c>
      <c r="T98" s="34">
        <v>855.118292183872</v>
      </c>
      <c r="U98" s="34">
        <v>858.499070008618</v>
      </c>
      <c r="V98" s="34">
        <v>860.292927116019</v>
      </c>
      <c r="W98" s="34">
        <v>3</v>
      </c>
      <c r="AG98" s="167"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4" t="s">
        <v>12</v>
      </c>
      <c r="B99" s="34" t="s">
        <v>374</v>
      </c>
      <c r="C99" s="34" t="s">
        <v>374</v>
      </c>
      <c r="D99" s="34"/>
      <c r="E99" s="34">
        <v>0.474749727627687</v>
      </c>
      <c r="F99" s="34">
        <f>E99</f>
        <v>0.474749727627687</v>
      </c>
      <c r="G99" s="34"/>
      <c r="H99" s="34"/>
      <c r="I99" s="34">
        <f>F99</f>
        <v>0.474749727627687</v>
      </c>
      <c r="J99" s="34">
        <f>I99</f>
        <v>0.474749727627687</v>
      </c>
      <c r="K99" s="34"/>
      <c r="L99" s="34">
        <f>J99</f>
        <v>0.474749727627687</v>
      </c>
      <c r="M99" s="34"/>
      <c r="N99" s="34"/>
      <c r="O99" s="34"/>
      <c r="P99" s="34"/>
      <c r="Q99" s="34"/>
      <c r="R99" s="34"/>
      <c r="S99" s="34"/>
      <c r="T99" s="34"/>
      <c r="U99" s="34"/>
      <c r="V99" s="34">
        <f>L99</f>
        <v>0.474749727627687</v>
      </c>
      <c r="W99" s="34">
        <v>3</v>
      </c>
      <c r="AG99" s="167"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4" t="s">
        <v>12</v>
      </c>
      <c r="B100" s="34" t="s">
        <v>377</v>
      </c>
      <c r="C100" s="34" t="s">
        <v>377</v>
      </c>
      <c r="D100" s="34"/>
      <c r="E100" s="34">
        <v>9.59652531307715</v>
      </c>
      <c r="F100" s="34">
        <f>E100</f>
        <v>9.59652531307715</v>
      </c>
      <c r="G100" s="34"/>
      <c r="H100" s="34"/>
      <c r="I100" s="34">
        <f>F100</f>
        <v>9.59652531307715</v>
      </c>
      <c r="J100" s="34">
        <f>I100</f>
        <v>9.59652531307715</v>
      </c>
      <c r="K100" s="34"/>
      <c r="L100" s="34">
        <f>J100</f>
        <v>9.59652531307715</v>
      </c>
      <c r="M100" s="34"/>
      <c r="N100" s="34"/>
      <c r="O100" s="34"/>
      <c r="P100" s="34"/>
      <c r="Q100" s="34"/>
      <c r="R100" s="34"/>
      <c r="S100" s="34"/>
      <c r="T100" s="34"/>
      <c r="U100" s="34"/>
      <c r="V100" s="34">
        <f>L100</f>
        <v>9.59652531307715</v>
      </c>
      <c r="W100" s="34">
        <v>3</v>
      </c>
      <c r="AG100" s="167"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4" t="s">
        <v>12</v>
      </c>
      <c r="B101" s="34" t="s">
        <v>378</v>
      </c>
      <c r="C101" s="34" t="s">
        <v>378</v>
      </c>
      <c r="D101" s="34"/>
      <c r="E101" s="34">
        <v>1.00929896141801</v>
      </c>
      <c r="F101" s="34"/>
      <c r="G101" s="34"/>
      <c r="H101" s="34"/>
      <c r="I101" s="34">
        <v>1.41658801405982</v>
      </c>
      <c r="J101" s="34">
        <v>1.47448946544171</v>
      </c>
      <c r="K101" s="34"/>
      <c r="L101" s="34">
        <v>1.54503579850711</v>
      </c>
      <c r="M101" s="34"/>
      <c r="N101" s="34"/>
      <c r="O101" s="34"/>
      <c r="P101" s="34"/>
      <c r="Q101" s="34"/>
      <c r="R101" s="34"/>
      <c r="S101" s="34"/>
      <c r="T101" s="34"/>
      <c r="U101" s="34"/>
      <c r="V101" s="34">
        <v>1.74630995498665</v>
      </c>
      <c r="W101" s="34">
        <v>3</v>
      </c>
      <c r="AG101" s="167"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4" t="s">
        <v>12</v>
      </c>
      <c r="B102" s="34" t="s">
        <v>379</v>
      </c>
      <c r="C102" s="34" t="s">
        <v>379</v>
      </c>
      <c r="D102" s="34"/>
      <c r="E102" s="34">
        <v>1.58463004706926</v>
      </c>
      <c r="F102" s="34"/>
      <c r="G102" s="34"/>
      <c r="H102" s="34"/>
      <c r="I102" s="34">
        <v>1.50167208679505</v>
      </c>
      <c r="J102" s="34">
        <v>1.47566951737528</v>
      </c>
      <c r="K102" s="34"/>
      <c r="L102" s="34">
        <v>1.42900847026344</v>
      </c>
      <c r="M102" s="34"/>
      <c r="N102" s="34"/>
      <c r="O102" s="34"/>
      <c r="P102" s="34"/>
      <c r="Q102" s="34"/>
      <c r="R102" s="34"/>
      <c r="S102" s="34"/>
      <c r="T102" s="34"/>
      <c r="U102" s="34"/>
      <c r="V102" s="34">
        <v>1.25848141112579</v>
      </c>
      <c r="W102" s="34">
        <v>3</v>
      </c>
      <c r="AG102" s="167"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4" t="s">
        <v>12</v>
      </c>
      <c r="B103" s="34" t="s">
        <v>381</v>
      </c>
      <c r="C103" s="34" t="s">
        <v>381</v>
      </c>
      <c r="D103" s="34"/>
      <c r="E103" s="34">
        <v>2.11971648311455</v>
      </c>
      <c r="F103" s="34">
        <f>E103</f>
        <v>2.11971648311455</v>
      </c>
      <c r="G103" s="34"/>
      <c r="H103" s="34"/>
      <c r="I103" s="34">
        <f>F103</f>
        <v>2.11971648311455</v>
      </c>
      <c r="J103" s="34">
        <f>I103</f>
        <v>2.11971648311455</v>
      </c>
      <c r="K103" s="34"/>
      <c r="L103" s="34">
        <f>J103</f>
        <v>2.11971648311455</v>
      </c>
      <c r="M103" s="34"/>
      <c r="N103" s="34"/>
      <c r="O103" s="34"/>
      <c r="P103" s="34"/>
      <c r="Q103" s="34"/>
      <c r="R103" s="34"/>
      <c r="S103" s="34"/>
      <c r="T103" s="34"/>
      <c r="U103" s="34"/>
      <c r="V103" s="34">
        <f>L103</f>
        <v>2.11971648311455</v>
      </c>
      <c r="W103" s="34">
        <v>3</v>
      </c>
      <c r="AG103" s="167"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4" t="s">
        <v>12</v>
      </c>
      <c r="B104" s="34" t="s">
        <v>382</v>
      </c>
      <c r="C104" s="34" t="s">
        <v>382</v>
      </c>
      <c r="D104" s="34"/>
      <c r="E104" s="34">
        <v>8.94049211840846</v>
      </c>
      <c r="F104" s="34">
        <f>E104</f>
        <v>8.94049211840846</v>
      </c>
      <c r="G104" s="34"/>
      <c r="H104" s="34"/>
      <c r="I104" s="34">
        <f>F104</f>
        <v>8.94049211840846</v>
      </c>
      <c r="J104" s="34">
        <f>I104</f>
        <v>8.94049211840846</v>
      </c>
      <c r="K104" s="34"/>
      <c r="L104" s="34">
        <f>J104</f>
        <v>8.94049211840846</v>
      </c>
      <c r="M104" s="34"/>
      <c r="N104" s="34"/>
      <c r="O104" s="34"/>
      <c r="P104" s="34"/>
      <c r="Q104" s="34"/>
      <c r="R104" s="34"/>
      <c r="S104" s="34"/>
      <c r="T104" s="34"/>
      <c r="U104" s="34"/>
      <c r="V104" s="34">
        <f>L104</f>
        <v>8.94049211840846</v>
      </c>
      <c r="W104" s="34">
        <v>3</v>
      </c>
      <c r="AG104" s="167"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4" t="s">
        <v>12</v>
      </c>
      <c r="B105" s="34" t="s">
        <v>383</v>
      </c>
      <c r="C105" s="34" t="s">
        <v>383</v>
      </c>
      <c r="D105" s="34">
        <v>0.504</v>
      </c>
      <c r="E105" s="34">
        <v>0.50225309228261</v>
      </c>
      <c r="F105" s="34"/>
      <c r="G105" s="34">
        <v>0.493644509405803</v>
      </c>
      <c r="H105" s="34">
        <v>0.484637376532017</v>
      </c>
      <c r="I105" s="34">
        <v>0.475959326015691</v>
      </c>
      <c r="J105" s="34">
        <v>0.467717736174244</v>
      </c>
      <c r="K105" s="34">
        <v>0.460049496056039</v>
      </c>
      <c r="L105" s="34">
        <v>0.452928381873909</v>
      </c>
      <c r="M105" s="34">
        <v>0.446222693691771</v>
      </c>
      <c r="N105" s="34">
        <v>0.439974927636424</v>
      </c>
      <c r="O105" s="34">
        <v>0.434049355975938</v>
      </c>
      <c r="P105" s="34">
        <v>0.428411794634936</v>
      </c>
      <c r="Q105" s="34">
        <v>0.422972465515959</v>
      </c>
      <c r="R105" s="34">
        <v>0.417751631496905</v>
      </c>
      <c r="S105" s="34">
        <v>0.412786474426179</v>
      </c>
      <c r="T105" s="34">
        <v>0.408077090432723</v>
      </c>
      <c r="U105" s="34">
        <v>0.403499702181505</v>
      </c>
      <c r="V105" s="34">
        <v>0.398879335581905</v>
      </c>
      <c r="W105" s="34">
        <v>3</v>
      </c>
      <c r="AG105" s="167"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4" t="s">
        <v>12</v>
      </c>
      <c r="B106" s="34" t="s">
        <v>384</v>
      </c>
      <c r="C106" s="34" t="s">
        <v>384</v>
      </c>
      <c r="D106" s="34">
        <v>0.105</v>
      </c>
      <c r="E106" s="34">
        <v>0.10463606089221</v>
      </c>
      <c r="F106" s="34"/>
      <c r="G106" s="34">
        <v>0.102842606126209</v>
      </c>
      <c r="H106" s="34">
        <v>0.100966120110837</v>
      </c>
      <c r="I106" s="34">
        <v>0.0991581929199356</v>
      </c>
      <c r="J106" s="34">
        <v>0.0974411950363009</v>
      </c>
      <c r="K106" s="34">
        <v>0.0958436450116748</v>
      </c>
      <c r="L106" s="34">
        <v>0.0943600795570643</v>
      </c>
      <c r="M106" s="34">
        <v>0.0929630611857857</v>
      </c>
      <c r="N106" s="34">
        <v>0.0916614432575883</v>
      </c>
      <c r="O106" s="34">
        <v>0.0904269491616537</v>
      </c>
      <c r="P106" s="34">
        <v>0.0892524572156116</v>
      </c>
      <c r="Q106" s="34">
        <v>0.0881192636491582</v>
      </c>
      <c r="R106" s="34">
        <v>0.0870315898951886</v>
      </c>
      <c r="S106" s="34">
        <v>0.0859971821721206</v>
      </c>
      <c r="T106" s="34">
        <v>0.0850160605068174</v>
      </c>
      <c r="U106" s="34">
        <v>0.0840624379544803</v>
      </c>
      <c r="V106" s="34">
        <v>0.0830998615795636</v>
      </c>
      <c r="W106" s="34">
        <v>3</v>
      </c>
      <c r="AG106" s="167"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4" t="s">
        <v>12</v>
      </c>
      <c r="B107" s="34" t="s">
        <v>385</v>
      </c>
      <c r="C107" s="34" t="s">
        <v>385</v>
      </c>
      <c r="D107" s="34">
        <v>0.805</v>
      </c>
      <c r="E107" s="34">
        <v>0.802209800173612</v>
      </c>
      <c r="F107" s="34"/>
      <c r="G107" s="34">
        <v>0.788459980300935</v>
      </c>
      <c r="H107" s="34">
        <v>0.774073587516416</v>
      </c>
      <c r="I107" s="34">
        <v>0.760212812386173</v>
      </c>
      <c r="J107" s="34">
        <v>0.747049161944973</v>
      </c>
      <c r="K107" s="34">
        <v>0.73480127842284</v>
      </c>
      <c r="L107" s="34">
        <v>0.72342727660416</v>
      </c>
      <c r="M107" s="34">
        <v>0.712716802424357</v>
      </c>
      <c r="N107" s="34">
        <v>0.702737731641511</v>
      </c>
      <c r="O107" s="34">
        <v>0.693273276906012</v>
      </c>
      <c r="P107" s="34">
        <v>0.684268838653022</v>
      </c>
      <c r="Q107" s="34">
        <v>0.675581021310213</v>
      </c>
      <c r="R107" s="34">
        <v>0.667242189196446</v>
      </c>
      <c r="S107" s="34">
        <v>0.659311729986258</v>
      </c>
      <c r="T107" s="34">
        <v>0.651789797218933</v>
      </c>
      <c r="U107" s="34">
        <v>0.644478690984349</v>
      </c>
      <c r="V107" s="34">
        <v>0.637098938776654</v>
      </c>
      <c r="W107" s="34">
        <v>3</v>
      </c>
      <c r="AG107" s="167"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4" t="s">
        <v>12</v>
      </c>
      <c r="B108" s="34" t="s">
        <v>386</v>
      </c>
      <c r="C108" s="34" t="s">
        <v>386</v>
      </c>
      <c r="D108" s="34">
        <v>29.832</v>
      </c>
      <c r="E108" s="34">
        <v>30.2595718104059</v>
      </c>
      <c r="F108" s="34"/>
      <c r="G108" s="34">
        <v>36.8536128709613</v>
      </c>
      <c r="H108" s="34">
        <v>41.4112272628376</v>
      </c>
      <c r="I108" s="34">
        <v>44.9018127908655</v>
      </c>
      <c r="J108" s="34">
        <v>47.5764849769605</v>
      </c>
      <c r="K108" s="34">
        <v>49.669961079823</v>
      </c>
      <c r="L108" s="34">
        <v>51.504502610094</v>
      </c>
      <c r="M108" s="34">
        <v>53.1983071427684</v>
      </c>
      <c r="N108" s="34">
        <v>54.8549140297763</v>
      </c>
      <c r="O108" s="34">
        <v>56.4759739288029</v>
      </c>
      <c r="P108" s="34">
        <v>58.0293600549186</v>
      </c>
      <c r="Q108" s="34">
        <v>59.5030987542138</v>
      </c>
      <c r="R108" s="34">
        <v>60.8902398682705</v>
      </c>
      <c r="S108" s="34">
        <v>62.2271514370812</v>
      </c>
      <c r="T108" s="34">
        <v>63.5477211982189</v>
      </c>
      <c r="U108" s="34">
        <v>64.8752191072002</v>
      </c>
      <c r="V108" s="34">
        <v>66.2103072685237</v>
      </c>
      <c r="W108" s="34">
        <v>3</v>
      </c>
      <c r="AG108" s="167"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4" t="s">
        <v>12</v>
      </c>
      <c r="B109" s="34" t="s">
        <v>388</v>
      </c>
      <c r="C109" s="34" t="s">
        <v>388</v>
      </c>
      <c r="D109" s="34">
        <v>10.8</v>
      </c>
      <c r="E109" s="34">
        <v>10.9166862469608</v>
      </c>
      <c r="F109" s="34"/>
      <c r="G109" s="34">
        <v>13.0565763875619</v>
      </c>
      <c r="H109" s="34">
        <v>14.3949197527713</v>
      </c>
      <c r="I109" s="34">
        <v>15.3219684967966</v>
      </c>
      <c r="J109" s="34">
        <v>15.9482368297112</v>
      </c>
      <c r="K109" s="34">
        <v>16.3729049107048</v>
      </c>
      <c r="L109" s="34">
        <v>16.7112735645025</v>
      </c>
      <c r="M109" s="34">
        <v>17.002011292632</v>
      </c>
      <c r="N109" s="34">
        <v>17.2828147453514</v>
      </c>
      <c r="O109" s="34">
        <v>17.5507827693584</v>
      </c>
      <c r="P109" s="34">
        <v>17.7962779688508</v>
      </c>
      <c r="Q109" s="34">
        <v>18.013627904993</v>
      </c>
      <c r="R109" s="34">
        <v>18.2032428753288</v>
      </c>
      <c r="S109" s="34">
        <v>18.3791101614037</v>
      </c>
      <c r="T109" s="34">
        <v>18.5523445519189</v>
      </c>
      <c r="U109" s="34">
        <v>18.7247004182221</v>
      </c>
      <c r="V109" s="34">
        <v>18.8882765139772</v>
      </c>
      <c r="W109" s="34">
        <v>3</v>
      </c>
      <c r="AG109" s="167"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4" t="s">
        <v>12</v>
      </c>
      <c r="B110" s="34" t="s">
        <v>389</v>
      </c>
      <c r="C110" s="34" t="s">
        <v>389</v>
      </c>
      <c r="D110" s="34">
        <v>7.16</v>
      </c>
      <c r="E110" s="34">
        <v>7.23735866002214</v>
      </c>
      <c r="F110" s="34"/>
      <c r="G110" s="34">
        <v>8.65602656805028</v>
      </c>
      <c r="H110" s="34">
        <v>9.54329865091136</v>
      </c>
      <c r="I110" s="34">
        <v>10.1578976330614</v>
      </c>
      <c r="J110" s="34">
        <v>10.5730903426604</v>
      </c>
      <c r="K110" s="34">
        <v>10.8546295519117</v>
      </c>
      <c r="L110" s="34">
        <v>11.0789554372072</v>
      </c>
      <c r="M110" s="34">
        <v>11.271703782893</v>
      </c>
      <c r="N110" s="34">
        <v>11.4578660719182</v>
      </c>
      <c r="O110" s="34">
        <v>11.6355189470931</v>
      </c>
      <c r="P110" s="34">
        <v>11.7982731719418</v>
      </c>
      <c r="Q110" s="34">
        <v>11.9423681296065</v>
      </c>
      <c r="R110" s="34">
        <v>12.0680758321624</v>
      </c>
      <c r="S110" s="34">
        <v>12.1846693292269</v>
      </c>
      <c r="T110" s="34">
        <v>12.29951731405</v>
      </c>
      <c r="U110" s="34">
        <v>12.4137828698584</v>
      </c>
      <c r="V110" s="34">
        <v>12.5222277629701</v>
      </c>
      <c r="W110" s="34">
        <v>3</v>
      </c>
      <c r="AG110" s="167"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4" t="s">
        <v>13</v>
      </c>
      <c r="B111" s="34" t="s">
        <v>374</v>
      </c>
      <c r="C111" s="34" t="s">
        <v>374</v>
      </c>
      <c r="D111" s="34"/>
      <c r="E111" s="34">
        <v>2.00560851222116</v>
      </c>
      <c r="F111" s="34">
        <f>E111</f>
        <v>2.00560851222116</v>
      </c>
      <c r="G111" s="34"/>
      <c r="H111" s="34"/>
      <c r="I111" s="34">
        <f>F111</f>
        <v>2.00560851222116</v>
      </c>
      <c r="J111" s="34">
        <f>I111</f>
        <v>2.00560851222116</v>
      </c>
      <c r="K111" s="34"/>
      <c r="L111" s="34">
        <f>J111</f>
        <v>2.00560851222116</v>
      </c>
      <c r="M111" s="34"/>
      <c r="N111" s="34"/>
      <c r="O111" s="34"/>
      <c r="P111" s="34"/>
      <c r="Q111" s="34"/>
      <c r="R111" s="34"/>
      <c r="S111" s="34"/>
      <c r="T111" s="34"/>
      <c r="U111" s="34"/>
      <c r="V111" s="34">
        <f>L111</f>
        <v>2.00560851222116</v>
      </c>
      <c r="W111" s="34">
        <v>3</v>
      </c>
      <c r="AG111" s="167"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4" t="s">
        <v>13</v>
      </c>
      <c r="B112" s="34" t="s">
        <v>377</v>
      </c>
      <c r="C112" s="34" t="s">
        <v>377</v>
      </c>
      <c r="D112" s="34"/>
      <c r="E112" s="34">
        <v>19.5468221264771</v>
      </c>
      <c r="F112" s="34">
        <f>E112</f>
        <v>19.5468221264771</v>
      </c>
      <c r="G112" s="34"/>
      <c r="H112" s="34"/>
      <c r="I112" s="34">
        <f>F112</f>
        <v>19.5468221264771</v>
      </c>
      <c r="J112" s="34">
        <f>I112</f>
        <v>19.5468221264771</v>
      </c>
      <c r="K112" s="34"/>
      <c r="L112" s="34">
        <f>J112</f>
        <v>19.5468221264771</v>
      </c>
      <c r="M112" s="34"/>
      <c r="N112" s="34"/>
      <c r="O112" s="34"/>
      <c r="P112" s="34"/>
      <c r="Q112" s="34"/>
      <c r="R112" s="34"/>
      <c r="S112" s="34"/>
      <c r="T112" s="34"/>
      <c r="U112" s="34"/>
      <c r="V112" s="34">
        <f>L112</f>
        <v>19.5468221264771</v>
      </c>
      <c r="W112" s="34">
        <v>3</v>
      </c>
      <c r="AG112" s="167"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4" t="s">
        <v>13</v>
      </c>
      <c r="B113" s="34" t="s">
        <v>378</v>
      </c>
      <c r="C113" s="34" t="s">
        <v>378</v>
      </c>
      <c r="D113" s="34"/>
      <c r="E113" s="34">
        <v>3.92497340838634</v>
      </c>
      <c r="F113" s="34"/>
      <c r="G113" s="34"/>
      <c r="H113" s="34"/>
      <c r="I113" s="34">
        <v>4.83125377216984</v>
      </c>
      <c r="J113" s="34">
        <v>5.09671332771343</v>
      </c>
      <c r="K113" s="34"/>
      <c r="L113" s="34">
        <v>5.5506826861402</v>
      </c>
      <c r="M113" s="34"/>
      <c r="N113" s="34"/>
      <c r="O113" s="34"/>
      <c r="P113" s="34"/>
      <c r="Q113" s="34"/>
      <c r="R113" s="34"/>
      <c r="S113" s="34"/>
      <c r="T113" s="34"/>
      <c r="U113" s="34"/>
      <c r="V113" s="34">
        <v>7.01327729505485</v>
      </c>
      <c r="W113" s="34">
        <v>3</v>
      </c>
      <c r="AG113" s="167"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4" t="s">
        <v>13</v>
      </c>
      <c r="B114" s="34" t="s">
        <v>379</v>
      </c>
      <c r="C114" s="34" t="s">
        <v>379</v>
      </c>
      <c r="D114" s="34"/>
      <c r="E114" s="34">
        <v>7.10295902802551</v>
      </c>
      <c r="F114" s="34"/>
      <c r="G114" s="34"/>
      <c r="H114" s="34"/>
      <c r="I114" s="34">
        <v>7.09434671357223</v>
      </c>
      <c r="J114" s="34">
        <v>7.02400495859201</v>
      </c>
      <c r="K114" s="34"/>
      <c r="L114" s="34">
        <v>6.91840009341947</v>
      </c>
      <c r="M114" s="34"/>
      <c r="N114" s="34"/>
      <c r="O114" s="34"/>
      <c r="P114" s="34"/>
      <c r="Q114" s="34"/>
      <c r="R114" s="34"/>
      <c r="S114" s="34"/>
      <c r="T114" s="34"/>
      <c r="U114" s="34"/>
      <c r="V114" s="34">
        <v>6.28230153212521</v>
      </c>
      <c r="W114" s="34">
        <v>3</v>
      </c>
      <c r="AG114" s="167"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4" t="s">
        <v>13</v>
      </c>
      <c r="B115" s="34" t="s">
        <v>381</v>
      </c>
      <c r="C115" s="34" t="s">
        <v>381</v>
      </c>
      <c r="D115" s="34"/>
      <c r="E115" s="34">
        <v>0.215645069999914</v>
      </c>
      <c r="F115" s="34">
        <f>E115</f>
        <v>0.215645069999914</v>
      </c>
      <c r="G115" s="34"/>
      <c r="H115" s="34"/>
      <c r="I115" s="34">
        <f>F115</f>
        <v>0.215645069999914</v>
      </c>
      <c r="J115" s="34">
        <f>I115</f>
        <v>0.215645069999914</v>
      </c>
      <c r="K115" s="34"/>
      <c r="L115" s="34">
        <f>J115</f>
        <v>0.215645069999914</v>
      </c>
      <c r="M115" s="34"/>
      <c r="N115" s="34"/>
      <c r="O115" s="34"/>
      <c r="P115" s="34"/>
      <c r="Q115" s="34"/>
      <c r="R115" s="34"/>
      <c r="S115" s="34"/>
      <c r="T115" s="34"/>
      <c r="U115" s="34"/>
      <c r="V115" s="34">
        <f>L115</f>
        <v>0.215645069999914</v>
      </c>
      <c r="W115" s="34">
        <v>3</v>
      </c>
      <c r="AG115" s="167"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4" t="s">
        <v>13</v>
      </c>
      <c r="B116" s="34" t="s">
        <v>382</v>
      </c>
      <c r="C116" s="34" t="s">
        <v>382</v>
      </c>
      <c r="D116" s="34"/>
      <c r="E116" s="34">
        <v>0</v>
      </c>
      <c r="F116" s="34">
        <f>E116</f>
        <v>0</v>
      </c>
      <c r="G116" s="34"/>
      <c r="H116" s="34"/>
      <c r="I116" s="34">
        <f>F116</f>
        <v>0</v>
      </c>
      <c r="J116" s="34">
        <f>I116</f>
        <v>0</v>
      </c>
      <c r="K116" s="34"/>
      <c r="L116" s="34">
        <f>J116</f>
        <v>0</v>
      </c>
      <c r="M116" s="34"/>
      <c r="N116" s="34"/>
      <c r="O116" s="34"/>
      <c r="P116" s="34"/>
      <c r="Q116" s="34"/>
      <c r="R116" s="34"/>
      <c r="S116" s="34"/>
      <c r="T116" s="34"/>
      <c r="U116" s="34"/>
      <c r="V116" s="34">
        <f>L116</f>
        <v>0</v>
      </c>
      <c r="W116" s="34">
        <v>3</v>
      </c>
      <c r="AG116" s="167"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4" t="s">
        <v>13</v>
      </c>
      <c r="B117" s="34" t="s">
        <v>383</v>
      </c>
      <c r="C117" s="34" t="s">
        <v>383</v>
      </c>
      <c r="D117" s="34">
        <v>1.19</v>
      </c>
      <c r="E117" s="34">
        <v>1.1942577755453</v>
      </c>
      <c r="F117" s="34"/>
      <c r="G117" s="34">
        <v>1.21520218204028</v>
      </c>
      <c r="H117" s="34">
        <v>1.20507657786012</v>
      </c>
      <c r="I117" s="34">
        <v>1.19280974192147</v>
      </c>
      <c r="J117" s="34">
        <v>1.18098281352457</v>
      </c>
      <c r="K117" s="34">
        <v>1.17121487227188</v>
      </c>
      <c r="L117" s="34">
        <v>1.16322691336097</v>
      </c>
      <c r="M117" s="34">
        <v>1.15546859798829</v>
      </c>
      <c r="N117" s="34">
        <v>1.14623767939974</v>
      </c>
      <c r="O117" s="34">
        <v>1.13425850086634</v>
      </c>
      <c r="P117" s="34">
        <v>1.12017183548844</v>
      </c>
      <c r="Q117" s="34">
        <v>1.10582964486629</v>
      </c>
      <c r="R117" s="34">
        <v>1.09293608326769</v>
      </c>
      <c r="S117" s="34">
        <v>1.08203795879434</v>
      </c>
      <c r="T117" s="34">
        <v>1.0727231320499</v>
      </c>
      <c r="U117" s="34">
        <v>1.06443327658127</v>
      </c>
      <c r="V117" s="34">
        <v>1.05627632419926</v>
      </c>
      <c r="W117" s="34">
        <v>3</v>
      </c>
      <c r="AG117" s="167"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4" t="s">
        <v>13</v>
      </c>
      <c r="B118" s="34" t="s">
        <v>384</v>
      </c>
      <c r="C118" s="34" t="s">
        <v>384</v>
      </c>
      <c r="D118" s="34">
        <v>0.24</v>
      </c>
      <c r="E118" s="34">
        <v>0.240858711034347</v>
      </c>
      <c r="F118" s="34"/>
      <c r="G118" s="34">
        <v>0.245082793016527</v>
      </c>
      <c r="H118" s="34">
        <v>0.243040654358344</v>
      </c>
      <c r="I118" s="34">
        <v>0.240566670639625</v>
      </c>
      <c r="J118" s="34">
        <v>0.23818140776966</v>
      </c>
      <c r="K118" s="34">
        <v>0.236211402811135</v>
      </c>
      <c r="L118" s="34">
        <v>0.234600385887927</v>
      </c>
      <c r="M118" s="34">
        <v>0.233035683627891</v>
      </c>
      <c r="N118" s="34">
        <v>0.231173985761291</v>
      </c>
      <c r="O118" s="34">
        <v>0.228758016981447</v>
      </c>
      <c r="P118" s="34">
        <v>0.225917008838005</v>
      </c>
      <c r="Q118" s="34">
        <v>0.22302446619152</v>
      </c>
      <c r="R118" s="34">
        <v>0.220424084020375</v>
      </c>
      <c r="S118" s="34">
        <v>0.218226142950119</v>
      </c>
      <c r="T118" s="34">
        <v>0.216347522430231</v>
      </c>
      <c r="U118" s="34">
        <v>0.214675618806306</v>
      </c>
      <c r="V118" s="34">
        <v>0.213030519166237</v>
      </c>
      <c r="W118" s="34">
        <v>3</v>
      </c>
      <c r="AG118" s="167"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4" t="s">
        <v>13</v>
      </c>
      <c r="B119" s="34" t="s">
        <v>385</v>
      </c>
      <c r="C119" s="34" t="s">
        <v>385</v>
      </c>
      <c r="D119" s="34">
        <v>1.995</v>
      </c>
      <c r="E119" s="34">
        <v>2.00213803547301</v>
      </c>
      <c r="F119" s="34"/>
      <c r="G119" s="34">
        <v>2.03725071694988</v>
      </c>
      <c r="H119" s="34">
        <v>2.02027543935373</v>
      </c>
      <c r="I119" s="34">
        <v>1.99971044969188</v>
      </c>
      <c r="J119" s="34">
        <v>1.9798829520853</v>
      </c>
      <c r="K119" s="34">
        <v>1.96350728586756</v>
      </c>
      <c r="L119" s="34">
        <v>1.95011570769339</v>
      </c>
      <c r="M119" s="34">
        <v>1.93710912015685</v>
      </c>
      <c r="N119" s="34">
        <v>1.92163375664073</v>
      </c>
      <c r="O119" s="34">
        <v>1.90155101615827</v>
      </c>
      <c r="P119" s="34">
        <v>1.87793513596592</v>
      </c>
      <c r="Q119" s="34">
        <v>1.85389087521701</v>
      </c>
      <c r="R119" s="34">
        <v>1.83227519841936</v>
      </c>
      <c r="S119" s="34">
        <v>1.81400481327287</v>
      </c>
      <c r="T119" s="34">
        <v>1.7983887802013</v>
      </c>
      <c r="U119" s="34">
        <v>1.78449108132742</v>
      </c>
      <c r="V119" s="34">
        <v>1.77081619056934</v>
      </c>
      <c r="W119" s="34">
        <v>3</v>
      </c>
      <c r="AG119" s="167"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4" t="s">
        <v>13</v>
      </c>
      <c r="B120" s="34" t="s">
        <v>386</v>
      </c>
      <c r="C120" s="34" t="s">
        <v>386</v>
      </c>
      <c r="D120" s="34">
        <v>66.732</v>
      </c>
      <c r="E120" s="34">
        <v>67.319522651914</v>
      </c>
      <c r="F120" s="34"/>
      <c r="G120" s="34">
        <v>71.5498538704285</v>
      </c>
      <c r="H120" s="34">
        <v>77.3168577806685</v>
      </c>
      <c r="I120" s="34">
        <v>82.9746937037038</v>
      </c>
      <c r="J120" s="34">
        <v>88.4287778865639</v>
      </c>
      <c r="K120" s="34">
        <v>93.3157136922764</v>
      </c>
      <c r="L120" s="34">
        <v>97.8022503943406</v>
      </c>
      <c r="M120" s="34">
        <v>102.240246892509</v>
      </c>
      <c r="N120" s="34">
        <v>106.66599043192</v>
      </c>
      <c r="O120" s="34">
        <v>111.281841655096</v>
      </c>
      <c r="P120" s="34">
        <v>115.88952134692</v>
      </c>
      <c r="Q120" s="34">
        <v>120.208602110223</v>
      </c>
      <c r="R120" s="34">
        <v>124.094514876352</v>
      </c>
      <c r="S120" s="34">
        <v>127.559365229034</v>
      </c>
      <c r="T120" s="34">
        <v>130.707247794221</v>
      </c>
      <c r="U120" s="34">
        <v>133.619326609121</v>
      </c>
      <c r="V120" s="34">
        <v>136.306650577676</v>
      </c>
      <c r="W120" s="34">
        <v>3</v>
      </c>
      <c r="AG120" s="167"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4" t="s">
        <v>13</v>
      </c>
      <c r="B121" s="34" t="s">
        <v>388</v>
      </c>
      <c r="C121" s="34" t="s">
        <v>388</v>
      </c>
      <c r="D121" s="34">
        <v>23.5</v>
      </c>
      <c r="E121" s="34">
        <v>23.7919092717218</v>
      </c>
      <c r="F121" s="34"/>
      <c r="G121" s="34">
        <v>25.7376216258041</v>
      </c>
      <c r="H121" s="34">
        <v>27.5752908011259</v>
      </c>
      <c r="I121" s="34">
        <v>29.2854853922145</v>
      </c>
      <c r="J121" s="34">
        <v>30.8946146788766</v>
      </c>
      <c r="K121" s="34">
        <v>32.3272754243379</v>
      </c>
      <c r="L121" s="34">
        <v>33.6464289369692</v>
      </c>
      <c r="M121" s="34">
        <v>34.9345030584611</v>
      </c>
      <c r="N121" s="34">
        <v>36.1503900023166</v>
      </c>
      <c r="O121" s="34">
        <v>37.3131743133816</v>
      </c>
      <c r="P121" s="34">
        <v>38.3663164807832</v>
      </c>
      <c r="Q121" s="34">
        <v>39.2773293559452</v>
      </c>
      <c r="R121" s="34">
        <v>40.0662898028728</v>
      </c>
      <c r="S121" s="34">
        <v>40.7679672994149</v>
      </c>
      <c r="T121" s="34">
        <v>41.4092182328618</v>
      </c>
      <c r="U121" s="34">
        <v>42.0001459827273</v>
      </c>
      <c r="V121" s="34">
        <v>42.5122006546209</v>
      </c>
      <c r="W121" s="34">
        <v>3</v>
      </c>
      <c r="AG121" s="167"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4" t="s">
        <v>13</v>
      </c>
      <c r="B122" s="34" t="s">
        <v>389</v>
      </c>
      <c r="C122" s="34" t="s">
        <v>389</v>
      </c>
      <c r="D122" s="34">
        <v>14.96</v>
      </c>
      <c r="E122" s="34">
        <v>15.145828200211</v>
      </c>
      <c r="F122" s="34"/>
      <c r="G122" s="34">
        <v>16.3844604051928</v>
      </c>
      <c r="H122" s="34">
        <v>17.5543127823338</v>
      </c>
      <c r="I122" s="34">
        <v>18.643015381597</v>
      </c>
      <c r="J122" s="34">
        <v>19.6673802381274</v>
      </c>
      <c r="K122" s="34">
        <v>20.5794059722594</v>
      </c>
      <c r="L122" s="34">
        <v>21.4191734849812</v>
      </c>
      <c r="M122" s="34">
        <v>22.2391559895565</v>
      </c>
      <c r="N122" s="34">
        <v>23.0131844440279</v>
      </c>
      <c r="O122" s="34">
        <v>23.7534079884336</v>
      </c>
      <c r="P122" s="34">
        <v>24.4238338107454</v>
      </c>
      <c r="Q122" s="34">
        <v>25.003780730423</v>
      </c>
      <c r="R122" s="34">
        <v>25.5060295936586</v>
      </c>
      <c r="S122" s="34">
        <v>25.9527145020956</v>
      </c>
      <c r="T122" s="34">
        <v>26.3609321176005</v>
      </c>
      <c r="U122" s="34">
        <v>26.7371142085788</v>
      </c>
      <c r="V122" s="34">
        <v>27.0630860337502</v>
      </c>
      <c r="W122" s="34">
        <v>3</v>
      </c>
      <c r="AG122" s="167"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4" t="s">
        <v>14</v>
      </c>
      <c r="B123" s="34" t="s">
        <v>374</v>
      </c>
      <c r="C123" s="34" t="s">
        <v>374</v>
      </c>
      <c r="D123" s="34"/>
      <c r="E123" s="34">
        <v>67.7006244221446</v>
      </c>
      <c r="F123" s="34">
        <f>E123</f>
        <v>67.7006244221446</v>
      </c>
      <c r="G123" s="34"/>
      <c r="H123" s="34"/>
      <c r="I123" s="34">
        <f>F123</f>
        <v>67.7006244221446</v>
      </c>
      <c r="J123" s="34">
        <f>I123</f>
        <v>67.7006244221446</v>
      </c>
      <c r="K123" s="34"/>
      <c r="L123" s="34">
        <f>J123</f>
        <v>67.7006244221446</v>
      </c>
      <c r="M123" s="34"/>
      <c r="N123" s="34"/>
      <c r="O123" s="34"/>
      <c r="P123" s="34"/>
      <c r="Q123" s="34"/>
      <c r="R123" s="34"/>
      <c r="S123" s="34"/>
      <c r="T123" s="34"/>
      <c r="U123" s="34"/>
      <c r="V123" s="34">
        <f>L123</f>
        <v>67.7006244221446</v>
      </c>
      <c r="W123" s="34">
        <v>3</v>
      </c>
      <c r="AG123" s="167"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4" t="s">
        <v>14</v>
      </c>
      <c r="B124" s="34" t="s">
        <v>377</v>
      </c>
      <c r="C124" s="34" t="s">
        <v>377</v>
      </c>
      <c r="D124" s="34"/>
      <c r="E124" s="34">
        <v>259.667818336121</v>
      </c>
      <c r="F124" s="34">
        <f>E124</f>
        <v>259.667818336121</v>
      </c>
      <c r="G124" s="34"/>
      <c r="H124" s="34"/>
      <c r="I124" s="34">
        <f>F124</f>
        <v>259.667818336121</v>
      </c>
      <c r="J124" s="34">
        <f>I124</f>
        <v>259.667818336121</v>
      </c>
      <c r="K124" s="34"/>
      <c r="L124" s="34">
        <f>J124</f>
        <v>259.667818336121</v>
      </c>
      <c r="M124" s="34"/>
      <c r="N124" s="34"/>
      <c r="O124" s="34"/>
      <c r="P124" s="34"/>
      <c r="Q124" s="34"/>
      <c r="R124" s="34"/>
      <c r="S124" s="34"/>
      <c r="T124" s="34"/>
      <c r="U124" s="34"/>
      <c r="V124" s="34">
        <f>L124</f>
        <v>259.667818336121</v>
      </c>
      <c r="W124" s="34">
        <v>3</v>
      </c>
      <c r="AG124" s="167"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4" t="s">
        <v>14</v>
      </c>
      <c r="B125" s="34" t="s">
        <v>378</v>
      </c>
      <c r="C125" s="34" t="s">
        <v>378</v>
      </c>
      <c r="D125" s="34"/>
      <c r="E125" s="34">
        <v>4.72257563891638</v>
      </c>
      <c r="F125" s="34"/>
      <c r="G125" s="34"/>
      <c r="H125" s="34"/>
      <c r="I125" s="34">
        <v>5.77714122000144</v>
      </c>
      <c r="J125" s="34">
        <v>6.05615573207307</v>
      </c>
      <c r="K125" s="34"/>
      <c r="L125" s="34">
        <v>6.60926879552228</v>
      </c>
      <c r="M125" s="34"/>
      <c r="N125" s="34"/>
      <c r="O125" s="34"/>
      <c r="P125" s="34"/>
      <c r="Q125" s="34"/>
      <c r="R125" s="34"/>
      <c r="S125" s="34"/>
      <c r="T125" s="34"/>
      <c r="U125" s="34"/>
      <c r="V125" s="34">
        <v>9.30139354906975</v>
      </c>
      <c r="W125" s="34">
        <v>3</v>
      </c>
      <c r="AG125" s="167"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4" t="s">
        <v>14</v>
      </c>
      <c r="B126" s="34" t="s">
        <v>379</v>
      </c>
      <c r="C126" s="34" t="s">
        <v>379</v>
      </c>
      <c r="D126" s="34"/>
      <c r="E126" s="34">
        <v>31.0685582966778</v>
      </c>
      <c r="F126" s="34"/>
      <c r="G126" s="34"/>
      <c r="H126" s="34"/>
      <c r="I126" s="34">
        <v>31.8370089157593</v>
      </c>
      <c r="J126" s="34">
        <v>32.1180186747229</v>
      </c>
      <c r="K126" s="34"/>
      <c r="L126" s="34">
        <v>32.5692744879249</v>
      </c>
      <c r="M126" s="34"/>
      <c r="N126" s="34"/>
      <c r="O126" s="34"/>
      <c r="P126" s="34"/>
      <c r="Q126" s="34"/>
      <c r="R126" s="34"/>
      <c r="S126" s="34"/>
      <c r="T126" s="34"/>
      <c r="U126" s="34"/>
      <c r="V126" s="34">
        <v>33.9075290194786</v>
      </c>
      <c r="W126" s="34">
        <v>3</v>
      </c>
      <c r="AG126" s="167"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4" t="s">
        <v>14</v>
      </c>
      <c r="B127" s="34" t="s">
        <v>381</v>
      </c>
      <c r="C127" s="34" t="s">
        <v>381</v>
      </c>
      <c r="D127" s="34"/>
      <c r="E127" s="34">
        <v>21.0626926925154</v>
      </c>
      <c r="F127" s="34">
        <f>E127</f>
        <v>21.0626926925154</v>
      </c>
      <c r="G127" s="34"/>
      <c r="H127" s="34"/>
      <c r="I127" s="34">
        <f>F127</f>
        <v>21.0626926925154</v>
      </c>
      <c r="J127" s="34">
        <f>I127</f>
        <v>21.0626926925154</v>
      </c>
      <c r="K127" s="34"/>
      <c r="L127" s="34">
        <f>J127</f>
        <v>21.0626926925154</v>
      </c>
      <c r="M127" s="34"/>
      <c r="N127" s="34"/>
      <c r="O127" s="34"/>
      <c r="P127" s="34"/>
      <c r="Q127" s="34"/>
      <c r="R127" s="34"/>
      <c r="S127" s="34"/>
      <c r="T127" s="34"/>
      <c r="U127" s="34"/>
      <c r="V127" s="34">
        <f>L127</f>
        <v>21.0626926925154</v>
      </c>
      <c r="W127" s="34">
        <v>3</v>
      </c>
      <c r="AG127" s="167"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4" t="s">
        <v>14</v>
      </c>
      <c r="B128" s="34" t="s">
        <v>382</v>
      </c>
      <c r="C128" s="34" t="s">
        <v>382</v>
      </c>
      <c r="D128" s="34"/>
      <c r="E128" s="34">
        <v>70.9847274318518</v>
      </c>
      <c r="F128" s="34">
        <f>E128</f>
        <v>70.9847274318518</v>
      </c>
      <c r="G128" s="34"/>
      <c r="H128" s="34"/>
      <c r="I128" s="34">
        <f>F128</f>
        <v>70.9847274318518</v>
      </c>
      <c r="J128" s="34">
        <f>I128</f>
        <v>70.9847274318518</v>
      </c>
      <c r="K128" s="34"/>
      <c r="L128" s="34">
        <f>J128</f>
        <v>70.9847274318518</v>
      </c>
      <c r="M128" s="34"/>
      <c r="N128" s="34"/>
      <c r="O128" s="34"/>
      <c r="P128" s="34"/>
      <c r="Q128" s="34"/>
      <c r="R128" s="34"/>
      <c r="S128" s="34"/>
      <c r="T128" s="34"/>
      <c r="U128" s="34"/>
      <c r="V128" s="34">
        <f>L128</f>
        <v>70.9847274318518</v>
      </c>
      <c r="W128" s="34">
        <v>3</v>
      </c>
      <c r="AG128" s="167"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4" t="s">
        <v>14</v>
      </c>
      <c r="B129" s="34" t="s">
        <v>383</v>
      </c>
      <c r="C129" s="34" t="s">
        <v>383</v>
      </c>
      <c r="D129" s="34">
        <v>1.582</v>
      </c>
      <c r="E129" s="34">
        <v>1.58455801445872</v>
      </c>
      <c r="F129" s="34"/>
      <c r="G129" s="34">
        <v>1.59714736133883</v>
      </c>
      <c r="H129" s="34">
        <v>1.6097837443472</v>
      </c>
      <c r="I129" s="34">
        <v>1.62375051819687</v>
      </c>
      <c r="J129" s="34">
        <v>1.63808257253473</v>
      </c>
      <c r="K129" s="34">
        <v>1.65063969806722</v>
      </c>
      <c r="L129" s="34">
        <v>1.66109751286611</v>
      </c>
      <c r="M129" s="34">
        <v>1.66938902033277</v>
      </c>
      <c r="N129" s="34">
        <v>1.67710057721707</v>
      </c>
      <c r="O129" s="34">
        <v>1.68464631758674</v>
      </c>
      <c r="P129" s="34">
        <v>1.69230832997817</v>
      </c>
      <c r="Q129" s="34">
        <v>1.70036773205</v>
      </c>
      <c r="R129" s="34">
        <v>1.70835137064742</v>
      </c>
      <c r="S129" s="34">
        <v>1.71539645283818</v>
      </c>
      <c r="T129" s="34">
        <v>1.72138467405282</v>
      </c>
      <c r="U129" s="34">
        <v>1.72630145734182</v>
      </c>
      <c r="V129" s="34">
        <v>1.72935114482128</v>
      </c>
      <c r="W129" s="34">
        <v>3</v>
      </c>
      <c r="AG129" s="167"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4" t="s">
        <v>14</v>
      </c>
      <c r="B130" s="34" t="s">
        <v>384</v>
      </c>
      <c r="C130" s="34" t="s">
        <v>384</v>
      </c>
      <c r="D130" s="34">
        <v>0.93</v>
      </c>
      <c r="E130" s="34">
        <v>0.931503763240587</v>
      </c>
      <c r="F130" s="34"/>
      <c r="G130" s="34">
        <v>0.938904580306644</v>
      </c>
      <c r="H130" s="34">
        <v>0.946333048193994</v>
      </c>
      <c r="I130" s="34">
        <v>0.954543604249739</v>
      </c>
      <c r="J130" s="34">
        <v>0.962968895358594</v>
      </c>
      <c r="K130" s="34">
        <v>0.970350770671626</v>
      </c>
      <c r="L130" s="34">
        <v>0.976498537904856</v>
      </c>
      <c r="M130" s="34">
        <v>0.981372812205736</v>
      </c>
      <c r="N130" s="34">
        <v>0.985906154748341</v>
      </c>
      <c r="O130" s="34">
        <v>0.990342019820272</v>
      </c>
      <c r="P130" s="34">
        <v>0.994846236965678</v>
      </c>
      <c r="Q130" s="34">
        <v>0.999584064985146</v>
      </c>
      <c r="R130" s="34">
        <v>1.00427735442611</v>
      </c>
      <c r="S130" s="34">
        <v>1.00841890084672</v>
      </c>
      <c r="T130" s="34">
        <v>1.01193915731297</v>
      </c>
      <c r="U130" s="34">
        <v>1.01482955456883</v>
      </c>
      <c r="V130" s="34">
        <v>1.01662235441453</v>
      </c>
      <c r="W130" s="34">
        <v>3</v>
      </c>
      <c r="AG130" s="167"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4" t="s">
        <v>14</v>
      </c>
      <c r="B131" s="34" t="s">
        <v>385</v>
      </c>
      <c r="C131" s="34" t="s">
        <v>385</v>
      </c>
      <c r="D131" s="34">
        <v>4.2</v>
      </c>
      <c r="E131" s="34">
        <v>4.20679118882846</v>
      </c>
      <c r="F131" s="34"/>
      <c r="G131" s="34">
        <v>4.24021423364291</v>
      </c>
      <c r="H131" s="34">
        <v>4.27376215313417</v>
      </c>
      <c r="I131" s="34">
        <v>4.3108420837085</v>
      </c>
      <c r="J131" s="34">
        <v>4.34889178549042</v>
      </c>
      <c r="K131" s="34">
        <v>4.38222928690412</v>
      </c>
      <c r="L131" s="34">
        <v>4.40999339698967</v>
      </c>
      <c r="M131" s="34">
        <v>4.43200624867107</v>
      </c>
      <c r="N131" s="34">
        <v>4.4524794085409</v>
      </c>
      <c r="O131" s="34">
        <v>4.47251234757542</v>
      </c>
      <c r="P131" s="34">
        <v>4.49285397339339</v>
      </c>
      <c r="Q131" s="34">
        <v>4.51425061606195</v>
      </c>
      <c r="R131" s="34">
        <v>4.53544611676307</v>
      </c>
      <c r="S131" s="34">
        <v>4.55414987479162</v>
      </c>
      <c r="T131" s="34">
        <v>4.57004780721988</v>
      </c>
      <c r="U131" s="34">
        <v>4.58310121418181</v>
      </c>
      <c r="V131" s="34">
        <v>4.59119772961402</v>
      </c>
      <c r="W131" s="34">
        <v>3</v>
      </c>
      <c r="AG131" s="167"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4" t="s">
        <v>14</v>
      </c>
      <c r="B132" s="34" t="s">
        <v>386</v>
      </c>
      <c r="C132" s="34" t="s">
        <v>386</v>
      </c>
      <c r="D132" s="34">
        <v>298.44</v>
      </c>
      <c r="E132" s="34">
        <v>297.525245865269</v>
      </c>
      <c r="F132" s="34"/>
      <c r="G132" s="34">
        <v>323.288491045269</v>
      </c>
      <c r="H132" s="34">
        <v>340.645434814256</v>
      </c>
      <c r="I132" s="34">
        <v>355.037035714167</v>
      </c>
      <c r="J132" s="34">
        <v>368.887008582106</v>
      </c>
      <c r="K132" s="34">
        <v>382.719506746578</v>
      </c>
      <c r="L132" s="34">
        <v>396.926841447533</v>
      </c>
      <c r="M132" s="34">
        <v>411.755236442612</v>
      </c>
      <c r="N132" s="34">
        <v>426.954989711792</v>
      </c>
      <c r="O132" s="34">
        <v>442.130208920396</v>
      </c>
      <c r="P132" s="34">
        <v>456.58185557105</v>
      </c>
      <c r="Q132" s="34">
        <v>470.377083478719</v>
      </c>
      <c r="R132" s="34">
        <v>483.852091280731</v>
      </c>
      <c r="S132" s="34">
        <v>497.299495990273</v>
      </c>
      <c r="T132" s="34">
        <v>510.688158251854</v>
      </c>
      <c r="U132" s="34">
        <v>523.751889350563</v>
      </c>
      <c r="V132" s="34">
        <v>536.229952887879</v>
      </c>
      <c r="W132" s="34">
        <v>3</v>
      </c>
      <c r="AG132" s="167"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4" t="s">
        <v>14</v>
      </c>
      <c r="B133" s="34" t="s">
        <v>388</v>
      </c>
      <c r="C133" s="34" t="s">
        <v>388</v>
      </c>
      <c r="D133" s="34">
        <v>124.1</v>
      </c>
      <c r="E133" s="34">
        <v>123.919511011128</v>
      </c>
      <c r="F133" s="34"/>
      <c r="G133" s="34">
        <v>135.743019482317</v>
      </c>
      <c r="H133" s="34">
        <v>144.179442255418</v>
      </c>
      <c r="I133" s="34">
        <v>151.591116746851</v>
      </c>
      <c r="J133" s="34">
        <v>158.912405921345</v>
      </c>
      <c r="K133" s="34">
        <v>166.15148888985</v>
      </c>
      <c r="L133" s="34">
        <v>173.425990371253</v>
      </c>
      <c r="M133" s="34">
        <v>180.815918291755</v>
      </c>
      <c r="N133" s="34">
        <v>188.36996036426</v>
      </c>
      <c r="O133" s="34">
        <v>195.956520191269</v>
      </c>
      <c r="P133" s="34">
        <v>203.296030057614</v>
      </c>
      <c r="Q133" s="34">
        <v>210.450770699466</v>
      </c>
      <c r="R133" s="34">
        <v>217.511271958341</v>
      </c>
      <c r="S133" s="34">
        <v>224.492531087029</v>
      </c>
      <c r="T133" s="34">
        <v>231.353915314753</v>
      </c>
      <c r="U133" s="34">
        <v>237.960510702332</v>
      </c>
      <c r="V133" s="34">
        <v>244.066845817054</v>
      </c>
      <c r="W133" s="34">
        <v>3</v>
      </c>
      <c r="AG133" s="167"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4" t="s">
        <v>14</v>
      </c>
      <c r="B134" s="34" t="s">
        <v>389</v>
      </c>
      <c r="C134" s="34" t="s">
        <v>389</v>
      </c>
      <c r="D134" s="34">
        <v>67.16</v>
      </c>
      <c r="E134" s="34">
        <v>67.0623236060221</v>
      </c>
      <c r="F134" s="34"/>
      <c r="G134" s="34">
        <v>73.4609281904301</v>
      </c>
      <c r="H134" s="34">
        <v>78.0265216911676</v>
      </c>
      <c r="I134" s="34">
        <v>82.03754553359</v>
      </c>
      <c r="J134" s="34">
        <v>85.9996549691982</v>
      </c>
      <c r="K134" s="34">
        <v>89.9172763403896</v>
      </c>
      <c r="L134" s="34">
        <v>93.854065377384</v>
      </c>
      <c r="M134" s="34">
        <v>97.8533204873026</v>
      </c>
      <c r="N134" s="34">
        <v>101.941390314776</v>
      </c>
      <c r="O134" s="34">
        <v>106.047057985863</v>
      </c>
      <c r="P134" s="34">
        <v>110.019028031179</v>
      </c>
      <c r="Q134" s="34">
        <v>113.891005319711</v>
      </c>
      <c r="R134" s="34">
        <v>117.711982471573</v>
      </c>
      <c r="S134" s="34">
        <v>121.490075647098</v>
      </c>
      <c r="T134" s="34">
        <v>125.203295346807</v>
      </c>
      <c r="U134" s="34">
        <v>128.778629321262</v>
      </c>
      <c r="V134" s="34">
        <v>132.083234206877</v>
      </c>
      <c r="W134" s="34">
        <v>3</v>
      </c>
      <c r="AG134" s="167"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4" t="s">
        <v>15</v>
      </c>
      <c r="B135" s="34" t="s">
        <v>374</v>
      </c>
      <c r="C135" s="34" t="s">
        <v>374</v>
      </c>
      <c r="D135" s="34"/>
      <c r="E135" s="34">
        <v>30.8925002060472</v>
      </c>
      <c r="F135" s="34">
        <f>E135</f>
        <v>30.8925002060472</v>
      </c>
      <c r="G135" s="34"/>
      <c r="H135" s="34"/>
      <c r="I135" s="34">
        <f>F135</f>
        <v>30.8925002060472</v>
      </c>
      <c r="J135" s="34">
        <f>I135</f>
        <v>30.8925002060472</v>
      </c>
      <c r="K135" s="34"/>
      <c r="L135" s="34">
        <f>J135</f>
        <v>30.8925002060472</v>
      </c>
      <c r="M135" s="34"/>
      <c r="N135" s="34"/>
      <c r="O135" s="34"/>
      <c r="P135" s="34"/>
      <c r="Q135" s="34"/>
      <c r="R135" s="34"/>
      <c r="S135" s="34"/>
      <c r="T135" s="34"/>
      <c r="U135" s="34"/>
      <c r="V135" s="34">
        <f>L135</f>
        <v>30.8925002060472</v>
      </c>
      <c r="W135" s="34">
        <v>3</v>
      </c>
      <c r="AG135" s="167"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4" t="s">
        <v>15</v>
      </c>
      <c r="B136" s="34" t="s">
        <v>377</v>
      </c>
      <c r="C136" s="34" t="s">
        <v>377</v>
      </c>
      <c r="D136" s="34"/>
      <c r="E136" s="34">
        <v>411.735252066231</v>
      </c>
      <c r="F136" s="34">
        <f>E136</f>
        <v>411.735252066231</v>
      </c>
      <c r="G136" s="34"/>
      <c r="H136" s="34"/>
      <c r="I136" s="34">
        <f>F136</f>
        <v>411.735252066231</v>
      </c>
      <c r="J136" s="34">
        <f>I136</f>
        <v>411.735252066231</v>
      </c>
      <c r="K136" s="34"/>
      <c r="L136" s="34">
        <f>J136</f>
        <v>411.735252066231</v>
      </c>
      <c r="M136" s="34"/>
      <c r="N136" s="34"/>
      <c r="O136" s="34"/>
      <c r="P136" s="34"/>
      <c r="Q136" s="34"/>
      <c r="R136" s="34"/>
      <c r="S136" s="34"/>
      <c r="T136" s="34"/>
      <c r="U136" s="34"/>
      <c r="V136" s="34">
        <f>L136</f>
        <v>411.735252066231</v>
      </c>
      <c r="W136" s="34">
        <v>3</v>
      </c>
      <c r="AG136" s="167"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4" t="s">
        <v>15</v>
      </c>
      <c r="B137" s="34" t="s">
        <v>378</v>
      </c>
      <c r="C137" s="34" t="s">
        <v>378</v>
      </c>
      <c r="D137" s="34"/>
      <c r="E137" s="34">
        <v>10.2422820870275</v>
      </c>
      <c r="F137" s="34"/>
      <c r="G137" s="34"/>
      <c r="H137" s="34"/>
      <c r="I137" s="34">
        <v>11.6970659852254</v>
      </c>
      <c r="J137" s="34">
        <v>12.2167840930765</v>
      </c>
      <c r="K137" s="34"/>
      <c r="L137" s="34">
        <v>13.2500408782904</v>
      </c>
      <c r="M137" s="34"/>
      <c r="N137" s="34"/>
      <c r="O137" s="34"/>
      <c r="P137" s="34"/>
      <c r="Q137" s="34"/>
      <c r="R137" s="34"/>
      <c r="S137" s="34"/>
      <c r="T137" s="34"/>
      <c r="U137" s="34"/>
      <c r="V137" s="34">
        <v>16.4810771612383</v>
      </c>
      <c r="W137" s="34">
        <v>3</v>
      </c>
      <c r="AG137" s="167"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4" t="s">
        <v>15</v>
      </c>
      <c r="B138" s="34" t="s">
        <v>379</v>
      </c>
      <c r="C138" s="34" t="s">
        <v>379</v>
      </c>
      <c r="D138" s="34"/>
      <c r="E138" s="34">
        <v>41.728037261455</v>
      </c>
      <c r="F138" s="34"/>
      <c r="G138" s="34"/>
      <c r="H138" s="34"/>
      <c r="I138" s="34">
        <v>41.4076364519895</v>
      </c>
      <c r="J138" s="34">
        <v>41.206691240923</v>
      </c>
      <c r="K138" s="34"/>
      <c r="L138" s="34">
        <v>40.8643391636625</v>
      </c>
      <c r="M138" s="34"/>
      <c r="N138" s="34"/>
      <c r="O138" s="34"/>
      <c r="P138" s="34"/>
      <c r="Q138" s="34"/>
      <c r="R138" s="34"/>
      <c r="S138" s="34"/>
      <c r="T138" s="34"/>
      <c r="U138" s="34"/>
      <c r="V138" s="34">
        <v>38.3848419306435</v>
      </c>
      <c r="W138" s="34">
        <v>3</v>
      </c>
      <c r="AG138" s="167"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4" t="s">
        <v>15</v>
      </c>
      <c r="B139" s="34" t="s">
        <v>381</v>
      </c>
      <c r="C139" s="34" t="s">
        <v>381</v>
      </c>
      <c r="D139" s="34"/>
      <c r="E139" s="34">
        <v>11.29741306648</v>
      </c>
      <c r="F139" s="34">
        <f>E139</f>
        <v>11.29741306648</v>
      </c>
      <c r="G139" s="34"/>
      <c r="H139" s="34"/>
      <c r="I139" s="34">
        <f>F139</f>
        <v>11.29741306648</v>
      </c>
      <c r="J139" s="34">
        <f>I139</f>
        <v>11.29741306648</v>
      </c>
      <c r="K139" s="34"/>
      <c r="L139" s="34">
        <f>J139</f>
        <v>11.29741306648</v>
      </c>
      <c r="M139" s="34"/>
      <c r="N139" s="34"/>
      <c r="O139" s="34"/>
      <c r="P139" s="34"/>
      <c r="Q139" s="34"/>
      <c r="R139" s="34"/>
      <c r="S139" s="34"/>
      <c r="T139" s="34"/>
      <c r="U139" s="34"/>
      <c r="V139" s="34">
        <f>L139</f>
        <v>11.29741306648</v>
      </c>
      <c r="W139" s="34">
        <v>3</v>
      </c>
      <c r="AG139" s="167"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4" t="s">
        <v>15</v>
      </c>
      <c r="B140" s="34" t="s">
        <v>382</v>
      </c>
      <c r="C140" s="34" t="s">
        <v>382</v>
      </c>
      <c r="D140" s="34"/>
      <c r="E140" s="34">
        <v>57.0532322107784</v>
      </c>
      <c r="F140" s="34">
        <f>E140</f>
        <v>57.0532322107784</v>
      </c>
      <c r="G140" s="34"/>
      <c r="H140" s="34"/>
      <c r="I140" s="34">
        <f>F140</f>
        <v>57.0532322107784</v>
      </c>
      <c r="J140" s="34">
        <f>I140</f>
        <v>57.0532322107784</v>
      </c>
      <c r="K140" s="34"/>
      <c r="L140" s="34">
        <f>J140</f>
        <v>57.0532322107784</v>
      </c>
      <c r="M140" s="34"/>
      <c r="N140" s="34"/>
      <c r="O140" s="34"/>
      <c r="P140" s="34"/>
      <c r="Q140" s="34"/>
      <c r="R140" s="34"/>
      <c r="S140" s="34"/>
      <c r="T140" s="34"/>
      <c r="U140" s="34"/>
      <c r="V140" s="34">
        <f>L140</f>
        <v>57.0532322107784</v>
      </c>
      <c r="W140" s="34">
        <v>3</v>
      </c>
      <c r="AG140" s="167"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4" t="s">
        <v>15</v>
      </c>
      <c r="B141" s="34" t="s">
        <v>383</v>
      </c>
      <c r="C141" s="34" t="s">
        <v>383</v>
      </c>
      <c r="D141" s="34">
        <v>3.472</v>
      </c>
      <c r="E141" s="34">
        <v>3.47422670133191</v>
      </c>
      <c r="F141" s="34"/>
      <c r="G141" s="34">
        <v>3.48518818767205</v>
      </c>
      <c r="H141" s="34">
        <v>3.46635961466062</v>
      </c>
      <c r="I141" s="34">
        <v>3.44755051140237</v>
      </c>
      <c r="J141" s="34">
        <v>3.43082005237268</v>
      </c>
      <c r="K141" s="34">
        <v>3.41645057549349</v>
      </c>
      <c r="L141" s="34">
        <v>3.40231622602153</v>
      </c>
      <c r="M141" s="34">
        <v>3.3866901511232</v>
      </c>
      <c r="N141" s="34">
        <v>3.37023451480955</v>
      </c>
      <c r="O141" s="34">
        <v>3.35294721897671</v>
      </c>
      <c r="P141" s="34">
        <v>3.33737441299061</v>
      </c>
      <c r="Q141" s="34">
        <v>3.32194578221882</v>
      </c>
      <c r="R141" s="34">
        <v>3.30316488858621</v>
      </c>
      <c r="S141" s="34">
        <v>3.27964524805285</v>
      </c>
      <c r="T141" s="34">
        <v>3.2529808529546</v>
      </c>
      <c r="U141" s="34">
        <v>3.22499679669389</v>
      </c>
      <c r="V141" s="34">
        <v>3.19587623846932</v>
      </c>
      <c r="W141" s="34">
        <v>3</v>
      </c>
      <c r="AG141" s="167"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4" t="s">
        <v>15</v>
      </c>
      <c r="B142" s="34" t="s">
        <v>384</v>
      </c>
      <c r="C142" s="34" t="s">
        <v>384</v>
      </c>
      <c r="D142" s="34">
        <v>2.055</v>
      </c>
      <c r="E142" s="34">
        <v>2.05631793526413</v>
      </c>
      <c r="F142" s="34"/>
      <c r="G142" s="34">
        <v>2.06280579656281</v>
      </c>
      <c r="H142" s="34">
        <v>2.05166158068191</v>
      </c>
      <c r="I142" s="34">
        <v>2.04052888851724</v>
      </c>
      <c r="J142" s="34">
        <v>2.03062649989224</v>
      </c>
      <c r="K142" s="34">
        <v>2.02212152437763</v>
      </c>
      <c r="L142" s="34">
        <v>2.01375571557438</v>
      </c>
      <c r="M142" s="34">
        <v>2.00450698748795</v>
      </c>
      <c r="N142" s="34">
        <v>1.99476726034955</v>
      </c>
      <c r="O142" s="34">
        <v>1.98453529233788</v>
      </c>
      <c r="P142" s="34">
        <v>1.97531809294231</v>
      </c>
      <c r="Q142" s="34">
        <v>1.96618622766696</v>
      </c>
      <c r="R142" s="34">
        <v>1.95507023215572</v>
      </c>
      <c r="S142" s="34">
        <v>1.94114947717414</v>
      </c>
      <c r="T142" s="34">
        <v>1.92536741152699</v>
      </c>
      <c r="U142" s="34">
        <v>1.90880426762844</v>
      </c>
      <c r="V142" s="34">
        <v>1.89156845335669</v>
      </c>
      <c r="W142" s="34">
        <v>3</v>
      </c>
      <c r="AG142" s="167"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4" t="s">
        <v>15</v>
      </c>
      <c r="B143" s="34" t="s">
        <v>385</v>
      </c>
      <c r="C143" s="34" t="s">
        <v>385</v>
      </c>
      <c r="D143" s="34">
        <v>4.48</v>
      </c>
      <c r="E143" s="34">
        <v>4.48287316300891</v>
      </c>
      <c r="F143" s="34"/>
      <c r="G143" s="34">
        <v>4.49701701635104</v>
      </c>
      <c r="H143" s="34">
        <v>4.47272208343306</v>
      </c>
      <c r="I143" s="34">
        <v>4.44845227277725</v>
      </c>
      <c r="J143" s="34">
        <v>4.42686458370669</v>
      </c>
      <c r="K143" s="34">
        <v>4.4083233232174</v>
      </c>
      <c r="L143" s="34">
        <v>4.39008545293101</v>
      </c>
      <c r="M143" s="34">
        <v>4.36992277564284</v>
      </c>
      <c r="N143" s="34">
        <v>4.34868969652845</v>
      </c>
      <c r="O143" s="34">
        <v>4.32638350835704</v>
      </c>
      <c r="P143" s="34">
        <v>4.30628956514917</v>
      </c>
      <c r="Q143" s="34">
        <v>4.2863816544759</v>
      </c>
      <c r="R143" s="34">
        <v>4.26214824333705</v>
      </c>
      <c r="S143" s="34">
        <v>4.2318003200682</v>
      </c>
      <c r="T143" s="34">
        <v>4.19739464897367</v>
      </c>
      <c r="U143" s="34">
        <v>4.16128618928244</v>
      </c>
      <c r="V143" s="34">
        <v>4.12371127544428</v>
      </c>
      <c r="W143" s="34">
        <v>3</v>
      </c>
      <c r="AG143" s="167"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4" t="s">
        <v>15</v>
      </c>
      <c r="B144" s="34" t="s">
        <v>386</v>
      </c>
      <c r="C144" s="34" t="s">
        <v>386</v>
      </c>
      <c r="D144" s="34">
        <v>487.776</v>
      </c>
      <c r="E144" s="34">
        <v>489.674263152715</v>
      </c>
      <c r="F144" s="34"/>
      <c r="G144" s="34">
        <v>514.718106909079</v>
      </c>
      <c r="H144" s="34">
        <v>538.647530384054</v>
      </c>
      <c r="I144" s="34">
        <v>563.612416648886</v>
      </c>
      <c r="J144" s="34">
        <v>591.570885759525</v>
      </c>
      <c r="K144" s="34">
        <v>620.107393628332</v>
      </c>
      <c r="L144" s="34">
        <v>647.066681255765</v>
      </c>
      <c r="M144" s="34">
        <v>672.685879321172</v>
      </c>
      <c r="N144" s="34">
        <v>697.649357183424</v>
      </c>
      <c r="O144" s="34">
        <v>722.608524003204</v>
      </c>
      <c r="P144" s="34">
        <v>746.658440455295</v>
      </c>
      <c r="Q144" s="34">
        <v>769.568827829978</v>
      </c>
      <c r="R144" s="34">
        <v>790.901389022283</v>
      </c>
      <c r="S144" s="34">
        <v>810.350157575089</v>
      </c>
      <c r="T144" s="34">
        <v>827.824817245277</v>
      </c>
      <c r="U144" s="34">
        <v>843.475967361271</v>
      </c>
      <c r="V144" s="34">
        <v>857.578256729381</v>
      </c>
      <c r="W144" s="34">
        <v>3</v>
      </c>
      <c r="AG144" s="167"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4" t="s">
        <v>15</v>
      </c>
      <c r="B145" s="34" t="s">
        <v>388</v>
      </c>
      <c r="C145" s="34" t="s">
        <v>388</v>
      </c>
      <c r="D145" s="34">
        <v>131</v>
      </c>
      <c r="E145" s="34">
        <v>131.594233060155</v>
      </c>
      <c r="F145" s="34"/>
      <c r="G145" s="34">
        <v>138.766702178789</v>
      </c>
      <c r="H145" s="34">
        <v>144.423255530294</v>
      </c>
      <c r="I145" s="34">
        <v>150.285494414311</v>
      </c>
      <c r="J145" s="34">
        <v>156.96290333832</v>
      </c>
      <c r="K145" s="34">
        <v>163.834093110719</v>
      </c>
      <c r="L145" s="34">
        <v>170.23832702311</v>
      </c>
      <c r="M145" s="34">
        <v>176.153210892228</v>
      </c>
      <c r="N145" s="34">
        <v>181.788994880671</v>
      </c>
      <c r="O145" s="34">
        <v>187.311701421777</v>
      </c>
      <c r="P145" s="34">
        <v>192.632957822927</v>
      </c>
      <c r="Q145" s="34">
        <v>197.61190199501</v>
      </c>
      <c r="R145" s="34">
        <v>201.924872689356</v>
      </c>
      <c r="S145" s="34">
        <v>205.397101099748</v>
      </c>
      <c r="T145" s="34">
        <v>208.09880124182</v>
      </c>
      <c r="U145" s="34">
        <v>210.187744048612</v>
      </c>
      <c r="V145" s="34">
        <v>211.751120561826</v>
      </c>
      <c r="W145" s="34">
        <v>3</v>
      </c>
      <c r="AG145" s="167"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4" t="s">
        <v>15</v>
      </c>
      <c r="B146" s="34" t="s">
        <v>389</v>
      </c>
      <c r="C146" s="34" t="s">
        <v>389</v>
      </c>
      <c r="D146" s="34">
        <v>76.28</v>
      </c>
      <c r="E146" s="34">
        <v>76.6260160139589</v>
      </c>
      <c r="F146" s="34"/>
      <c r="G146" s="34">
        <v>80.8024736045653</v>
      </c>
      <c r="H146" s="34">
        <v>84.096228487411</v>
      </c>
      <c r="I146" s="34">
        <v>87.5097520146844</v>
      </c>
      <c r="J146" s="34">
        <v>91.3979409667712</v>
      </c>
      <c r="K146" s="34">
        <v>95.3989665838597</v>
      </c>
      <c r="L146" s="34">
        <v>99.1280884375789</v>
      </c>
      <c r="M146" s="34">
        <v>102.572266617245</v>
      </c>
      <c r="N146" s="34">
        <v>105.853927706089</v>
      </c>
      <c r="O146" s="34">
        <v>109.06974491949</v>
      </c>
      <c r="P146" s="34">
        <v>112.168259715518</v>
      </c>
      <c r="Q146" s="34">
        <v>115.067449497552</v>
      </c>
      <c r="R146" s="34">
        <v>117.578849532397</v>
      </c>
      <c r="S146" s="34">
        <v>119.60069367854</v>
      </c>
      <c r="T146" s="34">
        <v>121.173866860504</v>
      </c>
      <c r="U146" s="34">
        <v>122.390237526932</v>
      </c>
      <c r="V146" s="34">
        <v>123.300576156153</v>
      </c>
      <c r="W146" s="34">
        <v>3</v>
      </c>
      <c r="AG146" s="167"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4" t="s">
        <v>16</v>
      </c>
      <c r="B147" s="34" t="s">
        <v>374</v>
      </c>
      <c r="C147" s="34" t="s">
        <v>374</v>
      </c>
      <c r="D147" s="34"/>
      <c r="E147" s="34">
        <v>9.41801071539259</v>
      </c>
      <c r="F147" s="34">
        <f>E147</f>
        <v>9.41801071539259</v>
      </c>
      <c r="G147" s="34"/>
      <c r="H147" s="34"/>
      <c r="I147" s="34">
        <f>F147</f>
        <v>9.41801071539259</v>
      </c>
      <c r="J147" s="34">
        <f>I147</f>
        <v>9.41801071539259</v>
      </c>
      <c r="K147" s="34"/>
      <c r="L147" s="34">
        <f>J147</f>
        <v>9.41801071539259</v>
      </c>
      <c r="M147" s="34"/>
      <c r="N147" s="34"/>
      <c r="O147" s="34"/>
      <c r="P147" s="34"/>
      <c r="Q147" s="34"/>
      <c r="R147" s="34"/>
      <c r="S147" s="34"/>
      <c r="T147" s="34"/>
      <c r="U147" s="34"/>
      <c r="V147" s="34">
        <f>L147</f>
        <v>9.41801071539259</v>
      </c>
      <c r="W147" s="34">
        <v>3</v>
      </c>
      <c r="AG147" s="167"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4" t="s">
        <v>16</v>
      </c>
      <c r="B148" s="34" t="s">
        <v>377</v>
      </c>
      <c r="C148" s="34" t="s">
        <v>377</v>
      </c>
      <c r="D148" s="34"/>
      <c r="E148" s="34">
        <v>60.0666943733252</v>
      </c>
      <c r="F148" s="34">
        <f>E148</f>
        <v>60.0666943733252</v>
      </c>
      <c r="G148" s="34"/>
      <c r="H148" s="34"/>
      <c r="I148" s="34">
        <f>F148</f>
        <v>60.0666943733252</v>
      </c>
      <c r="J148" s="34">
        <f>I148</f>
        <v>60.0666943733252</v>
      </c>
      <c r="K148" s="34"/>
      <c r="L148" s="34">
        <f>J148</f>
        <v>60.0666943733252</v>
      </c>
      <c r="M148" s="34"/>
      <c r="N148" s="34"/>
      <c r="O148" s="34"/>
      <c r="P148" s="34"/>
      <c r="Q148" s="34"/>
      <c r="R148" s="34"/>
      <c r="S148" s="34"/>
      <c r="T148" s="34"/>
      <c r="U148" s="34"/>
      <c r="V148" s="34">
        <f>L148</f>
        <v>60.0666943733252</v>
      </c>
      <c r="W148" s="34">
        <v>3</v>
      </c>
      <c r="AG148" s="167"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4" t="s">
        <v>16</v>
      </c>
      <c r="B149" s="34" t="s">
        <v>378</v>
      </c>
      <c r="C149" s="34" t="s">
        <v>378</v>
      </c>
      <c r="D149" s="34"/>
      <c r="E149" s="34">
        <v>0.407881973548625</v>
      </c>
      <c r="F149" s="34"/>
      <c r="G149" s="34"/>
      <c r="H149" s="34"/>
      <c r="I149" s="34">
        <v>0.556269853938886</v>
      </c>
      <c r="J149" s="34">
        <v>0.592210356864755</v>
      </c>
      <c r="K149" s="34"/>
      <c r="L149" s="34">
        <v>0.658731360506297</v>
      </c>
      <c r="M149" s="34"/>
      <c r="N149" s="34"/>
      <c r="O149" s="34"/>
      <c r="P149" s="34"/>
      <c r="Q149" s="34"/>
      <c r="R149" s="34"/>
      <c r="S149" s="34"/>
      <c r="T149" s="34"/>
      <c r="U149" s="34"/>
      <c r="V149" s="34">
        <v>0.856844601589363</v>
      </c>
      <c r="W149" s="34">
        <v>3</v>
      </c>
      <c r="AG149" s="167"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4" t="s">
        <v>16</v>
      </c>
      <c r="B150" s="34" t="s">
        <v>379</v>
      </c>
      <c r="C150" s="34" t="s">
        <v>379</v>
      </c>
      <c r="D150" s="34"/>
      <c r="E150" s="34">
        <v>0.699362690149308</v>
      </c>
      <c r="F150" s="34"/>
      <c r="G150" s="34"/>
      <c r="H150" s="34"/>
      <c r="I150" s="34">
        <v>0.682703126816235</v>
      </c>
      <c r="J150" s="34">
        <v>0.678924584296357</v>
      </c>
      <c r="K150" s="34"/>
      <c r="L150" s="34">
        <v>0.673124624068275</v>
      </c>
      <c r="M150" s="34"/>
      <c r="N150" s="34"/>
      <c r="O150" s="34"/>
      <c r="P150" s="34"/>
      <c r="Q150" s="34"/>
      <c r="R150" s="34"/>
      <c r="S150" s="34"/>
      <c r="T150" s="34"/>
      <c r="U150" s="34"/>
      <c r="V150" s="34">
        <v>0.613005347160796</v>
      </c>
      <c r="W150" s="34">
        <v>3</v>
      </c>
      <c r="AG150" s="167"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4" t="s">
        <v>16</v>
      </c>
      <c r="B151" s="34" t="s">
        <v>381</v>
      </c>
      <c r="C151" s="34" t="s">
        <v>381</v>
      </c>
      <c r="D151" s="34"/>
      <c r="E151" s="34">
        <v>26.7348015160745</v>
      </c>
      <c r="F151" s="34">
        <f>E151</f>
        <v>26.7348015160745</v>
      </c>
      <c r="G151" s="34"/>
      <c r="H151" s="34"/>
      <c r="I151" s="34">
        <f>F151</f>
        <v>26.7348015160745</v>
      </c>
      <c r="J151" s="34">
        <f>I151</f>
        <v>26.7348015160745</v>
      </c>
      <c r="K151" s="34"/>
      <c r="L151" s="34">
        <f>J151</f>
        <v>26.7348015160745</v>
      </c>
      <c r="M151" s="34"/>
      <c r="N151" s="34"/>
      <c r="O151" s="34"/>
      <c r="P151" s="34"/>
      <c r="Q151" s="34"/>
      <c r="R151" s="34"/>
      <c r="S151" s="34"/>
      <c r="T151" s="34"/>
      <c r="U151" s="34"/>
      <c r="V151" s="34">
        <f>L151</f>
        <v>26.7348015160745</v>
      </c>
      <c r="W151" s="34">
        <v>3</v>
      </c>
      <c r="AG151" s="167"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4" t="s">
        <v>16</v>
      </c>
      <c r="B152" s="34" t="s">
        <v>382</v>
      </c>
      <c r="C152" s="34" t="s">
        <v>382</v>
      </c>
      <c r="D152" s="34"/>
      <c r="E152" s="34">
        <v>116.52376180417</v>
      </c>
      <c r="F152" s="34">
        <f>E152</f>
        <v>116.52376180417</v>
      </c>
      <c r="G152" s="34"/>
      <c r="H152" s="34"/>
      <c r="I152" s="34">
        <f>F152</f>
        <v>116.52376180417</v>
      </c>
      <c r="J152" s="34">
        <f>I152</f>
        <v>116.52376180417</v>
      </c>
      <c r="K152" s="34"/>
      <c r="L152" s="34">
        <f>J152</f>
        <v>116.52376180417</v>
      </c>
      <c r="M152" s="34"/>
      <c r="N152" s="34"/>
      <c r="O152" s="34"/>
      <c r="P152" s="34"/>
      <c r="Q152" s="34"/>
      <c r="R152" s="34"/>
      <c r="S152" s="34"/>
      <c r="T152" s="34"/>
      <c r="U152" s="34"/>
      <c r="V152" s="34">
        <f>L152</f>
        <v>116.52376180417</v>
      </c>
      <c r="W152" s="34">
        <v>3</v>
      </c>
      <c r="AG152" s="167"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4" t="s">
        <v>16</v>
      </c>
      <c r="B153" s="34" t="s">
        <v>383</v>
      </c>
      <c r="C153" s="34" t="s">
        <v>383</v>
      </c>
      <c r="D153" s="34">
        <v>0.546</v>
      </c>
      <c r="E153" s="34">
        <v>0.545055708730658</v>
      </c>
      <c r="F153" s="34"/>
      <c r="G153" s="34">
        <v>0.540404400542398</v>
      </c>
      <c r="H153" s="34">
        <v>0.535881700743667</v>
      </c>
      <c r="I153" s="34">
        <v>0.532071901862561</v>
      </c>
      <c r="J153" s="34">
        <v>0.529127054789433</v>
      </c>
      <c r="K153" s="34">
        <v>0.526724909038171</v>
      </c>
      <c r="L153" s="34">
        <v>0.524606794447761</v>
      </c>
      <c r="M153" s="34">
        <v>0.521659465992699</v>
      </c>
      <c r="N153" s="34">
        <v>0.517938019194669</v>
      </c>
      <c r="O153" s="34">
        <v>0.513365657561778</v>
      </c>
      <c r="P153" s="34">
        <v>0.508357641530336</v>
      </c>
      <c r="Q153" s="34">
        <v>0.503230857938885</v>
      </c>
      <c r="R153" s="34">
        <v>0.498243298877789</v>
      </c>
      <c r="S153" s="34">
        <v>0.493433945255671</v>
      </c>
      <c r="T153" s="34">
        <v>0.48862923598344</v>
      </c>
      <c r="U153" s="34">
        <v>0.483509970298712</v>
      </c>
      <c r="V153" s="34">
        <v>0.477752200193977</v>
      </c>
      <c r="W153" s="34">
        <v>3</v>
      </c>
      <c r="AG153" s="167"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4" t="s">
        <v>16</v>
      </c>
      <c r="B154" s="34" t="s">
        <v>384</v>
      </c>
      <c r="C154" s="34" t="s">
        <v>384</v>
      </c>
      <c r="D154" s="34">
        <v>0.315</v>
      </c>
      <c r="E154" s="34">
        <v>0.314455216575379</v>
      </c>
      <c r="F154" s="34"/>
      <c r="G154" s="34">
        <v>0.311771769543691</v>
      </c>
      <c r="H154" s="34">
        <v>0.309162519659808</v>
      </c>
      <c r="I154" s="34">
        <v>0.306964558766862</v>
      </c>
      <c r="J154" s="34">
        <v>0.305265608532365</v>
      </c>
      <c r="K154" s="34">
        <v>0.303879755214329</v>
      </c>
      <c r="L154" s="34">
        <v>0.302657766027555</v>
      </c>
      <c r="M154" s="34">
        <v>0.300957384226557</v>
      </c>
      <c r="N154" s="34">
        <v>0.298810395689232</v>
      </c>
      <c r="O154" s="34">
        <v>0.29617249474718</v>
      </c>
      <c r="P154" s="34">
        <v>0.29328325472904</v>
      </c>
      <c r="Q154" s="34">
        <v>0.290325494964741</v>
      </c>
      <c r="R154" s="34">
        <v>0.287448057044878</v>
      </c>
      <c r="S154" s="34">
        <v>0.284673429955195</v>
      </c>
      <c r="T154" s="34">
        <v>0.281901482298138</v>
      </c>
      <c r="U154" s="34">
        <v>0.278948059787719</v>
      </c>
      <c r="V154" s="34">
        <v>0.275626269342679</v>
      </c>
      <c r="W154" s="34">
        <v>3</v>
      </c>
      <c r="AG154" s="167"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4" t="s">
        <v>16</v>
      </c>
      <c r="B155" s="34" t="s">
        <v>385</v>
      </c>
      <c r="C155" s="34" t="s">
        <v>385</v>
      </c>
      <c r="D155" s="34">
        <v>0.35</v>
      </c>
      <c r="E155" s="34">
        <v>0.349394685083755</v>
      </c>
      <c r="F155" s="34"/>
      <c r="G155" s="34">
        <v>0.346413077270768</v>
      </c>
      <c r="H155" s="34">
        <v>0.34351391073312</v>
      </c>
      <c r="I155" s="34">
        <v>0.34107173196318</v>
      </c>
      <c r="J155" s="34">
        <v>0.339184009480406</v>
      </c>
      <c r="K155" s="34">
        <v>0.337644172460366</v>
      </c>
      <c r="L155" s="34">
        <v>0.336286406697283</v>
      </c>
      <c r="M155" s="34">
        <v>0.334397093585064</v>
      </c>
      <c r="N155" s="34">
        <v>0.332011550765813</v>
      </c>
      <c r="O155" s="34">
        <v>0.329080549719089</v>
      </c>
      <c r="P155" s="34">
        <v>0.325870283032267</v>
      </c>
      <c r="Q155" s="34">
        <v>0.322583883294157</v>
      </c>
      <c r="R155" s="34">
        <v>0.319386730049865</v>
      </c>
      <c r="S155" s="34">
        <v>0.316303811061327</v>
      </c>
      <c r="T155" s="34">
        <v>0.313223869220154</v>
      </c>
      <c r="U155" s="34">
        <v>0.309942288653021</v>
      </c>
      <c r="V155" s="34">
        <v>0.306251410380755</v>
      </c>
      <c r="W155" s="34">
        <v>3</v>
      </c>
      <c r="AG155" s="167"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4" t="s">
        <v>16</v>
      </c>
      <c r="B156" s="34" t="s">
        <v>386</v>
      </c>
      <c r="C156" s="34" t="s">
        <v>386</v>
      </c>
      <c r="D156" s="34">
        <v>67.092</v>
      </c>
      <c r="E156" s="34">
        <v>66.886304245997</v>
      </c>
      <c r="F156" s="34"/>
      <c r="G156" s="34">
        <v>79.5104599084931</v>
      </c>
      <c r="H156" s="34">
        <v>87.138802162632</v>
      </c>
      <c r="I156" s="34">
        <v>93.5151037625579</v>
      </c>
      <c r="J156" s="34">
        <v>100.123521876701</v>
      </c>
      <c r="K156" s="34">
        <v>106.421441172394</v>
      </c>
      <c r="L156" s="34">
        <v>112.34962785145</v>
      </c>
      <c r="M156" s="34">
        <v>118.324099367125</v>
      </c>
      <c r="N156" s="34">
        <v>124.311016313788</v>
      </c>
      <c r="O156" s="34">
        <v>130.2052243777</v>
      </c>
      <c r="P156" s="34">
        <v>135.649701955049</v>
      </c>
      <c r="Q156" s="34">
        <v>140.589883790382</v>
      </c>
      <c r="R156" s="34">
        <v>145.063001331268</v>
      </c>
      <c r="S156" s="34">
        <v>149.220945668528</v>
      </c>
      <c r="T156" s="34">
        <v>153.192270875538</v>
      </c>
      <c r="U156" s="34">
        <v>157.038113361228</v>
      </c>
      <c r="V156" s="34">
        <v>160.734740875473</v>
      </c>
      <c r="W156" s="34">
        <v>3</v>
      </c>
      <c r="AG156" s="167"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4" t="s">
        <v>16</v>
      </c>
      <c r="B157" s="34" t="s">
        <v>388</v>
      </c>
      <c r="C157" s="34" t="s">
        <v>388</v>
      </c>
      <c r="D157" s="34">
        <v>10.6</v>
      </c>
      <c r="E157" s="34">
        <v>10.5492397904824</v>
      </c>
      <c r="F157" s="34"/>
      <c r="G157" s="34">
        <v>12.4286507881249</v>
      </c>
      <c r="H157" s="34">
        <v>13.5041486494862</v>
      </c>
      <c r="I157" s="34">
        <v>14.3870640478755</v>
      </c>
      <c r="J157" s="34">
        <v>15.3166098678511</v>
      </c>
      <c r="K157" s="34">
        <v>16.2045747711593</v>
      </c>
      <c r="L157" s="34">
        <v>17.0370732960652</v>
      </c>
      <c r="M157" s="34">
        <v>17.8401981053753</v>
      </c>
      <c r="N157" s="34">
        <v>18.6064006881076</v>
      </c>
      <c r="O157" s="34">
        <v>19.3130374898403</v>
      </c>
      <c r="P157" s="34">
        <v>19.9205292908841</v>
      </c>
      <c r="Q157" s="34">
        <v>20.4340663742675</v>
      </c>
      <c r="R157" s="34">
        <v>20.8717757076649</v>
      </c>
      <c r="S157" s="34">
        <v>21.2594982915538</v>
      </c>
      <c r="T157" s="34">
        <v>21.6094679512543</v>
      </c>
      <c r="U157" s="34">
        <v>21.9162893965133</v>
      </c>
      <c r="V157" s="34">
        <v>22.1609675139737</v>
      </c>
      <c r="W157" s="34">
        <v>3</v>
      </c>
      <c r="AG157" s="167"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4" t="s">
        <v>16</v>
      </c>
      <c r="B158" s="34" t="s">
        <v>389</v>
      </c>
      <c r="C158" s="34" t="s">
        <v>389</v>
      </c>
      <c r="D158" s="34">
        <v>7.76</v>
      </c>
      <c r="E158" s="34">
        <v>7.72283969567393</v>
      </c>
      <c r="F158" s="34"/>
      <c r="G158" s="34">
        <v>9.09871038828764</v>
      </c>
      <c r="H158" s="34">
        <v>9.88605599245401</v>
      </c>
      <c r="I158" s="34">
        <v>10.5324166991994</v>
      </c>
      <c r="J158" s="34">
        <v>11.2129143938231</v>
      </c>
      <c r="K158" s="34">
        <v>11.8629717192638</v>
      </c>
      <c r="L158" s="34">
        <v>12.4724234695723</v>
      </c>
      <c r="M158" s="34">
        <v>13.0603714431804</v>
      </c>
      <c r="N158" s="34">
        <v>13.6212895603505</v>
      </c>
      <c r="O158" s="34">
        <v>14.1386010302982</v>
      </c>
      <c r="P158" s="34">
        <v>14.5833308771001</v>
      </c>
      <c r="Q158" s="34">
        <v>14.9592787796524</v>
      </c>
      <c r="R158" s="34">
        <v>15.279715046366</v>
      </c>
      <c r="S158" s="34">
        <v>15.5635572398545</v>
      </c>
      <c r="T158" s="34">
        <v>15.8197614435597</v>
      </c>
      <c r="U158" s="34">
        <v>16.0443778978249</v>
      </c>
      <c r="V158" s="34">
        <v>16.2235007460789</v>
      </c>
      <c r="W158" s="34">
        <v>3</v>
      </c>
      <c r="AG158" s="167"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4" t="s">
        <v>17</v>
      </c>
      <c r="B159" s="34" t="s">
        <v>374</v>
      </c>
      <c r="C159" s="34" t="s">
        <v>374</v>
      </c>
      <c r="D159" s="34"/>
      <c r="E159" s="34">
        <v>3.26516627111412</v>
      </c>
      <c r="F159" s="34">
        <f>E159</f>
        <v>3.26516627111412</v>
      </c>
      <c r="G159" s="34"/>
      <c r="H159" s="34"/>
      <c r="I159" s="34">
        <f>F159</f>
        <v>3.26516627111412</v>
      </c>
      <c r="J159" s="34">
        <f>I159</f>
        <v>3.26516627111412</v>
      </c>
      <c r="K159" s="34"/>
      <c r="L159" s="34">
        <f>J159</f>
        <v>3.26516627111412</v>
      </c>
      <c r="M159" s="34"/>
      <c r="N159" s="34"/>
      <c r="O159" s="34"/>
      <c r="P159" s="34"/>
      <c r="Q159" s="34"/>
      <c r="R159" s="34"/>
      <c r="S159" s="34"/>
      <c r="T159" s="34"/>
      <c r="U159" s="34"/>
      <c r="V159" s="34">
        <f>L159</f>
        <v>3.26516627111412</v>
      </c>
      <c r="W159" s="34">
        <v>3</v>
      </c>
      <c r="AG159" s="167"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4" t="s">
        <v>17</v>
      </c>
      <c r="B160" s="34" t="s">
        <v>377</v>
      </c>
      <c r="C160" s="34" t="s">
        <v>377</v>
      </c>
      <c r="D160" s="34"/>
      <c r="E160" s="34">
        <v>28.7692351147517</v>
      </c>
      <c r="F160" s="34">
        <f>E160</f>
        <v>28.7692351147517</v>
      </c>
      <c r="G160" s="34"/>
      <c r="H160" s="34"/>
      <c r="I160" s="34">
        <f>F160</f>
        <v>28.7692351147517</v>
      </c>
      <c r="J160" s="34">
        <f>I160</f>
        <v>28.7692351147517</v>
      </c>
      <c r="K160" s="34"/>
      <c r="L160" s="34">
        <f>J160</f>
        <v>28.7692351147517</v>
      </c>
      <c r="M160" s="34"/>
      <c r="N160" s="34"/>
      <c r="O160" s="34"/>
      <c r="P160" s="34"/>
      <c r="Q160" s="34"/>
      <c r="R160" s="34"/>
      <c r="S160" s="34"/>
      <c r="T160" s="34"/>
      <c r="U160" s="34"/>
      <c r="V160" s="34">
        <f>L160</f>
        <v>28.7692351147517</v>
      </c>
      <c r="W160" s="34">
        <v>3</v>
      </c>
      <c r="AG160" s="167"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4" t="s">
        <v>17</v>
      </c>
      <c r="B161" s="34" t="s">
        <v>378</v>
      </c>
      <c r="C161" s="34" t="s">
        <v>378</v>
      </c>
      <c r="D161" s="34"/>
      <c r="E161" s="34">
        <v>7.75342561481203</v>
      </c>
      <c r="F161" s="34"/>
      <c r="G161" s="34"/>
      <c r="H161" s="34"/>
      <c r="I161" s="34">
        <v>10.6106392868222</v>
      </c>
      <c r="J161" s="34">
        <v>11.184011651854</v>
      </c>
      <c r="K161" s="34"/>
      <c r="L161" s="34">
        <v>11.9476259257563</v>
      </c>
      <c r="M161" s="34"/>
      <c r="N161" s="34"/>
      <c r="O161" s="34"/>
      <c r="P161" s="34"/>
      <c r="Q161" s="34"/>
      <c r="R161" s="34"/>
      <c r="S161" s="34"/>
      <c r="T161" s="34"/>
      <c r="U161" s="34"/>
      <c r="V161" s="34">
        <v>13.8206787126309</v>
      </c>
      <c r="W161" s="34">
        <v>3</v>
      </c>
      <c r="AG161" s="167"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4" t="s">
        <v>17</v>
      </c>
      <c r="B162" s="34" t="s">
        <v>379</v>
      </c>
      <c r="C162" s="34" t="s">
        <v>379</v>
      </c>
      <c r="D162" s="34"/>
      <c r="E162" s="34">
        <v>8.67473913168791</v>
      </c>
      <c r="F162" s="34"/>
      <c r="G162" s="34"/>
      <c r="H162" s="34"/>
      <c r="I162" s="34">
        <v>8.08336435165592</v>
      </c>
      <c r="J162" s="34">
        <v>7.89625828842359</v>
      </c>
      <c r="K162" s="34"/>
      <c r="L162" s="34">
        <v>7.54541790110384</v>
      </c>
      <c r="M162" s="34"/>
      <c r="N162" s="34"/>
      <c r="O162" s="34"/>
      <c r="P162" s="34"/>
      <c r="Q162" s="34"/>
      <c r="R162" s="34"/>
      <c r="S162" s="34"/>
      <c r="T162" s="34"/>
      <c r="U162" s="34"/>
      <c r="V162" s="34">
        <v>6.17662652933353</v>
      </c>
      <c r="W162" s="34">
        <v>3</v>
      </c>
      <c r="AG162" s="167"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4" t="s">
        <v>17</v>
      </c>
      <c r="B163" s="34" t="s">
        <v>381</v>
      </c>
      <c r="C163" s="34" t="s">
        <v>381</v>
      </c>
      <c r="D163" s="34"/>
      <c r="E163" s="34">
        <v>2.08057642901886</v>
      </c>
      <c r="F163" s="34">
        <f>E163</f>
        <v>2.08057642901886</v>
      </c>
      <c r="G163" s="34"/>
      <c r="H163" s="34"/>
      <c r="I163" s="34">
        <f>F163</f>
        <v>2.08057642901886</v>
      </c>
      <c r="J163" s="34">
        <f>I163</f>
        <v>2.08057642901886</v>
      </c>
      <c r="K163" s="34"/>
      <c r="L163" s="34">
        <f>J163</f>
        <v>2.08057642901886</v>
      </c>
      <c r="M163" s="34"/>
      <c r="N163" s="34"/>
      <c r="O163" s="34"/>
      <c r="P163" s="34"/>
      <c r="Q163" s="34"/>
      <c r="R163" s="34"/>
      <c r="S163" s="34"/>
      <c r="T163" s="34"/>
      <c r="U163" s="34"/>
      <c r="V163" s="34">
        <f>L163</f>
        <v>2.08057642901886</v>
      </c>
      <c r="W163" s="34">
        <v>3</v>
      </c>
      <c r="AG163" s="167"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4" t="s">
        <v>17</v>
      </c>
      <c r="B164" s="34" t="s">
        <v>382</v>
      </c>
      <c r="C164" s="34" t="s">
        <v>382</v>
      </c>
      <c r="D164" s="34"/>
      <c r="E164" s="34">
        <v>4.70380562556693</v>
      </c>
      <c r="F164" s="34">
        <f>E164</f>
        <v>4.70380562556693</v>
      </c>
      <c r="G164" s="34"/>
      <c r="H164" s="34"/>
      <c r="I164" s="34">
        <f>F164</f>
        <v>4.70380562556693</v>
      </c>
      <c r="J164" s="34">
        <f>I164</f>
        <v>4.70380562556693</v>
      </c>
      <c r="K164" s="34"/>
      <c r="L164" s="34">
        <f>J164</f>
        <v>4.70380562556693</v>
      </c>
      <c r="M164" s="34"/>
      <c r="N164" s="34"/>
      <c r="O164" s="34"/>
      <c r="P164" s="34"/>
      <c r="Q164" s="34"/>
      <c r="R164" s="34"/>
      <c r="S164" s="34"/>
      <c r="T164" s="34"/>
      <c r="U164" s="34"/>
      <c r="V164" s="34">
        <f>L164</f>
        <v>4.70380562556693</v>
      </c>
      <c r="W164" s="34">
        <v>3</v>
      </c>
      <c r="AG164" s="167"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4" t="s">
        <v>17</v>
      </c>
      <c r="B165" s="34" t="s">
        <v>383</v>
      </c>
      <c r="C165" s="34" t="s">
        <v>383</v>
      </c>
      <c r="D165" s="34">
        <v>1.855</v>
      </c>
      <c r="E165" s="34">
        <v>1.84588592025631</v>
      </c>
      <c r="F165" s="34"/>
      <c r="G165" s="34">
        <v>1.80095600813599</v>
      </c>
      <c r="H165" s="34">
        <v>1.76106431680021</v>
      </c>
      <c r="I165" s="34">
        <v>1.72004808657804</v>
      </c>
      <c r="J165" s="34">
        <v>1.68023404232009</v>
      </c>
      <c r="K165" s="34">
        <v>1.64191219533414</v>
      </c>
      <c r="L165" s="34">
        <v>1.6055791943322</v>
      </c>
      <c r="M165" s="34">
        <v>1.57049267824715</v>
      </c>
      <c r="N165" s="34">
        <v>1.53521529071534</v>
      </c>
      <c r="O165" s="34">
        <v>1.49944977002713</v>
      </c>
      <c r="P165" s="34">
        <v>1.46465046730681</v>
      </c>
      <c r="Q165" s="34">
        <v>1.43248181437752</v>
      </c>
      <c r="R165" s="34">
        <v>1.4037393590439</v>
      </c>
      <c r="S165" s="34">
        <v>1.37833370525641</v>
      </c>
      <c r="T165" s="34">
        <v>1.35560370971818</v>
      </c>
      <c r="U165" s="34">
        <v>1.3346967760003</v>
      </c>
      <c r="V165" s="34">
        <v>1.31431594334986</v>
      </c>
      <c r="W165" s="34">
        <v>3</v>
      </c>
      <c r="AG165" s="167"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4" t="s">
        <v>17</v>
      </c>
      <c r="B166" s="34" t="s">
        <v>384</v>
      </c>
      <c r="C166" s="34" t="s">
        <v>384</v>
      </c>
      <c r="D166" s="34">
        <v>0.36</v>
      </c>
      <c r="E166" s="34">
        <v>0.358231229807154</v>
      </c>
      <c r="F166" s="34"/>
      <c r="G166" s="34">
        <v>0.349511678128817</v>
      </c>
      <c r="H166" s="34">
        <v>0.341769894365539</v>
      </c>
      <c r="I166" s="34">
        <v>0.333809871249646</v>
      </c>
      <c r="J166" s="34">
        <v>0.326083156461043</v>
      </c>
      <c r="K166" s="34">
        <v>0.318646032517676</v>
      </c>
      <c r="L166" s="34">
        <v>0.311594884075252</v>
      </c>
      <c r="M166" s="34">
        <v>0.304785641061441</v>
      </c>
      <c r="N166" s="34">
        <v>0.297939355610524</v>
      </c>
      <c r="O166" s="34">
        <v>0.290998338118474</v>
      </c>
      <c r="P166" s="34">
        <v>0.28424483462558</v>
      </c>
      <c r="Q166" s="34">
        <v>0.278001861550354</v>
      </c>
      <c r="R166" s="34">
        <v>0.272423810919572</v>
      </c>
      <c r="S166" s="34">
        <v>0.267493333634667</v>
      </c>
      <c r="T166" s="34">
        <v>0.263082121562557</v>
      </c>
      <c r="U166" s="34">
        <v>0.259024711245341</v>
      </c>
      <c r="V166" s="34">
        <v>0.255069401404825</v>
      </c>
      <c r="W166" s="34">
        <v>3</v>
      </c>
      <c r="AG166" s="167"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4" t="s">
        <v>17</v>
      </c>
      <c r="B167" s="34" t="s">
        <v>385</v>
      </c>
      <c r="C167" s="34" t="s">
        <v>385</v>
      </c>
      <c r="D167" s="34">
        <v>2.94</v>
      </c>
      <c r="E167" s="34">
        <v>2.92555504342509</v>
      </c>
      <c r="F167" s="34"/>
      <c r="G167" s="34">
        <v>2.85434537138534</v>
      </c>
      <c r="H167" s="34">
        <v>2.79112080398524</v>
      </c>
      <c r="I167" s="34">
        <v>2.72611394853878</v>
      </c>
      <c r="J167" s="34">
        <v>2.66301244443185</v>
      </c>
      <c r="K167" s="34">
        <v>2.60227593222769</v>
      </c>
      <c r="L167" s="34">
        <v>2.54469155328122</v>
      </c>
      <c r="M167" s="34">
        <v>2.4890827353351</v>
      </c>
      <c r="N167" s="34">
        <v>2.43317140415261</v>
      </c>
      <c r="O167" s="34">
        <v>2.37648642796753</v>
      </c>
      <c r="P167" s="34">
        <v>2.3213328161089</v>
      </c>
      <c r="Q167" s="34">
        <v>2.27034853599456</v>
      </c>
      <c r="R167" s="34">
        <v>2.22479445584317</v>
      </c>
      <c r="S167" s="34">
        <v>2.18452889134978</v>
      </c>
      <c r="T167" s="34">
        <v>2.14850399276088</v>
      </c>
      <c r="U167" s="34">
        <v>2.11536847517029</v>
      </c>
      <c r="V167" s="34">
        <v>2.0830667781394</v>
      </c>
      <c r="W167" s="34">
        <v>3</v>
      </c>
      <c r="AG167" s="167"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4" t="s">
        <v>17</v>
      </c>
      <c r="B168" s="34" t="s">
        <v>386</v>
      </c>
      <c r="C168" s="34" t="s">
        <v>386</v>
      </c>
      <c r="D168" s="34">
        <v>108.66</v>
      </c>
      <c r="E168" s="34">
        <v>111.483120579211</v>
      </c>
      <c r="F168" s="34"/>
      <c r="G168" s="34">
        <v>131.450997343658</v>
      </c>
      <c r="H168" s="34">
        <v>148.727354809864</v>
      </c>
      <c r="I168" s="34">
        <v>164.139180270184</v>
      </c>
      <c r="J168" s="34">
        <v>177.212318632682</v>
      </c>
      <c r="K168" s="34">
        <v>188.343768234989</v>
      </c>
      <c r="L168" s="34">
        <v>198.297843458347</v>
      </c>
      <c r="M168" s="34">
        <v>207.806572265739</v>
      </c>
      <c r="N168" s="34">
        <v>217.276734164386</v>
      </c>
      <c r="O168" s="34">
        <v>226.82284193878</v>
      </c>
      <c r="P168" s="34">
        <v>235.975535460544</v>
      </c>
      <c r="Q168" s="34">
        <v>244.622264431406</v>
      </c>
      <c r="R168" s="34">
        <v>252.671395495324</v>
      </c>
      <c r="S168" s="34">
        <v>260.210978277129</v>
      </c>
      <c r="T168" s="34">
        <v>267.400530192511</v>
      </c>
      <c r="U168" s="34">
        <v>274.389079745819</v>
      </c>
      <c r="V168" s="34">
        <v>281.223056559144</v>
      </c>
      <c r="W168" s="34">
        <v>3</v>
      </c>
      <c r="AG168" s="167"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4" t="s">
        <v>17</v>
      </c>
      <c r="B169" s="34" t="s">
        <v>388</v>
      </c>
      <c r="C169" s="34" t="s">
        <v>388</v>
      </c>
      <c r="D169" s="34">
        <v>36.7</v>
      </c>
      <c r="E169" s="34">
        <v>37.4673209317966</v>
      </c>
      <c r="F169" s="34"/>
      <c r="G169" s="34">
        <v>43.0581762844974</v>
      </c>
      <c r="H169" s="34">
        <v>47.6013563048872</v>
      </c>
      <c r="I169" s="34">
        <v>51.2743975632423</v>
      </c>
      <c r="J169" s="34">
        <v>54.0451375537087</v>
      </c>
      <c r="K169" s="34">
        <v>56.102192151888</v>
      </c>
      <c r="L169" s="34">
        <v>57.7351943737215</v>
      </c>
      <c r="M169" s="34">
        <v>59.1570699567237</v>
      </c>
      <c r="N169" s="34">
        <v>60.4376429308147</v>
      </c>
      <c r="O169" s="34">
        <v>61.5950060849238</v>
      </c>
      <c r="P169" s="34">
        <v>62.5655151271122</v>
      </c>
      <c r="Q169" s="34">
        <v>63.4079181718187</v>
      </c>
      <c r="R169" s="34">
        <v>64.1576413759166</v>
      </c>
      <c r="S169" s="34">
        <v>64.8565608985283</v>
      </c>
      <c r="T169" s="34">
        <v>65.5317018862988</v>
      </c>
      <c r="U169" s="34">
        <v>66.1905878221129</v>
      </c>
      <c r="V169" s="34">
        <v>66.7864542134959</v>
      </c>
      <c r="W169" s="34">
        <v>3</v>
      </c>
      <c r="AG169" s="167"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4" t="s">
        <v>17</v>
      </c>
      <c r="B170" s="34" t="s">
        <v>389</v>
      </c>
      <c r="C170" s="34" t="s">
        <v>389</v>
      </c>
      <c r="D170" s="34">
        <v>26.56</v>
      </c>
      <c r="E170" s="34">
        <v>27.1153145490059</v>
      </c>
      <c r="F170" s="34"/>
      <c r="G170" s="34">
        <v>31.1614485590259</v>
      </c>
      <c r="H170" s="34">
        <v>34.4493739361799</v>
      </c>
      <c r="I170" s="34">
        <v>37.1075749122538</v>
      </c>
      <c r="J170" s="34">
        <v>39.1127752977249</v>
      </c>
      <c r="K170" s="34">
        <v>40.6014774810394</v>
      </c>
      <c r="L170" s="34">
        <v>41.7832905331347</v>
      </c>
      <c r="M170" s="34">
        <v>42.8123100286262</v>
      </c>
      <c r="N170" s="34">
        <v>43.7390680175052</v>
      </c>
      <c r="O170" s="34">
        <v>44.5766583546479</v>
      </c>
      <c r="P170" s="34">
        <v>45.2790213018011</v>
      </c>
      <c r="Q170" s="34">
        <v>45.8886732055451</v>
      </c>
      <c r="R170" s="34">
        <v>46.43125217832</v>
      </c>
      <c r="S170" s="34">
        <v>46.9370642361011</v>
      </c>
      <c r="T170" s="34">
        <v>47.4256676321552</v>
      </c>
      <c r="U170" s="34">
        <v>47.9025071540959</v>
      </c>
      <c r="V170" s="34">
        <v>48.3337390711295</v>
      </c>
      <c r="W170" s="34">
        <v>3</v>
      </c>
      <c r="AG170" s="167"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4" t="s">
        <v>18</v>
      </c>
      <c r="B171" s="34" t="s">
        <v>374</v>
      </c>
      <c r="C171" s="34" t="s">
        <v>374</v>
      </c>
      <c r="D171" s="34"/>
      <c r="E171" s="34">
        <v>0.385231112178535</v>
      </c>
      <c r="F171" s="34">
        <f>E171</f>
        <v>0.385231112178535</v>
      </c>
      <c r="G171" s="34"/>
      <c r="H171" s="34"/>
      <c r="I171" s="34">
        <f>F171</f>
        <v>0.385231112178535</v>
      </c>
      <c r="J171" s="34">
        <f>I171</f>
        <v>0.385231112178535</v>
      </c>
      <c r="K171" s="34"/>
      <c r="L171" s="34">
        <f>J171</f>
        <v>0.385231112178535</v>
      </c>
      <c r="M171" s="34"/>
      <c r="N171" s="34"/>
      <c r="O171" s="34"/>
      <c r="P171" s="34"/>
      <c r="Q171" s="34"/>
      <c r="R171" s="34"/>
      <c r="S171" s="34"/>
      <c r="T171" s="34"/>
      <c r="U171" s="34"/>
      <c r="V171" s="34">
        <f>L171</f>
        <v>0.385231112178535</v>
      </c>
      <c r="W171" s="34">
        <v>3</v>
      </c>
      <c r="AG171" s="167"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4" t="s">
        <v>18</v>
      </c>
      <c r="B172" s="34" t="s">
        <v>377</v>
      </c>
      <c r="C172" s="34" t="s">
        <v>377</v>
      </c>
      <c r="D172" s="34"/>
      <c r="E172" s="34">
        <v>13.2313227078569</v>
      </c>
      <c r="F172" s="34">
        <f>E172</f>
        <v>13.2313227078569</v>
      </c>
      <c r="G172" s="34"/>
      <c r="H172" s="34"/>
      <c r="I172" s="34">
        <f>F172</f>
        <v>13.2313227078569</v>
      </c>
      <c r="J172" s="34">
        <f>I172</f>
        <v>13.2313227078569</v>
      </c>
      <c r="K172" s="34"/>
      <c r="L172" s="34">
        <f>J172</f>
        <v>13.2313227078569</v>
      </c>
      <c r="M172" s="34"/>
      <c r="N172" s="34"/>
      <c r="O172" s="34"/>
      <c r="P172" s="34"/>
      <c r="Q172" s="34"/>
      <c r="R172" s="34"/>
      <c r="S172" s="34"/>
      <c r="T172" s="34"/>
      <c r="U172" s="34"/>
      <c r="V172" s="34">
        <f>L172</f>
        <v>13.2313227078569</v>
      </c>
      <c r="W172" s="34">
        <v>3</v>
      </c>
      <c r="AG172" s="167"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4" t="s">
        <v>18</v>
      </c>
      <c r="B173" s="34" t="s">
        <v>378</v>
      </c>
      <c r="C173" s="34" t="s">
        <v>378</v>
      </c>
      <c r="D173" s="34"/>
      <c r="E173" s="34">
        <v>0</v>
      </c>
      <c r="F173" s="34"/>
      <c r="G173" s="34"/>
      <c r="H173" s="34"/>
      <c r="I173" s="34">
        <v>0</v>
      </c>
      <c r="J173" s="34">
        <v>0</v>
      </c>
      <c r="K173" s="34"/>
      <c r="L173" s="34">
        <v>0</v>
      </c>
      <c r="M173" s="34"/>
      <c r="N173" s="34"/>
      <c r="O173" s="34"/>
      <c r="P173" s="34"/>
      <c r="Q173" s="34"/>
      <c r="R173" s="34"/>
      <c r="S173" s="34"/>
      <c r="T173" s="34"/>
      <c r="U173" s="34"/>
      <c r="V173" s="34">
        <v>0</v>
      </c>
      <c r="W173" s="34">
        <v>3</v>
      </c>
      <c r="AG173" s="167"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4" t="s">
        <v>18</v>
      </c>
      <c r="B174" s="34" t="s">
        <v>379</v>
      </c>
      <c r="C174" s="34" t="s">
        <v>379</v>
      </c>
      <c r="D174" s="34"/>
      <c r="E174" s="34">
        <v>0</v>
      </c>
      <c r="F174" s="34"/>
      <c r="G174" s="34"/>
      <c r="H174" s="34"/>
      <c r="I174" s="34">
        <v>0</v>
      </c>
      <c r="J174" s="34">
        <v>0</v>
      </c>
      <c r="K174" s="34"/>
      <c r="L174" s="34">
        <v>0</v>
      </c>
      <c r="M174" s="34"/>
      <c r="N174" s="34"/>
      <c r="O174" s="34"/>
      <c r="P174" s="34"/>
      <c r="Q174" s="34"/>
      <c r="R174" s="34"/>
      <c r="S174" s="34"/>
      <c r="T174" s="34"/>
      <c r="U174" s="34"/>
      <c r="V174" s="34">
        <v>0</v>
      </c>
      <c r="W174" s="34">
        <v>3</v>
      </c>
      <c r="AG174" s="167"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4" t="s">
        <v>18</v>
      </c>
      <c r="B175" s="34" t="s">
        <v>381</v>
      </c>
      <c r="C175" s="34" t="s">
        <v>381</v>
      </c>
      <c r="D175" s="34"/>
      <c r="E175" s="34">
        <v>0.709145337885679</v>
      </c>
      <c r="F175" s="34">
        <f>E175</f>
        <v>0.709145337885679</v>
      </c>
      <c r="G175" s="34"/>
      <c r="H175" s="34"/>
      <c r="I175" s="34">
        <f>F175</f>
        <v>0.709145337885679</v>
      </c>
      <c r="J175" s="34">
        <f>I175</f>
        <v>0.709145337885679</v>
      </c>
      <c r="K175" s="34"/>
      <c r="L175" s="34">
        <f>J175</f>
        <v>0.709145337885679</v>
      </c>
      <c r="M175" s="34"/>
      <c r="N175" s="34"/>
      <c r="O175" s="34"/>
      <c r="P175" s="34"/>
      <c r="Q175" s="34"/>
      <c r="R175" s="34"/>
      <c r="S175" s="34"/>
      <c r="T175" s="34"/>
      <c r="U175" s="34"/>
      <c r="V175" s="34">
        <f>L175</f>
        <v>0.709145337885679</v>
      </c>
      <c r="W175" s="34">
        <v>3</v>
      </c>
      <c r="AG175" s="167"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4" t="s">
        <v>18</v>
      </c>
      <c r="B176" s="34" t="s">
        <v>382</v>
      </c>
      <c r="C176" s="34" t="s">
        <v>382</v>
      </c>
      <c r="D176" s="34"/>
      <c r="E176" s="34">
        <v>2.73749995706238</v>
      </c>
      <c r="F176" s="34">
        <f>E176</f>
        <v>2.73749995706238</v>
      </c>
      <c r="G176" s="34"/>
      <c r="H176" s="34"/>
      <c r="I176" s="34">
        <f>F176</f>
        <v>2.73749995706238</v>
      </c>
      <c r="J176" s="34">
        <f>I176</f>
        <v>2.73749995706238</v>
      </c>
      <c r="K176" s="34"/>
      <c r="L176" s="34">
        <f>J176</f>
        <v>2.73749995706238</v>
      </c>
      <c r="M176" s="34"/>
      <c r="N176" s="34"/>
      <c r="O176" s="34"/>
      <c r="P176" s="34"/>
      <c r="Q176" s="34"/>
      <c r="R176" s="34"/>
      <c r="S176" s="34"/>
      <c r="T176" s="34"/>
      <c r="U176" s="34"/>
      <c r="V176" s="34">
        <f>L176</f>
        <v>2.73749995706238</v>
      </c>
      <c r="W176" s="34">
        <v>3</v>
      </c>
      <c r="AG176" s="167"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4" t="s">
        <v>18</v>
      </c>
      <c r="B177" s="34" t="s">
        <v>383</v>
      </c>
      <c r="C177" s="34" t="s">
        <v>383</v>
      </c>
      <c r="D177" s="34">
        <v>0.028</v>
      </c>
      <c r="E177" s="34">
        <v>0.0281507676635818</v>
      </c>
      <c r="F177" s="34"/>
      <c r="G177" s="34">
        <v>0.0288920716706338</v>
      </c>
      <c r="H177" s="34">
        <v>0.0295174140529994</v>
      </c>
      <c r="I177" s="34">
        <v>0.030075240885544</v>
      </c>
      <c r="J177" s="34">
        <v>0.0305600371931852</v>
      </c>
      <c r="K177" s="34">
        <v>0.0309852534431373</v>
      </c>
      <c r="L177" s="34">
        <v>0.0313836657482678</v>
      </c>
      <c r="M177" s="34">
        <v>0.031719447895035</v>
      </c>
      <c r="N177" s="34">
        <v>0.0320166850239041</v>
      </c>
      <c r="O177" s="34">
        <v>0.0322792458843346</v>
      </c>
      <c r="P177" s="34">
        <v>0.0325028578302356</v>
      </c>
      <c r="Q177" s="34">
        <v>0.0326822308456635</v>
      </c>
      <c r="R177" s="34">
        <v>0.0328100520771636</v>
      </c>
      <c r="S177" s="34">
        <v>0.0328830780375158</v>
      </c>
      <c r="T177" s="34">
        <v>0.0329082985415918</v>
      </c>
      <c r="U177" s="34">
        <v>0.0329117446729589</v>
      </c>
      <c r="V177" s="34">
        <v>0.0329249401163573</v>
      </c>
      <c r="W177" s="34">
        <v>3</v>
      </c>
      <c r="AG177" s="167"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4" t="s">
        <v>18</v>
      </c>
      <c r="B178" s="34" t="s">
        <v>384</v>
      </c>
      <c r="C178" s="34" t="s">
        <v>384</v>
      </c>
      <c r="D178" s="34">
        <v>0.015</v>
      </c>
      <c r="E178" s="34">
        <v>0.0150807683912045</v>
      </c>
      <c r="F178" s="34"/>
      <c r="G178" s="34">
        <v>0.0154778955378396</v>
      </c>
      <c r="H178" s="34">
        <v>0.0158129003855354</v>
      </c>
      <c r="I178" s="34">
        <v>0.0161117361886843</v>
      </c>
      <c r="J178" s="34">
        <v>0.0163714484963492</v>
      </c>
      <c r="K178" s="34">
        <v>0.0165992429159664</v>
      </c>
      <c r="L178" s="34">
        <v>0.0168126780794292</v>
      </c>
      <c r="M178" s="34">
        <v>0.0169925613723402</v>
      </c>
      <c r="N178" s="34">
        <v>0.01715179554852</v>
      </c>
      <c r="O178" s="34">
        <v>0.0172924531523221</v>
      </c>
      <c r="P178" s="34">
        <v>0.0174122452661977</v>
      </c>
      <c r="Q178" s="34">
        <v>0.017508337953034</v>
      </c>
      <c r="R178" s="34">
        <v>0.0175768136127662</v>
      </c>
      <c r="S178" s="34">
        <v>0.0176159346629549</v>
      </c>
      <c r="T178" s="34">
        <v>0.0176294456472813</v>
      </c>
      <c r="U178" s="34">
        <v>0.0176312917890851</v>
      </c>
      <c r="V178" s="34">
        <v>0.01763836077662</v>
      </c>
      <c r="W178" s="34">
        <v>3</v>
      </c>
      <c r="AG178" s="167"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4" t="s">
        <v>18</v>
      </c>
      <c r="B179" s="34" t="s">
        <v>385</v>
      </c>
      <c r="C179" s="34" t="s">
        <v>385</v>
      </c>
      <c r="D179" s="34">
        <v>0.035</v>
      </c>
      <c r="E179" s="34">
        <v>0.0351884595794772</v>
      </c>
      <c r="F179" s="34"/>
      <c r="G179" s="34">
        <v>0.0361150895882923</v>
      </c>
      <c r="H179" s="34">
        <v>0.0368967675662493</v>
      </c>
      <c r="I179" s="34">
        <v>0.03759405110693</v>
      </c>
      <c r="J179" s="34">
        <v>0.0382000464914815</v>
      </c>
      <c r="K179" s="34">
        <v>0.0387315668039216</v>
      </c>
      <c r="L179" s="34">
        <v>0.0392295821853347</v>
      </c>
      <c r="M179" s="34">
        <v>0.0396493098687937</v>
      </c>
      <c r="N179" s="34">
        <v>0.0400208562798801</v>
      </c>
      <c r="O179" s="34">
        <v>0.0403490573554182</v>
      </c>
      <c r="P179" s="34">
        <v>0.0406285722877945</v>
      </c>
      <c r="Q179" s="34">
        <v>0.0408527885570794</v>
      </c>
      <c r="R179" s="34">
        <v>0.0410125650964545</v>
      </c>
      <c r="S179" s="34">
        <v>0.0411038475468948</v>
      </c>
      <c r="T179" s="34">
        <v>0.0411353731769897</v>
      </c>
      <c r="U179" s="34">
        <v>0.0411396808411987</v>
      </c>
      <c r="V179" s="34">
        <v>0.0411561751454467</v>
      </c>
      <c r="W179" s="34">
        <v>3</v>
      </c>
      <c r="AG179" s="167"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4" t="s">
        <v>18</v>
      </c>
      <c r="B180" s="34" t="s">
        <v>386</v>
      </c>
      <c r="C180" s="34" t="s">
        <v>386</v>
      </c>
      <c r="D180" s="34">
        <v>3.348</v>
      </c>
      <c r="E180" s="34">
        <v>3.37830571229301</v>
      </c>
      <c r="F180" s="34"/>
      <c r="G180" s="34">
        <v>3.87500051462122</v>
      </c>
      <c r="H180" s="34">
        <v>4.20817276551987</v>
      </c>
      <c r="I180" s="34">
        <v>4.5185339010783</v>
      </c>
      <c r="J180" s="34">
        <v>4.81365085398528</v>
      </c>
      <c r="K180" s="34">
        <v>5.08143566161218</v>
      </c>
      <c r="L180" s="34">
        <v>5.30663734782078</v>
      </c>
      <c r="M180" s="34">
        <v>5.4989134394951</v>
      </c>
      <c r="N180" s="34">
        <v>5.67008837652624</v>
      </c>
      <c r="O180" s="34">
        <v>5.82867965320323</v>
      </c>
      <c r="P180" s="34">
        <v>5.96810517951262</v>
      </c>
      <c r="Q180" s="34">
        <v>6.08774359000258</v>
      </c>
      <c r="R180" s="34">
        <v>6.18944548440854</v>
      </c>
      <c r="S180" s="34">
        <v>6.27497715089905</v>
      </c>
      <c r="T180" s="34">
        <v>6.34684610536415</v>
      </c>
      <c r="U180" s="34">
        <v>6.40533710802108</v>
      </c>
      <c r="V180" s="34">
        <v>6.44939248330905</v>
      </c>
      <c r="W180" s="34">
        <v>3</v>
      </c>
      <c r="AG180" s="167"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4" t="s">
        <v>18</v>
      </c>
      <c r="B181" s="34" t="s">
        <v>388</v>
      </c>
      <c r="C181" s="34" t="s">
        <v>388</v>
      </c>
      <c r="D181" s="34">
        <v>0.8</v>
      </c>
      <c r="E181" s="34">
        <v>0.811598045312603</v>
      </c>
      <c r="F181" s="34"/>
      <c r="G181" s="34">
        <v>0.956296174254752</v>
      </c>
      <c r="H181" s="34">
        <v>1.06151832422624</v>
      </c>
      <c r="I181" s="34">
        <v>1.16181248163338</v>
      </c>
      <c r="J181" s="34">
        <v>1.25805472412061</v>
      </c>
      <c r="K181" s="34">
        <v>1.34686744824534</v>
      </c>
      <c r="L181" s="34">
        <v>1.42493634094222</v>
      </c>
      <c r="M181" s="34">
        <v>1.49258765159579</v>
      </c>
      <c r="N181" s="34">
        <v>1.5536589657985</v>
      </c>
      <c r="O181" s="34">
        <v>1.61037403078488</v>
      </c>
      <c r="P181" s="34">
        <v>1.66044622328338</v>
      </c>
      <c r="Q181" s="34">
        <v>1.70317277426145</v>
      </c>
      <c r="R181" s="34">
        <v>1.73845835703833</v>
      </c>
      <c r="S181" s="34">
        <v>1.76643522869867</v>
      </c>
      <c r="T181" s="34">
        <v>1.78804631253495</v>
      </c>
      <c r="U181" s="34">
        <v>1.8047145761176</v>
      </c>
      <c r="V181" s="34">
        <v>1.81785911890695</v>
      </c>
      <c r="W181" s="34">
        <v>3</v>
      </c>
      <c r="AG181" s="167"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4" t="s">
        <v>18</v>
      </c>
      <c r="B182" s="34" t="s">
        <v>389</v>
      </c>
      <c r="C182" s="34" t="s">
        <v>389</v>
      </c>
      <c r="D182" s="34">
        <v>0.44</v>
      </c>
      <c r="E182" s="34">
        <v>0.446378924921931</v>
      </c>
      <c r="F182" s="34"/>
      <c r="G182" s="34">
        <v>0.525962895840114</v>
      </c>
      <c r="H182" s="34">
        <v>0.583835078324434</v>
      </c>
      <c r="I182" s="34">
        <v>0.638996864898358</v>
      </c>
      <c r="J182" s="34">
        <v>0.691930098266334</v>
      </c>
      <c r="K182" s="34">
        <v>0.740777096534935</v>
      </c>
      <c r="L182" s="34">
        <v>0.783714987518223</v>
      </c>
      <c r="M182" s="34">
        <v>0.820923208377685</v>
      </c>
      <c r="N182" s="34">
        <v>0.854512431189175</v>
      </c>
      <c r="O182" s="34">
        <v>0.885705716931683</v>
      </c>
      <c r="P182" s="34">
        <v>0.913245422805859</v>
      </c>
      <c r="Q182" s="34">
        <v>0.936745025843797</v>
      </c>
      <c r="R182" s="34">
        <v>0.956152096371083</v>
      </c>
      <c r="S182" s="34">
        <v>0.971539375784268</v>
      </c>
      <c r="T182" s="34">
        <v>0.983425471894223</v>
      </c>
      <c r="U182" s="34">
        <v>0.992593016864682</v>
      </c>
      <c r="V182" s="34">
        <v>0.99982251539882</v>
      </c>
      <c r="W182" s="34">
        <v>3</v>
      </c>
      <c r="AG182" s="167"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4" t="s">
        <v>19</v>
      </c>
      <c r="B183" s="34" t="s">
        <v>374</v>
      </c>
      <c r="C183" s="34" t="s">
        <v>374</v>
      </c>
      <c r="D183" s="34"/>
      <c r="E183" s="34">
        <v>186.015286947819</v>
      </c>
      <c r="F183" s="34">
        <f>E183</f>
        <v>186.015286947819</v>
      </c>
      <c r="G183" s="34"/>
      <c r="H183" s="34"/>
      <c r="I183" s="34">
        <f>F183</f>
        <v>186.015286947819</v>
      </c>
      <c r="J183" s="34">
        <f>I183</f>
        <v>186.015286947819</v>
      </c>
      <c r="K183" s="34"/>
      <c r="L183" s="34">
        <f>J183</f>
        <v>186.015286947819</v>
      </c>
      <c r="M183" s="34"/>
      <c r="N183" s="34"/>
      <c r="O183" s="34"/>
      <c r="P183" s="34"/>
      <c r="Q183" s="34"/>
      <c r="R183" s="34"/>
      <c r="S183" s="34"/>
      <c r="T183" s="34"/>
      <c r="U183" s="34"/>
      <c r="V183" s="34">
        <f>L183</f>
        <v>186.015286947819</v>
      </c>
      <c r="W183" s="34">
        <v>3</v>
      </c>
      <c r="AG183" s="167"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4" t="s">
        <v>19</v>
      </c>
      <c r="B184" s="34" t="s">
        <v>377</v>
      </c>
      <c r="C184" s="34" t="s">
        <v>377</v>
      </c>
      <c r="D184" s="34"/>
      <c r="E184" s="34">
        <v>184.129899916563</v>
      </c>
      <c r="F184" s="34">
        <f>E184</f>
        <v>184.129899916563</v>
      </c>
      <c r="G184" s="34"/>
      <c r="H184" s="34"/>
      <c r="I184" s="34">
        <f>F184</f>
        <v>184.129899916563</v>
      </c>
      <c r="J184" s="34">
        <f>I184</f>
        <v>184.129899916563</v>
      </c>
      <c r="K184" s="34"/>
      <c r="L184" s="34">
        <f>J184</f>
        <v>184.129899916563</v>
      </c>
      <c r="M184" s="34"/>
      <c r="N184" s="34"/>
      <c r="O184" s="34"/>
      <c r="P184" s="34"/>
      <c r="Q184" s="34"/>
      <c r="R184" s="34"/>
      <c r="S184" s="34"/>
      <c r="T184" s="34"/>
      <c r="U184" s="34"/>
      <c r="V184" s="34">
        <f>L184</f>
        <v>184.129899916563</v>
      </c>
      <c r="W184" s="34">
        <v>3</v>
      </c>
      <c r="AG184" s="167"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4" t="s">
        <v>19</v>
      </c>
      <c r="B185" s="34" t="s">
        <v>378</v>
      </c>
      <c r="C185" s="34" t="s">
        <v>378</v>
      </c>
      <c r="D185" s="34"/>
      <c r="E185" s="34">
        <v>78.4974489885753</v>
      </c>
      <c r="F185" s="34"/>
      <c r="G185" s="34"/>
      <c r="H185" s="34"/>
      <c r="I185" s="34">
        <v>179.473164032869</v>
      </c>
      <c r="J185" s="34">
        <v>217.58565066713</v>
      </c>
      <c r="K185" s="34"/>
      <c r="L185" s="34">
        <v>299.687527515158</v>
      </c>
      <c r="M185" s="34"/>
      <c r="N185" s="34"/>
      <c r="O185" s="34"/>
      <c r="P185" s="34"/>
      <c r="Q185" s="34"/>
      <c r="R185" s="34"/>
      <c r="S185" s="34"/>
      <c r="T185" s="34"/>
      <c r="U185" s="34"/>
      <c r="V185" s="34">
        <v>700.385629999891</v>
      </c>
      <c r="W185" s="34">
        <v>3</v>
      </c>
      <c r="AG185" s="167"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4" t="s">
        <v>19</v>
      </c>
      <c r="B186" s="34" t="s">
        <v>379</v>
      </c>
      <c r="C186" s="34" t="s">
        <v>379</v>
      </c>
      <c r="D186" s="34"/>
      <c r="E186" s="34">
        <v>104.060158429408</v>
      </c>
      <c r="F186" s="34"/>
      <c r="G186" s="34"/>
      <c r="H186" s="34"/>
      <c r="I186" s="34">
        <v>115.579723919514</v>
      </c>
      <c r="J186" s="34">
        <v>118.102884953976</v>
      </c>
      <c r="K186" s="34"/>
      <c r="L186" s="34">
        <v>120.651844860726</v>
      </c>
      <c r="M186" s="34"/>
      <c r="N186" s="34"/>
      <c r="O186" s="34"/>
      <c r="P186" s="34"/>
      <c r="Q186" s="34"/>
      <c r="R186" s="34"/>
      <c r="S186" s="34"/>
      <c r="T186" s="34"/>
      <c r="U186" s="34"/>
      <c r="V186" s="34">
        <v>106.318426449093</v>
      </c>
      <c r="W186" s="34">
        <v>3</v>
      </c>
      <c r="AG186" s="167"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4" t="s">
        <v>19</v>
      </c>
      <c r="B187" s="34" t="s">
        <v>381</v>
      </c>
      <c r="C187" s="34" t="s">
        <v>381</v>
      </c>
      <c r="D187" s="34"/>
      <c r="E187" s="34">
        <v>66.791549374975</v>
      </c>
      <c r="F187" s="34">
        <f>E187</f>
        <v>66.791549374975</v>
      </c>
      <c r="G187" s="34"/>
      <c r="H187" s="34"/>
      <c r="I187" s="34">
        <f>F187</f>
        <v>66.791549374975</v>
      </c>
      <c r="J187" s="34">
        <f>I187</f>
        <v>66.791549374975</v>
      </c>
      <c r="K187" s="34"/>
      <c r="L187" s="34">
        <f>J187</f>
        <v>66.791549374975</v>
      </c>
      <c r="M187" s="34"/>
      <c r="N187" s="34"/>
      <c r="O187" s="34"/>
      <c r="P187" s="34"/>
      <c r="Q187" s="34"/>
      <c r="R187" s="34"/>
      <c r="S187" s="34"/>
      <c r="T187" s="34"/>
      <c r="U187" s="34"/>
      <c r="V187" s="34">
        <f>L187</f>
        <v>66.791549374975</v>
      </c>
      <c r="W187" s="34">
        <v>3</v>
      </c>
      <c r="AG187" s="167"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4" t="s">
        <v>19</v>
      </c>
      <c r="B188" s="34" t="s">
        <v>382</v>
      </c>
      <c r="C188" s="34" t="s">
        <v>382</v>
      </c>
      <c r="D188" s="34"/>
      <c r="E188" s="34">
        <v>70.7067159866117</v>
      </c>
      <c r="F188" s="34">
        <f>E188</f>
        <v>70.7067159866117</v>
      </c>
      <c r="G188" s="34"/>
      <c r="H188" s="34"/>
      <c r="I188" s="34">
        <f>F188</f>
        <v>70.7067159866117</v>
      </c>
      <c r="J188" s="34">
        <f>I188</f>
        <v>70.7067159866117</v>
      </c>
      <c r="K188" s="34"/>
      <c r="L188" s="34">
        <f>J188</f>
        <v>70.7067159866117</v>
      </c>
      <c r="M188" s="34"/>
      <c r="N188" s="34"/>
      <c r="O188" s="34"/>
      <c r="P188" s="34"/>
      <c r="Q188" s="34"/>
      <c r="R188" s="34"/>
      <c r="S188" s="34"/>
      <c r="T188" s="34"/>
      <c r="U188" s="34"/>
      <c r="V188" s="34">
        <f>L188</f>
        <v>70.7067159866117</v>
      </c>
      <c r="W188" s="34">
        <v>3</v>
      </c>
      <c r="AG188" s="167"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4" t="s">
        <v>19</v>
      </c>
      <c r="B189" s="34" t="s">
        <v>383</v>
      </c>
      <c r="C189" s="34" t="s">
        <v>383</v>
      </c>
      <c r="D189" s="34">
        <v>531.783</v>
      </c>
      <c r="E189" s="34">
        <v>536.054481556875</v>
      </c>
      <c r="F189" s="34"/>
      <c r="G189" s="34">
        <v>557.15038533408</v>
      </c>
      <c r="H189" s="34">
        <v>578.248318439949</v>
      </c>
      <c r="I189" s="34">
        <v>595.396258465166</v>
      </c>
      <c r="J189" s="34">
        <v>608.394045520528</v>
      </c>
      <c r="K189" s="34">
        <v>617.032042813859</v>
      </c>
      <c r="L189" s="34">
        <v>621.524732634073</v>
      </c>
      <c r="M189" s="34">
        <v>623.170645536594</v>
      </c>
      <c r="N189" s="34">
        <v>622.311172111054</v>
      </c>
      <c r="O189" s="34">
        <v>618.761229997674</v>
      </c>
      <c r="P189" s="34">
        <v>612.895269354869</v>
      </c>
      <c r="Q189" s="34">
        <v>604.723306292562</v>
      </c>
      <c r="R189" s="34">
        <v>594.727766940813</v>
      </c>
      <c r="S189" s="34">
        <v>583.561720731607</v>
      </c>
      <c r="T189" s="34">
        <v>571.815301289337</v>
      </c>
      <c r="U189" s="34">
        <v>559.761041359256</v>
      </c>
      <c r="V189" s="34">
        <v>547.687701328783</v>
      </c>
      <c r="W189" s="34">
        <v>3</v>
      </c>
      <c r="AG189" s="167"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4" t="s">
        <v>19</v>
      </c>
      <c r="B190" s="34" t="s">
        <v>384</v>
      </c>
      <c r="C190" s="34" t="s">
        <v>384</v>
      </c>
      <c r="D190" s="34">
        <v>168.165</v>
      </c>
      <c r="E190" s="34">
        <v>169.515764684113</v>
      </c>
      <c r="F190" s="34"/>
      <c r="G190" s="34">
        <v>176.186893055449</v>
      </c>
      <c r="H190" s="34">
        <v>182.85866315857</v>
      </c>
      <c r="I190" s="34">
        <v>188.281332432204</v>
      </c>
      <c r="J190" s="34">
        <v>192.391604592399</v>
      </c>
      <c r="K190" s="34">
        <v>195.123186487331</v>
      </c>
      <c r="L190" s="34">
        <v>196.543903553534</v>
      </c>
      <c r="M190" s="34">
        <v>197.064388306248</v>
      </c>
      <c r="N190" s="34">
        <v>196.792598217798</v>
      </c>
      <c r="O190" s="34">
        <v>195.670004950438</v>
      </c>
      <c r="P190" s="34">
        <v>193.815020358044</v>
      </c>
      <c r="Q190" s="34">
        <v>191.230811821154</v>
      </c>
      <c r="R190" s="34">
        <v>188.069936285293</v>
      </c>
      <c r="S190" s="34">
        <v>184.538912990507</v>
      </c>
      <c r="T190" s="34">
        <v>180.82435907376</v>
      </c>
      <c r="U190" s="34">
        <v>177.012457186821</v>
      </c>
      <c r="V190" s="34">
        <v>173.194521626218</v>
      </c>
      <c r="W190" s="34">
        <v>3</v>
      </c>
      <c r="AG190" s="167"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4" t="s">
        <v>19</v>
      </c>
      <c r="B191" s="34" t="s">
        <v>385</v>
      </c>
      <c r="C191" s="34" t="s">
        <v>385</v>
      </c>
      <c r="D191" s="34">
        <v>37.835</v>
      </c>
      <c r="E191" s="34">
        <v>38.1389049851243</v>
      </c>
      <c r="F191" s="34"/>
      <c r="G191" s="34">
        <v>39.6398245696363</v>
      </c>
      <c r="H191" s="34">
        <v>41.1408885356912</v>
      </c>
      <c r="I191" s="34">
        <v>42.3609205992474</v>
      </c>
      <c r="J191" s="34">
        <v>43.2856798962531</v>
      </c>
      <c r="K191" s="34">
        <v>43.9002513052549</v>
      </c>
      <c r="L191" s="34">
        <v>44.219894692403</v>
      </c>
      <c r="M191" s="34">
        <v>44.3369971847107</v>
      </c>
      <c r="N191" s="34">
        <v>44.2758478492575</v>
      </c>
      <c r="O191" s="34">
        <v>44.0232785496377</v>
      </c>
      <c r="P191" s="34">
        <v>43.605930456674</v>
      </c>
      <c r="Q191" s="34">
        <v>43.0245161909634</v>
      </c>
      <c r="R191" s="34">
        <v>42.3133591374783</v>
      </c>
      <c r="S191" s="34">
        <v>41.51892351557</v>
      </c>
      <c r="T191" s="34">
        <v>40.6831958228865</v>
      </c>
      <c r="U191" s="34">
        <v>39.8255660670376</v>
      </c>
      <c r="V191" s="34">
        <v>38.966578810858</v>
      </c>
      <c r="W191" s="34">
        <v>3</v>
      </c>
      <c r="AG191" s="167"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4" t="s">
        <v>19</v>
      </c>
      <c r="B192" s="34" t="s">
        <v>386</v>
      </c>
      <c r="C192" s="34" t="s">
        <v>386</v>
      </c>
      <c r="D192" s="34">
        <v>568.104</v>
      </c>
      <c r="E192" s="34">
        <v>584.729060028635</v>
      </c>
      <c r="F192" s="34"/>
      <c r="G192" s="34">
        <v>780.801081496547</v>
      </c>
      <c r="H192" s="34">
        <v>990.316181829653</v>
      </c>
      <c r="I192" s="34">
        <v>1202.97877553391</v>
      </c>
      <c r="J192" s="34">
        <v>1427.02378057992</v>
      </c>
      <c r="K192" s="34">
        <v>1666.0988974572</v>
      </c>
      <c r="L192" s="34">
        <v>1923.5467067764</v>
      </c>
      <c r="M192" s="34">
        <v>2200.43648297593</v>
      </c>
      <c r="N192" s="34">
        <v>2495.57104956898</v>
      </c>
      <c r="O192" s="34">
        <v>2807.42288199203</v>
      </c>
      <c r="P192" s="34">
        <v>3127.40357717487</v>
      </c>
      <c r="Q192" s="34">
        <v>3457.34204228706</v>
      </c>
      <c r="R192" s="34">
        <v>3790.19017424105</v>
      </c>
      <c r="S192" s="34">
        <v>4123.22684797869</v>
      </c>
      <c r="T192" s="34">
        <v>4454.42923573282</v>
      </c>
      <c r="U192" s="34">
        <v>4783.6885741564</v>
      </c>
      <c r="V192" s="34">
        <v>5111.66206826436</v>
      </c>
      <c r="W192" s="34">
        <v>3</v>
      </c>
      <c r="AG192" s="167"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4" t="s">
        <v>19</v>
      </c>
      <c r="B193" s="34" t="s">
        <v>388</v>
      </c>
      <c r="C193" s="34" t="s">
        <v>388</v>
      </c>
      <c r="D193" s="34">
        <v>127.3</v>
      </c>
      <c r="E193" s="34">
        <v>132.077839615978</v>
      </c>
      <c r="F193" s="34"/>
      <c r="G193" s="34">
        <v>183.332943765281</v>
      </c>
      <c r="H193" s="34">
        <v>241.38391997778</v>
      </c>
      <c r="I193" s="34">
        <v>301.977046132485</v>
      </c>
      <c r="J193" s="34">
        <v>366.10416060443</v>
      </c>
      <c r="K193" s="34">
        <v>433.566840514055</v>
      </c>
      <c r="L193" s="34">
        <v>504.246720168152</v>
      </c>
      <c r="M193" s="34">
        <v>578.377844535246</v>
      </c>
      <c r="N193" s="34">
        <v>655.036467268197</v>
      </c>
      <c r="O193" s="34">
        <v>732.628461416587</v>
      </c>
      <c r="P193" s="34">
        <v>808.280861870122</v>
      </c>
      <c r="Q193" s="34">
        <v>881.45847153819</v>
      </c>
      <c r="R193" s="34">
        <v>950.099055974585</v>
      </c>
      <c r="S193" s="34">
        <v>1013.87273132779</v>
      </c>
      <c r="T193" s="34">
        <v>1072.91797887784</v>
      </c>
      <c r="U193" s="34">
        <v>1127.54965767977</v>
      </c>
      <c r="V193" s="34">
        <v>1178.4513012891</v>
      </c>
      <c r="W193" s="34">
        <v>3</v>
      </c>
      <c r="AG193" s="167"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4" t="s">
        <v>19</v>
      </c>
      <c r="B194" s="34" t="s">
        <v>389</v>
      </c>
      <c r="C194" s="34" t="s">
        <v>389</v>
      </c>
      <c r="D194" s="34">
        <v>179.96</v>
      </c>
      <c r="E194" s="34">
        <v>186.714281361283</v>
      </c>
      <c r="F194" s="34"/>
      <c r="G194" s="34">
        <v>259.172007541241</v>
      </c>
      <c r="H194" s="34">
        <v>341.236843984299</v>
      </c>
      <c r="I194" s="34">
        <v>426.895437721932</v>
      </c>
      <c r="J194" s="34">
        <v>517.549919421628</v>
      </c>
      <c r="K194" s="34">
        <v>612.91978490895</v>
      </c>
      <c r="L194" s="34">
        <v>712.837704331977</v>
      </c>
      <c r="M194" s="34">
        <v>817.634539690204</v>
      </c>
      <c r="N194" s="34">
        <v>926.004419871051</v>
      </c>
      <c r="O194" s="34">
        <v>1035.69377782034</v>
      </c>
      <c r="P194" s="34">
        <v>1142.64119326117</v>
      </c>
      <c r="Q194" s="34">
        <v>1246.09007492547</v>
      </c>
      <c r="R194" s="34">
        <v>1343.12510693783</v>
      </c>
      <c r="S194" s="34">
        <v>1433.27994288884</v>
      </c>
      <c r="T194" s="34">
        <v>1516.75034940185</v>
      </c>
      <c r="U194" s="34">
        <v>1593.9814328048</v>
      </c>
      <c r="V194" s="34">
        <v>1665.93948295354</v>
      </c>
      <c r="W194" s="34">
        <v>3</v>
      </c>
      <c r="AG194" s="167"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4" t="s">
        <v>20</v>
      </c>
      <c r="B195" s="34" t="s">
        <v>374</v>
      </c>
      <c r="C195" s="34" t="s">
        <v>374</v>
      </c>
      <c r="D195" s="34"/>
      <c r="E195" s="34">
        <v>0.256072074981676</v>
      </c>
      <c r="F195" s="34">
        <f>E195</f>
        <v>0.256072074981676</v>
      </c>
      <c r="G195" s="34"/>
      <c r="H195" s="34"/>
      <c r="I195" s="34">
        <f>F195</f>
        <v>0.256072074981676</v>
      </c>
      <c r="J195" s="34">
        <f>I195</f>
        <v>0.256072074981676</v>
      </c>
      <c r="K195" s="34"/>
      <c r="L195" s="34">
        <f>J195</f>
        <v>0.256072074981676</v>
      </c>
      <c r="M195" s="34"/>
      <c r="N195" s="34"/>
      <c r="O195" s="34"/>
      <c r="P195" s="34"/>
      <c r="Q195" s="34"/>
      <c r="R195" s="34"/>
      <c r="S195" s="34"/>
      <c r="T195" s="34"/>
      <c r="U195" s="34"/>
      <c r="V195" s="34">
        <f>L195</f>
        <v>0.256072074981676</v>
      </c>
      <c r="W195" s="34">
        <v>3</v>
      </c>
      <c r="AG195" s="167"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4" t="s">
        <v>20</v>
      </c>
      <c r="B196" s="34" t="s">
        <v>377</v>
      </c>
      <c r="C196" s="34" t="s">
        <v>377</v>
      </c>
      <c r="D196" s="34"/>
      <c r="E196" s="34">
        <v>47.3746158946769</v>
      </c>
      <c r="F196" s="34">
        <f>E196</f>
        <v>47.3746158946769</v>
      </c>
      <c r="G196" s="34"/>
      <c r="H196" s="34"/>
      <c r="I196" s="34">
        <f>F196</f>
        <v>47.3746158946769</v>
      </c>
      <c r="J196" s="34">
        <f>I196</f>
        <v>47.3746158946769</v>
      </c>
      <c r="K196" s="34"/>
      <c r="L196" s="34">
        <f>J196</f>
        <v>47.3746158946769</v>
      </c>
      <c r="M196" s="34"/>
      <c r="N196" s="34"/>
      <c r="O196" s="34"/>
      <c r="P196" s="34"/>
      <c r="Q196" s="34"/>
      <c r="R196" s="34"/>
      <c r="S196" s="34"/>
      <c r="T196" s="34"/>
      <c r="U196" s="34"/>
      <c r="V196" s="34">
        <f>L196</f>
        <v>47.3746158946769</v>
      </c>
      <c r="W196" s="34">
        <v>3</v>
      </c>
      <c r="AG196" s="167"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4" t="s">
        <v>20</v>
      </c>
      <c r="B197" s="34" t="s">
        <v>378</v>
      </c>
      <c r="C197" s="34" t="s">
        <v>378</v>
      </c>
      <c r="D197" s="34"/>
      <c r="E197" s="34">
        <v>1.54205978731801</v>
      </c>
      <c r="F197" s="34"/>
      <c r="G197" s="34"/>
      <c r="H197" s="34"/>
      <c r="I197" s="34">
        <v>2.2933747443729</v>
      </c>
      <c r="J197" s="34">
        <v>2.50091005576803</v>
      </c>
      <c r="K197" s="34"/>
      <c r="L197" s="34">
        <v>3.00411860431572</v>
      </c>
      <c r="M197" s="34"/>
      <c r="N197" s="34"/>
      <c r="O197" s="34"/>
      <c r="P197" s="34"/>
      <c r="Q197" s="34"/>
      <c r="R197" s="34"/>
      <c r="S197" s="34"/>
      <c r="T197" s="34"/>
      <c r="U197" s="34"/>
      <c r="V197" s="34">
        <v>4.38797476185201</v>
      </c>
      <c r="W197" s="34">
        <v>3</v>
      </c>
      <c r="AG197" s="167"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4" t="s">
        <v>20</v>
      </c>
      <c r="B198" s="34" t="s">
        <v>379</v>
      </c>
      <c r="C198" s="34" t="s">
        <v>379</v>
      </c>
      <c r="D198" s="34"/>
      <c r="E198" s="34">
        <v>0.352843445576617</v>
      </c>
      <c r="F198" s="34"/>
      <c r="G198" s="34"/>
      <c r="H198" s="34"/>
      <c r="I198" s="34">
        <v>0.380077614067599</v>
      </c>
      <c r="J198" s="34">
        <v>0.388635517829094</v>
      </c>
      <c r="K198" s="34"/>
      <c r="L198" s="34">
        <v>0.405863584509525</v>
      </c>
      <c r="M198" s="34"/>
      <c r="N198" s="34"/>
      <c r="O198" s="34"/>
      <c r="P198" s="34"/>
      <c r="Q198" s="34"/>
      <c r="R198" s="34"/>
      <c r="S198" s="34"/>
      <c r="T198" s="34"/>
      <c r="U198" s="34"/>
      <c r="V198" s="34">
        <v>0.439997486713419</v>
      </c>
      <c r="W198" s="34">
        <v>3</v>
      </c>
      <c r="AG198" s="167"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4" t="s">
        <v>20</v>
      </c>
      <c r="B199" s="34" t="s">
        <v>381</v>
      </c>
      <c r="C199" s="34" t="s">
        <v>381</v>
      </c>
      <c r="D199" s="34"/>
      <c r="E199" s="34">
        <v>3.84648924933516</v>
      </c>
      <c r="F199" s="34">
        <f>E199</f>
        <v>3.84648924933516</v>
      </c>
      <c r="G199" s="34"/>
      <c r="H199" s="34"/>
      <c r="I199" s="34">
        <f>F199</f>
        <v>3.84648924933516</v>
      </c>
      <c r="J199" s="34">
        <f>I199</f>
        <v>3.84648924933516</v>
      </c>
      <c r="K199" s="34"/>
      <c r="L199" s="34">
        <f>J199</f>
        <v>3.84648924933516</v>
      </c>
      <c r="M199" s="34"/>
      <c r="N199" s="34"/>
      <c r="O199" s="34"/>
      <c r="P199" s="34"/>
      <c r="Q199" s="34"/>
      <c r="R199" s="34"/>
      <c r="S199" s="34"/>
      <c r="T199" s="34"/>
      <c r="U199" s="34"/>
      <c r="V199" s="34">
        <f>L199</f>
        <v>3.84648924933516</v>
      </c>
      <c r="W199" s="34">
        <v>3</v>
      </c>
      <c r="AG199" s="167"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4" t="s">
        <v>20</v>
      </c>
      <c r="B200" s="34" t="s">
        <v>382</v>
      </c>
      <c r="C200" s="34" t="s">
        <v>382</v>
      </c>
      <c r="D200" s="34"/>
      <c r="E200" s="34">
        <v>6.11048510398272</v>
      </c>
      <c r="F200" s="34">
        <f>E200</f>
        <v>6.11048510398272</v>
      </c>
      <c r="G200" s="34"/>
      <c r="H200" s="34"/>
      <c r="I200" s="34">
        <f>F200</f>
        <v>6.11048510398272</v>
      </c>
      <c r="J200" s="34">
        <f>I200</f>
        <v>6.11048510398272</v>
      </c>
      <c r="K200" s="34"/>
      <c r="L200" s="34">
        <f>J200</f>
        <v>6.11048510398272</v>
      </c>
      <c r="M200" s="34"/>
      <c r="N200" s="34"/>
      <c r="O200" s="34"/>
      <c r="P200" s="34"/>
      <c r="Q200" s="34"/>
      <c r="R200" s="34"/>
      <c r="S200" s="34"/>
      <c r="T200" s="34"/>
      <c r="U200" s="34"/>
      <c r="V200" s="34">
        <f>L200</f>
        <v>6.11048510398272</v>
      </c>
      <c r="W200" s="34">
        <v>3</v>
      </c>
      <c r="AG200" s="167"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4" t="s">
        <v>20</v>
      </c>
      <c r="B201" s="34" t="s">
        <v>383</v>
      </c>
      <c r="C201" s="34" t="s">
        <v>383</v>
      </c>
      <c r="D201" s="34">
        <v>0.154</v>
      </c>
      <c r="E201" s="34">
        <v>0.15500295838994</v>
      </c>
      <c r="F201" s="34"/>
      <c r="G201" s="34">
        <v>0.159932974610687</v>
      </c>
      <c r="H201" s="34">
        <v>0.163403389758166</v>
      </c>
      <c r="I201" s="34">
        <v>0.166966838513868</v>
      </c>
      <c r="J201" s="34">
        <v>0.170726297325638</v>
      </c>
      <c r="K201" s="34">
        <v>0.174559715033517</v>
      </c>
      <c r="L201" s="34">
        <v>0.178294530025673</v>
      </c>
      <c r="M201" s="34">
        <v>0.181360698615104</v>
      </c>
      <c r="N201" s="34">
        <v>0.18379265771884</v>
      </c>
      <c r="O201" s="34">
        <v>0.185666506452397</v>
      </c>
      <c r="P201" s="34">
        <v>0.18722027337135</v>
      </c>
      <c r="Q201" s="34">
        <v>0.188605575040553</v>
      </c>
      <c r="R201" s="34">
        <v>0.189920709921746</v>
      </c>
      <c r="S201" s="34">
        <v>0.191175861238099</v>
      </c>
      <c r="T201" s="34">
        <v>0.192255377525974</v>
      </c>
      <c r="U201" s="34">
        <v>0.192991237918255</v>
      </c>
      <c r="V201" s="34">
        <v>0.193289440344469</v>
      </c>
      <c r="W201" s="34">
        <v>3</v>
      </c>
      <c r="AG201" s="167"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4" t="s">
        <v>20</v>
      </c>
      <c r="B202" s="34" t="s">
        <v>384</v>
      </c>
      <c r="C202" s="34" t="s">
        <v>384</v>
      </c>
      <c r="D202" s="34">
        <v>0.09</v>
      </c>
      <c r="E202" s="34">
        <v>0.0905861445136013</v>
      </c>
      <c r="F202" s="34"/>
      <c r="G202" s="34">
        <v>0.0934673228244276</v>
      </c>
      <c r="H202" s="34">
        <v>0.0954954875210062</v>
      </c>
      <c r="I202" s="34">
        <v>0.0975780225081048</v>
      </c>
      <c r="J202" s="34">
        <v>0.0997751088266713</v>
      </c>
      <c r="K202" s="34">
        <v>0.102015417876731</v>
      </c>
      <c r="L202" s="34">
        <v>0.104198101963055</v>
      </c>
      <c r="M202" s="34">
        <v>0.105990018671165</v>
      </c>
      <c r="N202" s="34">
        <v>0.107411293472049</v>
      </c>
      <c r="O202" s="34">
        <v>0.108506399874778</v>
      </c>
      <c r="P202" s="34">
        <v>0.109414445476763</v>
      </c>
      <c r="Q202" s="34">
        <v>0.110224037361362</v>
      </c>
      <c r="R202" s="34">
        <v>0.11099262268154</v>
      </c>
      <c r="S202" s="34">
        <v>0.111726152671616</v>
      </c>
      <c r="T202" s="34">
        <v>0.112357038813881</v>
      </c>
      <c r="U202" s="34">
        <v>0.112787087095084</v>
      </c>
      <c r="V202" s="34">
        <v>0.112961361240274</v>
      </c>
      <c r="W202" s="34">
        <v>3</v>
      </c>
      <c r="AG202" s="167"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4" t="s">
        <v>20</v>
      </c>
      <c r="B203" s="34" t="s">
        <v>385</v>
      </c>
      <c r="C203" s="34" t="s">
        <v>385</v>
      </c>
      <c r="D203" s="34">
        <v>0.385</v>
      </c>
      <c r="E203" s="34">
        <v>0.38750739597485</v>
      </c>
      <c r="F203" s="34"/>
      <c r="G203" s="34">
        <v>0.399832436526718</v>
      </c>
      <c r="H203" s="34">
        <v>0.408508474395415</v>
      </c>
      <c r="I203" s="34">
        <v>0.417417096284671</v>
      </c>
      <c r="J203" s="34">
        <v>0.426815743314094</v>
      </c>
      <c r="K203" s="34">
        <v>0.436399287583793</v>
      </c>
      <c r="L203" s="34">
        <v>0.445736325064182</v>
      </c>
      <c r="M203" s="34">
        <v>0.45340174653776</v>
      </c>
      <c r="N203" s="34">
        <v>0.459481644297101</v>
      </c>
      <c r="O203" s="34">
        <v>0.464166266130993</v>
      </c>
      <c r="P203" s="34">
        <v>0.468050683428376</v>
      </c>
      <c r="Q203" s="34">
        <v>0.471513937601381</v>
      </c>
      <c r="R203" s="34">
        <v>0.474801774804365</v>
      </c>
      <c r="S203" s="34">
        <v>0.477939653095246</v>
      </c>
      <c r="T203" s="34">
        <v>0.480638443814934</v>
      </c>
      <c r="U203" s="34">
        <v>0.482478094795638</v>
      </c>
      <c r="V203" s="34">
        <v>0.483223600861173</v>
      </c>
      <c r="W203" s="34">
        <v>3</v>
      </c>
      <c r="AG203" s="167"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4" t="s">
        <v>20</v>
      </c>
      <c r="B204" s="34" t="s">
        <v>386</v>
      </c>
      <c r="C204" s="34" t="s">
        <v>386</v>
      </c>
      <c r="D204" s="34">
        <v>28.296</v>
      </c>
      <c r="E204" s="34">
        <v>29.3782220729134</v>
      </c>
      <c r="F204" s="34"/>
      <c r="G204" s="34">
        <v>35.4658844104725</v>
      </c>
      <c r="H204" s="34">
        <v>38.1487425196904</v>
      </c>
      <c r="I204" s="34">
        <v>40.4691772860081</v>
      </c>
      <c r="J204" s="34">
        <v>43.1398507371754</v>
      </c>
      <c r="K204" s="34">
        <v>46.2874254743419</v>
      </c>
      <c r="L204" s="34">
        <v>49.5677461734989</v>
      </c>
      <c r="M204" s="34">
        <v>52.6173732246464</v>
      </c>
      <c r="N204" s="34">
        <v>55.4403626436467</v>
      </c>
      <c r="O204" s="34">
        <v>57.9982369150633</v>
      </c>
      <c r="P204" s="34">
        <v>60.1111925864411</v>
      </c>
      <c r="Q204" s="34">
        <v>61.7709003704825</v>
      </c>
      <c r="R204" s="34">
        <v>63.0694077404931</v>
      </c>
      <c r="S204" s="34">
        <v>64.1392593004524</v>
      </c>
      <c r="T204" s="34">
        <v>65.0858151410128</v>
      </c>
      <c r="U204" s="34">
        <v>65.9454952735247</v>
      </c>
      <c r="V204" s="34">
        <v>66.6938733764835</v>
      </c>
      <c r="W204" s="34">
        <v>3</v>
      </c>
      <c r="AG204" s="167"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4" t="s">
        <v>20</v>
      </c>
      <c r="B205" s="34" t="s">
        <v>388</v>
      </c>
      <c r="C205" s="34" t="s">
        <v>388</v>
      </c>
      <c r="D205" s="34">
        <v>11.6</v>
      </c>
      <c r="E205" s="34">
        <v>12.1228293770596</v>
      </c>
      <c r="F205" s="34"/>
      <c r="G205" s="34">
        <v>15.122195693321</v>
      </c>
      <c r="H205" s="34">
        <v>16.6263758913102</v>
      </c>
      <c r="I205" s="34">
        <v>18.0292560329613</v>
      </c>
      <c r="J205" s="34">
        <v>19.6607849726621</v>
      </c>
      <c r="K205" s="34">
        <v>21.5804606891795</v>
      </c>
      <c r="L205" s="34">
        <v>23.616734946386</v>
      </c>
      <c r="M205" s="34">
        <v>25.51096833517</v>
      </c>
      <c r="N205" s="34">
        <v>27.2479735235339</v>
      </c>
      <c r="O205" s="34">
        <v>28.801572776158</v>
      </c>
      <c r="P205" s="34">
        <v>30.1048912048269</v>
      </c>
      <c r="Q205" s="34">
        <v>31.1681453700938</v>
      </c>
      <c r="R205" s="34">
        <v>32.0477038981183</v>
      </c>
      <c r="S205" s="34">
        <v>32.8087648332491</v>
      </c>
      <c r="T205" s="34">
        <v>33.4825871406348</v>
      </c>
      <c r="U205" s="34">
        <v>34.0557576264471</v>
      </c>
      <c r="V205" s="34">
        <v>34.4958540429181</v>
      </c>
      <c r="W205" s="34">
        <v>3</v>
      </c>
      <c r="AG205" s="167"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4" t="s">
        <v>20</v>
      </c>
      <c r="B206" s="34" t="s">
        <v>389</v>
      </c>
      <c r="C206" s="34" t="s">
        <v>389</v>
      </c>
      <c r="D206" s="34">
        <v>6.28</v>
      </c>
      <c r="E206" s="34">
        <v>6.56304900758054</v>
      </c>
      <c r="F206" s="34"/>
      <c r="G206" s="34">
        <v>8.18684387534964</v>
      </c>
      <c r="H206" s="34">
        <v>9.00117591357138</v>
      </c>
      <c r="I206" s="34">
        <v>9.7606661971549</v>
      </c>
      <c r="J206" s="34">
        <v>10.6439422093377</v>
      </c>
      <c r="K206" s="34">
        <v>11.6832149248316</v>
      </c>
      <c r="L206" s="34">
        <v>12.785611677871</v>
      </c>
      <c r="M206" s="34">
        <v>13.8111104435231</v>
      </c>
      <c r="N206" s="34">
        <v>14.7514891144649</v>
      </c>
      <c r="O206" s="34">
        <v>15.5925756064028</v>
      </c>
      <c r="P206" s="34">
        <v>16.2981652384753</v>
      </c>
      <c r="Q206" s="34">
        <v>16.8737890451887</v>
      </c>
      <c r="R206" s="34">
        <v>17.3499638344985</v>
      </c>
      <c r="S206" s="34">
        <v>17.76198647869</v>
      </c>
      <c r="T206" s="34">
        <v>18.1267799347575</v>
      </c>
      <c r="U206" s="34">
        <v>18.4370825770765</v>
      </c>
      <c r="V206" s="34">
        <v>18.6753416715109</v>
      </c>
      <c r="W206" s="34">
        <v>3</v>
      </c>
      <c r="AG206" s="167"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4" t="s">
        <v>21</v>
      </c>
      <c r="B207" s="34" t="s">
        <v>374</v>
      </c>
      <c r="C207" s="34" t="s">
        <v>374</v>
      </c>
      <c r="D207" s="34"/>
      <c r="E207" s="34">
        <v>37.6862690821027</v>
      </c>
      <c r="F207" s="34">
        <f>E207</f>
        <v>37.6862690821027</v>
      </c>
      <c r="G207" s="34"/>
      <c r="H207" s="34"/>
      <c r="I207" s="34">
        <f>F207</f>
        <v>37.6862690821027</v>
      </c>
      <c r="J207" s="34">
        <f>I207</f>
        <v>37.6862690821027</v>
      </c>
      <c r="K207" s="34"/>
      <c r="L207" s="34">
        <f>J207</f>
        <v>37.6862690821027</v>
      </c>
      <c r="M207" s="34"/>
      <c r="N207" s="34"/>
      <c r="O207" s="34"/>
      <c r="P207" s="34"/>
      <c r="Q207" s="34"/>
      <c r="R207" s="34"/>
      <c r="S207" s="34"/>
      <c r="T207" s="34"/>
      <c r="U207" s="34"/>
      <c r="V207" s="34">
        <f>L207</f>
        <v>37.6862690821027</v>
      </c>
      <c r="W207" s="34">
        <v>3</v>
      </c>
      <c r="AG207" s="167"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4" t="s">
        <v>21</v>
      </c>
      <c r="B208" s="34" t="s">
        <v>377</v>
      </c>
      <c r="C208" s="34" t="s">
        <v>377</v>
      </c>
      <c r="D208" s="34"/>
      <c r="E208" s="34">
        <v>171.695546898346</v>
      </c>
      <c r="F208" s="34">
        <f>E208</f>
        <v>171.695546898346</v>
      </c>
      <c r="G208" s="34"/>
      <c r="H208" s="34"/>
      <c r="I208" s="34">
        <f>F208</f>
        <v>171.695546898346</v>
      </c>
      <c r="J208" s="34">
        <f>I208</f>
        <v>171.695546898346</v>
      </c>
      <c r="K208" s="34"/>
      <c r="L208" s="34">
        <f>J208</f>
        <v>171.695546898346</v>
      </c>
      <c r="M208" s="34"/>
      <c r="N208" s="34"/>
      <c r="O208" s="34"/>
      <c r="P208" s="34"/>
      <c r="Q208" s="34"/>
      <c r="R208" s="34"/>
      <c r="S208" s="34"/>
      <c r="T208" s="34"/>
      <c r="U208" s="34"/>
      <c r="V208" s="34">
        <f>L208</f>
        <v>171.695546898346</v>
      </c>
      <c r="W208" s="34">
        <v>3</v>
      </c>
      <c r="AG208" s="167"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4" t="s">
        <v>21</v>
      </c>
      <c r="B209" s="34" t="s">
        <v>378</v>
      </c>
      <c r="C209" s="34" t="s">
        <v>378</v>
      </c>
      <c r="D209" s="34"/>
      <c r="E209" s="34">
        <v>1.63567528506496</v>
      </c>
      <c r="F209" s="34"/>
      <c r="G209" s="34"/>
      <c r="H209" s="34"/>
      <c r="I209" s="34">
        <v>2.00210413796029</v>
      </c>
      <c r="J209" s="34">
        <v>2.09278038542612</v>
      </c>
      <c r="K209" s="34"/>
      <c r="L209" s="34">
        <v>2.26532114634834</v>
      </c>
      <c r="M209" s="34"/>
      <c r="N209" s="34"/>
      <c r="O209" s="34"/>
      <c r="P209" s="34"/>
      <c r="Q209" s="34"/>
      <c r="R209" s="34"/>
      <c r="S209" s="34"/>
      <c r="T209" s="34"/>
      <c r="U209" s="34"/>
      <c r="V209" s="34">
        <v>2.74074096644458</v>
      </c>
      <c r="W209" s="34">
        <v>3</v>
      </c>
      <c r="AG209" s="167"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4" t="s">
        <v>21</v>
      </c>
      <c r="B210" s="34" t="s">
        <v>379</v>
      </c>
      <c r="C210" s="34" t="s">
        <v>379</v>
      </c>
      <c r="D210" s="34"/>
      <c r="E210" s="34">
        <v>20.1251585840136</v>
      </c>
      <c r="F210" s="34"/>
      <c r="G210" s="34"/>
      <c r="H210" s="34"/>
      <c r="I210" s="34">
        <v>19.5799173646443</v>
      </c>
      <c r="J210" s="34">
        <v>19.4340318121154</v>
      </c>
      <c r="K210" s="34"/>
      <c r="L210" s="34">
        <v>19.1689954097244</v>
      </c>
      <c r="M210" s="34"/>
      <c r="N210" s="34"/>
      <c r="O210" s="34"/>
      <c r="P210" s="34"/>
      <c r="Q210" s="34"/>
      <c r="R210" s="34"/>
      <c r="S210" s="34"/>
      <c r="T210" s="34"/>
      <c r="U210" s="34"/>
      <c r="V210" s="34">
        <v>17.2937393473289</v>
      </c>
      <c r="W210" s="34">
        <v>3</v>
      </c>
      <c r="AG210" s="167"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4" t="s">
        <v>21</v>
      </c>
      <c r="B211" s="34" t="s">
        <v>381</v>
      </c>
      <c r="C211" s="34" t="s">
        <v>381</v>
      </c>
      <c r="D211" s="34"/>
      <c r="E211" s="34">
        <v>25.7362823995911</v>
      </c>
      <c r="F211" s="34">
        <f>E211</f>
        <v>25.7362823995911</v>
      </c>
      <c r="G211" s="34"/>
      <c r="H211" s="34"/>
      <c r="I211" s="34">
        <f>F211</f>
        <v>25.7362823995911</v>
      </c>
      <c r="J211" s="34">
        <f>I211</f>
        <v>25.7362823995911</v>
      </c>
      <c r="K211" s="34"/>
      <c r="L211" s="34">
        <f>J211</f>
        <v>25.7362823995911</v>
      </c>
      <c r="M211" s="34"/>
      <c r="N211" s="34"/>
      <c r="O211" s="34"/>
      <c r="P211" s="34"/>
      <c r="Q211" s="34"/>
      <c r="R211" s="34"/>
      <c r="S211" s="34"/>
      <c r="T211" s="34"/>
      <c r="U211" s="34"/>
      <c r="V211" s="34">
        <f>L211</f>
        <v>25.7362823995911</v>
      </c>
      <c r="W211" s="34">
        <v>3</v>
      </c>
      <c r="AG211" s="167"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4" t="s">
        <v>21</v>
      </c>
      <c r="B212" s="34" t="s">
        <v>382</v>
      </c>
      <c r="C212" s="34" t="s">
        <v>382</v>
      </c>
      <c r="D212" s="34"/>
      <c r="E212" s="34">
        <v>204.212343478537</v>
      </c>
      <c r="F212" s="34">
        <f>E212</f>
        <v>204.212343478537</v>
      </c>
      <c r="G212" s="34"/>
      <c r="H212" s="34"/>
      <c r="I212" s="34">
        <f>F212</f>
        <v>204.212343478537</v>
      </c>
      <c r="J212" s="34">
        <f>I212</f>
        <v>204.212343478537</v>
      </c>
      <c r="K212" s="34"/>
      <c r="L212" s="34">
        <f>J212</f>
        <v>204.212343478537</v>
      </c>
      <c r="M212" s="34"/>
      <c r="N212" s="34"/>
      <c r="O212" s="34"/>
      <c r="P212" s="34"/>
      <c r="Q212" s="34"/>
      <c r="R212" s="34"/>
      <c r="S212" s="34"/>
      <c r="T212" s="34"/>
      <c r="U212" s="34"/>
      <c r="V212" s="34">
        <f>L212</f>
        <v>204.212343478537</v>
      </c>
      <c r="W212" s="34">
        <v>3</v>
      </c>
      <c r="AG212" s="167"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4" t="s">
        <v>21</v>
      </c>
      <c r="B213" s="34" t="s">
        <v>383</v>
      </c>
      <c r="C213" s="34" t="s">
        <v>383</v>
      </c>
      <c r="D213" s="34">
        <v>1.568</v>
      </c>
      <c r="E213" s="34">
        <v>1.5650845199603</v>
      </c>
      <c r="F213" s="34"/>
      <c r="G213" s="34">
        <v>1.55072322537602</v>
      </c>
      <c r="H213" s="34">
        <v>1.53580206297745</v>
      </c>
      <c r="I213" s="34">
        <v>1.52268243957336</v>
      </c>
      <c r="J213" s="34">
        <v>1.51133727580754</v>
      </c>
      <c r="K213" s="34">
        <v>1.50089685551557</v>
      </c>
      <c r="L213" s="34">
        <v>1.49072604092576</v>
      </c>
      <c r="M213" s="34">
        <v>1.47675462232438</v>
      </c>
      <c r="N213" s="34">
        <v>1.4596669118256</v>
      </c>
      <c r="O213" s="34">
        <v>1.44055453646726</v>
      </c>
      <c r="P213" s="34">
        <v>1.42244837955489</v>
      </c>
      <c r="Q213" s="34">
        <v>1.40730136713245</v>
      </c>
      <c r="R213" s="34">
        <v>1.39520866605851</v>
      </c>
      <c r="S213" s="34">
        <v>1.38451724039829</v>
      </c>
      <c r="T213" s="34">
        <v>1.37317184705554</v>
      </c>
      <c r="U213" s="34">
        <v>1.36006455020624</v>
      </c>
      <c r="V213" s="34">
        <v>1.34489194863949</v>
      </c>
      <c r="W213" s="34">
        <v>3</v>
      </c>
      <c r="AG213" s="167"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4" t="s">
        <v>21</v>
      </c>
      <c r="B214" s="34" t="s">
        <v>384</v>
      </c>
      <c r="C214" s="34" t="s">
        <v>384</v>
      </c>
      <c r="D214" s="34">
        <v>0.93</v>
      </c>
      <c r="E214" s="34">
        <v>0.928270793088699</v>
      </c>
      <c r="F214" s="34"/>
      <c r="G214" s="34">
        <v>0.919752933418177</v>
      </c>
      <c r="H214" s="34">
        <v>0.910903009291471</v>
      </c>
      <c r="I214" s="34">
        <v>0.903121600002058</v>
      </c>
      <c r="J214" s="34">
        <v>0.896392644452174</v>
      </c>
      <c r="K214" s="34">
        <v>0.890200303335125</v>
      </c>
      <c r="L214" s="34">
        <v>0.884167868661323</v>
      </c>
      <c r="M214" s="34">
        <v>0.875881249210251</v>
      </c>
      <c r="N214" s="34">
        <v>0.865746318876151</v>
      </c>
      <c r="O214" s="34">
        <v>0.854410535022036</v>
      </c>
      <c r="P214" s="34">
        <v>0.843671551649266</v>
      </c>
      <c r="Q214" s="34">
        <v>0.834687673107893</v>
      </c>
      <c r="R214" s="34">
        <v>0.827515344027047</v>
      </c>
      <c r="S214" s="34">
        <v>0.821174128552556</v>
      </c>
      <c r="T214" s="34">
        <v>0.814445036837789</v>
      </c>
      <c r="U214" s="34">
        <v>0.806670938578958</v>
      </c>
      <c r="V214" s="34">
        <v>0.797671882802759</v>
      </c>
      <c r="W214" s="34">
        <v>3</v>
      </c>
      <c r="AG214" s="167"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4" t="s">
        <v>21</v>
      </c>
      <c r="B215" s="34" t="s">
        <v>385</v>
      </c>
      <c r="C215" s="34" t="s">
        <v>385</v>
      </c>
      <c r="D215" s="34">
        <v>3.535</v>
      </c>
      <c r="E215" s="34">
        <v>3.52842715437478</v>
      </c>
      <c r="F215" s="34"/>
      <c r="G215" s="34">
        <v>3.49605012863791</v>
      </c>
      <c r="H215" s="34">
        <v>3.46241090090898</v>
      </c>
      <c r="I215" s="34">
        <v>3.43283317850244</v>
      </c>
      <c r="J215" s="34">
        <v>3.40725591197681</v>
      </c>
      <c r="K215" s="34">
        <v>3.38371835730072</v>
      </c>
      <c r="L215" s="34">
        <v>3.36078861905137</v>
      </c>
      <c r="M215" s="34">
        <v>3.3292905547938</v>
      </c>
      <c r="N215" s="34">
        <v>3.29076692174967</v>
      </c>
      <c r="O215" s="34">
        <v>3.24767875408914</v>
      </c>
      <c r="P215" s="34">
        <v>3.20685906997866</v>
      </c>
      <c r="Q215" s="34">
        <v>3.17271067143699</v>
      </c>
      <c r="R215" s="34">
        <v>3.14544810874797</v>
      </c>
      <c r="S215" s="34">
        <v>3.12134467143364</v>
      </c>
      <c r="T215" s="34">
        <v>3.09576688733504</v>
      </c>
      <c r="U215" s="34">
        <v>3.06621695470604</v>
      </c>
      <c r="V215" s="34">
        <v>3.03201086635242</v>
      </c>
      <c r="W215" s="34">
        <v>3</v>
      </c>
      <c r="AG215" s="167"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4" t="s">
        <v>21</v>
      </c>
      <c r="B216" s="34" t="s">
        <v>386</v>
      </c>
      <c r="C216" s="34" t="s">
        <v>386</v>
      </c>
      <c r="D216" s="34">
        <v>286.14</v>
      </c>
      <c r="E216" s="34">
        <v>284.42124679791</v>
      </c>
      <c r="F216" s="34"/>
      <c r="G216" s="34">
        <v>322.223522358212</v>
      </c>
      <c r="H216" s="34">
        <v>338.618645699635</v>
      </c>
      <c r="I216" s="34">
        <v>358.040980828836</v>
      </c>
      <c r="J216" s="34">
        <v>377.114299539649</v>
      </c>
      <c r="K216" s="34">
        <v>395.930515511062</v>
      </c>
      <c r="L216" s="34">
        <v>413.945428692573</v>
      </c>
      <c r="M216" s="34">
        <v>432.09510895213</v>
      </c>
      <c r="N216" s="34">
        <v>450.159753040063</v>
      </c>
      <c r="O216" s="34">
        <v>468.074649904867</v>
      </c>
      <c r="P216" s="34">
        <v>484.649756814105</v>
      </c>
      <c r="Q216" s="34">
        <v>499.300532511694</v>
      </c>
      <c r="R216" s="34">
        <v>512.212847990834</v>
      </c>
      <c r="S216" s="34">
        <v>523.969909995475</v>
      </c>
      <c r="T216" s="34">
        <v>535.11748328382</v>
      </c>
      <c r="U216" s="34">
        <v>545.850080339668</v>
      </c>
      <c r="V216" s="34">
        <v>555.981639472807</v>
      </c>
      <c r="W216" s="34">
        <v>3</v>
      </c>
      <c r="AG216" s="167"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4" t="s">
        <v>21</v>
      </c>
      <c r="B217" s="34" t="s">
        <v>388</v>
      </c>
      <c r="C217" s="34" t="s">
        <v>388</v>
      </c>
      <c r="D217" s="34">
        <v>85</v>
      </c>
      <c r="E217" s="34">
        <v>84.332576169529</v>
      </c>
      <c r="F217" s="34"/>
      <c r="G217" s="34">
        <v>94.6363748068302</v>
      </c>
      <c r="H217" s="34">
        <v>98.4810656733052</v>
      </c>
      <c r="I217" s="34">
        <v>103.225011257145</v>
      </c>
      <c r="J217" s="34">
        <v>107.90012105186</v>
      </c>
      <c r="K217" s="34">
        <v>112.487953196844</v>
      </c>
      <c r="L217" s="34">
        <v>116.796022943685</v>
      </c>
      <c r="M217" s="34">
        <v>120.754984273842</v>
      </c>
      <c r="N217" s="34">
        <v>124.322678085988</v>
      </c>
      <c r="O217" s="34">
        <v>127.548249456382</v>
      </c>
      <c r="P217" s="34">
        <v>130.37765093553</v>
      </c>
      <c r="Q217" s="34">
        <v>132.867235168787</v>
      </c>
      <c r="R217" s="34">
        <v>135.116160031097</v>
      </c>
      <c r="S217" s="34">
        <v>137.144875554629</v>
      </c>
      <c r="T217" s="34">
        <v>138.90057650581</v>
      </c>
      <c r="U217" s="34">
        <v>140.317180562531</v>
      </c>
      <c r="V217" s="34">
        <v>141.307842958853</v>
      </c>
      <c r="W217" s="34">
        <v>3</v>
      </c>
      <c r="AG217" s="167"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4" t="s">
        <v>21</v>
      </c>
      <c r="B218" s="34" t="s">
        <v>389</v>
      </c>
      <c r="C218" s="34" t="s">
        <v>389</v>
      </c>
      <c r="D218" s="34">
        <v>55.28</v>
      </c>
      <c r="E218" s="34">
        <v>54.8459389488419</v>
      </c>
      <c r="F218" s="34"/>
      <c r="G218" s="34">
        <v>61.5470446979009</v>
      </c>
      <c r="H218" s="34">
        <v>64.0474507108271</v>
      </c>
      <c r="I218" s="34">
        <v>67.1326896740587</v>
      </c>
      <c r="J218" s="34">
        <v>70.1731610793741</v>
      </c>
      <c r="K218" s="34">
        <v>73.1568712084886</v>
      </c>
      <c r="L218" s="34">
        <v>75.9586370391402</v>
      </c>
      <c r="M218" s="34">
        <v>78.5333591842113</v>
      </c>
      <c r="N218" s="34">
        <v>80.8536193481576</v>
      </c>
      <c r="O218" s="34">
        <v>82.9513791758681</v>
      </c>
      <c r="P218" s="34">
        <v>84.7914887496012</v>
      </c>
      <c r="Q218" s="34">
        <v>86.4105971780066</v>
      </c>
      <c r="R218" s="34">
        <v>87.8731920766948</v>
      </c>
      <c r="S218" s="34">
        <v>89.1925731842337</v>
      </c>
      <c r="T218" s="34">
        <v>90.3343984616609</v>
      </c>
      <c r="U218" s="34">
        <v>91.2556910764319</v>
      </c>
      <c r="V218" s="34">
        <v>91.8999712795926</v>
      </c>
      <c r="W218" s="34">
        <v>3</v>
      </c>
      <c r="AG218" s="167"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4" t="s">
        <v>22</v>
      </c>
      <c r="B219" s="34" t="s">
        <v>374</v>
      </c>
      <c r="C219" s="34" t="s">
        <v>374</v>
      </c>
      <c r="D219" s="34"/>
      <c r="E219" s="34">
        <v>147.201253049397</v>
      </c>
      <c r="F219" s="34">
        <f>E219</f>
        <v>147.201253049397</v>
      </c>
      <c r="G219" s="34"/>
      <c r="H219" s="34"/>
      <c r="I219" s="34">
        <f>F219</f>
        <v>147.201253049397</v>
      </c>
      <c r="J219" s="34">
        <f>I219</f>
        <v>147.201253049397</v>
      </c>
      <c r="K219" s="34"/>
      <c r="L219" s="34">
        <f>J219</f>
        <v>147.201253049397</v>
      </c>
      <c r="M219" s="34"/>
      <c r="N219" s="34"/>
      <c r="O219" s="34"/>
      <c r="P219" s="34"/>
      <c r="Q219" s="34"/>
      <c r="R219" s="34"/>
      <c r="S219" s="34"/>
      <c r="T219" s="34"/>
      <c r="U219" s="34"/>
      <c r="V219" s="34">
        <f>L219</f>
        <v>147.201253049397</v>
      </c>
      <c r="W219" s="34">
        <v>3</v>
      </c>
      <c r="AG219" s="167"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4" t="s">
        <v>22</v>
      </c>
      <c r="B220" s="34" t="s">
        <v>377</v>
      </c>
      <c r="C220" s="34" t="s">
        <v>377</v>
      </c>
      <c r="D220" s="34"/>
      <c r="E220" s="34">
        <v>304.698744172512</v>
      </c>
      <c r="F220" s="34">
        <f>E220</f>
        <v>304.698744172512</v>
      </c>
      <c r="G220" s="34"/>
      <c r="H220" s="34"/>
      <c r="I220" s="34">
        <f>F220</f>
        <v>304.698744172512</v>
      </c>
      <c r="J220" s="34">
        <f>I220</f>
        <v>304.698744172512</v>
      </c>
      <c r="K220" s="34"/>
      <c r="L220" s="34">
        <f>J220</f>
        <v>304.698744172512</v>
      </c>
      <c r="M220" s="34"/>
      <c r="N220" s="34"/>
      <c r="O220" s="34"/>
      <c r="P220" s="34"/>
      <c r="Q220" s="34"/>
      <c r="R220" s="34"/>
      <c r="S220" s="34"/>
      <c r="T220" s="34"/>
      <c r="U220" s="34"/>
      <c r="V220" s="34">
        <f>L220</f>
        <v>304.698744172512</v>
      </c>
      <c r="W220" s="34">
        <v>3</v>
      </c>
      <c r="AG220" s="167"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4" t="s">
        <v>22</v>
      </c>
      <c r="B221" s="34" t="s">
        <v>378</v>
      </c>
      <c r="C221" s="34" t="s">
        <v>378</v>
      </c>
      <c r="D221" s="34"/>
      <c r="E221" s="34">
        <v>2.00415370193619</v>
      </c>
      <c r="F221" s="34"/>
      <c r="G221" s="34"/>
      <c r="H221" s="34"/>
      <c r="I221" s="34">
        <v>2.25537567940657</v>
      </c>
      <c r="J221" s="34">
        <v>2.31451247838056</v>
      </c>
      <c r="K221" s="34"/>
      <c r="L221" s="34">
        <v>2.43518133307239</v>
      </c>
      <c r="M221" s="34"/>
      <c r="N221" s="34"/>
      <c r="O221" s="34"/>
      <c r="P221" s="34"/>
      <c r="Q221" s="34"/>
      <c r="R221" s="34"/>
      <c r="S221" s="34"/>
      <c r="T221" s="34"/>
      <c r="U221" s="34"/>
      <c r="V221" s="34">
        <v>2.7227704244893</v>
      </c>
      <c r="W221" s="34">
        <v>3</v>
      </c>
      <c r="AG221" s="167"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4" t="s">
        <v>22</v>
      </c>
      <c r="B222" s="34" t="s">
        <v>379</v>
      </c>
      <c r="C222" s="34" t="s">
        <v>379</v>
      </c>
      <c r="D222" s="34"/>
      <c r="E222" s="34">
        <v>66.7506994732046</v>
      </c>
      <c r="F222" s="34"/>
      <c r="G222" s="34"/>
      <c r="H222" s="34"/>
      <c r="I222" s="34">
        <v>62.8279897332199</v>
      </c>
      <c r="J222" s="34">
        <v>61.4557974881527</v>
      </c>
      <c r="K222" s="34"/>
      <c r="L222" s="34">
        <v>58.7814507762721</v>
      </c>
      <c r="M222" s="34"/>
      <c r="N222" s="34"/>
      <c r="O222" s="34"/>
      <c r="P222" s="34"/>
      <c r="Q222" s="34"/>
      <c r="R222" s="34"/>
      <c r="S222" s="34"/>
      <c r="T222" s="34"/>
      <c r="U222" s="34"/>
      <c r="V222" s="34">
        <v>46.9474788673513</v>
      </c>
      <c r="W222" s="34">
        <v>3</v>
      </c>
      <c r="AG222" s="167"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4" t="s">
        <v>22</v>
      </c>
      <c r="B223" s="34" t="s">
        <v>381</v>
      </c>
      <c r="C223" s="34" t="s">
        <v>381</v>
      </c>
      <c r="D223" s="34"/>
      <c r="E223" s="34">
        <v>130.648113917981</v>
      </c>
      <c r="F223" s="34">
        <f>E223</f>
        <v>130.648113917981</v>
      </c>
      <c r="G223" s="34"/>
      <c r="H223" s="34"/>
      <c r="I223" s="34">
        <f>F223</f>
        <v>130.648113917981</v>
      </c>
      <c r="J223" s="34">
        <f>I223</f>
        <v>130.648113917981</v>
      </c>
      <c r="K223" s="34"/>
      <c r="L223" s="34">
        <f>J223</f>
        <v>130.648113917981</v>
      </c>
      <c r="M223" s="34"/>
      <c r="N223" s="34"/>
      <c r="O223" s="34"/>
      <c r="P223" s="34"/>
      <c r="Q223" s="34"/>
      <c r="R223" s="34"/>
      <c r="S223" s="34"/>
      <c r="T223" s="34"/>
      <c r="U223" s="34"/>
      <c r="V223" s="34">
        <f>L223</f>
        <v>130.648113917981</v>
      </c>
      <c r="W223" s="34">
        <v>3</v>
      </c>
      <c r="AG223" s="167"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4" t="s">
        <v>22</v>
      </c>
      <c r="B224" s="34" t="s">
        <v>382</v>
      </c>
      <c r="C224" s="34" t="s">
        <v>382</v>
      </c>
      <c r="D224" s="34"/>
      <c r="E224" s="34">
        <v>187.66044154924</v>
      </c>
      <c r="F224" s="34">
        <f>E224</f>
        <v>187.66044154924</v>
      </c>
      <c r="G224" s="34"/>
      <c r="H224" s="34"/>
      <c r="I224" s="34">
        <f>F224</f>
        <v>187.66044154924</v>
      </c>
      <c r="J224" s="34">
        <f>I224</f>
        <v>187.66044154924</v>
      </c>
      <c r="K224" s="34"/>
      <c r="L224" s="34">
        <f>J224</f>
        <v>187.66044154924</v>
      </c>
      <c r="M224" s="34"/>
      <c r="N224" s="34"/>
      <c r="O224" s="34"/>
      <c r="P224" s="34"/>
      <c r="Q224" s="34"/>
      <c r="R224" s="34"/>
      <c r="S224" s="34"/>
      <c r="T224" s="34"/>
      <c r="U224" s="34"/>
      <c r="V224" s="34">
        <f>L224</f>
        <v>187.66044154924</v>
      </c>
      <c r="W224" s="34">
        <v>3</v>
      </c>
      <c r="AG224" s="167"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4" t="s">
        <v>22</v>
      </c>
      <c r="B225" s="34" t="s">
        <v>383</v>
      </c>
      <c r="C225" s="34" t="s">
        <v>383</v>
      </c>
      <c r="D225" s="34">
        <v>14.12</v>
      </c>
      <c r="E225" s="34">
        <v>14.0651904814574</v>
      </c>
      <c r="F225" s="34"/>
      <c r="G225" s="34">
        <v>13.7950660385097</v>
      </c>
      <c r="H225" s="34">
        <v>13.5229181671294</v>
      </c>
      <c r="I225" s="34">
        <v>13.2386274621664</v>
      </c>
      <c r="J225" s="34">
        <v>12.9494897384218</v>
      </c>
      <c r="K225" s="34">
        <v>12.6614108942813</v>
      </c>
      <c r="L225" s="34">
        <v>12.3859721091996</v>
      </c>
      <c r="M225" s="34">
        <v>12.1254805911524</v>
      </c>
      <c r="N225" s="34">
        <v>11.868133937815</v>
      </c>
      <c r="O225" s="34">
        <v>11.598676991281</v>
      </c>
      <c r="P225" s="34">
        <v>11.3157451837085</v>
      </c>
      <c r="Q225" s="34">
        <v>11.031934035467</v>
      </c>
      <c r="R225" s="34">
        <v>10.7683586605644</v>
      </c>
      <c r="S225" s="34">
        <v>10.5312433799373</v>
      </c>
      <c r="T225" s="34">
        <v>10.3127831076399</v>
      </c>
      <c r="U225" s="34">
        <v>10.102469270594</v>
      </c>
      <c r="V225" s="34">
        <v>9.89240918978777</v>
      </c>
      <c r="W225" s="34">
        <v>3</v>
      </c>
      <c r="AG225" s="167"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4" t="s">
        <v>22</v>
      </c>
      <c r="B226" s="34" t="s">
        <v>384</v>
      </c>
      <c r="C226" s="34" t="s">
        <v>384</v>
      </c>
      <c r="D226" s="34">
        <v>4.455</v>
      </c>
      <c r="E226" s="34">
        <v>4.43770705346265</v>
      </c>
      <c r="F226" s="34"/>
      <c r="G226" s="34">
        <v>4.35248011342497</v>
      </c>
      <c r="H226" s="34">
        <v>4.26661476165448</v>
      </c>
      <c r="I226" s="34">
        <v>4.17691822549232</v>
      </c>
      <c r="J226" s="34">
        <v>4.08569240684624</v>
      </c>
      <c r="K226" s="34">
        <v>3.9948006752141</v>
      </c>
      <c r="L226" s="34">
        <v>3.90789700754138</v>
      </c>
      <c r="M226" s="34">
        <v>3.82570935082041</v>
      </c>
      <c r="N226" s="34">
        <v>3.74451393009671</v>
      </c>
      <c r="O226" s="34">
        <v>3.65949759179581</v>
      </c>
      <c r="P226" s="34">
        <v>3.57022980123381</v>
      </c>
      <c r="Q226" s="34">
        <v>3.48068456997207</v>
      </c>
      <c r="R226" s="34">
        <v>3.39752392583671</v>
      </c>
      <c r="S226" s="34">
        <v>3.32271170379751</v>
      </c>
      <c r="T226" s="34">
        <v>3.25378532185098</v>
      </c>
      <c r="U226" s="34">
        <v>3.18742922099833</v>
      </c>
      <c r="V226" s="34">
        <v>3.12115318275528</v>
      </c>
      <c r="W226" s="34">
        <v>3</v>
      </c>
      <c r="AG226" s="167"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4" t="s">
        <v>22</v>
      </c>
      <c r="B227" s="34" t="s">
        <v>385</v>
      </c>
      <c r="C227" s="34" t="s">
        <v>385</v>
      </c>
      <c r="D227" s="34">
        <v>3.115</v>
      </c>
      <c r="E227" s="34">
        <v>3.10290852335267</v>
      </c>
      <c r="F227" s="34"/>
      <c r="G227" s="34">
        <v>3.04331662251825</v>
      </c>
      <c r="H227" s="34">
        <v>2.98327833502889</v>
      </c>
      <c r="I227" s="34">
        <v>2.92056122837454</v>
      </c>
      <c r="J227" s="34">
        <v>2.85677482543794</v>
      </c>
      <c r="K227" s="34">
        <v>2.79322202094095</v>
      </c>
      <c r="L227" s="34">
        <v>2.73245772805643</v>
      </c>
      <c r="M227" s="34">
        <v>2.67499093777903</v>
      </c>
      <c r="N227" s="34">
        <v>2.61821793316527</v>
      </c>
      <c r="O227" s="34">
        <v>2.55877328809067</v>
      </c>
      <c r="P227" s="34">
        <v>2.49635596651927</v>
      </c>
      <c r="Q227" s="34">
        <v>2.43374465442491</v>
      </c>
      <c r="R227" s="34">
        <v>2.37559753736955</v>
      </c>
      <c r="S227" s="34">
        <v>2.32328775697626</v>
      </c>
      <c r="T227" s="34">
        <v>2.27509344053104</v>
      </c>
      <c r="U227" s="34">
        <v>2.22869630155102</v>
      </c>
      <c r="V227" s="34">
        <v>2.1823551434978</v>
      </c>
      <c r="W227" s="34">
        <v>3</v>
      </c>
      <c r="AG227" s="167"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4" t="s">
        <v>22</v>
      </c>
      <c r="B228" s="34" t="s">
        <v>386</v>
      </c>
      <c r="C228" s="34" t="s">
        <v>386</v>
      </c>
      <c r="D228" s="34">
        <v>687.192</v>
      </c>
      <c r="E228" s="34">
        <v>688.008041496291</v>
      </c>
      <c r="F228" s="34"/>
      <c r="G228" s="34">
        <v>741.915140100379</v>
      </c>
      <c r="H228" s="34">
        <v>780.491757693345</v>
      </c>
      <c r="I228" s="34">
        <v>823.441043931532</v>
      </c>
      <c r="J228" s="34">
        <v>864.205324003525</v>
      </c>
      <c r="K228" s="34">
        <v>906.881721231787</v>
      </c>
      <c r="L228" s="34">
        <v>951.370018315786</v>
      </c>
      <c r="M228" s="34">
        <v>994.948460502842</v>
      </c>
      <c r="N228" s="34">
        <v>1036.98687065624</v>
      </c>
      <c r="O228" s="34">
        <v>1078.76981652578</v>
      </c>
      <c r="P228" s="34">
        <v>1120.09902746409</v>
      </c>
      <c r="Q228" s="34">
        <v>1160.5181605889</v>
      </c>
      <c r="R228" s="34">
        <v>1199.38883839739</v>
      </c>
      <c r="S228" s="34">
        <v>1236.58037923435</v>
      </c>
      <c r="T228" s="34">
        <v>1272.07842908439</v>
      </c>
      <c r="U228" s="34">
        <v>1305.71668230536</v>
      </c>
      <c r="V228" s="34">
        <v>1337.06757119091</v>
      </c>
      <c r="W228" s="34">
        <v>3</v>
      </c>
      <c r="AG228" s="167"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4" t="s">
        <v>22</v>
      </c>
      <c r="B229" s="34" t="s">
        <v>388</v>
      </c>
      <c r="C229" s="34" t="s">
        <v>388</v>
      </c>
      <c r="D229" s="34">
        <v>96.8</v>
      </c>
      <c r="E229" s="34">
        <v>96.5386427089537</v>
      </c>
      <c r="F229" s="34"/>
      <c r="G229" s="34">
        <v>102.063668575959</v>
      </c>
      <c r="H229" s="34">
        <v>105.221658784552</v>
      </c>
      <c r="I229" s="34">
        <v>108.639824719206</v>
      </c>
      <c r="J229" s="34">
        <v>111.488401802683</v>
      </c>
      <c r="K229" s="34">
        <v>114.347460941356</v>
      </c>
      <c r="L229" s="34">
        <v>117.300933764647</v>
      </c>
      <c r="M229" s="34">
        <v>120.048374975677</v>
      </c>
      <c r="N229" s="34">
        <v>122.41899048032</v>
      </c>
      <c r="O229" s="34">
        <v>124.409250249737</v>
      </c>
      <c r="P229" s="34">
        <v>125.9685281144</v>
      </c>
      <c r="Q229" s="34">
        <v>127.182626780273</v>
      </c>
      <c r="R229" s="34">
        <v>128.247280096181</v>
      </c>
      <c r="S229" s="34">
        <v>129.262748768029</v>
      </c>
      <c r="T229" s="34">
        <v>130.168858050265</v>
      </c>
      <c r="U229" s="34">
        <v>130.841775922966</v>
      </c>
      <c r="V229" s="34">
        <v>131.153893503448</v>
      </c>
      <c r="W229" s="34">
        <v>3</v>
      </c>
      <c r="AG229" s="167"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4" t="s">
        <v>22</v>
      </c>
      <c r="B230" s="34" t="s">
        <v>389</v>
      </c>
      <c r="C230" s="34" t="s">
        <v>389</v>
      </c>
      <c r="D230" s="34">
        <v>114.16</v>
      </c>
      <c r="E230" s="34">
        <v>113.851771194774</v>
      </c>
      <c r="F230" s="34"/>
      <c r="G230" s="34">
        <v>120.367648808176</v>
      </c>
      <c r="H230" s="34">
        <v>124.091989326906</v>
      </c>
      <c r="I230" s="34">
        <v>128.123165185377</v>
      </c>
      <c r="J230" s="34">
        <v>131.482602787131</v>
      </c>
      <c r="K230" s="34">
        <v>134.854402283732</v>
      </c>
      <c r="L230" s="34">
        <v>138.337547505911</v>
      </c>
      <c r="M230" s="34">
        <v>141.577711644868</v>
      </c>
      <c r="N230" s="34">
        <v>144.373470591253</v>
      </c>
      <c r="O230" s="34">
        <v>146.720661244937</v>
      </c>
      <c r="P230" s="34">
        <v>148.559578197727</v>
      </c>
      <c r="Q230" s="34">
        <v>149.991411913595</v>
      </c>
      <c r="R230" s="34">
        <v>151.246998923348</v>
      </c>
      <c r="S230" s="34">
        <v>152.444580571883</v>
      </c>
      <c r="T230" s="34">
        <v>153.513190444404</v>
      </c>
      <c r="U230" s="34">
        <v>154.306788629812</v>
      </c>
      <c r="V230" s="34">
        <v>154.674881016049</v>
      </c>
      <c r="W230" s="34">
        <v>3</v>
      </c>
      <c r="AG230" s="167"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4" t="s">
        <v>23</v>
      </c>
      <c r="B231" s="34" t="s">
        <v>374</v>
      </c>
      <c r="C231" s="34" t="s">
        <v>374</v>
      </c>
      <c r="D231" s="34"/>
      <c r="E231" s="34">
        <v>90.136915586846</v>
      </c>
      <c r="F231" s="34">
        <f>E231</f>
        <v>90.136915586846</v>
      </c>
      <c r="G231" s="34"/>
      <c r="H231" s="34"/>
      <c r="I231" s="34">
        <f>F231</f>
        <v>90.136915586846</v>
      </c>
      <c r="J231" s="34">
        <f>I231</f>
        <v>90.136915586846</v>
      </c>
      <c r="K231" s="34"/>
      <c r="L231" s="34">
        <f>J231</f>
        <v>90.136915586846</v>
      </c>
      <c r="M231" s="34"/>
      <c r="N231" s="34"/>
      <c r="O231" s="34"/>
      <c r="P231" s="34"/>
      <c r="Q231" s="34"/>
      <c r="R231" s="34"/>
      <c r="S231" s="34"/>
      <c r="T231" s="34"/>
      <c r="U231" s="34"/>
      <c r="V231" s="34">
        <f>L231</f>
        <v>90.136915586846</v>
      </c>
      <c r="W231" s="34">
        <v>3</v>
      </c>
      <c r="AG231" s="167"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4" t="s">
        <v>23</v>
      </c>
      <c r="B232" s="34" t="s">
        <v>377</v>
      </c>
      <c r="C232" s="34" t="s">
        <v>377</v>
      </c>
      <c r="D232" s="34"/>
      <c r="E232" s="34">
        <v>322.671564831785</v>
      </c>
      <c r="F232" s="34">
        <f>E232</f>
        <v>322.671564831785</v>
      </c>
      <c r="G232" s="34"/>
      <c r="H232" s="34"/>
      <c r="I232" s="34">
        <f>F232</f>
        <v>322.671564831785</v>
      </c>
      <c r="J232" s="34">
        <f>I232</f>
        <v>322.671564831785</v>
      </c>
      <c r="K232" s="34"/>
      <c r="L232" s="34">
        <f>J232</f>
        <v>322.671564831785</v>
      </c>
      <c r="M232" s="34"/>
      <c r="N232" s="34"/>
      <c r="O232" s="34"/>
      <c r="P232" s="34"/>
      <c r="Q232" s="34"/>
      <c r="R232" s="34"/>
      <c r="S232" s="34"/>
      <c r="T232" s="34"/>
      <c r="U232" s="34"/>
      <c r="V232" s="34">
        <f>L232</f>
        <v>322.671564831785</v>
      </c>
      <c r="W232" s="34">
        <v>3</v>
      </c>
      <c r="AG232" s="167"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4" t="s">
        <v>23</v>
      </c>
      <c r="B233" s="34" t="s">
        <v>378</v>
      </c>
      <c r="C233" s="34" t="s">
        <v>378</v>
      </c>
      <c r="D233" s="34"/>
      <c r="E233" s="34">
        <v>1.84646348307184</v>
      </c>
      <c r="F233" s="34"/>
      <c r="G233" s="34"/>
      <c r="H233" s="34"/>
      <c r="I233" s="34">
        <v>2.9750260287217</v>
      </c>
      <c r="J233" s="34">
        <v>3.41960386866863</v>
      </c>
      <c r="K233" s="34"/>
      <c r="L233" s="34">
        <v>4.40674604488185</v>
      </c>
      <c r="M233" s="34"/>
      <c r="N233" s="34"/>
      <c r="O233" s="34"/>
      <c r="P233" s="34"/>
      <c r="Q233" s="34"/>
      <c r="R233" s="34"/>
      <c r="S233" s="34"/>
      <c r="T233" s="34"/>
      <c r="U233" s="34"/>
      <c r="V233" s="34">
        <v>10.1928288864832</v>
      </c>
      <c r="W233" s="34">
        <v>3</v>
      </c>
      <c r="AG233" s="167"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4" t="s">
        <v>23</v>
      </c>
      <c r="B234" s="34" t="s">
        <v>379</v>
      </c>
      <c r="C234" s="34" t="s">
        <v>379</v>
      </c>
      <c r="D234" s="34"/>
      <c r="E234" s="34">
        <v>5.37764191828844</v>
      </c>
      <c r="F234" s="34"/>
      <c r="G234" s="34"/>
      <c r="H234" s="34"/>
      <c r="I234" s="34">
        <v>5.9759908455789</v>
      </c>
      <c r="J234" s="34">
        <v>6.11874641816906</v>
      </c>
      <c r="K234" s="34"/>
      <c r="L234" s="34">
        <v>6.30184396491898</v>
      </c>
      <c r="M234" s="34"/>
      <c r="N234" s="34"/>
      <c r="O234" s="34"/>
      <c r="P234" s="34"/>
      <c r="Q234" s="34"/>
      <c r="R234" s="34"/>
      <c r="S234" s="34"/>
      <c r="T234" s="34"/>
      <c r="U234" s="34"/>
      <c r="V234" s="34">
        <v>5.931543434921</v>
      </c>
      <c r="W234" s="34">
        <v>3</v>
      </c>
      <c r="AG234" s="167"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4" t="s">
        <v>23</v>
      </c>
      <c r="B235" s="34" t="s">
        <v>381</v>
      </c>
      <c r="C235" s="34" t="s">
        <v>381</v>
      </c>
      <c r="D235" s="34"/>
      <c r="E235" s="34">
        <v>51.9865510775928</v>
      </c>
      <c r="F235" s="34">
        <f>E235</f>
        <v>51.9865510775928</v>
      </c>
      <c r="G235" s="34"/>
      <c r="H235" s="34"/>
      <c r="I235" s="34">
        <f>F235</f>
        <v>51.9865510775928</v>
      </c>
      <c r="J235" s="34">
        <f>I235</f>
        <v>51.9865510775928</v>
      </c>
      <c r="K235" s="34"/>
      <c r="L235" s="34">
        <f>J235</f>
        <v>51.9865510775928</v>
      </c>
      <c r="M235" s="34"/>
      <c r="N235" s="34"/>
      <c r="O235" s="34"/>
      <c r="P235" s="34"/>
      <c r="Q235" s="34"/>
      <c r="R235" s="34"/>
      <c r="S235" s="34"/>
      <c r="T235" s="34"/>
      <c r="U235" s="34"/>
      <c r="V235" s="34">
        <f>L235</f>
        <v>51.9865510775928</v>
      </c>
      <c r="W235" s="34">
        <v>3</v>
      </c>
      <c r="AG235" s="167"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4" t="s">
        <v>23</v>
      </c>
      <c r="B236" s="34" t="s">
        <v>382</v>
      </c>
      <c r="C236" s="34" t="s">
        <v>382</v>
      </c>
      <c r="D236" s="34"/>
      <c r="E236" s="34">
        <v>361.380565652376</v>
      </c>
      <c r="F236" s="34">
        <f>E236</f>
        <v>361.380565652376</v>
      </c>
      <c r="G236" s="34"/>
      <c r="H236" s="34"/>
      <c r="I236" s="34">
        <f>F236</f>
        <v>361.380565652376</v>
      </c>
      <c r="J236" s="34">
        <f>I236</f>
        <v>361.380565652376</v>
      </c>
      <c r="K236" s="34"/>
      <c r="L236" s="34">
        <f>J236</f>
        <v>361.380565652376</v>
      </c>
      <c r="M236" s="34"/>
      <c r="N236" s="34"/>
      <c r="O236" s="34"/>
      <c r="P236" s="34"/>
      <c r="Q236" s="34"/>
      <c r="R236" s="34"/>
      <c r="S236" s="34"/>
      <c r="T236" s="34"/>
      <c r="U236" s="34"/>
      <c r="V236" s="34">
        <f>L236</f>
        <v>361.380565652376</v>
      </c>
      <c r="W236" s="34">
        <v>3</v>
      </c>
      <c r="AG236" s="167"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4" t="s">
        <v>23</v>
      </c>
      <c r="B237" s="34" t="s">
        <v>383</v>
      </c>
      <c r="C237" s="34" t="s">
        <v>383</v>
      </c>
      <c r="D237" s="34">
        <v>22.827</v>
      </c>
      <c r="E237" s="34">
        <v>23.0101764321669</v>
      </c>
      <c r="F237" s="34"/>
      <c r="G237" s="34">
        <v>23.9147817978553</v>
      </c>
      <c r="H237" s="34">
        <v>24.8086566291136</v>
      </c>
      <c r="I237" s="34">
        <v>25.5704276713073</v>
      </c>
      <c r="J237" s="34">
        <v>26.1812587682614</v>
      </c>
      <c r="K237" s="34">
        <v>26.6421770951213</v>
      </c>
      <c r="L237" s="34">
        <v>26.9647075212705</v>
      </c>
      <c r="M237" s="34">
        <v>27.1623965626716</v>
      </c>
      <c r="N237" s="34">
        <v>27.2473453812649</v>
      </c>
      <c r="O237" s="34">
        <v>27.2396302421622</v>
      </c>
      <c r="P237" s="34">
        <v>27.149211166884</v>
      </c>
      <c r="Q237" s="34">
        <v>26.9834852100969</v>
      </c>
      <c r="R237" s="34">
        <v>26.745945231686</v>
      </c>
      <c r="S237" s="34">
        <v>26.452263224649</v>
      </c>
      <c r="T237" s="34">
        <v>26.1174312803521</v>
      </c>
      <c r="U237" s="34">
        <v>25.7548512390089</v>
      </c>
      <c r="V237" s="34">
        <v>25.3802434275939</v>
      </c>
      <c r="W237" s="34">
        <v>3</v>
      </c>
      <c r="AG237" s="167"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4" t="s">
        <v>23</v>
      </c>
      <c r="B238" s="34" t="s">
        <v>384</v>
      </c>
      <c r="C238" s="34" t="s">
        <v>384</v>
      </c>
      <c r="D238" s="34">
        <v>5.145</v>
      </c>
      <c r="E238" s="34">
        <v>5.18628631635777</v>
      </c>
      <c r="F238" s="34"/>
      <c r="G238" s="34">
        <v>5.39017621018817</v>
      </c>
      <c r="H238" s="34">
        <v>5.59164753830068</v>
      </c>
      <c r="I238" s="34">
        <v>5.76334386335814</v>
      </c>
      <c r="J238" s="34">
        <v>5.9010196855787</v>
      </c>
      <c r="K238" s="34">
        <v>6.00490652097951</v>
      </c>
      <c r="L238" s="34">
        <v>6.07760197121553</v>
      </c>
      <c r="M238" s="34">
        <v>6.12215929885421</v>
      </c>
      <c r="N238" s="34">
        <v>6.14130599669723</v>
      </c>
      <c r="O238" s="34">
        <v>6.13956707390041</v>
      </c>
      <c r="P238" s="34">
        <v>6.11918742951848</v>
      </c>
      <c r="Q238" s="34">
        <v>6.08183429298411</v>
      </c>
      <c r="R238" s="34">
        <v>6.0282949234251</v>
      </c>
      <c r="S238" s="34">
        <v>5.96210164677002</v>
      </c>
      <c r="T238" s="34">
        <v>5.88663354524954</v>
      </c>
      <c r="U238" s="34">
        <v>5.80491127282168</v>
      </c>
      <c r="V238" s="34">
        <v>5.72047804945768</v>
      </c>
      <c r="W238" s="34">
        <v>3</v>
      </c>
      <c r="AG238" s="167"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4" t="s">
        <v>23</v>
      </c>
      <c r="B239" s="34" t="s">
        <v>385</v>
      </c>
      <c r="C239" s="34" t="s">
        <v>385</v>
      </c>
      <c r="D239" s="34">
        <v>16.765</v>
      </c>
      <c r="E239" s="34">
        <v>16.8995316022814</v>
      </c>
      <c r="F239" s="34"/>
      <c r="G239" s="34">
        <v>17.5639075148308</v>
      </c>
      <c r="H239" s="34">
        <v>18.2204025227621</v>
      </c>
      <c r="I239" s="34">
        <v>18.7798755819629</v>
      </c>
      <c r="J239" s="34">
        <v>19.2284927169537</v>
      </c>
      <c r="K239" s="34">
        <v>19.5670083234638</v>
      </c>
      <c r="L239" s="34">
        <v>19.8038866953213</v>
      </c>
      <c r="M239" s="34">
        <v>19.9490768989875</v>
      </c>
      <c r="N239" s="34">
        <v>20.0114664790338</v>
      </c>
      <c r="O239" s="34">
        <v>20.0058001931857</v>
      </c>
      <c r="P239" s="34">
        <v>19.9393930526486</v>
      </c>
      <c r="Q239" s="34">
        <v>19.8176777301999</v>
      </c>
      <c r="R239" s="34">
        <v>19.6432195123852</v>
      </c>
      <c r="S239" s="34">
        <v>19.4275284952574</v>
      </c>
      <c r="T239" s="34">
        <v>19.1816154297587</v>
      </c>
      <c r="U239" s="34">
        <v>18.9153231270856</v>
      </c>
      <c r="V239" s="34">
        <v>18.6401971815662</v>
      </c>
      <c r="W239" s="34">
        <v>3</v>
      </c>
      <c r="AG239" s="167"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4" t="s">
        <v>23</v>
      </c>
      <c r="B240" s="34" t="s">
        <v>386</v>
      </c>
      <c r="C240" s="34" t="s">
        <v>386</v>
      </c>
      <c r="D240" s="34">
        <v>803.328</v>
      </c>
      <c r="E240" s="34">
        <v>797.560660349608</v>
      </c>
      <c r="F240" s="34"/>
      <c r="G240" s="34">
        <v>929.780185258728</v>
      </c>
      <c r="H240" s="34">
        <v>1033.11721180092</v>
      </c>
      <c r="I240" s="34">
        <v>1156.0111815092</v>
      </c>
      <c r="J240" s="34">
        <v>1297.58213678564</v>
      </c>
      <c r="K240" s="34">
        <v>1454.31724085563</v>
      </c>
      <c r="L240" s="34">
        <v>1623.2030962136</v>
      </c>
      <c r="M240" s="34">
        <v>1805.20969663489</v>
      </c>
      <c r="N240" s="34">
        <v>2001.95071552467</v>
      </c>
      <c r="O240" s="34">
        <v>2215.83151876672</v>
      </c>
      <c r="P240" s="34">
        <v>2443.30001861929</v>
      </c>
      <c r="Q240" s="34">
        <v>2682.09637551408</v>
      </c>
      <c r="R240" s="34">
        <v>2929.43858405422</v>
      </c>
      <c r="S240" s="34">
        <v>3184.45946218753</v>
      </c>
      <c r="T240" s="34">
        <v>3447.16266069794</v>
      </c>
      <c r="U240" s="34">
        <v>3717.04240420908</v>
      </c>
      <c r="V240" s="34">
        <v>3992.99054474614</v>
      </c>
      <c r="W240" s="34">
        <v>3</v>
      </c>
      <c r="AG240" s="167"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4" t="s">
        <v>23</v>
      </c>
      <c r="B241" s="34" t="s">
        <v>388</v>
      </c>
      <c r="C241" s="34" t="s">
        <v>388</v>
      </c>
      <c r="D241" s="34">
        <v>167.7</v>
      </c>
      <c r="E241" s="34">
        <v>167.832062250321</v>
      </c>
      <c r="F241" s="34"/>
      <c r="G241" s="34">
        <v>203.36333745473</v>
      </c>
      <c r="H241" s="34">
        <v>234.434727091288</v>
      </c>
      <c r="I241" s="34">
        <v>270.411388162459</v>
      </c>
      <c r="J241" s="34">
        <v>310.820752546398</v>
      </c>
      <c r="K241" s="34">
        <v>354.542507947354</v>
      </c>
      <c r="L241" s="34">
        <v>400.545845236838</v>
      </c>
      <c r="M241" s="34">
        <v>448.755797451494</v>
      </c>
      <c r="N241" s="34">
        <v>499.236916570675</v>
      </c>
      <c r="O241" s="34">
        <v>552.41511404419</v>
      </c>
      <c r="P241" s="34">
        <v>607.075051216112</v>
      </c>
      <c r="Q241" s="34">
        <v>662.28197069296</v>
      </c>
      <c r="R241" s="34">
        <v>716.894723414988</v>
      </c>
      <c r="S241" s="34">
        <v>770.61359731093</v>
      </c>
      <c r="T241" s="34">
        <v>823.455870835527</v>
      </c>
      <c r="U241" s="34">
        <v>875.391246280586</v>
      </c>
      <c r="V241" s="34">
        <v>926.464838252404</v>
      </c>
      <c r="W241" s="34">
        <v>3</v>
      </c>
      <c r="AG241" s="167"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4" t="s">
        <v>23</v>
      </c>
      <c r="B242" s="34" t="s">
        <v>389</v>
      </c>
      <c r="C242" s="34" t="s">
        <v>389</v>
      </c>
      <c r="D242" s="34">
        <v>102.28</v>
      </c>
      <c r="E242" s="34">
        <v>102.360544585348</v>
      </c>
      <c r="F242" s="34"/>
      <c r="G242" s="34">
        <v>124.031020601489</v>
      </c>
      <c r="H242" s="34">
        <v>142.981418526517</v>
      </c>
      <c r="I242" s="34">
        <v>164.923534771952</v>
      </c>
      <c r="J242" s="34">
        <v>189.569150688405</v>
      </c>
      <c r="K242" s="34">
        <v>216.234989343204</v>
      </c>
      <c r="L242" s="34">
        <v>244.292361662634</v>
      </c>
      <c r="M242" s="34">
        <v>273.695545398562</v>
      </c>
      <c r="N242" s="34">
        <v>304.483910714661</v>
      </c>
      <c r="O242" s="34">
        <v>336.917220420034</v>
      </c>
      <c r="P242" s="34">
        <v>370.254241135265</v>
      </c>
      <c r="Q242" s="34">
        <v>403.924865608086</v>
      </c>
      <c r="R242" s="34">
        <v>437.233108592039</v>
      </c>
      <c r="S242" s="34">
        <v>469.996176105915</v>
      </c>
      <c r="T242" s="34">
        <v>502.224606255562</v>
      </c>
      <c r="U242" s="34">
        <v>533.899920510307</v>
      </c>
      <c r="V242" s="34">
        <v>565.049634206655</v>
      </c>
      <c r="W242" s="34">
        <v>3</v>
      </c>
      <c r="AG242" s="167"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4" t="s">
        <v>24</v>
      </c>
      <c r="B243" s="34" t="s">
        <v>374</v>
      </c>
      <c r="C243" s="34" t="s">
        <v>374</v>
      </c>
      <c r="D243" s="34"/>
      <c r="E243" s="34">
        <v>60.7568958307909</v>
      </c>
      <c r="F243" s="34">
        <f>E243</f>
        <v>60.7568958307909</v>
      </c>
      <c r="G243" s="34"/>
      <c r="H243" s="34"/>
      <c r="I243" s="34">
        <f>F243</f>
        <v>60.7568958307909</v>
      </c>
      <c r="J243" s="34">
        <f>I243</f>
        <v>60.7568958307909</v>
      </c>
      <c r="K243" s="34"/>
      <c r="L243" s="34">
        <f>J243</f>
        <v>60.7568958307909</v>
      </c>
      <c r="M243" s="34"/>
      <c r="N243" s="34"/>
      <c r="O243" s="34"/>
      <c r="P243" s="34"/>
      <c r="Q243" s="34"/>
      <c r="R243" s="34"/>
      <c r="S243" s="34"/>
      <c r="T243" s="34"/>
      <c r="U243" s="34"/>
      <c r="V243" s="34">
        <f>L243</f>
        <v>60.7568958307909</v>
      </c>
      <c r="W243" s="34">
        <v>3</v>
      </c>
      <c r="AG243" s="167"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4" t="s">
        <v>24</v>
      </c>
      <c r="B244" s="34" t="s">
        <v>377</v>
      </c>
      <c r="C244" s="34" t="s">
        <v>377</v>
      </c>
      <c r="D244" s="34"/>
      <c r="E244" s="34">
        <v>769.872325083212</v>
      </c>
      <c r="F244" s="34">
        <f>E244</f>
        <v>769.872325083212</v>
      </c>
      <c r="G244" s="34"/>
      <c r="H244" s="34"/>
      <c r="I244" s="34">
        <f>F244</f>
        <v>769.872325083212</v>
      </c>
      <c r="J244" s="34">
        <f>I244</f>
        <v>769.872325083212</v>
      </c>
      <c r="K244" s="34"/>
      <c r="L244" s="34">
        <f>J244</f>
        <v>769.872325083212</v>
      </c>
      <c r="M244" s="34"/>
      <c r="N244" s="34"/>
      <c r="O244" s="34"/>
      <c r="P244" s="34"/>
      <c r="Q244" s="34"/>
      <c r="R244" s="34"/>
      <c r="S244" s="34"/>
      <c r="T244" s="34"/>
      <c r="U244" s="34"/>
      <c r="V244" s="34">
        <f>L244</f>
        <v>769.872325083212</v>
      </c>
      <c r="W244" s="34">
        <v>3</v>
      </c>
      <c r="AG244" s="167"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4" t="s">
        <v>24</v>
      </c>
      <c r="B245" s="34" t="s">
        <v>378</v>
      </c>
      <c r="C245" s="34" t="s">
        <v>378</v>
      </c>
      <c r="D245" s="34"/>
      <c r="E245" s="34">
        <v>2.42303774855836</v>
      </c>
      <c r="F245" s="34"/>
      <c r="G245" s="34"/>
      <c r="H245" s="34"/>
      <c r="I245" s="34">
        <v>3.84384051393692</v>
      </c>
      <c r="J245" s="34">
        <v>4.4294966471537</v>
      </c>
      <c r="K245" s="34"/>
      <c r="L245" s="34">
        <v>5.66688008820451</v>
      </c>
      <c r="M245" s="34"/>
      <c r="N245" s="34"/>
      <c r="O245" s="34"/>
      <c r="P245" s="34"/>
      <c r="Q245" s="34"/>
      <c r="R245" s="34"/>
      <c r="S245" s="34"/>
      <c r="T245" s="34"/>
      <c r="U245" s="34"/>
      <c r="V245" s="34">
        <v>12.5737312548675</v>
      </c>
      <c r="W245" s="34">
        <v>3</v>
      </c>
      <c r="AG245" s="167"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4" t="s">
        <v>24</v>
      </c>
      <c r="B246" s="34" t="s">
        <v>379</v>
      </c>
      <c r="C246" s="34" t="s">
        <v>379</v>
      </c>
      <c r="D246" s="34"/>
      <c r="E246" s="34">
        <v>1.04527510225683</v>
      </c>
      <c r="F246" s="34"/>
      <c r="G246" s="34"/>
      <c r="H246" s="34"/>
      <c r="I246" s="34">
        <v>1.28003974811183</v>
      </c>
      <c r="J246" s="34">
        <v>1.34969977903957</v>
      </c>
      <c r="K246" s="34"/>
      <c r="L246" s="34">
        <v>1.46831105505433</v>
      </c>
      <c r="M246" s="34"/>
      <c r="N246" s="34"/>
      <c r="O246" s="34"/>
      <c r="P246" s="34"/>
      <c r="Q246" s="34"/>
      <c r="R246" s="34"/>
      <c r="S246" s="34"/>
      <c r="T246" s="34"/>
      <c r="U246" s="34"/>
      <c r="V246" s="34">
        <v>1.60221331092418</v>
      </c>
      <c r="W246" s="34">
        <v>3</v>
      </c>
      <c r="AG246" s="167"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4" t="s">
        <v>24</v>
      </c>
      <c r="B247" s="34" t="s">
        <v>381</v>
      </c>
      <c r="C247" s="34" t="s">
        <v>381</v>
      </c>
      <c r="D247" s="34"/>
      <c r="E247" s="34">
        <v>0</v>
      </c>
      <c r="F247" s="34">
        <f>E247</f>
        <v>0</v>
      </c>
      <c r="G247" s="34"/>
      <c r="H247" s="34"/>
      <c r="I247" s="34">
        <f>F247</f>
        <v>0</v>
      </c>
      <c r="J247" s="34">
        <f>I247</f>
        <v>0</v>
      </c>
      <c r="K247" s="34"/>
      <c r="L247" s="34">
        <f>J247</f>
        <v>0</v>
      </c>
      <c r="M247" s="34"/>
      <c r="N247" s="34"/>
      <c r="O247" s="34"/>
      <c r="P247" s="34"/>
      <c r="Q247" s="34"/>
      <c r="R247" s="34"/>
      <c r="S247" s="34"/>
      <c r="T247" s="34"/>
      <c r="U247" s="34"/>
      <c r="V247" s="34">
        <f>L247</f>
        <v>0</v>
      </c>
      <c r="W247" s="34">
        <v>3</v>
      </c>
      <c r="AG247" s="167"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4" t="s">
        <v>24</v>
      </c>
      <c r="B248" s="34" t="s">
        <v>382</v>
      </c>
      <c r="C248" s="34" t="s">
        <v>382</v>
      </c>
      <c r="D248" s="34"/>
      <c r="E248" s="34">
        <v>877.340866458265</v>
      </c>
      <c r="F248" s="34">
        <f>E248</f>
        <v>877.340866458265</v>
      </c>
      <c r="G248" s="34"/>
      <c r="H248" s="34"/>
      <c r="I248" s="34">
        <f>F248</f>
        <v>877.340866458265</v>
      </c>
      <c r="J248" s="34">
        <f>I248</f>
        <v>877.340866458265</v>
      </c>
      <c r="K248" s="34"/>
      <c r="L248" s="34">
        <f>J248</f>
        <v>877.340866458265</v>
      </c>
      <c r="M248" s="34"/>
      <c r="N248" s="34"/>
      <c r="O248" s="34"/>
      <c r="P248" s="34"/>
      <c r="Q248" s="34"/>
      <c r="R248" s="34"/>
      <c r="S248" s="34"/>
      <c r="T248" s="34"/>
      <c r="U248" s="34"/>
      <c r="V248" s="34">
        <f>L248</f>
        <v>877.340866458265</v>
      </c>
      <c r="W248" s="34">
        <v>3</v>
      </c>
      <c r="AG248" s="167"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4" t="s">
        <v>24</v>
      </c>
      <c r="B249" s="34" t="s">
        <v>383</v>
      </c>
      <c r="C249" s="34" t="s">
        <v>383</v>
      </c>
      <c r="D249" s="34">
        <v>32.705</v>
      </c>
      <c r="E249" s="34">
        <v>33.2242806543094</v>
      </c>
      <c r="F249" s="34"/>
      <c r="G249" s="34">
        <v>35.788845052134</v>
      </c>
      <c r="H249" s="34">
        <v>38.3105092934072</v>
      </c>
      <c r="I249" s="34">
        <v>40.6863224314029</v>
      </c>
      <c r="J249" s="34">
        <v>42.900480611325</v>
      </c>
      <c r="K249" s="34">
        <v>44.9155523212205</v>
      </c>
      <c r="L249" s="34">
        <v>46.6705640224498</v>
      </c>
      <c r="M249" s="34">
        <v>48.1505018018178</v>
      </c>
      <c r="N249" s="34">
        <v>49.3337626350659</v>
      </c>
      <c r="O249" s="34">
        <v>50.2107189979149</v>
      </c>
      <c r="P249" s="34">
        <v>50.8068891690796</v>
      </c>
      <c r="Q249" s="34">
        <v>51.1664127639739</v>
      </c>
      <c r="R249" s="34">
        <v>51.3373422004478</v>
      </c>
      <c r="S249" s="34">
        <v>51.3712832667424</v>
      </c>
      <c r="T249" s="34">
        <v>51.3102115086031</v>
      </c>
      <c r="U249" s="34">
        <v>51.165575855892</v>
      </c>
      <c r="V249" s="34">
        <v>50.9266743226567</v>
      </c>
      <c r="W249" s="34">
        <v>3</v>
      </c>
      <c r="AG249" s="167"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4" t="s">
        <v>24</v>
      </c>
      <c r="B250" s="34" t="s">
        <v>384</v>
      </c>
      <c r="C250" s="34" t="s">
        <v>384</v>
      </c>
      <c r="D250" s="34">
        <v>9.69</v>
      </c>
      <c r="E250" s="34">
        <v>9.84385505397519</v>
      </c>
      <c r="F250" s="34"/>
      <c r="G250" s="34">
        <v>10.6036969440507</v>
      </c>
      <c r="H250" s="34">
        <v>11.3508281624558</v>
      </c>
      <c r="I250" s="34">
        <v>12.0547458908514</v>
      </c>
      <c r="J250" s="34">
        <v>12.7107676845663</v>
      </c>
      <c r="K250" s="34">
        <v>13.3078031491401</v>
      </c>
      <c r="L250" s="34">
        <v>13.8277867414016</v>
      </c>
      <c r="M250" s="34">
        <v>14.2662700645043</v>
      </c>
      <c r="N250" s="34">
        <v>14.6168524670169</v>
      </c>
      <c r="O250" s="34">
        <v>14.8766814581806</v>
      </c>
      <c r="P250" s="34">
        <v>15.0533177204826</v>
      </c>
      <c r="Q250" s="34">
        <v>15.1598391586274</v>
      </c>
      <c r="R250" s="34">
        <v>15.2104829818786</v>
      </c>
      <c r="S250" s="34">
        <v>15.2205392097457</v>
      </c>
      <c r="T250" s="34">
        <v>15.2024445656127</v>
      </c>
      <c r="U250" s="34">
        <v>15.15959119534</v>
      </c>
      <c r="V250" s="34">
        <v>15.0888082613222</v>
      </c>
      <c r="W250" s="34">
        <v>3</v>
      </c>
      <c r="AG250" s="167"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4" t="s">
        <v>24</v>
      </c>
      <c r="B251" s="34" t="s">
        <v>385</v>
      </c>
      <c r="C251" s="34" t="s">
        <v>385</v>
      </c>
      <c r="D251" s="34">
        <v>20.86</v>
      </c>
      <c r="E251" s="34">
        <v>21.1912091254822</v>
      </c>
      <c r="F251" s="34"/>
      <c r="G251" s="34">
        <v>22.8269471881215</v>
      </c>
      <c r="H251" s="34">
        <v>24.4353225458026</v>
      </c>
      <c r="I251" s="34">
        <v>25.9506707206563</v>
      </c>
      <c r="J251" s="34">
        <v>27.3629116511922</v>
      </c>
      <c r="K251" s="34">
        <v>28.6481706595524</v>
      </c>
      <c r="L251" s="34">
        <v>29.7675574226664</v>
      </c>
      <c r="M251" s="34">
        <v>30.7114957219361</v>
      </c>
      <c r="N251" s="34">
        <v>31.4662066524224</v>
      </c>
      <c r="O251" s="34">
        <v>32.0255495580647</v>
      </c>
      <c r="P251" s="34">
        <v>32.4058005829996</v>
      </c>
      <c r="Q251" s="34">
        <v>32.6351129875095</v>
      </c>
      <c r="R251" s="34">
        <v>32.7441357071195</v>
      </c>
      <c r="S251" s="34">
        <v>32.7657840985857</v>
      </c>
      <c r="T251" s="34">
        <v>32.7268311288629</v>
      </c>
      <c r="U251" s="34">
        <v>32.634579188317</v>
      </c>
      <c r="V251" s="34">
        <v>32.4822023045595</v>
      </c>
      <c r="W251" s="34">
        <v>3</v>
      </c>
      <c r="AG251" s="167"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4" t="s">
        <v>24</v>
      </c>
      <c r="B252" s="34" t="s">
        <v>386</v>
      </c>
      <c r="C252" s="34" t="s">
        <v>386</v>
      </c>
      <c r="D252" s="34">
        <v>908.376</v>
      </c>
      <c r="E252" s="34">
        <v>902.440441486943</v>
      </c>
      <c r="F252" s="34"/>
      <c r="G252" s="34">
        <v>988.855084793077</v>
      </c>
      <c r="H252" s="34">
        <v>1071.79879765823</v>
      </c>
      <c r="I252" s="34">
        <v>1168.54180908552</v>
      </c>
      <c r="J252" s="34">
        <v>1276.78267529446</v>
      </c>
      <c r="K252" s="34">
        <v>1387.41908863122</v>
      </c>
      <c r="L252" s="34">
        <v>1500.78905382446</v>
      </c>
      <c r="M252" s="34">
        <v>1622.31267426371</v>
      </c>
      <c r="N252" s="34">
        <v>1757.19725879159</v>
      </c>
      <c r="O252" s="34">
        <v>1904.46213532516</v>
      </c>
      <c r="P252" s="34">
        <v>2056.05733538462</v>
      </c>
      <c r="Q252" s="34">
        <v>2210.58980261323</v>
      </c>
      <c r="R252" s="34">
        <v>2368.00549133872</v>
      </c>
      <c r="S252" s="34">
        <v>2529.09168119291</v>
      </c>
      <c r="T252" s="34">
        <v>2695.57499695125</v>
      </c>
      <c r="U252" s="34">
        <v>2868.91708072059</v>
      </c>
      <c r="V252" s="34">
        <v>3049.46732265809</v>
      </c>
      <c r="W252" s="34">
        <v>3</v>
      </c>
      <c r="AG252" s="167"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4" t="s">
        <v>24</v>
      </c>
      <c r="B253" s="34" t="s">
        <v>388</v>
      </c>
      <c r="C253" s="34" t="s">
        <v>388</v>
      </c>
      <c r="D253" s="34">
        <v>175.4</v>
      </c>
      <c r="E253" s="34">
        <v>177.020601105144</v>
      </c>
      <c r="F253" s="34"/>
      <c r="G253" s="34">
        <v>208.963482680974</v>
      </c>
      <c r="H253" s="34">
        <v>242.483525630238</v>
      </c>
      <c r="I253" s="34">
        <v>280.820618141117</v>
      </c>
      <c r="J253" s="34">
        <v>323.607075266942</v>
      </c>
      <c r="K253" s="34">
        <v>368.254841772835</v>
      </c>
      <c r="L253" s="34">
        <v>414.006971291133</v>
      </c>
      <c r="M253" s="34">
        <v>461.824071120916</v>
      </c>
      <c r="N253" s="34">
        <v>512.619092012593</v>
      </c>
      <c r="O253" s="34">
        <v>565.552785443223</v>
      </c>
      <c r="P253" s="34">
        <v>617.896680253137</v>
      </c>
      <c r="Q253" s="34">
        <v>669.090979941143</v>
      </c>
      <c r="R253" s="34">
        <v>719.159284642815</v>
      </c>
      <c r="S253" s="34">
        <v>768.594972677784</v>
      </c>
      <c r="T253" s="34">
        <v>818.20287997632</v>
      </c>
      <c r="U253" s="34">
        <v>868.329436755221</v>
      </c>
      <c r="V253" s="34">
        <v>918.602884414608</v>
      </c>
      <c r="W253" s="34">
        <v>3</v>
      </c>
      <c r="AG253" s="167"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4" t="s">
        <v>24</v>
      </c>
      <c r="B254" s="34" t="s">
        <v>389</v>
      </c>
      <c r="C254" s="34" t="s">
        <v>389</v>
      </c>
      <c r="D254" s="34">
        <v>222.24</v>
      </c>
      <c r="E254" s="34">
        <v>224.293377363781</v>
      </c>
      <c r="F254" s="34"/>
      <c r="G254" s="34">
        <v>264.766501659177</v>
      </c>
      <c r="H254" s="34">
        <v>307.237963147458</v>
      </c>
      <c r="I254" s="34">
        <v>355.812851628745</v>
      </c>
      <c r="J254" s="34">
        <v>410.025293086233</v>
      </c>
      <c r="K254" s="34">
        <v>466.596100545011</v>
      </c>
      <c r="L254" s="34">
        <v>524.566187569792</v>
      </c>
      <c r="M254" s="34">
        <v>585.152688517174</v>
      </c>
      <c r="N254" s="34">
        <v>649.512354668635</v>
      </c>
      <c r="O254" s="34">
        <v>716.581818910501</v>
      </c>
      <c r="P254" s="34">
        <v>782.903980726666</v>
      </c>
      <c r="Q254" s="34">
        <v>847.769551779474</v>
      </c>
      <c r="R254" s="34">
        <v>911.20843454401</v>
      </c>
      <c r="S254" s="34">
        <v>973.845762416824</v>
      </c>
      <c r="T254" s="34">
        <v>1036.70130014788</v>
      </c>
      <c r="U254" s="34">
        <v>1100.21399101756</v>
      </c>
      <c r="V254" s="34">
        <v>1163.91279950001</v>
      </c>
      <c r="W254" s="34">
        <v>3</v>
      </c>
      <c r="AG254" s="167"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4" t="s">
        <v>25</v>
      </c>
      <c r="B255" s="34" t="s">
        <v>374</v>
      </c>
      <c r="C255" s="34" t="s">
        <v>374</v>
      </c>
      <c r="D255" s="34"/>
      <c r="E255" s="34">
        <v>2841.17573671432</v>
      </c>
      <c r="F255" s="34">
        <f>E255</f>
        <v>2841.17573671432</v>
      </c>
      <c r="G255" s="34"/>
      <c r="H255" s="34"/>
      <c r="I255" s="34">
        <f>F255</f>
        <v>2841.17573671432</v>
      </c>
      <c r="J255" s="34">
        <f>I255</f>
        <v>2841.17573671432</v>
      </c>
      <c r="K255" s="34"/>
      <c r="L255" s="34">
        <f>J255</f>
        <v>2841.17573671432</v>
      </c>
      <c r="M255" s="34"/>
      <c r="N255" s="34"/>
      <c r="O255" s="34"/>
      <c r="P255" s="34"/>
      <c r="Q255" s="34"/>
      <c r="R255" s="34"/>
      <c r="S255" s="34"/>
      <c r="T255" s="34"/>
      <c r="U255" s="34"/>
      <c r="V255" s="34">
        <f>L255</f>
        <v>2841.17573671432</v>
      </c>
      <c r="W255" s="34">
        <v>3</v>
      </c>
      <c r="AG255" s="167"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4" t="s">
        <v>25</v>
      </c>
      <c r="B256" s="34" t="s">
        <v>377</v>
      </c>
      <c r="C256" s="34" t="s">
        <v>377</v>
      </c>
      <c r="D256" s="34"/>
      <c r="E256" s="34">
        <v>1296.87718269106</v>
      </c>
      <c r="F256" s="34">
        <f>E256</f>
        <v>1296.87718269106</v>
      </c>
      <c r="G256" s="34"/>
      <c r="H256" s="34"/>
      <c r="I256" s="34">
        <f>F256</f>
        <v>1296.87718269106</v>
      </c>
      <c r="J256" s="34">
        <f>I256</f>
        <v>1296.87718269106</v>
      </c>
      <c r="K256" s="34"/>
      <c r="L256" s="34">
        <f>J256</f>
        <v>1296.87718269106</v>
      </c>
      <c r="M256" s="34"/>
      <c r="N256" s="34"/>
      <c r="O256" s="34"/>
      <c r="P256" s="34"/>
      <c r="Q256" s="34"/>
      <c r="R256" s="34"/>
      <c r="S256" s="34"/>
      <c r="T256" s="34"/>
      <c r="U256" s="34"/>
      <c r="V256" s="34">
        <f>L256</f>
        <v>1296.87718269106</v>
      </c>
      <c r="W256" s="34">
        <v>3</v>
      </c>
      <c r="AG256" s="167"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4" t="s">
        <v>25</v>
      </c>
      <c r="B257" s="34" t="s">
        <v>378</v>
      </c>
      <c r="C257" s="34" t="s">
        <v>378</v>
      </c>
      <c r="D257" s="34"/>
      <c r="E257" s="34">
        <v>679.575521485568</v>
      </c>
      <c r="F257" s="34"/>
      <c r="G257" s="34"/>
      <c r="H257" s="34"/>
      <c r="I257" s="34">
        <v>871.443239460521</v>
      </c>
      <c r="J257" s="34">
        <v>923.557036642287</v>
      </c>
      <c r="K257" s="34"/>
      <c r="L257" s="34">
        <v>1023.3743399238</v>
      </c>
      <c r="M257" s="34"/>
      <c r="N257" s="34"/>
      <c r="O257" s="34"/>
      <c r="P257" s="34"/>
      <c r="Q257" s="34"/>
      <c r="R257" s="34"/>
      <c r="S257" s="34"/>
      <c r="T257" s="34"/>
      <c r="U257" s="34"/>
      <c r="V257" s="34">
        <v>1430.88134514306</v>
      </c>
      <c r="W257" s="34">
        <v>3</v>
      </c>
      <c r="AG257" s="167"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4" t="s">
        <v>25</v>
      </c>
      <c r="B258" s="34" t="s">
        <v>379</v>
      </c>
      <c r="C258" s="34" t="s">
        <v>379</v>
      </c>
      <c r="D258" s="34"/>
      <c r="E258" s="34">
        <v>58.4320094976446</v>
      </c>
      <c r="F258" s="34"/>
      <c r="G258" s="34"/>
      <c r="H258" s="34"/>
      <c r="I258" s="34">
        <v>61.9365902820291</v>
      </c>
      <c r="J258" s="34">
        <v>62.9423237956776</v>
      </c>
      <c r="K258" s="34"/>
      <c r="L258" s="34">
        <v>64.5538136248101</v>
      </c>
      <c r="M258" s="34"/>
      <c r="N258" s="34"/>
      <c r="O258" s="34"/>
      <c r="P258" s="34"/>
      <c r="Q258" s="34"/>
      <c r="R258" s="34"/>
      <c r="S258" s="34"/>
      <c r="T258" s="34"/>
      <c r="U258" s="34"/>
      <c r="V258" s="34">
        <v>66.6913174585817</v>
      </c>
      <c r="W258" s="34">
        <v>3</v>
      </c>
      <c r="AG258" s="167"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4" t="s">
        <v>25</v>
      </c>
      <c r="B259" s="34" t="s">
        <v>381</v>
      </c>
      <c r="C259" s="34" t="s">
        <v>381</v>
      </c>
      <c r="D259" s="34"/>
      <c r="E259" s="34">
        <v>449.84905940102</v>
      </c>
      <c r="F259" s="34">
        <f>E259</f>
        <v>449.84905940102</v>
      </c>
      <c r="G259" s="34"/>
      <c r="H259" s="34"/>
      <c r="I259" s="34">
        <f>F259</f>
        <v>449.84905940102</v>
      </c>
      <c r="J259" s="34">
        <f>I259</f>
        <v>449.84905940102</v>
      </c>
      <c r="K259" s="34"/>
      <c r="L259" s="34">
        <f>J259</f>
        <v>449.84905940102</v>
      </c>
      <c r="M259" s="34"/>
      <c r="N259" s="34"/>
      <c r="O259" s="34"/>
      <c r="P259" s="34"/>
      <c r="Q259" s="34"/>
      <c r="R259" s="34"/>
      <c r="S259" s="34"/>
      <c r="T259" s="34"/>
      <c r="U259" s="34"/>
      <c r="V259" s="34">
        <f>L259</f>
        <v>449.84905940102</v>
      </c>
      <c r="W259" s="34">
        <v>3</v>
      </c>
      <c r="AG259" s="167"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4" t="s">
        <v>25</v>
      </c>
      <c r="B260" s="34" t="s">
        <v>382</v>
      </c>
      <c r="C260" s="34" t="s">
        <v>382</v>
      </c>
      <c r="D260" s="34"/>
      <c r="E260" s="34">
        <v>1024.60125475921</v>
      </c>
      <c r="F260" s="34">
        <f>E260</f>
        <v>1024.60125475921</v>
      </c>
      <c r="G260" s="34"/>
      <c r="H260" s="34"/>
      <c r="I260" s="34">
        <f>F260</f>
        <v>1024.60125475921</v>
      </c>
      <c r="J260" s="34">
        <f>I260</f>
        <v>1024.60125475921</v>
      </c>
      <c r="K260" s="34"/>
      <c r="L260" s="34">
        <f>J260</f>
        <v>1024.60125475921</v>
      </c>
      <c r="M260" s="34"/>
      <c r="N260" s="34"/>
      <c r="O260" s="34"/>
      <c r="P260" s="34"/>
      <c r="Q260" s="34"/>
      <c r="R260" s="34"/>
      <c r="S260" s="34"/>
      <c r="T260" s="34"/>
      <c r="U260" s="34"/>
      <c r="V260" s="34">
        <f>L260</f>
        <v>1024.60125475921</v>
      </c>
      <c r="W260" s="34">
        <v>3</v>
      </c>
      <c r="AG260" s="167"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4" t="s">
        <v>25</v>
      </c>
      <c r="B261" s="34" t="s">
        <v>383</v>
      </c>
      <c r="C261" s="34" t="s">
        <v>383</v>
      </c>
      <c r="D261" s="34">
        <v>14.532</v>
      </c>
      <c r="E261" s="34">
        <v>14.5894871614806</v>
      </c>
      <c r="F261" s="34"/>
      <c r="G261" s="34">
        <v>14.8722451281558</v>
      </c>
      <c r="H261" s="34">
        <v>15.1806040843639</v>
      </c>
      <c r="I261" s="34">
        <v>15.4645218693356</v>
      </c>
      <c r="J261" s="34">
        <v>15.7156365633431</v>
      </c>
      <c r="K261" s="34">
        <v>15.9311949446892</v>
      </c>
      <c r="L261" s="34">
        <v>16.1179983916477</v>
      </c>
      <c r="M261" s="34">
        <v>16.2685398461219</v>
      </c>
      <c r="N261" s="34">
        <v>16.3996036087457</v>
      </c>
      <c r="O261" s="34">
        <v>16.5140702318807</v>
      </c>
      <c r="P261" s="34">
        <v>16.6126201308303</v>
      </c>
      <c r="Q261" s="34">
        <v>16.6887458757882</v>
      </c>
      <c r="R261" s="34">
        <v>16.7344263346711</v>
      </c>
      <c r="S261" s="34">
        <v>16.7478717426679</v>
      </c>
      <c r="T261" s="34">
        <v>16.7334438005564</v>
      </c>
      <c r="U261" s="34">
        <v>16.7003523235022</v>
      </c>
      <c r="V261" s="34">
        <v>16.651697044296</v>
      </c>
      <c r="W261" s="34">
        <v>3</v>
      </c>
      <c r="AG261" s="167"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4" t="s">
        <v>25</v>
      </c>
      <c r="B262" s="34" t="s">
        <v>384</v>
      </c>
      <c r="C262" s="34" t="s">
        <v>384</v>
      </c>
      <c r="D262" s="34">
        <v>8.61</v>
      </c>
      <c r="E262" s="34">
        <v>8.64406031243792</v>
      </c>
      <c r="F262" s="34"/>
      <c r="G262" s="34">
        <v>8.81159032159523</v>
      </c>
      <c r="H262" s="34">
        <v>8.99428854709421</v>
      </c>
      <c r="I262" s="34">
        <v>9.16250573183176</v>
      </c>
      <c r="J262" s="34">
        <v>9.31128755920615</v>
      </c>
      <c r="K262" s="34">
        <v>9.43900278514821</v>
      </c>
      <c r="L262" s="34">
        <v>9.54968112799935</v>
      </c>
      <c r="M262" s="34">
        <v>9.6388747643208</v>
      </c>
      <c r="N262" s="34">
        <v>9.71652814969038</v>
      </c>
      <c r="O262" s="34">
        <v>9.78434796975592</v>
      </c>
      <c r="P262" s="34">
        <v>9.84273736075204</v>
      </c>
      <c r="Q262" s="34">
        <v>9.88784076455661</v>
      </c>
      <c r="R262" s="34">
        <v>9.91490577632248</v>
      </c>
      <c r="S262" s="34">
        <v>9.92287198626279</v>
      </c>
      <c r="T262" s="34">
        <v>9.91432363905796</v>
      </c>
      <c r="U262" s="34">
        <v>9.89471741710392</v>
      </c>
      <c r="V262" s="34">
        <v>9.8658898672852</v>
      </c>
      <c r="W262" s="34">
        <v>3</v>
      </c>
      <c r="AG262" s="167"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4" t="s">
        <v>25</v>
      </c>
      <c r="B263" s="34" t="s">
        <v>385</v>
      </c>
      <c r="C263" s="34" t="s">
        <v>385</v>
      </c>
      <c r="D263" s="34">
        <v>19.775</v>
      </c>
      <c r="E263" s="34">
        <v>19.8532279533635</v>
      </c>
      <c r="F263" s="34"/>
      <c r="G263" s="34">
        <v>20.2380021613874</v>
      </c>
      <c r="H263" s="34">
        <v>20.6576139394644</v>
      </c>
      <c r="I263" s="34">
        <v>21.0439664166055</v>
      </c>
      <c r="J263" s="34">
        <v>21.3856807762255</v>
      </c>
      <c r="K263" s="34">
        <v>21.6790104618242</v>
      </c>
      <c r="L263" s="34">
        <v>21.9332107208115</v>
      </c>
      <c r="M263" s="34">
        <v>22.1380660237449</v>
      </c>
      <c r="N263" s="34">
        <v>22.3164162787604</v>
      </c>
      <c r="O263" s="34">
        <v>22.4721813126508</v>
      </c>
      <c r="P263" s="34">
        <v>22.6062870277435</v>
      </c>
      <c r="Q263" s="34">
        <v>22.7098781787581</v>
      </c>
      <c r="R263" s="34">
        <v>22.7720396895211</v>
      </c>
      <c r="S263" s="34">
        <v>22.7903360660101</v>
      </c>
      <c r="T263" s="34">
        <v>22.7707026669421</v>
      </c>
      <c r="U263" s="34">
        <v>22.7256721165192</v>
      </c>
      <c r="V263" s="34">
        <v>22.6594625000656</v>
      </c>
      <c r="W263" s="34">
        <v>3</v>
      </c>
      <c r="AG263" s="167"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4" t="s">
        <v>25</v>
      </c>
      <c r="B264" s="34" t="s">
        <v>386</v>
      </c>
      <c r="C264" s="34" t="s">
        <v>386</v>
      </c>
      <c r="D264" s="34">
        <v>6991.488</v>
      </c>
      <c r="E264" s="34">
        <v>7029.04043357187</v>
      </c>
      <c r="F264" s="34"/>
      <c r="G264" s="34">
        <v>7673.55280400293</v>
      </c>
      <c r="H264" s="34">
        <v>8110.49698055852</v>
      </c>
      <c r="I264" s="34">
        <v>8494.90905514773</v>
      </c>
      <c r="J264" s="34">
        <v>8857.12284204686</v>
      </c>
      <c r="K264" s="34">
        <v>9213.77872672289</v>
      </c>
      <c r="L264" s="34">
        <v>9566.04646068256</v>
      </c>
      <c r="M264" s="34">
        <v>9926.58897248749</v>
      </c>
      <c r="N264" s="34">
        <v>10287.2114432892</v>
      </c>
      <c r="O264" s="34">
        <v>10648.1048462169</v>
      </c>
      <c r="P264" s="34">
        <v>10996.8199755773</v>
      </c>
      <c r="Q264" s="34">
        <v>11334.0776099036</v>
      </c>
      <c r="R264" s="34">
        <v>11664.1311253528</v>
      </c>
      <c r="S264" s="34">
        <v>11991.2589448381</v>
      </c>
      <c r="T264" s="34">
        <v>12315.7494232534</v>
      </c>
      <c r="U264" s="34">
        <v>12633.2385596933</v>
      </c>
      <c r="V264" s="34">
        <v>12940.275898444</v>
      </c>
      <c r="W264" s="34">
        <v>3</v>
      </c>
      <c r="AG264" s="167"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4" t="s">
        <v>25</v>
      </c>
      <c r="B265" s="34" t="s">
        <v>388</v>
      </c>
      <c r="C265" s="34" t="s">
        <v>388</v>
      </c>
      <c r="D265" s="34">
        <v>958.2</v>
      </c>
      <c r="E265" s="34">
        <v>967.162722273004</v>
      </c>
      <c r="F265" s="34"/>
      <c r="G265" s="34">
        <v>1076.77755332906</v>
      </c>
      <c r="H265" s="34">
        <v>1162.06093129176</v>
      </c>
      <c r="I265" s="34">
        <v>1240.2262723363</v>
      </c>
      <c r="J265" s="34">
        <v>1314.39392605066</v>
      </c>
      <c r="K265" s="34">
        <v>1386.33556866191</v>
      </c>
      <c r="L265" s="34">
        <v>1456.45256665716</v>
      </c>
      <c r="M265" s="34">
        <v>1525.66909152133</v>
      </c>
      <c r="N265" s="34">
        <v>1594.02413303895</v>
      </c>
      <c r="O265" s="34">
        <v>1661.63906680457</v>
      </c>
      <c r="P265" s="34">
        <v>1726.45328710121</v>
      </c>
      <c r="Q265" s="34">
        <v>1787.67882041112</v>
      </c>
      <c r="R265" s="34">
        <v>1844.84930142253</v>
      </c>
      <c r="S265" s="34">
        <v>1898.13671674445</v>
      </c>
      <c r="T265" s="34">
        <v>1947.79540159673</v>
      </c>
      <c r="U265" s="34">
        <v>1993.99383341952</v>
      </c>
      <c r="V265" s="34">
        <v>2036.41104375418</v>
      </c>
      <c r="W265" s="34">
        <v>3</v>
      </c>
      <c r="AG265" s="167"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4" t="s">
        <v>25</v>
      </c>
      <c r="B266" s="34" t="s">
        <v>389</v>
      </c>
      <c r="C266" s="34" t="s">
        <v>389</v>
      </c>
      <c r="D266" s="34">
        <v>1080.32</v>
      </c>
      <c r="E266" s="34">
        <v>1090.4249970006</v>
      </c>
      <c r="F266" s="34"/>
      <c r="G266" s="34">
        <v>1214.00994198753</v>
      </c>
      <c r="H266" s="34">
        <v>1310.1624559519</v>
      </c>
      <c r="I266" s="34">
        <v>1398.28975843284</v>
      </c>
      <c r="J266" s="34">
        <v>1481.90987913907</v>
      </c>
      <c r="K266" s="34">
        <v>1563.02028964395</v>
      </c>
      <c r="L266" s="34">
        <v>1642.07350950852</v>
      </c>
      <c r="M266" s="34">
        <v>1720.11149337542</v>
      </c>
      <c r="N266" s="34">
        <v>1797.17820017182</v>
      </c>
      <c r="O266" s="34">
        <v>1873.41047448374</v>
      </c>
      <c r="P266" s="34">
        <v>1946.48509196533</v>
      </c>
      <c r="Q266" s="34">
        <v>2015.5136540039</v>
      </c>
      <c r="R266" s="34">
        <v>2079.97035828928</v>
      </c>
      <c r="S266" s="34">
        <v>2140.0491106589</v>
      </c>
      <c r="T266" s="34">
        <v>2196.03666066895</v>
      </c>
      <c r="U266" s="34">
        <v>2248.12295775389</v>
      </c>
      <c r="V266" s="34">
        <v>2295.94612689263</v>
      </c>
      <c r="W266" s="34">
        <v>3</v>
      </c>
      <c r="AG266" s="167"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4" t="s">
        <v>26</v>
      </c>
      <c r="B267" s="34" t="s">
        <v>374</v>
      </c>
      <c r="C267" s="34" t="s">
        <v>374</v>
      </c>
      <c r="D267" s="34"/>
      <c r="E267" s="34">
        <v>14.7984681944307</v>
      </c>
      <c r="F267" s="34">
        <f>E267</f>
        <v>14.7984681944307</v>
      </c>
      <c r="G267" s="34"/>
      <c r="H267" s="34"/>
      <c r="I267" s="34">
        <f>F267</f>
        <v>14.7984681944307</v>
      </c>
      <c r="J267" s="34">
        <f>I267</f>
        <v>14.7984681944307</v>
      </c>
      <c r="K267" s="34"/>
      <c r="L267" s="34">
        <f>J267</f>
        <v>14.7984681944307</v>
      </c>
      <c r="M267" s="34"/>
      <c r="N267" s="34"/>
      <c r="O267" s="34"/>
      <c r="P267" s="34"/>
      <c r="Q267" s="34"/>
      <c r="R267" s="34"/>
      <c r="S267" s="34"/>
      <c r="T267" s="34"/>
      <c r="U267" s="34"/>
      <c r="V267" s="34">
        <f>L267</f>
        <v>14.7984681944307</v>
      </c>
      <c r="W267" s="34">
        <v>3</v>
      </c>
      <c r="AG267" s="167"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4" t="s">
        <v>26</v>
      </c>
      <c r="B268" s="34" t="s">
        <v>377</v>
      </c>
      <c r="C268" s="34" t="s">
        <v>377</v>
      </c>
      <c r="D268" s="34"/>
      <c r="E268" s="34">
        <v>23.0960305800922</v>
      </c>
      <c r="F268" s="34">
        <f>E268</f>
        <v>23.0960305800922</v>
      </c>
      <c r="G268" s="34"/>
      <c r="H268" s="34"/>
      <c r="I268" s="34">
        <f>F268</f>
        <v>23.0960305800922</v>
      </c>
      <c r="J268" s="34">
        <f>I268</f>
        <v>23.0960305800922</v>
      </c>
      <c r="K268" s="34"/>
      <c r="L268" s="34">
        <f>J268</f>
        <v>23.0960305800922</v>
      </c>
      <c r="M268" s="34"/>
      <c r="N268" s="34"/>
      <c r="O268" s="34"/>
      <c r="P268" s="34"/>
      <c r="Q268" s="34"/>
      <c r="R268" s="34"/>
      <c r="S268" s="34"/>
      <c r="T268" s="34"/>
      <c r="U268" s="34"/>
      <c r="V268" s="34">
        <f>L268</f>
        <v>23.0960305800922</v>
      </c>
      <c r="W268" s="34">
        <v>3</v>
      </c>
      <c r="AG268" s="167"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4" t="s">
        <v>26</v>
      </c>
      <c r="B269" s="34" t="s">
        <v>378</v>
      </c>
      <c r="C269" s="34" t="s">
        <v>378</v>
      </c>
      <c r="D269" s="34"/>
      <c r="E269" s="34">
        <v>0.51595754320536</v>
      </c>
      <c r="F269" s="34"/>
      <c r="G269" s="34"/>
      <c r="H269" s="34"/>
      <c r="I269" s="34">
        <v>0.638928901592722</v>
      </c>
      <c r="J269" s="34">
        <v>0.677045949641929</v>
      </c>
      <c r="K269" s="34"/>
      <c r="L269" s="34">
        <v>0.753366829922741</v>
      </c>
      <c r="M269" s="34"/>
      <c r="N269" s="34"/>
      <c r="O269" s="34"/>
      <c r="P269" s="34"/>
      <c r="Q269" s="34"/>
      <c r="R269" s="34"/>
      <c r="S269" s="34"/>
      <c r="T269" s="34"/>
      <c r="U269" s="34"/>
      <c r="V269" s="34">
        <v>1.0359150852844</v>
      </c>
      <c r="W269" s="34">
        <v>3</v>
      </c>
      <c r="AG269" s="167"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4" t="s">
        <v>26</v>
      </c>
      <c r="B270" s="34" t="s">
        <v>379</v>
      </c>
      <c r="C270" s="34" t="s">
        <v>379</v>
      </c>
      <c r="D270" s="34"/>
      <c r="E270" s="34">
        <v>2.17914793638656</v>
      </c>
      <c r="F270" s="34"/>
      <c r="G270" s="34"/>
      <c r="H270" s="34"/>
      <c r="I270" s="34">
        <v>2.29597042282211</v>
      </c>
      <c r="J270" s="34">
        <v>2.33082853795445</v>
      </c>
      <c r="K270" s="34"/>
      <c r="L270" s="34">
        <v>2.40103698525162</v>
      </c>
      <c r="M270" s="34"/>
      <c r="N270" s="34"/>
      <c r="O270" s="34"/>
      <c r="P270" s="34"/>
      <c r="Q270" s="34"/>
      <c r="R270" s="34"/>
      <c r="S270" s="34"/>
      <c r="T270" s="34"/>
      <c r="U270" s="34"/>
      <c r="V270" s="34">
        <v>2.54308329491963</v>
      </c>
      <c r="W270" s="34">
        <v>3</v>
      </c>
      <c r="AG270" s="167"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4" t="s">
        <v>26</v>
      </c>
      <c r="B271" s="34" t="s">
        <v>381</v>
      </c>
      <c r="C271" s="34" t="s">
        <v>381</v>
      </c>
      <c r="D271" s="34"/>
      <c r="E271" s="34">
        <v>42.2817941023615</v>
      </c>
      <c r="F271" s="34">
        <f>E271</f>
        <v>42.2817941023615</v>
      </c>
      <c r="G271" s="34"/>
      <c r="H271" s="34"/>
      <c r="I271" s="34">
        <f>F271</f>
        <v>42.2817941023615</v>
      </c>
      <c r="J271" s="34">
        <f>I271</f>
        <v>42.2817941023615</v>
      </c>
      <c r="K271" s="34"/>
      <c r="L271" s="34">
        <f>J271</f>
        <v>42.2817941023615</v>
      </c>
      <c r="M271" s="34"/>
      <c r="N271" s="34"/>
      <c r="O271" s="34"/>
      <c r="P271" s="34"/>
      <c r="Q271" s="34"/>
      <c r="R271" s="34"/>
      <c r="S271" s="34"/>
      <c r="T271" s="34"/>
      <c r="U271" s="34"/>
      <c r="V271" s="34">
        <f>L271</f>
        <v>42.2817941023615</v>
      </c>
      <c r="W271" s="34">
        <v>3</v>
      </c>
      <c r="AG271" s="167"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4" t="s">
        <v>26</v>
      </c>
      <c r="B272" s="34" t="s">
        <v>382</v>
      </c>
      <c r="C272" s="34" t="s">
        <v>382</v>
      </c>
      <c r="D272" s="34"/>
      <c r="E272" s="34">
        <v>13.8699028407244</v>
      </c>
      <c r="F272" s="34">
        <f>E272</f>
        <v>13.8699028407244</v>
      </c>
      <c r="G272" s="34"/>
      <c r="H272" s="34"/>
      <c r="I272" s="34">
        <f>F272</f>
        <v>13.8699028407244</v>
      </c>
      <c r="J272" s="34">
        <f>I272</f>
        <v>13.8699028407244</v>
      </c>
      <c r="K272" s="34"/>
      <c r="L272" s="34">
        <f>J272</f>
        <v>13.8699028407244</v>
      </c>
      <c r="M272" s="34"/>
      <c r="N272" s="34"/>
      <c r="O272" s="34"/>
      <c r="P272" s="34"/>
      <c r="Q272" s="34"/>
      <c r="R272" s="34"/>
      <c r="S272" s="34"/>
      <c r="T272" s="34"/>
      <c r="U272" s="34"/>
      <c r="V272" s="34">
        <f>L272</f>
        <v>13.8699028407244</v>
      </c>
      <c r="W272" s="34">
        <v>3</v>
      </c>
      <c r="AG272" s="167"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4" t="s">
        <v>26</v>
      </c>
      <c r="B273" s="34" t="s">
        <v>383</v>
      </c>
      <c r="C273" s="34" t="s">
        <v>383</v>
      </c>
      <c r="D273" s="34">
        <v>0.132</v>
      </c>
      <c r="E273" s="34">
        <v>0.132547486851593</v>
      </c>
      <c r="F273" s="34"/>
      <c r="G273" s="34">
        <v>0.135240241197067</v>
      </c>
      <c r="H273" s="34">
        <v>0.137477021890617</v>
      </c>
      <c r="I273" s="34">
        <v>0.13965325820664</v>
      </c>
      <c r="J273" s="34">
        <v>0.141773516074418</v>
      </c>
      <c r="K273" s="34">
        <v>0.143863821176342</v>
      </c>
      <c r="L273" s="34">
        <v>0.146043971094752</v>
      </c>
      <c r="M273" s="34">
        <v>0.147830742785155</v>
      </c>
      <c r="N273" s="34">
        <v>0.149354128619503</v>
      </c>
      <c r="O273" s="34">
        <v>0.150635727754776</v>
      </c>
      <c r="P273" s="34">
        <v>0.151820833504157</v>
      </c>
      <c r="Q273" s="34">
        <v>0.152942831828619</v>
      </c>
      <c r="R273" s="34">
        <v>0.153877238973683</v>
      </c>
      <c r="S273" s="34">
        <v>0.154470598388137</v>
      </c>
      <c r="T273" s="34">
        <v>0.15472182946402</v>
      </c>
      <c r="U273" s="34">
        <v>0.154762778736107</v>
      </c>
      <c r="V273" s="34">
        <v>0.154683990915645</v>
      </c>
      <c r="W273" s="34">
        <v>3</v>
      </c>
      <c r="AG273" s="167"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4" t="s">
        <v>26</v>
      </c>
      <c r="B274" s="34" t="s">
        <v>384</v>
      </c>
      <c r="C274" s="34" t="s">
        <v>384</v>
      </c>
      <c r="D274" s="34">
        <v>0.075</v>
      </c>
      <c r="E274" s="34">
        <v>0.0753110720747689</v>
      </c>
      <c r="F274" s="34"/>
      <c r="G274" s="34">
        <v>0.0768410461346973</v>
      </c>
      <c r="H274" s="34">
        <v>0.0781119442560324</v>
      </c>
      <c r="I274" s="34">
        <v>0.0793484421628639</v>
      </c>
      <c r="J274" s="34">
        <v>0.0805531341331923</v>
      </c>
      <c r="K274" s="34">
        <v>0.0817408074865581</v>
      </c>
      <c r="L274" s="34">
        <v>0.0829795290311093</v>
      </c>
      <c r="M274" s="34">
        <v>0.083994740218838</v>
      </c>
      <c r="N274" s="34">
        <v>0.0848603003519903</v>
      </c>
      <c r="O274" s="34">
        <v>0.0855884816788503</v>
      </c>
      <c r="P274" s="34">
        <v>0.0862618372182712</v>
      </c>
      <c r="Q274" s="34">
        <v>0.0868993362662605</v>
      </c>
      <c r="R274" s="34">
        <v>0.0874302494168652</v>
      </c>
      <c r="S274" s="34">
        <v>0.0877673854478052</v>
      </c>
      <c r="T274" s="34">
        <v>0.0879101303772842</v>
      </c>
      <c r="U274" s="34">
        <v>0.0879333970091519</v>
      </c>
      <c r="V274" s="34">
        <v>0.0878886312020712</v>
      </c>
      <c r="W274" s="34">
        <v>3</v>
      </c>
      <c r="AG274" s="167"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4" t="s">
        <v>26</v>
      </c>
      <c r="B275" s="34" t="s">
        <v>385</v>
      </c>
      <c r="C275" s="34" t="s">
        <v>385</v>
      </c>
      <c r="D275" s="34">
        <v>0.315</v>
      </c>
      <c r="E275" s="34">
        <v>0.316306502714029</v>
      </c>
      <c r="F275" s="34"/>
      <c r="G275" s="34">
        <v>0.322732393765729</v>
      </c>
      <c r="H275" s="34">
        <v>0.328070165875336</v>
      </c>
      <c r="I275" s="34">
        <v>0.333263457084028</v>
      </c>
      <c r="J275" s="34">
        <v>0.338323163359408</v>
      </c>
      <c r="K275" s="34">
        <v>0.343311391443544</v>
      </c>
      <c r="L275" s="34">
        <v>0.348514021930659</v>
      </c>
      <c r="M275" s="34">
        <v>0.35277790891912</v>
      </c>
      <c r="N275" s="34">
        <v>0.356413261478359</v>
      </c>
      <c r="O275" s="34">
        <v>0.359471623051171</v>
      </c>
      <c r="P275" s="34">
        <v>0.362299716316739</v>
      </c>
      <c r="Q275" s="34">
        <v>0.364977212318294</v>
      </c>
      <c r="R275" s="34">
        <v>0.367207047550834</v>
      </c>
      <c r="S275" s="34">
        <v>0.368623018880782</v>
      </c>
      <c r="T275" s="34">
        <v>0.369222547584594</v>
      </c>
      <c r="U275" s="34">
        <v>0.369320267438438</v>
      </c>
      <c r="V275" s="34">
        <v>0.369132251048699</v>
      </c>
      <c r="W275" s="34">
        <v>3</v>
      </c>
      <c r="AG275" s="167"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4" t="s">
        <v>26</v>
      </c>
      <c r="B276" s="34" t="s">
        <v>386</v>
      </c>
      <c r="C276" s="34" t="s">
        <v>386</v>
      </c>
      <c r="D276" s="34">
        <v>28.044</v>
      </c>
      <c r="E276" s="34">
        <v>28.1149484982275</v>
      </c>
      <c r="F276" s="34"/>
      <c r="G276" s="34">
        <v>29.9541710217975</v>
      </c>
      <c r="H276" s="34">
        <v>31.5458727550652</v>
      </c>
      <c r="I276" s="34">
        <v>33.0180825098467</v>
      </c>
      <c r="J276" s="34">
        <v>34.4573923848731</v>
      </c>
      <c r="K276" s="34">
        <v>35.8678793719566</v>
      </c>
      <c r="L276" s="34">
        <v>37.205302841814</v>
      </c>
      <c r="M276" s="34">
        <v>38.544786240563</v>
      </c>
      <c r="N276" s="34">
        <v>39.8905923325315</v>
      </c>
      <c r="O276" s="34">
        <v>41.2498604327514</v>
      </c>
      <c r="P276" s="34">
        <v>42.4901218298381</v>
      </c>
      <c r="Q276" s="34">
        <v>43.6098096480853</v>
      </c>
      <c r="R276" s="34">
        <v>44.6408797027853</v>
      </c>
      <c r="S276" s="34">
        <v>45.6252440321448</v>
      </c>
      <c r="T276" s="34">
        <v>46.575769628912</v>
      </c>
      <c r="U276" s="34">
        <v>47.4664832322902</v>
      </c>
      <c r="V276" s="34">
        <v>48.2633582937033</v>
      </c>
      <c r="W276" s="34">
        <v>3</v>
      </c>
      <c r="AG276" s="167"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4" t="s">
        <v>26</v>
      </c>
      <c r="B277" s="34" t="s">
        <v>388</v>
      </c>
      <c r="C277" s="34" t="s">
        <v>388</v>
      </c>
      <c r="D277" s="34">
        <v>9.5</v>
      </c>
      <c r="E277" s="34">
        <v>9.56356149330794</v>
      </c>
      <c r="F277" s="34"/>
      <c r="G277" s="34">
        <v>10.3996610765552</v>
      </c>
      <c r="H277" s="34">
        <v>11.1361017845004</v>
      </c>
      <c r="I277" s="34">
        <v>11.842904364326</v>
      </c>
      <c r="J277" s="34">
        <v>12.5494251580668</v>
      </c>
      <c r="K277" s="34">
        <v>13.2584372545531</v>
      </c>
      <c r="L277" s="34">
        <v>13.964075338883</v>
      </c>
      <c r="M277" s="34">
        <v>14.6462963013933</v>
      </c>
      <c r="N277" s="34">
        <v>15.316134697541</v>
      </c>
      <c r="O277" s="34">
        <v>15.9759713560398</v>
      </c>
      <c r="P277" s="34">
        <v>16.5876089958359</v>
      </c>
      <c r="Q277" s="34">
        <v>17.1521841376815</v>
      </c>
      <c r="R277" s="34">
        <v>17.6663178165446</v>
      </c>
      <c r="S277" s="34">
        <v>18.1263517965966</v>
      </c>
      <c r="T277" s="34">
        <v>18.5344473979954</v>
      </c>
      <c r="U277" s="34">
        <v>18.8939581650872</v>
      </c>
      <c r="V277" s="34">
        <v>19.2012652018143</v>
      </c>
      <c r="W277" s="34">
        <v>3</v>
      </c>
      <c r="AG277" s="167"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4" t="s">
        <v>26</v>
      </c>
      <c r="B278" s="34" t="s">
        <v>389</v>
      </c>
      <c r="C278" s="34" t="s">
        <v>389</v>
      </c>
      <c r="D278" s="34">
        <v>5.16</v>
      </c>
      <c r="E278" s="34">
        <v>5.19452392689147</v>
      </c>
      <c r="F278" s="34"/>
      <c r="G278" s="34">
        <v>5.64865801631842</v>
      </c>
      <c r="H278" s="34">
        <v>6.04866160084444</v>
      </c>
      <c r="I278" s="34">
        <v>6.43256700209709</v>
      </c>
      <c r="J278" s="34">
        <v>6.8163193490131</v>
      </c>
      <c r="K278" s="34">
        <v>7.2014248666836</v>
      </c>
      <c r="L278" s="34">
        <v>7.58469776301432</v>
      </c>
      <c r="M278" s="34">
        <v>7.9552514647568</v>
      </c>
      <c r="N278" s="34">
        <v>8.31907947782227</v>
      </c>
      <c r="O278" s="34">
        <v>8.67747496812266</v>
      </c>
      <c r="P278" s="34">
        <v>9.00969078089616</v>
      </c>
      <c r="Q278" s="34">
        <v>9.31634422636175</v>
      </c>
      <c r="R278" s="34">
        <v>9.59559999298634</v>
      </c>
      <c r="S278" s="34">
        <v>9.84547108109876</v>
      </c>
      <c r="T278" s="34">
        <v>10.0671314288059</v>
      </c>
      <c r="U278" s="34">
        <v>10.2624025401947</v>
      </c>
      <c r="V278" s="34">
        <v>10.4293187833012</v>
      </c>
      <c r="W278" s="34">
        <v>3</v>
      </c>
      <c r="AG278" s="167"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4" t="s">
        <v>27</v>
      </c>
      <c r="B279" s="34" t="s">
        <v>374</v>
      </c>
      <c r="C279" s="34" t="s">
        <v>374</v>
      </c>
      <c r="D279" s="34"/>
      <c r="E279" s="34">
        <v>1.45078903816604</v>
      </c>
      <c r="F279" s="34">
        <f>E279</f>
        <v>1.45078903816604</v>
      </c>
      <c r="G279" s="34"/>
      <c r="H279" s="34"/>
      <c r="I279" s="34">
        <f>F279</f>
        <v>1.45078903816604</v>
      </c>
      <c r="J279" s="34">
        <f>I279</f>
        <v>1.45078903816604</v>
      </c>
      <c r="K279" s="34"/>
      <c r="L279" s="34">
        <f>J279</f>
        <v>1.45078903816604</v>
      </c>
      <c r="M279" s="34"/>
      <c r="N279" s="34"/>
      <c r="O279" s="34"/>
      <c r="P279" s="34"/>
      <c r="Q279" s="34"/>
      <c r="R279" s="34"/>
      <c r="S279" s="34"/>
      <c r="T279" s="34"/>
      <c r="U279" s="34"/>
      <c r="V279" s="34">
        <f>L279</f>
        <v>1.45078903816604</v>
      </c>
      <c r="W279" s="34">
        <v>3</v>
      </c>
      <c r="AG279" s="167"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4" t="s">
        <v>27</v>
      </c>
      <c r="B280" s="34" t="s">
        <v>377</v>
      </c>
      <c r="C280" s="34" t="s">
        <v>377</v>
      </c>
      <c r="D280" s="34"/>
      <c r="E280" s="34">
        <v>46.1548724636098</v>
      </c>
      <c r="F280" s="34">
        <f>E280</f>
        <v>46.1548724636098</v>
      </c>
      <c r="G280" s="34"/>
      <c r="H280" s="34"/>
      <c r="I280" s="34">
        <f>F280</f>
        <v>46.1548724636098</v>
      </c>
      <c r="J280" s="34">
        <f>I280</f>
        <v>46.1548724636098</v>
      </c>
      <c r="K280" s="34"/>
      <c r="L280" s="34">
        <f>J280</f>
        <v>46.1548724636098</v>
      </c>
      <c r="M280" s="34"/>
      <c r="N280" s="34"/>
      <c r="O280" s="34"/>
      <c r="P280" s="34"/>
      <c r="Q280" s="34"/>
      <c r="R280" s="34"/>
      <c r="S280" s="34"/>
      <c r="T280" s="34"/>
      <c r="U280" s="34"/>
      <c r="V280" s="34">
        <f>L280</f>
        <v>46.1548724636098</v>
      </c>
      <c r="W280" s="34">
        <v>3</v>
      </c>
      <c r="AG280" s="167"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4" t="s">
        <v>27</v>
      </c>
      <c r="B281" s="34" t="s">
        <v>378</v>
      </c>
      <c r="C281" s="34" t="s">
        <v>378</v>
      </c>
      <c r="D281" s="34"/>
      <c r="E281" s="34">
        <v>4.46314013629739</v>
      </c>
      <c r="F281" s="34"/>
      <c r="G281" s="34"/>
      <c r="H281" s="34"/>
      <c r="I281" s="34">
        <v>6.35758734024323</v>
      </c>
      <c r="J281" s="34">
        <v>6.76445580300758</v>
      </c>
      <c r="K281" s="34"/>
      <c r="L281" s="34">
        <v>7.22461343573354</v>
      </c>
      <c r="M281" s="34"/>
      <c r="N281" s="34"/>
      <c r="O281" s="34"/>
      <c r="P281" s="34"/>
      <c r="Q281" s="34"/>
      <c r="R281" s="34"/>
      <c r="S281" s="34"/>
      <c r="T281" s="34"/>
      <c r="U281" s="34"/>
      <c r="V281" s="34">
        <v>7.83606786808991</v>
      </c>
      <c r="W281" s="34">
        <v>3</v>
      </c>
      <c r="AG281" s="167"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4" t="s">
        <v>27</v>
      </c>
      <c r="B282" s="34" t="s">
        <v>379</v>
      </c>
      <c r="C282" s="34" t="s">
        <v>379</v>
      </c>
      <c r="D282" s="34"/>
      <c r="E282" s="34">
        <v>10.5765290940029</v>
      </c>
      <c r="F282" s="34"/>
      <c r="G282" s="34"/>
      <c r="H282" s="34"/>
      <c r="I282" s="34">
        <v>10.347440240102</v>
      </c>
      <c r="J282" s="34">
        <v>10.1800295633949</v>
      </c>
      <c r="K282" s="34"/>
      <c r="L282" s="34">
        <v>9.87991671494312</v>
      </c>
      <c r="M282" s="34"/>
      <c r="N282" s="34"/>
      <c r="O282" s="34"/>
      <c r="P282" s="34"/>
      <c r="Q282" s="34"/>
      <c r="R282" s="34"/>
      <c r="S282" s="34"/>
      <c r="T282" s="34"/>
      <c r="U282" s="34"/>
      <c r="V282" s="34">
        <v>8.4582264030971</v>
      </c>
      <c r="W282" s="34">
        <v>3</v>
      </c>
      <c r="AG282" s="167"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4" t="s">
        <v>27</v>
      </c>
      <c r="B283" s="34" t="s">
        <v>381</v>
      </c>
      <c r="C283" s="34" t="s">
        <v>381</v>
      </c>
      <c r="D283" s="34"/>
      <c r="E283" s="34">
        <v>0.0798619145042989</v>
      </c>
      <c r="F283" s="34">
        <f>E283</f>
        <v>0.0798619145042989</v>
      </c>
      <c r="G283" s="34"/>
      <c r="H283" s="34"/>
      <c r="I283" s="34">
        <f>F283</f>
        <v>0.0798619145042989</v>
      </c>
      <c r="J283" s="34">
        <f>I283</f>
        <v>0.0798619145042989</v>
      </c>
      <c r="K283" s="34"/>
      <c r="L283" s="34">
        <f>J283</f>
        <v>0.0798619145042989</v>
      </c>
      <c r="M283" s="34"/>
      <c r="N283" s="34"/>
      <c r="O283" s="34"/>
      <c r="P283" s="34"/>
      <c r="Q283" s="34"/>
      <c r="R283" s="34"/>
      <c r="S283" s="34"/>
      <c r="T283" s="34"/>
      <c r="U283" s="34"/>
      <c r="V283" s="34">
        <f>L283</f>
        <v>0.0798619145042989</v>
      </c>
      <c r="W283" s="34">
        <v>3</v>
      </c>
      <c r="AG283" s="167"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4" t="s">
        <v>27</v>
      </c>
      <c r="B284" s="34" t="s">
        <v>382</v>
      </c>
      <c r="C284" s="34" t="s">
        <v>382</v>
      </c>
      <c r="D284" s="34"/>
      <c r="E284" s="34">
        <v>11.6805555781569</v>
      </c>
      <c r="F284" s="34">
        <f>E284</f>
        <v>11.6805555781569</v>
      </c>
      <c r="G284" s="34"/>
      <c r="H284" s="34"/>
      <c r="I284" s="34">
        <f>F284</f>
        <v>11.6805555781569</v>
      </c>
      <c r="J284" s="34">
        <f>I284</f>
        <v>11.6805555781569</v>
      </c>
      <c r="K284" s="34"/>
      <c r="L284" s="34">
        <f>J284</f>
        <v>11.6805555781569</v>
      </c>
      <c r="M284" s="34"/>
      <c r="N284" s="34"/>
      <c r="O284" s="34"/>
      <c r="P284" s="34"/>
      <c r="Q284" s="34"/>
      <c r="R284" s="34"/>
      <c r="S284" s="34"/>
      <c r="T284" s="34"/>
      <c r="U284" s="34"/>
      <c r="V284" s="34">
        <f>L284</f>
        <v>11.6805555781569</v>
      </c>
      <c r="W284" s="34">
        <v>3</v>
      </c>
      <c r="AG284" s="167"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4" t="s">
        <v>27</v>
      </c>
      <c r="B285" s="34" t="s">
        <v>383</v>
      </c>
      <c r="C285" s="34" t="s">
        <v>383</v>
      </c>
      <c r="D285" s="34">
        <v>2.597</v>
      </c>
      <c r="E285" s="34">
        <v>2.60273737772802</v>
      </c>
      <c r="F285" s="34"/>
      <c r="G285" s="34">
        <v>2.63096983238342</v>
      </c>
      <c r="H285" s="34">
        <v>2.58914979744341</v>
      </c>
      <c r="I285" s="34">
        <v>2.54636178252382</v>
      </c>
      <c r="J285" s="34">
        <v>2.50516433279116</v>
      </c>
      <c r="K285" s="34">
        <v>2.46619605956861</v>
      </c>
      <c r="L285" s="34">
        <v>2.43131071585696</v>
      </c>
      <c r="M285" s="34">
        <v>2.39585266652593</v>
      </c>
      <c r="N285" s="34">
        <v>2.35930275035849</v>
      </c>
      <c r="O285" s="34">
        <v>2.32088882502527</v>
      </c>
      <c r="P285" s="34">
        <v>2.28007961403265</v>
      </c>
      <c r="Q285" s="34">
        <v>2.23817482432229</v>
      </c>
      <c r="R285" s="34">
        <v>2.19779088386582</v>
      </c>
      <c r="S285" s="34">
        <v>2.16126820283082</v>
      </c>
      <c r="T285" s="34">
        <v>2.13005777065577</v>
      </c>
      <c r="U285" s="34">
        <v>2.10397643170755</v>
      </c>
      <c r="V285" s="34">
        <v>2.08145241344908</v>
      </c>
      <c r="W285" s="34">
        <v>3</v>
      </c>
      <c r="AG285" s="167"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4" t="s">
        <v>27</v>
      </c>
      <c r="B286" s="34" t="s">
        <v>384</v>
      </c>
      <c r="C286" s="34" t="s">
        <v>384</v>
      </c>
      <c r="D286" s="34">
        <v>0.51</v>
      </c>
      <c r="E286" s="34">
        <v>0.511126708756753</v>
      </c>
      <c r="F286" s="34"/>
      <c r="G286" s="34">
        <v>0.516671010595127</v>
      </c>
      <c r="H286" s="34">
        <v>0.50845837377595</v>
      </c>
      <c r="I286" s="34">
        <v>0.500055644623469</v>
      </c>
      <c r="J286" s="34">
        <v>0.491965271360604</v>
      </c>
      <c r="K286" s="34">
        <v>0.484312664759334</v>
      </c>
      <c r="L286" s="34">
        <v>0.47746186564769</v>
      </c>
      <c r="M286" s="34">
        <v>0.470498598355112</v>
      </c>
      <c r="N286" s="34">
        <v>0.463320909773905</v>
      </c>
      <c r="O286" s="34">
        <v>0.455777166254481</v>
      </c>
      <c r="P286" s="34">
        <v>0.447763035485812</v>
      </c>
      <c r="Q286" s="34">
        <v>0.439533754487627</v>
      </c>
      <c r="R286" s="34">
        <v>0.431603138533527</v>
      </c>
      <c r="S286" s="34">
        <v>0.424430798399583</v>
      </c>
      <c r="T286" s="34">
        <v>0.418301680028665</v>
      </c>
      <c r="U286" s="34">
        <v>0.413179815237139</v>
      </c>
      <c r="V286" s="34">
        <v>0.408756538644217</v>
      </c>
      <c r="W286" s="34">
        <v>3</v>
      </c>
      <c r="AG286" s="167"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4" t="s">
        <v>27</v>
      </c>
      <c r="B287" s="34" t="s">
        <v>385</v>
      </c>
      <c r="C287" s="34" t="s">
        <v>385</v>
      </c>
      <c r="D287" s="34">
        <v>3.85</v>
      </c>
      <c r="E287" s="34">
        <v>3.85850554649706</v>
      </c>
      <c r="F287" s="34"/>
      <c r="G287" s="34">
        <v>3.90035958978674</v>
      </c>
      <c r="H287" s="34">
        <v>3.83836223340668</v>
      </c>
      <c r="I287" s="34">
        <v>3.7749298662752</v>
      </c>
      <c r="J287" s="34">
        <v>3.71385547987907</v>
      </c>
      <c r="K287" s="34">
        <v>3.65608580259497</v>
      </c>
      <c r="L287" s="34">
        <v>3.60436898577178</v>
      </c>
      <c r="M287" s="34">
        <v>3.55180314444545</v>
      </c>
      <c r="N287" s="34">
        <v>3.49761863260693</v>
      </c>
      <c r="O287" s="34">
        <v>3.44067076486226</v>
      </c>
      <c r="P287" s="34">
        <v>3.38017193454976</v>
      </c>
      <c r="Q287" s="34">
        <v>3.31804893093601</v>
      </c>
      <c r="R287" s="34">
        <v>3.25818055559623</v>
      </c>
      <c r="S287" s="34">
        <v>3.20403641929097</v>
      </c>
      <c r="T287" s="34">
        <v>3.15776758453012</v>
      </c>
      <c r="U287" s="34">
        <v>3.11910252679017</v>
      </c>
      <c r="V287" s="34">
        <v>3.08571112505928</v>
      </c>
      <c r="W287" s="34">
        <v>3</v>
      </c>
      <c r="AG287" s="167"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4" t="s">
        <v>27</v>
      </c>
      <c r="B288" s="34" t="s">
        <v>386</v>
      </c>
      <c r="C288" s="34" t="s">
        <v>386</v>
      </c>
      <c r="D288" s="34">
        <v>170.28</v>
      </c>
      <c r="E288" s="34">
        <v>174.051512552681</v>
      </c>
      <c r="F288" s="34"/>
      <c r="G288" s="34">
        <v>198.554531951465</v>
      </c>
      <c r="H288" s="34">
        <v>229.174932368978</v>
      </c>
      <c r="I288" s="34">
        <v>253.617215826135</v>
      </c>
      <c r="J288" s="34">
        <v>274.400356233659</v>
      </c>
      <c r="K288" s="34">
        <v>289.62487468192</v>
      </c>
      <c r="L288" s="34">
        <v>302.126844565749</v>
      </c>
      <c r="M288" s="34">
        <v>313.125997788353</v>
      </c>
      <c r="N288" s="34">
        <v>323.683425203372</v>
      </c>
      <c r="O288" s="34">
        <v>334.042794406226</v>
      </c>
      <c r="P288" s="34">
        <v>343.635928345194</v>
      </c>
      <c r="Q288" s="34">
        <v>352.108117448637</v>
      </c>
      <c r="R288" s="34">
        <v>359.412393909531</v>
      </c>
      <c r="S288" s="34">
        <v>365.913955418781</v>
      </c>
      <c r="T288" s="34">
        <v>372.014505869673</v>
      </c>
      <c r="U288" s="34">
        <v>377.910674738123</v>
      </c>
      <c r="V288" s="34">
        <v>383.49575990878</v>
      </c>
      <c r="W288" s="34">
        <v>3</v>
      </c>
      <c r="AG288" s="167"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4" t="s">
        <v>27</v>
      </c>
      <c r="B289" s="34" t="s">
        <v>388</v>
      </c>
      <c r="C289" s="34" t="s">
        <v>388</v>
      </c>
      <c r="D289" s="34">
        <v>53.6</v>
      </c>
      <c r="E289" s="34">
        <v>54.9088837208694</v>
      </c>
      <c r="F289" s="34"/>
      <c r="G289" s="34">
        <v>63.341345308272</v>
      </c>
      <c r="H289" s="34">
        <v>71.9019795238026</v>
      </c>
      <c r="I289" s="34">
        <v>78.2157882903245</v>
      </c>
      <c r="J289" s="34">
        <v>83.2213880316202</v>
      </c>
      <c r="K289" s="34">
        <v>86.4467166289829</v>
      </c>
      <c r="L289" s="34">
        <v>88.8825909463872</v>
      </c>
      <c r="M289" s="34">
        <v>90.7559094764127</v>
      </c>
      <c r="N289" s="34">
        <v>92.3646429930316</v>
      </c>
      <c r="O289" s="34">
        <v>93.7468593213166</v>
      </c>
      <c r="P289" s="34">
        <v>94.7205835411135</v>
      </c>
      <c r="Q289" s="34">
        <v>95.2502560268226</v>
      </c>
      <c r="R289" s="34">
        <v>95.4526938874995</v>
      </c>
      <c r="S289" s="34">
        <v>95.5481438661585</v>
      </c>
      <c r="T289" s="34">
        <v>95.7245335210392</v>
      </c>
      <c r="U289" s="34">
        <v>96.0392785180829</v>
      </c>
      <c r="V289" s="34">
        <v>96.4051601020847</v>
      </c>
      <c r="W289" s="34">
        <v>3</v>
      </c>
      <c r="AG289" s="167"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4" t="s">
        <v>27</v>
      </c>
      <c r="B290" s="34" t="s">
        <v>389</v>
      </c>
      <c r="C290" s="34" t="s">
        <v>389</v>
      </c>
      <c r="D290" s="34">
        <v>49.12</v>
      </c>
      <c r="E290" s="34">
        <v>50.3194844844982</v>
      </c>
      <c r="F290" s="34"/>
      <c r="G290" s="34">
        <v>58.0471433123567</v>
      </c>
      <c r="H290" s="34">
        <v>65.8922618322609</v>
      </c>
      <c r="I290" s="34">
        <v>71.6783492690437</v>
      </c>
      <c r="J290" s="34">
        <v>76.2655705244997</v>
      </c>
      <c r="K290" s="34">
        <v>79.2213194182022</v>
      </c>
      <c r="L290" s="34">
        <v>81.4535982702712</v>
      </c>
      <c r="M290" s="34">
        <v>83.1703409231603</v>
      </c>
      <c r="N290" s="34">
        <v>84.6446131309275</v>
      </c>
      <c r="O290" s="34">
        <v>85.9113009302812</v>
      </c>
      <c r="P290" s="34">
        <v>86.8036392451398</v>
      </c>
      <c r="Q290" s="34">
        <v>87.289040597715</v>
      </c>
      <c r="R290" s="34">
        <v>87.474558278992</v>
      </c>
      <c r="S290" s="34">
        <v>87.562030348987</v>
      </c>
      <c r="T290" s="34">
        <v>87.7236769879374</v>
      </c>
      <c r="U290" s="34">
        <v>88.0121149404521</v>
      </c>
      <c r="V290" s="34">
        <v>88.3474153771343</v>
      </c>
      <c r="W290" s="34">
        <v>3</v>
      </c>
      <c r="AG290" s="167"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4" t="s">
        <v>28</v>
      </c>
      <c r="B291" s="34" t="s">
        <v>374</v>
      </c>
      <c r="C291" s="34" t="s">
        <v>374</v>
      </c>
      <c r="D291" s="34"/>
      <c r="E291" s="34">
        <v>375.856107261349</v>
      </c>
      <c r="F291" s="34">
        <f>E291</f>
        <v>375.856107261349</v>
      </c>
      <c r="G291" s="34"/>
      <c r="H291" s="34"/>
      <c r="I291" s="34">
        <f>F291</f>
        <v>375.856107261349</v>
      </c>
      <c r="J291" s="34">
        <f>I291</f>
        <v>375.856107261349</v>
      </c>
      <c r="K291" s="34"/>
      <c r="L291" s="34">
        <f>J291</f>
        <v>375.856107261349</v>
      </c>
      <c r="M291" s="34"/>
      <c r="N291" s="34"/>
      <c r="O291" s="34"/>
      <c r="P291" s="34"/>
      <c r="Q291" s="34"/>
      <c r="R291" s="34"/>
      <c r="S291" s="34"/>
      <c r="T291" s="34"/>
      <c r="U291" s="34"/>
      <c r="V291" s="34">
        <f>L291</f>
        <v>375.856107261349</v>
      </c>
      <c r="W291" s="34">
        <v>3</v>
      </c>
      <c r="AG291" s="167"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4" t="s">
        <v>28</v>
      </c>
      <c r="B292" s="34" t="s">
        <v>377</v>
      </c>
      <c r="C292" s="34" t="s">
        <v>377</v>
      </c>
      <c r="D292" s="34"/>
      <c r="E292" s="34">
        <v>1793.42387251125</v>
      </c>
      <c r="F292" s="34">
        <f>E292</f>
        <v>1793.42387251125</v>
      </c>
      <c r="G292" s="34"/>
      <c r="H292" s="34"/>
      <c r="I292" s="34">
        <f>F292</f>
        <v>1793.42387251125</v>
      </c>
      <c r="J292" s="34">
        <f>I292</f>
        <v>1793.42387251125</v>
      </c>
      <c r="K292" s="34"/>
      <c r="L292" s="34">
        <f>J292</f>
        <v>1793.42387251125</v>
      </c>
      <c r="M292" s="34"/>
      <c r="N292" s="34"/>
      <c r="O292" s="34"/>
      <c r="P292" s="34"/>
      <c r="Q292" s="34"/>
      <c r="R292" s="34"/>
      <c r="S292" s="34"/>
      <c r="T292" s="34"/>
      <c r="U292" s="34"/>
      <c r="V292" s="34">
        <f>L292</f>
        <v>1793.42387251125</v>
      </c>
      <c r="W292" s="34">
        <v>3</v>
      </c>
      <c r="AG292" s="167"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4" t="s">
        <v>28</v>
      </c>
      <c r="B293" s="34" t="s">
        <v>378</v>
      </c>
      <c r="C293" s="34" t="s">
        <v>378</v>
      </c>
      <c r="D293" s="34"/>
      <c r="E293" s="34">
        <v>68.1480988096855</v>
      </c>
      <c r="F293" s="34"/>
      <c r="G293" s="34"/>
      <c r="H293" s="34"/>
      <c r="I293" s="34">
        <v>120.210053388916</v>
      </c>
      <c r="J293" s="34">
        <v>138.717891505017</v>
      </c>
      <c r="K293" s="34"/>
      <c r="L293" s="34">
        <v>176.096796523436</v>
      </c>
      <c r="M293" s="34"/>
      <c r="N293" s="34"/>
      <c r="O293" s="34"/>
      <c r="P293" s="34"/>
      <c r="Q293" s="34"/>
      <c r="R293" s="34"/>
      <c r="S293" s="34"/>
      <c r="T293" s="34"/>
      <c r="U293" s="34"/>
      <c r="V293" s="34">
        <v>396.400729239108</v>
      </c>
      <c r="W293" s="34">
        <v>3</v>
      </c>
      <c r="AG293" s="167"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4" t="s">
        <v>28</v>
      </c>
      <c r="B294" s="34" t="s">
        <v>379</v>
      </c>
      <c r="C294" s="34" t="s">
        <v>379</v>
      </c>
      <c r="D294" s="34"/>
      <c r="E294" s="34">
        <v>65.0197081639144</v>
      </c>
      <c r="F294" s="34"/>
      <c r="G294" s="34"/>
      <c r="H294" s="34"/>
      <c r="I294" s="34">
        <v>74.8789879038112</v>
      </c>
      <c r="J294" s="34">
        <v>77.4311006071278</v>
      </c>
      <c r="K294" s="34"/>
      <c r="L294" s="34">
        <v>81.3506404193642</v>
      </c>
      <c r="M294" s="34"/>
      <c r="N294" s="34"/>
      <c r="O294" s="34"/>
      <c r="P294" s="34"/>
      <c r="Q294" s="34"/>
      <c r="R294" s="34"/>
      <c r="S294" s="34"/>
      <c r="T294" s="34"/>
      <c r="U294" s="34"/>
      <c r="V294" s="34">
        <v>82.103251456904</v>
      </c>
      <c r="W294" s="34">
        <v>3</v>
      </c>
      <c r="AG294" s="167"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4" t="s">
        <v>28</v>
      </c>
      <c r="B295" s="34" t="s">
        <v>381</v>
      </c>
      <c r="C295" s="34" t="s">
        <v>381</v>
      </c>
      <c r="D295" s="34"/>
      <c r="E295" s="34">
        <v>289.95526653166</v>
      </c>
      <c r="F295" s="34">
        <f>E295</f>
        <v>289.95526653166</v>
      </c>
      <c r="G295" s="34"/>
      <c r="H295" s="34"/>
      <c r="I295" s="34">
        <f>F295</f>
        <v>289.95526653166</v>
      </c>
      <c r="J295" s="34">
        <f>I295</f>
        <v>289.95526653166</v>
      </c>
      <c r="K295" s="34"/>
      <c r="L295" s="34">
        <f>J295</f>
        <v>289.95526653166</v>
      </c>
      <c r="M295" s="34"/>
      <c r="N295" s="34"/>
      <c r="O295" s="34"/>
      <c r="P295" s="34"/>
      <c r="Q295" s="34"/>
      <c r="R295" s="34"/>
      <c r="S295" s="34"/>
      <c r="T295" s="34"/>
      <c r="U295" s="34"/>
      <c r="V295" s="34">
        <f>L295</f>
        <v>289.95526653166</v>
      </c>
      <c r="W295" s="34">
        <v>3</v>
      </c>
      <c r="AG295" s="167"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4" t="s">
        <v>28</v>
      </c>
      <c r="B296" s="34" t="s">
        <v>382</v>
      </c>
      <c r="C296" s="34" t="s">
        <v>382</v>
      </c>
      <c r="D296" s="34"/>
      <c r="E296" s="34">
        <v>2967.54737989209</v>
      </c>
      <c r="F296" s="34">
        <f>E296</f>
        <v>2967.54737989209</v>
      </c>
      <c r="G296" s="34"/>
      <c r="H296" s="34"/>
      <c r="I296" s="34">
        <f>F296</f>
        <v>2967.54737989209</v>
      </c>
      <c r="J296" s="34">
        <f>I296</f>
        <v>2967.54737989209</v>
      </c>
      <c r="K296" s="34"/>
      <c r="L296" s="34">
        <f>J296</f>
        <v>2967.54737989209</v>
      </c>
      <c r="M296" s="34"/>
      <c r="N296" s="34"/>
      <c r="O296" s="34"/>
      <c r="P296" s="34"/>
      <c r="Q296" s="34"/>
      <c r="R296" s="34"/>
      <c r="S296" s="34"/>
      <c r="T296" s="34"/>
      <c r="U296" s="34"/>
      <c r="V296" s="34">
        <f>L296</f>
        <v>2967.54737989209</v>
      </c>
      <c r="W296" s="34">
        <v>3</v>
      </c>
      <c r="AG296" s="167"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4" t="s">
        <v>28</v>
      </c>
      <c r="B297" s="34" t="s">
        <v>383</v>
      </c>
      <c r="C297" s="34" t="s">
        <v>383</v>
      </c>
      <c r="D297" s="34">
        <v>1567.223</v>
      </c>
      <c r="E297" s="34">
        <v>1584.74216817635</v>
      </c>
      <c r="F297" s="34"/>
      <c r="G297" s="34">
        <v>1671.26456822056</v>
      </c>
      <c r="H297" s="34">
        <v>1752.8564787757</v>
      </c>
      <c r="I297" s="34">
        <v>1825.04494394815</v>
      </c>
      <c r="J297" s="34">
        <v>1887.24824711722</v>
      </c>
      <c r="K297" s="34">
        <v>1939.60786275396</v>
      </c>
      <c r="L297" s="34">
        <v>1982.78020497588</v>
      </c>
      <c r="M297" s="34">
        <v>2016.40750336632</v>
      </c>
      <c r="N297" s="34">
        <v>2040.77987954857</v>
      </c>
      <c r="O297" s="34">
        <v>2056.70924022867</v>
      </c>
      <c r="P297" s="34">
        <v>2065.20976635797</v>
      </c>
      <c r="Q297" s="34">
        <v>2066.80473121995</v>
      </c>
      <c r="R297" s="34">
        <v>2062.00371357381</v>
      </c>
      <c r="S297" s="34">
        <v>2051.85723902645</v>
      </c>
      <c r="T297" s="34">
        <v>2037.7158131163</v>
      </c>
      <c r="U297" s="34">
        <v>2020.48453586664</v>
      </c>
      <c r="V297" s="34">
        <v>2001.12378850008</v>
      </c>
      <c r="W297" s="34">
        <v>3</v>
      </c>
      <c r="AG297" s="167"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4" t="s">
        <v>28</v>
      </c>
      <c r="B298" s="34" t="s">
        <v>384</v>
      </c>
      <c r="C298" s="34" t="s">
        <v>384</v>
      </c>
      <c r="D298" s="34">
        <v>265.485</v>
      </c>
      <c r="E298" s="34">
        <v>268.452718291078</v>
      </c>
      <c r="F298" s="34"/>
      <c r="G298" s="34">
        <v>283.109470633111</v>
      </c>
      <c r="H298" s="34">
        <v>296.931006160429</v>
      </c>
      <c r="I298" s="34">
        <v>309.159613497298</v>
      </c>
      <c r="J298" s="34">
        <v>319.696750804395</v>
      </c>
      <c r="K298" s="34">
        <v>328.566383624561</v>
      </c>
      <c r="L298" s="34">
        <v>335.87970743029</v>
      </c>
      <c r="M298" s="34">
        <v>341.576116501102</v>
      </c>
      <c r="N298" s="34">
        <v>345.704756963082</v>
      </c>
      <c r="O298" s="34">
        <v>348.403164477619</v>
      </c>
      <c r="P298" s="34">
        <v>349.843139630764</v>
      </c>
      <c r="Q298" s="34">
        <v>350.113324056582</v>
      </c>
      <c r="R298" s="34">
        <v>349.300039559235</v>
      </c>
      <c r="S298" s="34">
        <v>347.581243449679</v>
      </c>
      <c r="T298" s="34">
        <v>345.185709146166</v>
      </c>
      <c r="U298" s="34">
        <v>342.266759104834</v>
      </c>
      <c r="V298" s="34">
        <v>338.987080326121</v>
      </c>
      <c r="W298" s="34">
        <v>3</v>
      </c>
      <c r="AG298" s="167"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4" t="s">
        <v>28</v>
      </c>
      <c r="B299" s="34" t="s">
        <v>385</v>
      </c>
      <c r="C299" s="34" t="s">
        <v>385</v>
      </c>
      <c r="D299" s="34">
        <v>48.055</v>
      </c>
      <c r="E299" s="34">
        <v>48.5921817710145</v>
      </c>
      <c r="F299" s="34"/>
      <c r="G299" s="34">
        <v>51.2451762294448</v>
      </c>
      <c r="H299" s="34">
        <v>53.7469894760133</v>
      </c>
      <c r="I299" s="34">
        <v>55.9604694299589</v>
      </c>
      <c r="J299" s="34">
        <v>57.8677791962077</v>
      </c>
      <c r="K299" s="34">
        <v>59.4732567379636</v>
      </c>
      <c r="L299" s="34">
        <v>60.7970293634765</v>
      </c>
      <c r="M299" s="34">
        <v>61.8281269316928</v>
      </c>
      <c r="N299" s="34">
        <v>62.5754453014705</v>
      </c>
      <c r="O299" s="34">
        <v>63.0638795750117</v>
      </c>
      <c r="P299" s="34">
        <v>63.3245270917618</v>
      </c>
      <c r="Q299" s="34">
        <v>63.3734327270431</v>
      </c>
      <c r="R299" s="34">
        <v>63.2262214476112</v>
      </c>
      <c r="S299" s="34">
        <v>62.9151050114858</v>
      </c>
      <c r="T299" s="34">
        <v>62.4814933160782</v>
      </c>
      <c r="U299" s="34">
        <v>61.953139005152</v>
      </c>
      <c r="V299" s="34">
        <v>61.3594897831205</v>
      </c>
      <c r="W299" s="34">
        <v>3</v>
      </c>
      <c r="AG299" s="167"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4" t="s">
        <v>28</v>
      </c>
      <c r="B300" s="34" t="s">
        <v>386</v>
      </c>
      <c r="C300" s="34" t="s">
        <v>386</v>
      </c>
      <c r="D300" s="34">
        <v>1561.308</v>
      </c>
      <c r="E300" s="34">
        <v>1593.6594638318</v>
      </c>
      <c r="F300" s="34"/>
      <c r="G300" s="34">
        <v>1839.95625738685</v>
      </c>
      <c r="H300" s="34">
        <v>2141.15054492959</v>
      </c>
      <c r="I300" s="34">
        <v>2439.82763587405</v>
      </c>
      <c r="J300" s="34">
        <v>2722.16989459966</v>
      </c>
      <c r="K300" s="34">
        <v>3002.04435286517</v>
      </c>
      <c r="L300" s="34">
        <v>3288.11784599765</v>
      </c>
      <c r="M300" s="34">
        <v>3593.16383179804</v>
      </c>
      <c r="N300" s="34">
        <v>3923.47739774159</v>
      </c>
      <c r="O300" s="34">
        <v>4283.27543391547</v>
      </c>
      <c r="P300" s="34">
        <v>4664.31551205876</v>
      </c>
      <c r="Q300" s="34">
        <v>5066.01037428092</v>
      </c>
      <c r="R300" s="34">
        <v>5484.83648056032</v>
      </c>
      <c r="S300" s="34">
        <v>5920.81974330456</v>
      </c>
      <c r="T300" s="34">
        <v>6374.50806567048</v>
      </c>
      <c r="U300" s="34">
        <v>6846.07351285994</v>
      </c>
      <c r="V300" s="34">
        <v>7334.67794819029</v>
      </c>
      <c r="W300" s="34">
        <v>3</v>
      </c>
      <c r="AG300" s="167"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4" t="s">
        <v>28</v>
      </c>
      <c r="B301" s="34" t="s">
        <v>388</v>
      </c>
      <c r="C301" s="34" t="s">
        <v>388</v>
      </c>
      <c r="D301" s="34">
        <v>413.5</v>
      </c>
      <c r="E301" s="34">
        <v>426.786340197389</v>
      </c>
      <c r="F301" s="34"/>
      <c r="G301" s="34">
        <v>519.701261114924</v>
      </c>
      <c r="H301" s="34">
        <v>634.414381048931</v>
      </c>
      <c r="I301" s="34">
        <v>752.831108085094</v>
      </c>
      <c r="J301" s="34">
        <v>868.738853605562</v>
      </c>
      <c r="K301" s="34">
        <v>984.804503710777</v>
      </c>
      <c r="L301" s="34">
        <v>1102.82911220467</v>
      </c>
      <c r="M301" s="34">
        <v>1225.74683156283</v>
      </c>
      <c r="N301" s="34">
        <v>1354.75664135227</v>
      </c>
      <c r="O301" s="34">
        <v>1490.66030219531</v>
      </c>
      <c r="P301" s="34">
        <v>1630.05679223194</v>
      </c>
      <c r="Q301" s="34">
        <v>1771.82328125444</v>
      </c>
      <c r="R301" s="34">
        <v>1913.79045111527</v>
      </c>
      <c r="S301" s="34">
        <v>2055.60445905299</v>
      </c>
      <c r="T301" s="34">
        <v>2197.6339585898</v>
      </c>
      <c r="U301" s="34">
        <v>2339.93222061411</v>
      </c>
      <c r="V301" s="34">
        <v>2482.51116962181</v>
      </c>
      <c r="W301" s="34">
        <v>3</v>
      </c>
      <c r="AG301" s="167"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4" t="s">
        <v>28</v>
      </c>
      <c r="B302" s="34" t="s">
        <v>389</v>
      </c>
      <c r="C302" s="34" t="s">
        <v>389</v>
      </c>
      <c r="D302" s="34">
        <v>163</v>
      </c>
      <c r="E302" s="34">
        <v>168.237420682405</v>
      </c>
      <c r="F302" s="34"/>
      <c r="G302" s="34">
        <v>204.86410051205</v>
      </c>
      <c r="H302" s="34">
        <v>250.083540776241</v>
      </c>
      <c r="I302" s="34">
        <v>296.762927733665</v>
      </c>
      <c r="J302" s="34">
        <v>342.45328449264</v>
      </c>
      <c r="K302" s="34">
        <v>388.205886589738</v>
      </c>
      <c r="L302" s="34">
        <v>434.730702029893</v>
      </c>
      <c r="M302" s="34">
        <v>483.184361655963</v>
      </c>
      <c r="N302" s="34">
        <v>534.039498283965</v>
      </c>
      <c r="O302" s="34">
        <v>587.612162654983</v>
      </c>
      <c r="P302" s="34">
        <v>642.561685934237</v>
      </c>
      <c r="Q302" s="34">
        <v>698.445453070068</v>
      </c>
      <c r="R302" s="34">
        <v>754.408327767325</v>
      </c>
      <c r="S302" s="34">
        <v>810.310826664177</v>
      </c>
      <c r="T302" s="34">
        <v>866.298271463453</v>
      </c>
      <c r="U302" s="34">
        <v>922.391661330351</v>
      </c>
      <c r="V302" s="34">
        <v>978.595696852129</v>
      </c>
      <c r="W302" s="34">
        <v>3</v>
      </c>
      <c r="AG302" s="167"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4" t="s">
        <v>29</v>
      </c>
      <c r="B303" s="34" t="s">
        <v>374</v>
      </c>
      <c r="C303" s="34" t="s">
        <v>374</v>
      </c>
      <c r="D303" s="34"/>
      <c r="E303" s="34">
        <v>247.424732991695</v>
      </c>
      <c r="F303" s="34">
        <f>E303</f>
        <v>247.424732991695</v>
      </c>
      <c r="G303" s="34"/>
      <c r="H303" s="34"/>
      <c r="I303" s="34">
        <f>F303</f>
        <v>247.424732991695</v>
      </c>
      <c r="J303" s="34">
        <f>I303</f>
        <v>247.424732991695</v>
      </c>
      <c r="K303" s="34"/>
      <c r="L303" s="34">
        <f>J303</f>
        <v>247.424732991695</v>
      </c>
      <c r="M303" s="34"/>
      <c r="N303" s="34"/>
      <c r="O303" s="34"/>
      <c r="P303" s="34"/>
      <c r="Q303" s="34"/>
      <c r="R303" s="34"/>
      <c r="S303" s="34"/>
      <c r="T303" s="34"/>
      <c r="U303" s="34"/>
      <c r="V303" s="34">
        <f>L303</f>
        <v>247.424732991695</v>
      </c>
      <c r="W303" s="34">
        <v>3</v>
      </c>
      <c r="AG303" s="167"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4" t="s">
        <v>29</v>
      </c>
      <c r="B304" s="34" t="s">
        <v>377</v>
      </c>
      <c r="C304" s="34" t="s">
        <v>377</v>
      </c>
      <c r="D304" s="34"/>
      <c r="E304" s="34">
        <v>254.796113659036</v>
      </c>
      <c r="F304" s="34">
        <f>E304</f>
        <v>254.796113659036</v>
      </c>
      <c r="G304" s="34"/>
      <c r="H304" s="34"/>
      <c r="I304" s="34">
        <f>F304</f>
        <v>254.796113659036</v>
      </c>
      <c r="J304" s="34">
        <f>I304</f>
        <v>254.796113659036</v>
      </c>
      <c r="K304" s="34"/>
      <c r="L304" s="34">
        <f>J304</f>
        <v>254.796113659036</v>
      </c>
      <c r="M304" s="34"/>
      <c r="N304" s="34"/>
      <c r="O304" s="34"/>
      <c r="P304" s="34"/>
      <c r="Q304" s="34"/>
      <c r="R304" s="34"/>
      <c r="S304" s="34"/>
      <c r="T304" s="34"/>
      <c r="U304" s="34"/>
      <c r="V304" s="34">
        <f>L304</f>
        <v>254.796113659036</v>
      </c>
      <c r="W304" s="34">
        <v>3</v>
      </c>
      <c r="AG304" s="167"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4" t="s">
        <v>29</v>
      </c>
      <c r="B305" s="34" t="s">
        <v>378</v>
      </c>
      <c r="C305" s="34" t="s">
        <v>378</v>
      </c>
      <c r="D305" s="34"/>
      <c r="E305" s="34">
        <v>195.540546638997</v>
      </c>
      <c r="F305" s="34"/>
      <c r="G305" s="34"/>
      <c r="H305" s="34"/>
      <c r="I305" s="34">
        <v>233.403341867434</v>
      </c>
      <c r="J305" s="34">
        <v>249.181754381167</v>
      </c>
      <c r="K305" s="34"/>
      <c r="L305" s="34">
        <v>279.646185639978</v>
      </c>
      <c r="M305" s="34"/>
      <c r="N305" s="34"/>
      <c r="O305" s="34"/>
      <c r="P305" s="34"/>
      <c r="Q305" s="34"/>
      <c r="R305" s="34"/>
      <c r="S305" s="34"/>
      <c r="T305" s="34"/>
      <c r="U305" s="34"/>
      <c r="V305" s="34">
        <v>454.057544816134</v>
      </c>
      <c r="W305" s="34">
        <v>3</v>
      </c>
      <c r="AG305" s="167"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4" t="s">
        <v>29</v>
      </c>
      <c r="B306" s="34" t="s">
        <v>379</v>
      </c>
      <c r="C306" s="34" t="s">
        <v>379</v>
      </c>
      <c r="D306" s="34"/>
      <c r="E306" s="34">
        <v>172.001941684198</v>
      </c>
      <c r="F306" s="34"/>
      <c r="G306" s="34"/>
      <c r="H306" s="34"/>
      <c r="I306" s="34">
        <v>167.898987057315</v>
      </c>
      <c r="J306" s="34">
        <v>166.624883992822</v>
      </c>
      <c r="K306" s="34"/>
      <c r="L306" s="34">
        <v>165.248837367325</v>
      </c>
      <c r="M306" s="34"/>
      <c r="N306" s="34"/>
      <c r="O306" s="34"/>
      <c r="P306" s="34"/>
      <c r="Q306" s="34"/>
      <c r="R306" s="34"/>
      <c r="S306" s="34"/>
      <c r="T306" s="34"/>
      <c r="U306" s="34"/>
      <c r="V306" s="34">
        <v>154.25511252623</v>
      </c>
      <c r="W306" s="34">
        <v>3</v>
      </c>
      <c r="AG306" s="167"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4" t="s">
        <v>29</v>
      </c>
      <c r="B307" s="34" t="s">
        <v>381</v>
      </c>
      <c r="C307" s="34" t="s">
        <v>381</v>
      </c>
      <c r="D307" s="34"/>
      <c r="E307" s="34">
        <v>25.7643640096326</v>
      </c>
      <c r="F307" s="34">
        <f>E307</f>
        <v>25.7643640096326</v>
      </c>
      <c r="G307" s="34"/>
      <c r="H307" s="34"/>
      <c r="I307" s="34">
        <f>F307</f>
        <v>25.7643640096326</v>
      </c>
      <c r="J307" s="34">
        <f>I307</f>
        <v>25.7643640096326</v>
      </c>
      <c r="K307" s="34"/>
      <c r="L307" s="34">
        <f>J307</f>
        <v>25.7643640096326</v>
      </c>
      <c r="M307" s="34"/>
      <c r="N307" s="34"/>
      <c r="O307" s="34"/>
      <c r="P307" s="34"/>
      <c r="Q307" s="34"/>
      <c r="R307" s="34"/>
      <c r="S307" s="34"/>
      <c r="T307" s="34"/>
      <c r="U307" s="34"/>
      <c r="V307" s="34">
        <f>L307</f>
        <v>25.7643640096326</v>
      </c>
      <c r="W307" s="34">
        <v>3</v>
      </c>
      <c r="AG307" s="167"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4" t="s">
        <v>29</v>
      </c>
      <c r="B308" s="34" t="s">
        <v>382</v>
      </c>
      <c r="C308" s="34" t="s">
        <v>382</v>
      </c>
      <c r="D308" s="34"/>
      <c r="E308" s="34">
        <v>455.503588512067</v>
      </c>
      <c r="F308" s="34">
        <f>E308</f>
        <v>455.503588512067</v>
      </c>
      <c r="G308" s="34"/>
      <c r="H308" s="34"/>
      <c r="I308" s="34">
        <f>F308</f>
        <v>455.503588512067</v>
      </c>
      <c r="J308" s="34">
        <f>I308</f>
        <v>455.503588512067</v>
      </c>
      <c r="K308" s="34"/>
      <c r="L308" s="34">
        <f>J308</f>
        <v>455.503588512067</v>
      </c>
      <c r="M308" s="34"/>
      <c r="N308" s="34"/>
      <c r="O308" s="34"/>
      <c r="P308" s="34"/>
      <c r="Q308" s="34"/>
      <c r="R308" s="34"/>
      <c r="S308" s="34"/>
      <c r="T308" s="34"/>
      <c r="U308" s="34"/>
      <c r="V308" s="34">
        <f>L308</f>
        <v>455.503588512067</v>
      </c>
      <c r="W308" s="34">
        <v>3</v>
      </c>
      <c r="AG308" s="167"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4" t="s">
        <v>29</v>
      </c>
      <c r="B309" s="34" t="s">
        <v>383</v>
      </c>
      <c r="C309" s="34" t="s">
        <v>383</v>
      </c>
      <c r="D309" s="34">
        <v>16.08</v>
      </c>
      <c r="E309" s="34">
        <v>16.0691409714611</v>
      </c>
      <c r="F309" s="34"/>
      <c r="G309" s="34">
        <v>16.0156668575521</v>
      </c>
      <c r="H309" s="34">
        <v>15.8438358011668</v>
      </c>
      <c r="I309" s="34">
        <v>15.6858257852875</v>
      </c>
      <c r="J309" s="34">
        <v>15.5667937467243</v>
      </c>
      <c r="K309" s="34">
        <v>15.4909784593187</v>
      </c>
      <c r="L309" s="34">
        <v>15.4382377142057</v>
      </c>
      <c r="M309" s="34">
        <v>15.3698330397112</v>
      </c>
      <c r="N309" s="34">
        <v>15.2844965940708</v>
      </c>
      <c r="O309" s="34">
        <v>15.1789614063947</v>
      </c>
      <c r="P309" s="34">
        <v>15.0662088433263</v>
      </c>
      <c r="Q309" s="34">
        <v>14.955274708603</v>
      </c>
      <c r="R309" s="34">
        <v>14.8480664937494</v>
      </c>
      <c r="S309" s="34">
        <v>14.7449327052981</v>
      </c>
      <c r="T309" s="34">
        <v>14.6429902158552</v>
      </c>
      <c r="U309" s="34">
        <v>14.5354625731701</v>
      </c>
      <c r="V309" s="34">
        <v>14.4111579467146</v>
      </c>
      <c r="W309" s="34">
        <v>3</v>
      </c>
      <c r="AG309" s="167"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4" t="s">
        <v>29</v>
      </c>
      <c r="B310" s="34" t="s">
        <v>384</v>
      </c>
      <c r="C310" s="34" t="s">
        <v>384</v>
      </c>
      <c r="D310" s="34">
        <v>3.18</v>
      </c>
      <c r="E310" s="34">
        <v>3.17785250555015</v>
      </c>
      <c r="F310" s="34"/>
      <c r="G310" s="34">
        <v>3.1672774009338</v>
      </c>
      <c r="H310" s="34">
        <v>3.13329588605165</v>
      </c>
      <c r="I310" s="34">
        <v>3.10204763664269</v>
      </c>
      <c r="J310" s="34">
        <v>3.0785077185686</v>
      </c>
      <c r="K310" s="34">
        <v>3.06351439680557</v>
      </c>
      <c r="L310" s="34">
        <v>3.05308432407799</v>
      </c>
      <c r="M310" s="34">
        <v>3.03955653397274</v>
      </c>
      <c r="N310" s="34">
        <v>3.02268029658863</v>
      </c>
      <c r="O310" s="34">
        <v>3.00180953186164</v>
      </c>
      <c r="P310" s="34">
        <v>2.97951145035931</v>
      </c>
      <c r="Q310" s="34">
        <v>2.95757298341775</v>
      </c>
      <c r="R310" s="34">
        <v>2.9363713588385</v>
      </c>
      <c r="S310" s="34">
        <v>2.91597549768955</v>
      </c>
      <c r="T310" s="34">
        <v>2.89581522925495</v>
      </c>
      <c r="U310" s="34">
        <v>2.87455043424633</v>
      </c>
      <c r="V310" s="34">
        <v>2.84996780289506</v>
      </c>
      <c r="W310" s="34">
        <v>3</v>
      </c>
      <c r="AG310" s="167"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4" t="s">
        <v>29</v>
      </c>
      <c r="B311" s="34" t="s">
        <v>385</v>
      </c>
      <c r="C311" s="34" t="s">
        <v>385</v>
      </c>
      <c r="D311" s="34">
        <v>6.825</v>
      </c>
      <c r="E311" s="34">
        <v>6.82039099068546</v>
      </c>
      <c r="F311" s="34"/>
      <c r="G311" s="34">
        <v>6.79769442181548</v>
      </c>
      <c r="H311" s="34">
        <v>6.72476239695047</v>
      </c>
      <c r="I311" s="34">
        <v>6.6576965786435</v>
      </c>
      <c r="J311" s="34">
        <v>6.60717458466375</v>
      </c>
      <c r="K311" s="34">
        <v>6.57499552144591</v>
      </c>
      <c r="L311" s="34">
        <v>6.55261022384664</v>
      </c>
      <c r="M311" s="34">
        <v>6.52357652338489</v>
      </c>
      <c r="N311" s="34">
        <v>6.48735629692372</v>
      </c>
      <c r="O311" s="34">
        <v>6.44256291036342</v>
      </c>
      <c r="P311" s="34">
        <v>6.39470617883721</v>
      </c>
      <c r="Q311" s="34">
        <v>6.34762126158056</v>
      </c>
      <c r="R311" s="34">
        <v>6.30211777486565</v>
      </c>
      <c r="S311" s="34">
        <v>6.25834363890917</v>
      </c>
      <c r="T311" s="34">
        <v>6.21507513825944</v>
      </c>
      <c r="U311" s="34">
        <v>6.16943607350038</v>
      </c>
      <c r="V311" s="34">
        <v>6.11667618074175</v>
      </c>
      <c r="W311" s="34">
        <v>3</v>
      </c>
      <c r="AG311" s="167"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4" t="s">
        <v>29</v>
      </c>
      <c r="B312" s="34" t="s">
        <v>386</v>
      </c>
      <c r="C312" s="34" t="s">
        <v>386</v>
      </c>
      <c r="D312" s="34">
        <v>531.888</v>
      </c>
      <c r="E312" s="34">
        <v>535.78761516086</v>
      </c>
      <c r="F312" s="34"/>
      <c r="G312" s="34">
        <v>566.200505481344</v>
      </c>
      <c r="H312" s="34">
        <v>604.938241295261</v>
      </c>
      <c r="I312" s="34">
        <v>655.486802594992</v>
      </c>
      <c r="J312" s="34">
        <v>705.277454642827</v>
      </c>
      <c r="K312" s="34">
        <v>752.752019494957</v>
      </c>
      <c r="L312" s="34">
        <v>798.241348968659</v>
      </c>
      <c r="M312" s="34">
        <v>847.520271226994</v>
      </c>
      <c r="N312" s="34">
        <v>903.453554589231</v>
      </c>
      <c r="O312" s="34">
        <v>962.385688002794</v>
      </c>
      <c r="P312" s="34">
        <v>1022.6534732597</v>
      </c>
      <c r="Q312" s="34">
        <v>1082.15665587592</v>
      </c>
      <c r="R312" s="34">
        <v>1140.95383591885</v>
      </c>
      <c r="S312" s="34">
        <v>1200.5132942107</v>
      </c>
      <c r="T312" s="34">
        <v>1262.23871672957</v>
      </c>
      <c r="U312" s="34">
        <v>1326.15320743053</v>
      </c>
      <c r="V312" s="34">
        <v>1391.19352245561</v>
      </c>
      <c r="W312" s="34">
        <v>3</v>
      </c>
      <c r="AG312" s="167"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4" t="s">
        <v>29</v>
      </c>
      <c r="B313" s="34" t="s">
        <v>388</v>
      </c>
      <c r="C313" s="34" t="s">
        <v>388</v>
      </c>
      <c r="D313" s="34">
        <v>100.2</v>
      </c>
      <c r="E313" s="34">
        <v>100.866342685393</v>
      </c>
      <c r="F313" s="34"/>
      <c r="G313" s="34">
        <v>106.231896610463</v>
      </c>
      <c r="H313" s="34">
        <v>112.259352704584</v>
      </c>
      <c r="I313" s="34">
        <v>120.397236631339</v>
      </c>
      <c r="J313" s="34">
        <v>128.536268617272</v>
      </c>
      <c r="K313" s="34">
        <v>136.505249693927</v>
      </c>
      <c r="L313" s="34">
        <v>144.250839410305</v>
      </c>
      <c r="M313" s="34">
        <v>152.461514826692</v>
      </c>
      <c r="N313" s="34">
        <v>161.59711966202</v>
      </c>
      <c r="O313" s="34">
        <v>170.91642608747</v>
      </c>
      <c r="P313" s="34">
        <v>180.23238832493</v>
      </c>
      <c r="Q313" s="34">
        <v>189.275603029981</v>
      </c>
      <c r="R313" s="34">
        <v>198.089320971846</v>
      </c>
      <c r="S313" s="34">
        <v>206.941290016317</v>
      </c>
      <c r="T313" s="34">
        <v>216.032917905273</v>
      </c>
      <c r="U313" s="34">
        <v>225.254382271043</v>
      </c>
      <c r="V313" s="34">
        <v>234.21804173876</v>
      </c>
      <c r="W313" s="34">
        <v>3</v>
      </c>
      <c r="AG313" s="167"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4" t="s">
        <v>29</v>
      </c>
      <c r="B314" s="34" t="s">
        <v>389</v>
      </c>
      <c r="C314" s="34" t="s">
        <v>389</v>
      </c>
      <c r="D314" s="34">
        <v>132.56</v>
      </c>
      <c r="E314" s="34">
        <v>133.441540782193</v>
      </c>
      <c r="F314" s="34"/>
      <c r="G314" s="34">
        <v>140.539922302225</v>
      </c>
      <c r="H314" s="34">
        <v>148.513970005186</v>
      </c>
      <c r="I314" s="34">
        <v>159.280016844813</v>
      </c>
      <c r="J314" s="34">
        <v>170.047582514028</v>
      </c>
      <c r="K314" s="34">
        <v>180.590178636995</v>
      </c>
      <c r="L314" s="34">
        <v>190.837238245808</v>
      </c>
      <c r="M314" s="34">
        <v>201.699584884493</v>
      </c>
      <c r="N314" s="34">
        <v>213.785570682609</v>
      </c>
      <c r="O314" s="34">
        <v>226.114585251049</v>
      </c>
      <c r="P314" s="34">
        <v>238.439175612302</v>
      </c>
      <c r="Q314" s="34">
        <v>250.402933509524</v>
      </c>
      <c r="R314" s="34">
        <v>262.063077724829</v>
      </c>
      <c r="S314" s="34">
        <v>273.773826392844</v>
      </c>
      <c r="T314" s="34">
        <v>285.80163270981</v>
      </c>
      <c r="U314" s="34">
        <v>298.001206725045</v>
      </c>
      <c r="V314" s="34">
        <v>309.859716695509</v>
      </c>
      <c r="W314" s="34">
        <v>3</v>
      </c>
      <c r="AG314" s="167"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4" t="s">
        <v>30</v>
      </c>
      <c r="B315" s="34" t="s">
        <v>374</v>
      </c>
      <c r="C315" s="34" t="s">
        <v>374</v>
      </c>
      <c r="D315" s="34"/>
      <c r="E315" s="34">
        <v>40.9363086427679</v>
      </c>
      <c r="F315" s="34">
        <f>E315</f>
        <v>40.9363086427679</v>
      </c>
      <c r="G315" s="34"/>
      <c r="H315" s="34"/>
      <c r="I315" s="34">
        <f>F315</f>
        <v>40.9363086427679</v>
      </c>
      <c r="J315" s="34">
        <f>I315</f>
        <v>40.9363086427679</v>
      </c>
      <c r="K315" s="34"/>
      <c r="L315" s="34">
        <f>J315</f>
        <v>40.9363086427679</v>
      </c>
      <c r="M315" s="34"/>
      <c r="N315" s="34"/>
      <c r="O315" s="34"/>
      <c r="P315" s="34"/>
      <c r="Q315" s="34"/>
      <c r="R315" s="34"/>
      <c r="S315" s="34"/>
      <c r="T315" s="34"/>
      <c r="U315" s="34"/>
      <c r="V315" s="34">
        <f>L315</f>
        <v>40.9363086427679</v>
      </c>
      <c r="W315" s="34">
        <v>3</v>
      </c>
      <c r="AG315" s="167"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4" t="s">
        <v>30</v>
      </c>
      <c r="B316" s="34" t="s">
        <v>377</v>
      </c>
      <c r="C316" s="34" t="s">
        <v>377</v>
      </c>
      <c r="D316" s="34"/>
      <c r="E316" s="34">
        <v>153.428915688234</v>
      </c>
      <c r="F316" s="34">
        <f>E316</f>
        <v>153.428915688234</v>
      </c>
      <c r="G316" s="34"/>
      <c r="H316" s="34"/>
      <c r="I316" s="34">
        <f>F316</f>
        <v>153.428915688234</v>
      </c>
      <c r="J316" s="34">
        <f>I316</f>
        <v>153.428915688234</v>
      </c>
      <c r="K316" s="34"/>
      <c r="L316" s="34">
        <f>J316</f>
        <v>153.428915688234</v>
      </c>
      <c r="M316" s="34"/>
      <c r="N316" s="34"/>
      <c r="O316" s="34"/>
      <c r="P316" s="34"/>
      <c r="Q316" s="34"/>
      <c r="R316" s="34"/>
      <c r="S316" s="34"/>
      <c r="T316" s="34"/>
      <c r="U316" s="34"/>
      <c r="V316" s="34">
        <f>L316</f>
        <v>153.428915688234</v>
      </c>
      <c r="W316" s="34">
        <v>3</v>
      </c>
      <c r="AG316" s="167"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4" t="s">
        <v>30</v>
      </c>
      <c r="B317" s="34" t="s">
        <v>378</v>
      </c>
      <c r="C317" s="34" t="s">
        <v>378</v>
      </c>
      <c r="D317" s="34"/>
      <c r="E317" s="34">
        <v>0</v>
      </c>
      <c r="F317" s="34"/>
      <c r="G317" s="34"/>
      <c r="H317" s="34"/>
      <c r="I317" s="34">
        <v>0</v>
      </c>
      <c r="J317" s="34">
        <v>0</v>
      </c>
      <c r="K317" s="34"/>
      <c r="L317" s="34">
        <v>0</v>
      </c>
      <c r="M317" s="34"/>
      <c r="N317" s="34"/>
      <c r="O317" s="34"/>
      <c r="P317" s="34"/>
      <c r="Q317" s="34"/>
      <c r="R317" s="34"/>
      <c r="S317" s="34"/>
      <c r="T317" s="34"/>
      <c r="U317" s="34"/>
      <c r="V317" s="34">
        <v>0</v>
      </c>
      <c r="W317" s="34">
        <v>3</v>
      </c>
      <c r="AG317" s="167"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4" t="s">
        <v>30</v>
      </c>
      <c r="B318" s="34" t="s">
        <v>379</v>
      </c>
      <c r="C318" s="34" t="s">
        <v>379</v>
      </c>
      <c r="D318" s="34"/>
      <c r="E318" s="34">
        <v>0</v>
      </c>
      <c r="F318" s="34"/>
      <c r="G318" s="34"/>
      <c r="H318" s="34"/>
      <c r="I318" s="34">
        <v>0</v>
      </c>
      <c r="J318" s="34">
        <v>0</v>
      </c>
      <c r="K318" s="34"/>
      <c r="L318" s="34">
        <v>0</v>
      </c>
      <c r="M318" s="34"/>
      <c r="N318" s="34"/>
      <c r="O318" s="34"/>
      <c r="P318" s="34"/>
      <c r="Q318" s="34"/>
      <c r="R318" s="34"/>
      <c r="S318" s="34"/>
      <c r="T318" s="34"/>
      <c r="U318" s="34"/>
      <c r="V318" s="34">
        <v>0</v>
      </c>
      <c r="W318" s="34">
        <v>3</v>
      </c>
      <c r="AG318" s="167"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4" t="s">
        <v>30</v>
      </c>
      <c r="B319" s="34" t="s">
        <v>381</v>
      </c>
      <c r="C319" s="34" t="s">
        <v>381</v>
      </c>
      <c r="D319" s="34"/>
      <c r="E319" s="34">
        <v>0</v>
      </c>
      <c r="F319" s="34">
        <f>E319</f>
        <v>0</v>
      </c>
      <c r="G319" s="34"/>
      <c r="H319" s="34"/>
      <c r="I319" s="34">
        <f>F319</f>
        <v>0</v>
      </c>
      <c r="J319" s="34">
        <f>I319</f>
        <v>0</v>
      </c>
      <c r="K319" s="34"/>
      <c r="L319" s="34">
        <f>J319</f>
        <v>0</v>
      </c>
      <c r="M319" s="34"/>
      <c r="N319" s="34"/>
      <c r="O319" s="34"/>
      <c r="P319" s="34"/>
      <c r="Q319" s="34"/>
      <c r="R319" s="34"/>
      <c r="S319" s="34"/>
      <c r="T319" s="34"/>
      <c r="U319" s="34"/>
      <c r="V319" s="34">
        <f>L319</f>
        <v>0</v>
      </c>
      <c r="W319" s="34">
        <v>3</v>
      </c>
      <c r="AG319" s="167"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4" t="s">
        <v>30</v>
      </c>
      <c r="B320" s="34" t="s">
        <v>382</v>
      </c>
      <c r="C320" s="34" t="s">
        <v>382</v>
      </c>
      <c r="D320" s="34"/>
      <c r="E320" s="34">
        <v>135.303709517611</v>
      </c>
      <c r="F320" s="34">
        <f>E320</f>
        <v>135.303709517611</v>
      </c>
      <c r="G320" s="34"/>
      <c r="H320" s="34"/>
      <c r="I320" s="34">
        <f>F320</f>
        <v>135.303709517611</v>
      </c>
      <c r="J320" s="34">
        <f>I320</f>
        <v>135.303709517611</v>
      </c>
      <c r="K320" s="34"/>
      <c r="L320" s="34">
        <f>J320</f>
        <v>135.303709517611</v>
      </c>
      <c r="M320" s="34"/>
      <c r="N320" s="34"/>
      <c r="O320" s="34"/>
      <c r="P320" s="34"/>
      <c r="Q320" s="34"/>
      <c r="R320" s="34"/>
      <c r="S320" s="34"/>
      <c r="T320" s="34"/>
      <c r="U320" s="34"/>
      <c r="V320" s="34">
        <f>L320</f>
        <v>135.303709517611</v>
      </c>
      <c r="W320" s="34">
        <v>3</v>
      </c>
      <c r="AG320" s="167"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4" t="s">
        <v>30</v>
      </c>
      <c r="B321" s="34" t="s">
        <v>383</v>
      </c>
      <c r="C321" s="34" t="s">
        <v>383</v>
      </c>
      <c r="D321" s="34">
        <v>14.126</v>
      </c>
      <c r="E321" s="34">
        <v>14.3152649465648</v>
      </c>
      <c r="F321" s="34"/>
      <c r="G321" s="34">
        <v>15.2440031861102</v>
      </c>
      <c r="H321" s="34">
        <v>16.0528788246618</v>
      </c>
      <c r="I321" s="34">
        <v>16.755495663707</v>
      </c>
      <c r="J321" s="34">
        <v>17.3538559576706</v>
      </c>
      <c r="K321" s="34">
        <v>17.8385159203282</v>
      </c>
      <c r="L321" s="34">
        <v>18.2042328604979</v>
      </c>
      <c r="M321" s="34">
        <v>18.4583874268113</v>
      </c>
      <c r="N321" s="34">
        <v>18.6082897563144</v>
      </c>
      <c r="O321" s="34">
        <v>18.6548436743545</v>
      </c>
      <c r="P321" s="34">
        <v>18.628344611904</v>
      </c>
      <c r="Q321" s="34">
        <v>18.5549492605634</v>
      </c>
      <c r="R321" s="34">
        <v>18.4586649646239</v>
      </c>
      <c r="S321" s="34">
        <v>18.3496185339122</v>
      </c>
      <c r="T321" s="34">
        <v>18.2244536548367</v>
      </c>
      <c r="U321" s="34">
        <v>18.0715773328401</v>
      </c>
      <c r="V321" s="34">
        <v>17.8908281739798</v>
      </c>
      <c r="W321" s="34">
        <v>3</v>
      </c>
      <c r="AG321" s="167"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4" t="s">
        <v>30</v>
      </c>
      <c r="B322" s="34" t="s">
        <v>384</v>
      </c>
      <c r="C322" s="34" t="s">
        <v>384</v>
      </c>
      <c r="D322" s="34">
        <v>4.185</v>
      </c>
      <c r="E322" s="34">
        <v>4.24107205163343</v>
      </c>
      <c r="F322" s="34"/>
      <c r="G322" s="34">
        <v>4.51622209640883</v>
      </c>
      <c r="H322" s="34">
        <v>4.75586138193469</v>
      </c>
      <c r="I322" s="34">
        <v>4.96402020052483</v>
      </c>
      <c r="J322" s="34">
        <v>5.14129174450315</v>
      </c>
      <c r="K322" s="34">
        <v>5.28487817687763</v>
      </c>
      <c r="L322" s="34">
        <v>5.39322628636441</v>
      </c>
      <c r="M322" s="34">
        <v>5.46852268024957</v>
      </c>
      <c r="N322" s="34">
        <v>5.51293307590086</v>
      </c>
      <c r="O322" s="34">
        <v>5.52672524261457</v>
      </c>
      <c r="P322" s="34">
        <v>5.51887457176967</v>
      </c>
      <c r="Q322" s="34">
        <v>5.49713030266584</v>
      </c>
      <c r="R322" s="34">
        <v>5.4686049042157</v>
      </c>
      <c r="S322" s="34">
        <v>5.43629856749418</v>
      </c>
      <c r="T322" s="34">
        <v>5.39921694361401</v>
      </c>
      <c r="U322" s="34">
        <v>5.35392546636952</v>
      </c>
      <c r="V322" s="34">
        <v>5.30037632083431</v>
      </c>
      <c r="W322" s="34">
        <v>3</v>
      </c>
      <c r="AG322" s="167"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4" t="s">
        <v>30</v>
      </c>
      <c r="B323" s="34" t="s">
        <v>385</v>
      </c>
      <c r="C323" s="34" t="s">
        <v>385</v>
      </c>
      <c r="D323" s="34">
        <v>7.98</v>
      </c>
      <c r="E323" s="34">
        <v>8.08691875078489</v>
      </c>
      <c r="F323" s="34"/>
      <c r="G323" s="34">
        <v>8.61157761752508</v>
      </c>
      <c r="H323" s="34">
        <v>9.06852421214787</v>
      </c>
      <c r="I323" s="34">
        <v>9.46544353648462</v>
      </c>
      <c r="J323" s="34">
        <v>9.80346669561174</v>
      </c>
      <c r="K323" s="34">
        <v>10.0772587458742</v>
      </c>
      <c r="L323" s="34">
        <v>10.2838580084081</v>
      </c>
      <c r="M323" s="34">
        <v>10.4274339279311</v>
      </c>
      <c r="N323" s="34">
        <v>10.5121161160547</v>
      </c>
      <c r="O323" s="34">
        <v>10.5384151579604</v>
      </c>
      <c r="P323" s="34">
        <v>10.5234454200052</v>
      </c>
      <c r="Q323" s="34">
        <v>10.481983229456</v>
      </c>
      <c r="R323" s="34">
        <v>10.4275907134149</v>
      </c>
      <c r="S323" s="34">
        <v>10.365988666333</v>
      </c>
      <c r="T323" s="34">
        <v>10.2952810537729</v>
      </c>
      <c r="U323" s="34">
        <v>10.208918810425</v>
      </c>
      <c r="V323" s="34">
        <v>10.1068107623077</v>
      </c>
      <c r="W323" s="34">
        <v>3</v>
      </c>
      <c r="AG323" s="167"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4" t="s">
        <v>30</v>
      </c>
      <c r="B324" s="34" t="s">
        <v>386</v>
      </c>
      <c r="C324" s="34" t="s">
        <v>386</v>
      </c>
      <c r="D324" s="34">
        <v>367.536</v>
      </c>
      <c r="E324" s="34">
        <v>363.478557229985</v>
      </c>
      <c r="F324" s="34"/>
      <c r="G324" s="34">
        <v>398.040856608938</v>
      </c>
      <c r="H324" s="34">
        <v>446.910564531527</v>
      </c>
      <c r="I324" s="34">
        <v>484.062815471466</v>
      </c>
      <c r="J324" s="34">
        <v>513.2992754764</v>
      </c>
      <c r="K324" s="34">
        <v>536.328318971612</v>
      </c>
      <c r="L324" s="34">
        <v>555.369469966788</v>
      </c>
      <c r="M324" s="34">
        <v>572.411231200172</v>
      </c>
      <c r="N324" s="34">
        <v>587.458376078734</v>
      </c>
      <c r="O324" s="34">
        <v>601.927048952381</v>
      </c>
      <c r="P324" s="34">
        <v>615.569730434503</v>
      </c>
      <c r="Q324" s="34">
        <v>628.006598989536</v>
      </c>
      <c r="R324" s="34">
        <v>639.65581699891</v>
      </c>
      <c r="S324" s="34">
        <v>650.611510947528</v>
      </c>
      <c r="T324" s="34">
        <v>661.170730331638</v>
      </c>
      <c r="U324" s="34">
        <v>671.663176037402</v>
      </c>
      <c r="V324" s="34">
        <v>682.006808405284</v>
      </c>
      <c r="W324" s="34">
        <v>3</v>
      </c>
      <c r="AG324" s="167"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4" t="s">
        <v>30</v>
      </c>
      <c r="B325" s="34" t="s">
        <v>388</v>
      </c>
      <c r="C325" s="34" t="s">
        <v>388</v>
      </c>
      <c r="D325" s="34">
        <v>95</v>
      </c>
      <c r="E325" s="34">
        <v>95.206463982037</v>
      </c>
      <c r="F325" s="34"/>
      <c r="G325" s="34">
        <v>111.184018010309</v>
      </c>
      <c r="H325" s="34">
        <v>131.671169742869</v>
      </c>
      <c r="I325" s="34">
        <v>149.009844687446</v>
      </c>
      <c r="J325" s="34">
        <v>163.760313862223</v>
      </c>
      <c r="K325" s="34">
        <v>175.959459782012</v>
      </c>
      <c r="L325" s="34">
        <v>185.990752832813</v>
      </c>
      <c r="M325" s="34">
        <v>194.406512706832</v>
      </c>
      <c r="N325" s="34">
        <v>201.155017505039</v>
      </c>
      <c r="O325" s="34">
        <v>206.630594262796</v>
      </c>
      <c r="P325" s="34">
        <v>211.01050553652</v>
      </c>
      <c r="Q325" s="34">
        <v>214.416995048552</v>
      </c>
      <c r="R325" s="34">
        <v>217.249933581297</v>
      </c>
      <c r="S325" s="34">
        <v>219.652970759196</v>
      </c>
      <c r="T325" s="34">
        <v>221.680684156144</v>
      </c>
      <c r="U325" s="34">
        <v>223.29088987102</v>
      </c>
      <c r="V325" s="34">
        <v>224.438932611892</v>
      </c>
      <c r="W325" s="34">
        <v>3</v>
      </c>
      <c r="AG325" s="167"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4" t="s">
        <v>30</v>
      </c>
      <c r="B326" s="34" t="s">
        <v>389</v>
      </c>
      <c r="C326" s="34" t="s">
        <v>389</v>
      </c>
      <c r="D326" s="34">
        <v>106.32</v>
      </c>
      <c r="E326" s="34">
        <v>106.551065795475</v>
      </c>
      <c r="F326" s="34"/>
      <c r="G326" s="34">
        <v>124.432471524801</v>
      </c>
      <c r="H326" s="34">
        <v>147.360829126967</v>
      </c>
      <c r="I326" s="34">
        <v>166.765544075466</v>
      </c>
      <c r="J326" s="34">
        <v>183.27364810349</v>
      </c>
      <c r="K326" s="34">
        <v>196.926418568669</v>
      </c>
      <c r="L326" s="34">
        <v>208.153019380891</v>
      </c>
      <c r="M326" s="34">
        <v>217.571583484109</v>
      </c>
      <c r="N326" s="34">
        <v>225.124225906692</v>
      </c>
      <c r="O326" s="34">
        <v>231.252260863374</v>
      </c>
      <c r="P326" s="34">
        <v>236.154073143609</v>
      </c>
      <c r="Q326" s="34">
        <v>239.966472774337</v>
      </c>
      <c r="R326" s="34">
        <v>243.136978298563</v>
      </c>
      <c r="S326" s="34">
        <v>245.826356327555</v>
      </c>
      <c r="T326" s="34">
        <v>248.095687784013</v>
      </c>
      <c r="U326" s="34">
        <v>249.897762221967</v>
      </c>
      <c r="V326" s="34">
        <v>251.182603318909</v>
      </c>
      <c r="W326" s="34">
        <v>3</v>
      </c>
      <c r="AG326" s="167"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4" t="s">
        <v>31</v>
      </c>
      <c r="B327" s="34" t="s">
        <v>374</v>
      </c>
      <c r="C327" s="34" t="s">
        <v>374</v>
      </c>
      <c r="D327" s="34"/>
      <c r="E327" s="34">
        <v>52.4749917783354</v>
      </c>
      <c r="F327" s="34">
        <f>E327</f>
        <v>52.4749917783354</v>
      </c>
      <c r="G327" s="34"/>
      <c r="H327" s="34"/>
      <c r="I327" s="34">
        <f>F327</f>
        <v>52.4749917783354</v>
      </c>
      <c r="J327" s="34">
        <f>I327</f>
        <v>52.4749917783354</v>
      </c>
      <c r="K327" s="34"/>
      <c r="L327" s="34">
        <f>J327</f>
        <v>52.4749917783354</v>
      </c>
      <c r="M327" s="34"/>
      <c r="N327" s="34"/>
      <c r="O327" s="34"/>
      <c r="P327" s="34"/>
      <c r="Q327" s="34"/>
      <c r="R327" s="34"/>
      <c r="S327" s="34"/>
      <c r="T327" s="34"/>
      <c r="U327" s="34"/>
      <c r="V327" s="34">
        <f>L327</f>
        <v>52.4749917783354</v>
      </c>
      <c r="W327" s="34">
        <v>3</v>
      </c>
      <c r="AG327" s="167"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4" t="s">
        <v>31</v>
      </c>
      <c r="B328" s="34" t="s">
        <v>377</v>
      </c>
      <c r="C328" s="34" t="s">
        <v>377</v>
      </c>
      <c r="D328" s="34"/>
      <c r="E328" s="34">
        <v>45.8382269487756</v>
      </c>
      <c r="F328" s="34">
        <f>E328</f>
        <v>45.8382269487756</v>
      </c>
      <c r="G328" s="34"/>
      <c r="H328" s="34"/>
      <c r="I328" s="34">
        <f>F328</f>
        <v>45.8382269487756</v>
      </c>
      <c r="J328" s="34">
        <f>I328</f>
        <v>45.8382269487756</v>
      </c>
      <c r="K328" s="34"/>
      <c r="L328" s="34">
        <f>J328</f>
        <v>45.8382269487756</v>
      </c>
      <c r="M328" s="34"/>
      <c r="N328" s="34"/>
      <c r="O328" s="34"/>
      <c r="P328" s="34"/>
      <c r="Q328" s="34"/>
      <c r="R328" s="34"/>
      <c r="S328" s="34"/>
      <c r="T328" s="34"/>
      <c r="U328" s="34"/>
      <c r="V328" s="34">
        <f>L328</f>
        <v>45.8382269487756</v>
      </c>
      <c r="W328" s="34">
        <v>3</v>
      </c>
      <c r="AG328" s="167"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4" t="s">
        <v>31</v>
      </c>
      <c r="B329" s="34" t="s">
        <v>378</v>
      </c>
      <c r="C329" s="34" t="s">
        <v>378</v>
      </c>
      <c r="D329" s="34"/>
      <c r="E329" s="34">
        <v>9.12676390579556</v>
      </c>
      <c r="F329" s="34"/>
      <c r="G329" s="34"/>
      <c r="H329" s="34"/>
      <c r="I329" s="34">
        <v>12.3280833254511</v>
      </c>
      <c r="J329" s="34">
        <v>14.3309310966871</v>
      </c>
      <c r="K329" s="34"/>
      <c r="L329" s="34">
        <v>19.4316201953666</v>
      </c>
      <c r="M329" s="34"/>
      <c r="N329" s="34"/>
      <c r="O329" s="34"/>
      <c r="P329" s="34"/>
      <c r="Q329" s="34"/>
      <c r="R329" s="34"/>
      <c r="S329" s="34"/>
      <c r="T329" s="34"/>
      <c r="U329" s="34"/>
      <c r="V329" s="34">
        <v>53.2382589133765</v>
      </c>
      <c r="W329" s="34">
        <v>3</v>
      </c>
      <c r="AG329" s="167"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4" t="s">
        <v>31</v>
      </c>
      <c r="B330" s="34" t="s">
        <v>379</v>
      </c>
      <c r="C330" s="34" t="s">
        <v>379</v>
      </c>
      <c r="D330" s="34"/>
      <c r="E330" s="34">
        <v>9.74070027471122</v>
      </c>
      <c r="F330" s="34"/>
      <c r="G330" s="34"/>
      <c r="H330" s="34"/>
      <c r="I330" s="34">
        <v>10.8414100633482</v>
      </c>
      <c r="J330" s="34">
        <v>11.0821321791008</v>
      </c>
      <c r="K330" s="34"/>
      <c r="L330" s="34">
        <v>11.335909074956</v>
      </c>
      <c r="M330" s="34"/>
      <c r="N330" s="34"/>
      <c r="O330" s="34"/>
      <c r="P330" s="34"/>
      <c r="Q330" s="34"/>
      <c r="R330" s="34"/>
      <c r="S330" s="34"/>
      <c r="T330" s="34"/>
      <c r="U330" s="34"/>
      <c r="V330" s="34">
        <v>9.99259949010795</v>
      </c>
      <c r="W330" s="34">
        <v>3</v>
      </c>
      <c r="AG330" s="167"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4" t="s">
        <v>31</v>
      </c>
      <c r="B331" s="34" t="s">
        <v>381</v>
      </c>
      <c r="C331" s="34" t="s">
        <v>381</v>
      </c>
      <c r="D331" s="34"/>
      <c r="E331" s="34">
        <v>10.9989574210474</v>
      </c>
      <c r="F331" s="34">
        <f>E331</f>
        <v>10.9989574210474</v>
      </c>
      <c r="G331" s="34"/>
      <c r="H331" s="34"/>
      <c r="I331" s="34">
        <f>F331</f>
        <v>10.9989574210474</v>
      </c>
      <c r="J331" s="34">
        <f>I331</f>
        <v>10.9989574210474</v>
      </c>
      <c r="K331" s="34"/>
      <c r="L331" s="34">
        <f>J331</f>
        <v>10.9989574210474</v>
      </c>
      <c r="M331" s="34"/>
      <c r="N331" s="34"/>
      <c r="O331" s="34"/>
      <c r="P331" s="34"/>
      <c r="Q331" s="34"/>
      <c r="R331" s="34"/>
      <c r="S331" s="34"/>
      <c r="T331" s="34"/>
      <c r="U331" s="34"/>
      <c r="V331" s="34">
        <f>L331</f>
        <v>10.9989574210474</v>
      </c>
      <c r="W331" s="34">
        <v>3</v>
      </c>
      <c r="AG331" s="167"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4" t="s">
        <v>31</v>
      </c>
      <c r="B332" s="34" t="s">
        <v>382</v>
      </c>
      <c r="C332" s="34" t="s">
        <v>382</v>
      </c>
      <c r="D332" s="34"/>
      <c r="E332" s="34">
        <v>125.722145353272</v>
      </c>
      <c r="F332" s="34">
        <f>E332</f>
        <v>125.722145353272</v>
      </c>
      <c r="G332" s="34"/>
      <c r="H332" s="34"/>
      <c r="I332" s="34">
        <f>F332</f>
        <v>125.722145353272</v>
      </c>
      <c r="J332" s="34">
        <f>I332</f>
        <v>125.722145353272</v>
      </c>
      <c r="K332" s="34"/>
      <c r="L332" s="34">
        <f>J332</f>
        <v>125.722145353272</v>
      </c>
      <c r="M332" s="34"/>
      <c r="N332" s="34"/>
      <c r="O332" s="34"/>
      <c r="P332" s="34"/>
      <c r="Q332" s="34"/>
      <c r="R332" s="34"/>
      <c r="S332" s="34"/>
      <c r="T332" s="34"/>
      <c r="U332" s="34"/>
      <c r="V332" s="34">
        <f>L332</f>
        <v>125.722145353272</v>
      </c>
      <c r="W332" s="34">
        <v>3</v>
      </c>
      <c r="AG332" s="167"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4" t="s">
        <v>31</v>
      </c>
      <c r="B333" s="34" t="s">
        <v>383</v>
      </c>
      <c r="C333" s="34" t="s">
        <v>383</v>
      </c>
      <c r="D333" s="34">
        <v>109.69</v>
      </c>
      <c r="E333" s="34">
        <v>110.58231006084</v>
      </c>
      <c r="F333" s="34"/>
      <c r="G333" s="34">
        <v>114.989231240778</v>
      </c>
      <c r="H333" s="34">
        <v>119.489482175879</v>
      </c>
      <c r="I333" s="34">
        <v>123.078232089162</v>
      </c>
      <c r="J333" s="34">
        <v>125.811054873143</v>
      </c>
      <c r="K333" s="34">
        <v>127.716576540045</v>
      </c>
      <c r="L333" s="34">
        <v>128.692083402129</v>
      </c>
      <c r="M333" s="34">
        <v>128.949077612265</v>
      </c>
      <c r="N333" s="34">
        <v>128.584293575878</v>
      </c>
      <c r="O333" s="34">
        <v>127.715938187362</v>
      </c>
      <c r="P333" s="34">
        <v>126.387372477224</v>
      </c>
      <c r="Q333" s="34">
        <v>124.699455590404</v>
      </c>
      <c r="R333" s="34">
        <v>122.68803056643</v>
      </c>
      <c r="S333" s="34">
        <v>120.533993247749</v>
      </c>
      <c r="T333" s="34">
        <v>118.267520007521</v>
      </c>
      <c r="U333" s="34">
        <v>115.896684311005</v>
      </c>
      <c r="V333" s="34">
        <v>113.442022027689</v>
      </c>
      <c r="W333" s="34">
        <v>3</v>
      </c>
      <c r="AG333" s="167"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4" t="s">
        <v>31</v>
      </c>
      <c r="B334" s="34" t="s">
        <v>384</v>
      </c>
      <c r="C334" s="34" t="s">
        <v>384</v>
      </c>
      <c r="D334" s="34">
        <v>18.585</v>
      </c>
      <c r="E334" s="34">
        <v>18.7361859101167</v>
      </c>
      <c r="F334" s="34"/>
      <c r="G334" s="34">
        <v>19.4828595369666</v>
      </c>
      <c r="H334" s="34">
        <v>20.2453462142283</v>
      </c>
      <c r="I334" s="34">
        <v>20.8533954177872</v>
      </c>
      <c r="J334" s="34">
        <v>21.3164231453857</v>
      </c>
      <c r="K334" s="34">
        <v>21.63927956055</v>
      </c>
      <c r="L334" s="34">
        <v>21.8045616740684</v>
      </c>
      <c r="M334" s="34">
        <v>21.8481047262644</v>
      </c>
      <c r="N334" s="34">
        <v>21.7862986243749</v>
      </c>
      <c r="O334" s="34">
        <v>21.6391714031554</v>
      </c>
      <c r="P334" s="34">
        <v>21.4140698102764</v>
      </c>
      <c r="Q334" s="34">
        <v>21.1280826159873</v>
      </c>
      <c r="R334" s="34">
        <v>20.7872827794431</v>
      </c>
      <c r="S334" s="34">
        <v>20.4223198514853</v>
      </c>
      <c r="T334" s="34">
        <v>20.0383066764498</v>
      </c>
      <c r="U334" s="34">
        <v>19.6366111579909</v>
      </c>
      <c r="V334" s="34">
        <v>19.2207127302817</v>
      </c>
      <c r="W334" s="34">
        <v>3</v>
      </c>
      <c r="AG334" s="167"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4" t="s">
        <v>31</v>
      </c>
      <c r="B335" s="34" t="s">
        <v>385</v>
      </c>
      <c r="C335" s="34" t="s">
        <v>385</v>
      </c>
      <c r="D335" s="34">
        <v>7.945</v>
      </c>
      <c r="E335" s="34">
        <v>8.00963126477684</v>
      </c>
      <c r="F335" s="34"/>
      <c r="G335" s="34">
        <v>8.3288307248426</v>
      </c>
      <c r="H335" s="34">
        <v>8.65479018951003</v>
      </c>
      <c r="I335" s="34">
        <v>8.91472836127628</v>
      </c>
      <c r="J335" s="34">
        <v>9.11267053484473</v>
      </c>
      <c r="K335" s="34">
        <v>9.25069013228785</v>
      </c>
      <c r="L335" s="34">
        <v>9.32134745765259</v>
      </c>
      <c r="M335" s="34">
        <v>9.33996190746141</v>
      </c>
      <c r="N335" s="34">
        <v>9.31354008989287</v>
      </c>
      <c r="O335" s="34">
        <v>9.25064389551089</v>
      </c>
      <c r="P335" s="34">
        <v>9.15441402435544</v>
      </c>
      <c r="Q335" s="34">
        <v>9.03215584525258</v>
      </c>
      <c r="R335" s="34">
        <v>8.88646551964891</v>
      </c>
      <c r="S335" s="34">
        <v>8.73044558622816</v>
      </c>
      <c r="T335" s="34">
        <v>8.56628176187214</v>
      </c>
      <c r="U335" s="34">
        <v>8.39455881895281</v>
      </c>
      <c r="V335" s="34">
        <v>8.21676419919763</v>
      </c>
      <c r="W335" s="34">
        <v>3</v>
      </c>
      <c r="AG335" s="167"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4" t="s">
        <v>31</v>
      </c>
      <c r="B336" s="34" t="s">
        <v>386</v>
      </c>
      <c r="C336" s="34" t="s">
        <v>386</v>
      </c>
      <c r="D336" s="34">
        <v>99.66</v>
      </c>
      <c r="E336" s="34">
        <v>98.3529707431704</v>
      </c>
      <c r="F336" s="34"/>
      <c r="G336" s="34">
        <v>103.805917225593</v>
      </c>
      <c r="H336" s="34">
        <v>108.084709235096</v>
      </c>
      <c r="I336" s="34">
        <v>119.341446492584</v>
      </c>
      <c r="J336" s="34">
        <v>135.697301449449</v>
      </c>
      <c r="K336" s="34">
        <v>156.110092215582</v>
      </c>
      <c r="L336" s="34">
        <v>179.837352283857</v>
      </c>
      <c r="M336" s="34">
        <v>206.645067701619</v>
      </c>
      <c r="N336" s="34">
        <v>236.493270061296</v>
      </c>
      <c r="O336" s="34">
        <v>269.060394912842</v>
      </c>
      <c r="P336" s="34">
        <v>304.122482923034</v>
      </c>
      <c r="Q336" s="34">
        <v>341.420207140228</v>
      </c>
      <c r="R336" s="34">
        <v>381.121451577387</v>
      </c>
      <c r="S336" s="34">
        <v>423.021353581731</v>
      </c>
      <c r="T336" s="34">
        <v>467.03504533259</v>
      </c>
      <c r="U336" s="34">
        <v>512.862520830738</v>
      </c>
      <c r="V336" s="34">
        <v>560.313003520519</v>
      </c>
      <c r="W336" s="34">
        <v>3</v>
      </c>
      <c r="AG336" s="167"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4" t="s">
        <v>31</v>
      </c>
      <c r="B337" s="34" t="s">
        <v>388</v>
      </c>
      <c r="C337" s="34" t="s">
        <v>388</v>
      </c>
      <c r="D337" s="34">
        <v>19.6</v>
      </c>
      <c r="E337" s="34">
        <v>19.5002948716583</v>
      </c>
      <c r="F337" s="34"/>
      <c r="G337" s="34">
        <v>21.4022929201511</v>
      </c>
      <c r="H337" s="34">
        <v>23.1575607197183</v>
      </c>
      <c r="I337" s="34">
        <v>26.3402518713137</v>
      </c>
      <c r="J337" s="34">
        <v>30.6195476354285</v>
      </c>
      <c r="K337" s="34">
        <v>35.7638584966043</v>
      </c>
      <c r="L337" s="34">
        <v>41.5177085278935</v>
      </c>
      <c r="M337" s="34">
        <v>47.8030641830236</v>
      </c>
      <c r="N337" s="34">
        <v>54.5508954164533</v>
      </c>
      <c r="O337" s="34">
        <v>61.6374608117572</v>
      </c>
      <c r="P337" s="34">
        <v>68.9329529529742</v>
      </c>
      <c r="Q337" s="34">
        <v>76.3354129243782</v>
      </c>
      <c r="R337" s="34">
        <v>83.8121461664193</v>
      </c>
      <c r="S337" s="34">
        <v>91.3616689125539</v>
      </c>
      <c r="T337" s="34">
        <v>98.932900294157</v>
      </c>
      <c r="U337" s="34">
        <v>106.417859520275</v>
      </c>
      <c r="V337" s="34">
        <v>113.749162132406</v>
      </c>
      <c r="W337" s="34">
        <v>3</v>
      </c>
      <c r="AG337" s="167"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4" t="s">
        <v>31</v>
      </c>
      <c r="B338" s="34" t="s">
        <v>389</v>
      </c>
      <c r="C338" s="34" t="s">
        <v>389</v>
      </c>
      <c r="D338" s="34">
        <v>23.8</v>
      </c>
      <c r="E338" s="34">
        <v>23.6789294870137</v>
      </c>
      <c r="F338" s="34"/>
      <c r="G338" s="34">
        <v>25.9884985458977</v>
      </c>
      <c r="H338" s="34">
        <v>28.1198951596579</v>
      </c>
      <c r="I338" s="34">
        <v>31.9845915580238</v>
      </c>
      <c r="J338" s="34">
        <v>37.1808792715917</v>
      </c>
      <c r="K338" s="34">
        <v>43.4275424601624</v>
      </c>
      <c r="L338" s="34">
        <v>50.4143603552992</v>
      </c>
      <c r="M338" s="34">
        <v>58.0465779365286</v>
      </c>
      <c r="N338" s="34">
        <v>66.2403730056932</v>
      </c>
      <c r="O338" s="34">
        <v>74.8454881285623</v>
      </c>
      <c r="P338" s="34">
        <v>83.7043000143259</v>
      </c>
      <c r="Q338" s="34">
        <v>92.6930014081736</v>
      </c>
      <c r="R338" s="34">
        <v>101.771891773509</v>
      </c>
      <c r="S338" s="34">
        <v>110.939169393816</v>
      </c>
      <c r="T338" s="34">
        <v>120.132807500048</v>
      </c>
      <c r="U338" s="34">
        <v>129.221686560334</v>
      </c>
      <c r="V338" s="34">
        <v>138.123982589351</v>
      </c>
      <c r="W338" s="34">
        <v>3</v>
      </c>
      <c r="AG338" s="167"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4" t="s">
        <v>32</v>
      </c>
      <c r="B339" s="34" t="s">
        <v>374</v>
      </c>
      <c r="C339" s="34" t="s">
        <v>374</v>
      </c>
      <c r="D339" s="34"/>
      <c r="E339" s="34">
        <v>103.891851463989</v>
      </c>
      <c r="F339" s="34">
        <f>E339</f>
        <v>103.891851463989</v>
      </c>
      <c r="G339" s="34"/>
      <c r="H339" s="34"/>
      <c r="I339" s="34">
        <f>F339</f>
        <v>103.891851463989</v>
      </c>
      <c r="J339" s="34">
        <f>I339</f>
        <v>103.891851463989</v>
      </c>
      <c r="K339" s="34"/>
      <c r="L339" s="34">
        <f>J339</f>
        <v>103.891851463989</v>
      </c>
      <c r="M339" s="34"/>
      <c r="N339" s="34"/>
      <c r="O339" s="34"/>
      <c r="P339" s="34"/>
      <c r="Q339" s="34"/>
      <c r="R339" s="34"/>
      <c r="S339" s="34"/>
      <c r="T339" s="34"/>
      <c r="U339" s="34"/>
      <c r="V339" s="34">
        <f>L339</f>
        <v>103.891851463989</v>
      </c>
      <c r="W339" s="34">
        <v>3</v>
      </c>
      <c r="AG339" s="167"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4" t="s">
        <v>32</v>
      </c>
      <c r="B340" s="34" t="s">
        <v>377</v>
      </c>
      <c r="C340" s="34" t="s">
        <v>377</v>
      </c>
      <c r="D340" s="34"/>
      <c r="E340" s="34">
        <v>260.258225243851</v>
      </c>
      <c r="F340" s="34">
        <f>E340</f>
        <v>260.258225243851</v>
      </c>
      <c r="G340" s="34"/>
      <c r="H340" s="34"/>
      <c r="I340" s="34">
        <f>F340</f>
        <v>260.258225243851</v>
      </c>
      <c r="J340" s="34">
        <f>I340</f>
        <v>260.258225243851</v>
      </c>
      <c r="K340" s="34"/>
      <c r="L340" s="34">
        <f>J340</f>
        <v>260.258225243851</v>
      </c>
      <c r="M340" s="34"/>
      <c r="N340" s="34"/>
      <c r="O340" s="34"/>
      <c r="P340" s="34"/>
      <c r="Q340" s="34"/>
      <c r="R340" s="34"/>
      <c r="S340" s="34"/>
      <c r="T340" s="34"/>
      <c r="U340" s="34"/>
      <c r="V340" s="34">
        <f>L340</f>
        <v>260.258225243851</v>
      </c>
      <c r="W340" s="34">
        <v>3</v>
      </c>
      <c r="AG340" s="167"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4" t="s">
        <v>32</v>
      </c>
      <c r="B341" s="34" t="s">
        <v>378</v>
      </c>
      <c r="C341" s="34" t="s">
        <v>378</v>
      </c>
      <c r="D341" s="34"/>
      <c r="E341" s="34">
        <v>3.47343215679999</v>
      </c>
      <c r="F341" s="34"/>
      <c r="G341" s="34"/>
      <c r="H341" s="34"/>
      <c r="I341" s="34">
        <v>4.5230426202522</v>
      </c>
      <c r="J341" s="34">
        <v>4.8408389135394</v>
      </c>
      <c r="K341" s="34"/>
      <c r="L341" s="34">
        <v>5.47408246075369</v>
      </c>
      <c r="M341" s="34"/>
      <c r="N341" s="34"/>
      <c r="O341" s="34"/>
      <c r="P341" s="34"/>
      <c r="Q341" s="34"/>
      <c r="R341" s="34"/>
      <c r="S341" s="34"/>
      <c r="T341" s="34"/>
      <c r="U341" s="34"/>
      <c r="V341" s="34">
        <v>7.4792063275324</v>
      </c>
      <c r="W341" s="34">
        <v>3</v>
      </c>
      <c r="AG341" s="167"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4" t="s">
        <v>32</v>
      </c>
      <c r="B342" s="34" t="s">
        <v>379</v>
      </c>
      <c r="C342" s="34" t="s">
        <v>379</v>
      </c>
      <c r="D342" s="34"/>
      <c r="E342" s="34">
        <v>14.626041583712</v>
      </c>
      <c r="F342" s="34"/>
      <c r="G342" s="34"/>
      <c r="H342" s="34"/>
      <c r="I342" s="34">
        <v>14.7086189446099</v>
      </c>
      <c r="J342" s="34">
        <v>14.7592524756673</v>
      </c>
      <c r="K342" s="34"/>
      <c r="L342" s="34">
        <v>14.8957022241977</v>
      </c>
      <c r="M342" s="34"/>
      <c r="N342" s="34"/>
      <c r="O342" s="34"/>
      <c r="P342" s="34"/>
      <c r="Q342" s="34"/>
      <c r="R342" s="34"/>
      <c r="S342" s="34"/>
      <c r="T342" s="34"/>
      <c r="U342" s="34"/>
      <c r="V342" s="34">
        <v>14.2703428586092</v>
      </c>
      <c r="W342" s="34">
        <v>3</v>
      </c>
      <c r="AG342" s="167"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4" t="s">
        <v>32</v>
      </c>
      <c r="B343" s="34" t="s">
        <v>381</v>
      </c>
      <c r="C343" s="34" t="s">
        <v>381</v>
      </c>
      <c r="D343" s="34"/>
      <c r="E343" s="34">
        <v>46.6214604970415</v>
      </c>
      <c r="F343" s="34">
        <f>E343</f>
        <v>46.6214604970415</v>
      </c>
      <c r="G343" s="34"/>
      <c r="H343" s="34"/>
      <c r="I343" s="34">
        <f>F343</f>
        <v>46.6214604970415</v>
      </c>
      <c r="J343" s="34">
        <f>I343</f>
        <v>46.6214604970415</v>
      </c>
      <c r="K343" s="34"/>
      <c r="L343" s="34">
        <f>J343</f>
        <v>46.6214604970415</v>
      </c>
      <c r="M343" s="34"/>
      <c r="N343" s="34"/>
      <c r="O343" s="34"/>
      <c r="P343" s="34"/>
      <c r="Q343" s="34"/>
      <c r="R343" s="34"/>
      <c r="S343" s="34"/>
      <c r="T343" s="34"/>
      <c r="U343" s="34"/>
      <c r="V343" s="34">
        <f>L343</f>
        <v>46.6214604970415</v>
      </c>
      <c r="W343" s="34">
        <v>3</v>
      </c>
      <c r="AG343" s="167"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4" t="s">
        <v>32</v>
      </c>
      <c r="B344" s="34" t="s">
        <v>382</v>
      </c>
      <c r="C344" s="34" t="s">
        <v>382</v>
      </c>
      <c r="D344" s="34"/>
      <c r="E344" s="34">
        <v>337.154179744827</v>
      </c>
      <c r="F344" s="34">
        <f>E344</f>
        <v>337.154179744827</v>
      </c>
      <c r="G344" s="34"/>
      <c r="H344" s="34"/>
      <c r="I344" s="34">
        <f>F344</f>
        <v>337.154179744827</v>
      </c>
      <c r="J344" s="34">
        <f>I344</f>
        <v>337.154179744827</v>
      </c>
      <c r="K344" s="34"/>
      <c r="L344" s="34">
        <f>J344</f>
        <v>337.154179744827</v>
      </c>
      <c r="M344" s="34"/>
      <c r="N344" s="34"/>
      <c r="O344" s="34"/>
      <c r="P344" s="34"/>
      <c r="Q344" s="34"/>
      <c r="R344" s="34"/>
      <c r="S344" s="34"/>
      <c r="T344" s="34"/>
      <c r="U344" s="34"/>
      <c r="V344" s="34">
        <f>L344</f>
        <v>337.154179744827</v>
      </c>
      <c r="W344" s="34">
        <v>3</v>
      </c>
      <c r="AG344" s="167"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4" t="s">
        <v>32</v>
      </c>
      <c r="B345" s="34" t="s">
        <v>383</v>
      </c>
      <c r="C345" s="34" t="s">
        <v>383</v>
      </c>
      <c r="D345" s="34">
        <v>1.3</v>
      </c>
      <c r="E345" s="34">
        <v>1.30059658638924</v>
      </c>
      <c r="F345" s="34"/>
      <c r="G345" s="34">
        <v>1.30353356580575</v>
      </c>
      <c r="H345" s="34">
        <v>1.3050849312225</v>
      </c>
      <c r="I345" s="34">
        <v>1.30793964179368</v>
      </c>
      <c r="J345" s="34">
        <v>1.31244214489906</v>
      </c>
      <c r="K345" s="34">
        <v>1.31808545163749</v>
      </c>
      <c r="L345" s="34">
        <v>1.3245757133794</v>
      </c>
      <c r="M345" s="34">
        <v>1.32680869914922</v>
      </c>
      <c r="N345" s="34">
        <v>1.32488868048523</v>
      </c>
      <c r="O345" s="34">
        <v>1.31876777821331</v>
      </c>
      <c r="P345" s="34">
        <v>1.31064124977396</v>
      </c>
      <c r="Q345" s="34">
        <v>1.30247373381161</v>
      </c>
      <c r="R345" s="34">
        <v>1.29589685524435</v>
      </c>
      <c r="S345" s="34">
        <v>1.29098844181308</v>
      </c>
      <c r="T345" s="34">
        <v>1.28597217639472</v>
      </c>
      <c r="U345" s="34">
        <v>1.27893959304243</v>
      </c>
      <c r="V345" s="34">
        <v>1.26896666485484</v>
      </c>
      <c r="W345" s="34">
        <v>3</v>
      </c>
      <c r="AG345" s="167"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4" t="s">
        <v>32</v>
      </c>
      <c r="B346" s="34" t="s">
        <v>384</v>
      </c>
      <c r="C346" s="34" t="s">
        <v>384</v>
      </c>
      <c r="D346" s="34">
        <v>0.78</v>
      </c>
      <c r="E346" s="34">
        <v>0.780357951833544</v>
      </c>
      <c r="F346" s="34"/>
      <c r="G346" s="34">
        <v>0.782120139483452</v>
      </c>
      <c r="H346" s="34">
        <v>0.783050958733501</v>
      </c>
      <c r="I346" s="34">
        <v>0.784763785076207</v>
      </c>
      <c r="J346" s="34">
        <v>0.787465286939439</v>
      </c>
      <c r="K346" s="34">
        <v>0.790851270982497</v>
      </c>
      <c r="L346" s="34">
        <v>0.794745428027642</v>
      </c>
      <c r="M346" s="34">
        <v>0.79608521948953</v>
      </c>
      <c r="N346" s="34">
        <v>0.794933208291136</v>
      </c>
      <c r="O346" s="34">
        <v>0.791260666927985</v>
      </c>
      <c r="P346" s="34">
        <v>0.786384749864377</v>
      </c>
      <c r="Q346" s="34">
        <v>0.781484240286964</v>
      </c>
      <c r="R346" s="34">
        <v>0.77753811314661</v>
      </c>
      <c r="S346" s="34">
        <v>0.774593065087848</v>
      </c>
      <c r="T346" s="34">
        <v>0.77158330583683</v>
      </c>
      <c r="U346" s="34">
        <v>0.767363755825456</v>
      </c>
      <c r="V346" s="34">
        <v>0.761379998912904</v>
      </c>
      <c r="W346" s="34">
        <v>3</v>
      </c>
      <c r="AG346" s="167"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4" t="s">
        <v>32</v>
      </c>
      <c r="B347" s="34" t="s">
        <v>385</v>
      </c>
      <c r="C347" s="34" t="s">
        <v>385</v>
      </c>
      <c r="D347" s="34">
        <v>3.5</v>
      </c>
      <c r="E347" s="34">
        <v>3.50160619412488</v>
      </c>
      <c r="F347" s="34"/>
      <c r="G347" s="34">
        <v>3.50951344640011</v>
      </c>
      <c r="H347" s="34">
        <v>3.5136901994452</v>
      </c>
      <c r="I347" s="34">
        <v>3.52137595867529</v>
      </c>
      <c r="J347" s="34">
        <v>3.53349808242056</v>
      </c>
      <c r="K347" s="34">
        <v>3.54869160056248</v>
      </c>
      <c r="L347" s="34">
        <v>3.56616538217531</v>
      </c>
      <c r="M347" s="34">
        <v>3.5721772669402</v>
      </c>
      <c r="N347" s="34">
        <v>3.56700798592176</v>
      </c>
      <c r="O347" s="34">
        <v>3.55052863365121</v>
      </c>
      <c r="P347" s="34">
        <v>3.5286495186222</v>
      </c>
      <c r="Q347" s="34">
        <v>3.50666005256971</v>
      </c>
      <c r="R347" s="34">
        <v>3.48895307181171</v>
      </c>
      <c r="S347" s="34">
        <v>3.47573811257368</v>
      </c>
      <c r="T347" s="34">
        <v>3.46223278260116</v>
      </c>
      <c r="U347" s="34">
        <v>3.443298904345</v>
      </c>
      <c r="V347" s="34">
        <v>3.41644871307072</v>
      </c>
      <c r="W347" s="34">
        <v>3</v>
      </c>
      <c r="AG347" s="167"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4" t="s">
        <v>32</v>
      </c>
      <c r="B348" s="34" t="s">
        <v>386</v>
      </c>
      <c r="C348" s="34" t="s">
        <v>386</v>
      </c>
      <c r="D348" s="34">
        <v>247.788</v>
      </c>
      <c r="E348" s="34">
        <v>247.255546066212</v>
      </c>
      <c r="F348" s="34"/>
      <c r="G348" s="34">
        <v>283.881115241011</v>
      </c>
      <c r="H348" s="34">
        <v>300.275475407278</v>
      </c>
      <c r="I348" s="34">
        <v>320.119097206353</v>
      </c>
      <c r="J348" s="34">
        <v>341.411303655968</v>
      </c>
      <c r="K348" s="34">
        <v>362.343417344013</v>
      </c>
      <c r="L348" s="34">
        <v>382.464364274469</v>
      </c>
      <c r="M348" s="34">
        <v>403.356155785293</v>
      </c>
      <c r="N348" s="34">
        <v>424.88184218882</v>
      </c>
      <c r="O348" s="34">
        <v>446.282278467291</v>
      </c>
      <c r="P348" s="34">
        <v>465.723339590649</v>
      </c>
      <c r="Q348" s="34">
        <v>482.930372910929</v>
      </c>
      <c r="R348" s="34">
        <v>497.886508345663</v>
      </c>
      <c r="S348" s="34">
        <v>511.065014321247</v>
      </c>
      <c r="T348" s="34">
        <v>523.229611628041</v>
      </c>
      <c r="U348" s="34">
        <v>534.851766264126</v>
      </c>
      <c r="V348" s="34">
        <v>545.84552789317</v>
      </c>
      <c r="W348" s="34">
        <v>3</v>
      </c>
      <c r="AG348" s="167"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4" t="s">
        <v>32</v>
      </c>
      <c r="B349" s="34" t="s">
        <v>388</v>
      </c>
      <c r="C349" s="34" t="s">
        <v>388</v>
      </c>
      <c r="D349" s="34">
        <v>102.375</v>
      </c>
      <c r="E349" s="34">
        <v>102.20186827423</v>
      </c>
      <c r="F349" s="34"/>
      <c r="G349" s="34">
        <v>117.615187358833</v>
      </c>
      <c r="H349" s="34">
        <v>124.557989849019</v>
      </c>
      <c r="I349" s="34">
        <v>133.085485826681</v>
      </c>
      <c r="J349" s="34">
        <v>142.436287408049</v>
      </c>
      <c r="K349" s="34">
        <v>151.832567396818</v>
      </c>
      <c r="L349" s="34">
        <v>161.068772706833</v>
      </c>
      <c r="M349" s="34">
        <v>170.159375509302</v>
      </c>
      <c r="N349" s="34">
        <v>178.975168046084</v>
      </c>
      <c r="O349" s="34">
        <v>187.102352708401</v>
      </c>
      <c r="P349" s="34">
        <v>194.025579448996</v>
      </c>
      <c r="Q349" s="34">
        <v>199.917684203294</v>
      </c>
      <c r="R349" s="34">
        <v>205.051456836393</v>
      </c>
      <c r="S349" s="34">
        <v>209.670030748802</v>
      </c>
      <c r="T349" s="34">
        <v>213.814969567753</v>
      </c>
      <c r="U349" s="34">
        <v>217.352608524279</v>
      </c>
      <c r="V349" s="34">
        <v>220.067306737458</v>
      </c>
      <c r="W349" s="34">
        <v>3</v>
      </c>
      <c r="AG349" s="167"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4" t="s">
        <v>32</v>
      </c>
      <c r="B350" s="34" t="s">
        <v>389</v>
      </c>
      <c r="C350" s="34" t="s">
        <v>389</v>
      </c>
      <c r="D350" s="34">
        <v>55.775</v>
      </c>
      <c r="E350" s="34">
        <v>55.6806759755329</v>
      </c>
      <c r="F350" s="34"/>
      <c r="G350" s="34">
        <v>64.0780178260213</v>
      </c>
      <c r="H350" s="34">
        <v>67.8605312217734</v>
      </c>
      <c r="I350" s="34">
        <v>72.506402656734</v>
      </c>
      <c r="J350" s="34">
        <v>77.6008198308563</v>
      </c>
      <c r="K350" s="34">
        <v>82.7200141299881</v>
      </c>
      <c r="L350" s="34">
        <v>87.7519980241623</v>
      </c>
      <c r="M350" s="34">
        <v>92.7046561077538</v>
      </c>
      <c r="N350" s="34">
        <v>97.5075946058151</v>
      </c>
      <c r="O350" s="34">
        <v>101.935372134907</v>
      </c>
      <c r="P350" s="34">
        <v>105.707220451944</v>
      </c>
      <c r="Q350" s="34">
        <v>108.917302431636</v>
      </c>
      <c r="R350" s="34">
        <v>111.714236923564</v>
      </c>
      <c r="S350" s="34">
        <v>114.230485616747</v>
      </c>
      <c r="T350" s="34">
        <v>116.488692821895</v>
      </c>
      <c r="U350" s="34">
        <v>118.416036536671</v>
      </c>
      <c r="V350" s="34">
        <v>119.895033292129</v>
      </c>
      <c r="W350" s="34">
        <v>3</v>
      </c>
      <c r="AG350" s="167"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4" t="s">
        <v>33</v>
      </c>
      <c r="B351" s="34" t="s">
        <v>374</v>
      </c>
      <c r="C351" s="34" t="s">
        <v>374</v>
      </c>
      <c r="D351" s="34"/>
      <c r="E351" s="34">
        <v>10.8787135219328</v>
      </c>
      <c r="F351" s="34">
        <f>E351</f>
        <v>10.8787135219328</v>
      </c>
      <c r="G351" s="34"/>
      <c r="H351" s="34"/>
      <c r="I351" s="34">
        <f>F351</f>
        <v>10.8787135219328</v>
      </c>
      <c r="J351" s="34">
        <f>I351</f>
        <v>10.8787135219328</v>
      </c>
      <c r="K351" s="34"/>
      <c r="L351" s="34">
        <f>J351</f>
        <v>10.8787135219328</v>
      </c>
      <c r="M351" s="34"/>
      <c r="N351" s="34"/>
      <c r="O351" s="34"/>
      <c r="P351" s="34"/>
      <c r="Q351" s="34"/>
      <c r="R351" s="34"/>
      <c r="S351" s="34"/>
      <c r="T351" s="34"/>
      <c r="U351" s="34"/>
      <c r="V351" s="34">
        <f>L351</f>
        <v>10.8787135219328</v>
      </c>
      <c r="W351" s="34">
        <v>3</v>
      </c>
      <c r="AG351" s="167"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4" t="s">
        <v>33</v>
      </c>
      <c r="B352" s="34" t="s">
        <v>377</v>
      </c>
      <c r="C352" s="34" t="s">
        <v>377</v>
      </c>
      <c r="D352" s="34"/>
      <c r="E352" s="34">
        <v>116.616235183285</v>
      </c>
      <c r="F352" s="34">
        <f>E352</f>
        <v>116.616235183285</v>
      </c>
      <c r="G352" s="34"/>
      <c r="H352" s="34"/>
      <c r="I352" s="34">
        <f>F352</f>
        <v>116.616235183285</v>
      </c>
      <c r="J352" s="34">
        <f>I352</f>
        <v>116.616235183285</v>
      </c>
      <c r="K352" s="34"/>
      <c r="L352" s="34">
        <f>J352</f>
        <v>116.616235183285</v>
      </c>
      <c r="M352" s="34"/>
      <c r="N352" s="34"/>
      <c r="O352" s="34"/>
      <c r="P352" s="34"/>
      <c r="Q352" s="34"/>
      <c r="R352" s="34"/>
      <c r="S352" s="34"/>
      <c r="T352" s="34"/>
      <c r="U352" s="34"/>
      <c r="V352" s="34">
        <f>L352</f>
        <v>116.616235183285</v>
      </c>
      <c r="W352" s="34">
        <v>3</v>
      </c>
      <c r="AG352" s="167"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4" t="s">
        <v>33</v>
      </c>
      <c r="B353" s="34" t="s">
        <v>378</v>
      </c>
      <c r="C353" s="34" t="s">
        <v>378</v>
      </c>
      <c r="D353" s="34"/>
      <c r="E353" s="34">
        <v>4.13885072055123</v>
      </c>
      <c r="F353" s="34"/>
      <c r="G353" s="34"/>
      <c r="H353" s="34"/>
      <c r="I353" s="34">
        <v>5.17869535206599</v>
      </c>
      <c r="J353" s="34">
        <v>5.45308235480547</v>
      </c>
      <c r="K353" s="34"/>
      <c r="L353" s="34">
        <v>5.97960378256308</v>
      </c>
      <c r="M353" s="34"/>
      <c r="N353" s="34"/>
      <c r="O353" s="34"/>
      <c r="P353" s="34"/>
      <c r="Q353" s="34"/>
      <c r="R353" s="34"/>
      <c r="S353" s="34"/>
      <c r="T353" s="34"/>
      <c r="U353" s="34"/>
      <c r="V353" s="34">
        <v>8.15145189420441</v>
      </c>
      <c r="W353" s="34">
        <v>3</v>
      </c>
      <c r="AG353" s="167"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4" t="s">
        <v>33</v>
      </c>
      <c r="B354" s="34" t="s">
        <v>379</v>
      </c>
      <c r="C354" s="34" t="s">
        <v>379</v>
      </c>
      <c r="D354" s="34"/>
      <c r="E354" s="34">
        <v>13.7458008530983</v>
      </c>
      <c r="F354" s="34"/>
      <c r="G354" s="34"/>
      <c r="H354" s="34"/>
      <c r="I354" s="34">
        <v>14.148885907274</v>
      </c>
      <c r="J354" s="34">
        <v>14.2616938690585</v>
      </c>
      <c r="K354" s="34"/>
      <c r="L354" s="34">
        <v>14.5485180546064</v>
      </c>
      <c r="M354" s="34"/>
      <c r="N354" s="34"/>
      <c r="O354" s="34"/>
      <c r="P354" s="34"/>
      <c r="Q354" s="34"/>
      <c r="R354" s="34"/>
      <c r="S354" s="34"/>
      <c r="T354" s="34"/>
      <c r="U354" s="34"/>
      <c r="V354" s="34">
        <v>15.3661972671952</v>
      </c>
      <c r="W354" s="34">
        <v>3</v>
      </c>
      <c r="AG354" s="167"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4" t="s">
        <v>33</v>
      </c>
      <c r="B355" s="34" t="s">
        <v>381</v>
      </c>
      <c r="C355" s="34" t="s">
        <v>381</v>
      </c>
      <c r="D355" s="34"/>
      <c r="E355" s="34">
        <v>16.6107321567818</v>
      </c>
      <c r="F355" s="34">
        <f>E355</f>
        <v>16.6107321567818</v>
      </c>
      <c r="G355" s="34"/>
      <c r="H355" s="34"/>
      <c r="I355" s="34">
        <f>F355</f>
        <v>16.6107321567818</v>
      </c>
      <c r="J355" s="34">
        <f>I355</f>
        <v>16.6107321567818</v>
      </c>
      <c r="K355" s="34"/>
      <c r="L355" s="34">
        <f>J355</f>
        <v>16.6107321567818</v>
      </c>
      <c r="M355" s="34"/>
      <c r="N355" s="34"/>
      <c r="O355" s="34"/>
      <c r="P355" s="34"/>
      <c r="Q355" s="34"/>
      <c r="R355" s="34"/>
      <c r="S355" s="34"/>
      <c r="T355" s="34"/>
      <c r="U355" s="34"/>
      <c r="V355" s="34">
        <f>L355</f>
        <v>16.6107321567818</v>
      </c>
      <c r="W355" s="34">
        <v>3</v>
      </c>
      <c r="AG355" s="167"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4" t="s">
        <v>33</v>
      </c>
      <c r="B356" s="34" t="s">
        <v>382</v>
      </c>
      <c r="C356" s="34" t="s">
        <v>382</v>
      </c>
      <c r="D356" s="34"/>
      <c r="E356" s="34">
        <v>129.840269242668</v>
      </c>
      <c r="F356" s="34">
        <f>E356</f>
        <v>129.840269242668</v>
      </c>
      <c r="G356" s="34"/>
      <c r="H356" s="34"/>
      <c r="I356" s="34">
        <f>F356</f>
        <v>129.840269242668</v>
      </c>
      <c r="J356" s="34">
        <f>I356</f>
        <v>129.840269242668</v>
      </c>
      <c r="K356" s="34"/>
      <c r="L356" s="34">
        <f>J356</f>
        <v>129.840269242668</v>
      </c>
      <c r="M356" s="34"/>
      <c r="N356" s="34"/>
      <c r="O356" s="34"/>
      <c r="P356" s="34"/>
      <c r="Q356" s="34"/>
      <c r="R356" s="34"/>
      <c r="S356" s="34"/>
      <c r="T356" s="34"/>
      <c r="U356" s="34"/>
      <c r="V356" s="34">
        <f>L356</f>
        <v>129.840269242668</v>
      </c>
      <c r="W356" s="34">
        <v>3</v>
      </c>
      <c r="AG356" s="167"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4" t="s">
        <v>33</v>
      </c>
      <c r="B357" s="34" t="s">
        <v>383</v>
      </c>
      <c r="C357" s="34" t="s">
        <v>383</v>
      </c>
      <c r="D357" s="34">
        <v>0.91</v>
      </c>
      <c r="E357" s="34">
        <v>0.912378379960992</v>
      </c>
      <c r="F357" s="34"/>
      <c r="G357" s="34">
        <v>0.924080703445745</v>
      </c>
      <c r="H357" s="34">
        <v>0.931918634612868</v>
      </c>
      <c r="I357" s="34">
        <v>0.939133175308723</v>
      </c>
      <c r="J357" s="34">
        <v>0.946620810734229</v>
      </c>
      <c r="K357" s="34">
        <v>0.955227364137573</v>
      </c>
      <c r="L357" s="34">
        <v>0.965658783751633</v>
      </c>
      <c r="M357" s="34">
        <v>0.975024775728481</v>
      </c>
      <c r="N357" s="34">
        <v>0.983602969287297</v>
      </c>
      <c r="O357" s="34">
        <v>0.991378964114832</v>
      </c>
      <c r="P357" s="34">
        <v>0.998978585342731</v>
      </c>
      <c r="Q357" s="34">
        <v>1.00621614553584</v>
      </c>
      <c r="R357" s="34">
        <v>1.01227791847359</v>
      </c>
      <c r="S357" s="34">
        <v>1.01630548943529</v>
      </c>
      <c r="T357" s="34">
        <v>1.01830003536789</v>
      </c>
      <c r="U357" s="34">
        <v>1.01924396084532</v>
      </c>
      <c r="V357" s="34">
        <v>1.01993229195114</v>
      </c>
      <c r="W357" s="34">
        <v>3</v>
      </c>
      <c r="AG357" s="167"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4" t="s">
        <v>33</v>
      </c>
      <c r="B358" s="34" t="s">
        <v>384</v>
      </c>
      <c r="C358" s="34" t="s">
        <v>384</v>
      </c>
      <c r="D358" s="34">
        <v>0.54</v>
      </c>
      <c r="E358" s="34">
        <v>0.541411346350479</v>
      </c>
      <c r="F358" s="34"/>
      <c r="G358" s="34">
        <v>0.548355582264508</v>
      </c>
      <c r="H358" s="34">
        <v>0.553006662297746</v>
      </c>
      <c r="I358" s="34">
        <v>0.557287818315066</v>
      </c>
      <c r="J358" s="34">
        <v>0.561731030545586</v>
      </c>
      <c r="K358" s="34">
        <v>0.566838216081637</v>
      </c>
      <c r="L358" s="34">
        <v>0.573028289259211</v>
      </c>
      <c r="M358" s="34">
        <v>0.578586130652065</v>
      </c>
      <c r="N358" s="34">
        <v>0.583676487269385</v>
      </c>
      <c r="O358" s="34">
        <v>0.58829081387034</v>
      </c>
      <c r="P358" s="34">
        <v>0.592800479214368</v>
      </c>
      <c r="Q358" s="34">
        <v>0.597095295153135</v>
      </c>
      <c r="R358" s="34">
        <v>0.600692391182128</v>
      </c>
      <c r="S358" s="34">
        <v>0.603082378346216</v>
      </c>
      <c r="T358" s="34">
        <v>0.604265955053473</v>
      </c>
      <c r="U358" s="34">
        <v>0.604826086655463</v>
      </c>
      <c r="V358" s="34">
        <v>0.605234546872107</v>
      </c>
      <c r="W358" s="34">
        <v>3</v>
      </c>
      <c r="AG358" s="167"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4" t="s">
        <v>33</v>
      </c>
      <c r="B359" s="34" t="s">
        <v>385</v>
      </c>
      <c r="C359" s="34" t="s">
        <v>385</v>
      </c>
      <c r="D359" s="34">
        <v>1.295</v>
      </c>
      <c r="E359" s="34">
        <v>1.2983846176368</v>
      </c>
      <c r="F359" s="34"/>
      <c r="G359" s="34">
        <v>1.31503792413433</v>
      </c>
      <c r="H359" s="34">
        <v>1.32619190310293</v>
      </c>
      <c r="I359" s="34">
        <v>1.3364587494778</v>
      </c>
      <c r="J359" s="34">
        <v>1.34711423066025</v>
      </c>
      <c r="K359" s="34">
        <v>1.35936201819578</v>
      </c>
      <c r="L359" s="34">
        <v>1.37420673072348</v>
      </c>
      <c r="M359" s="34">
        <v>1.38753525776745</v>
      </c>
      <c r="N359" s="34">
        <v>1.39974268706269</v>
      </c>
      <c r="O359" s="34">
        <v>1.41080852585572</v>
      </c>
      <c r="P359" s="34">
        <v>1.42162337144927</v>
      </c>
      <c r="Q359" s="34">
        <v>1.43192297633946</v>
      </c>
      <c r="R359" s="34">
        <v>1.4405493455201</v>
      </c>
      <c r="S359" s="34">
        <v>1.44628088881176</v>
      </c>
      <c r="T359" s="34">
        <v>1.44911928110046</v>
      </c>
      <c r="U359" s="34">
        <v>1.45046255966449</v>
      </c>
      <c r="V359" s="34">
        <v>1.45144210777663</v>
      </c>
      <c r="W359" s="34">
        <v>3</v>
      </c>
      <c r="AG359" s="167"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4" t="s">
        <v>33</v>
      </c>
      <c r="B360" s="34" t="s">
        <v>386</v>
      </c>
      <c r="C360" s="34" t="s">
        <v>386</v>
      </c>
      <c r="D360" s="34">
        <v>129.828</v>
      </c>
      <c r="E360" s="34">
        <v>130.779103418656</v>
      </c>
      <c r="F360" s="34"/>
      <c r="G360" s="34">
        <v>140.996019415507</v>
      </c>
      <c r="H360" s="34">
        <v>150.889127209822</v>
      </c>
      <c r="I360" s="34">
        <v>158.889369906315</v>
      </c>
      <c r="J360" s="34">
        <v>165.965772660955</v>
      </c>
      <c r="K360" s="34">
        <v>172.458970125086</v>
      </c>
      <c r="L360" s="34">
        <v>178.35674327232</v>
      </c>
      <c r="M360" s="34">
        <v>184.321557918893</v>
      </c>
      <c r="N360" s="34">
        <v>190.497740827703</v>
      </c>
      <c r="O360" s="34">
        <v>196.845972436944</v>
      </c>
      <c r="P360" s="34">
        <v>202.755320097654</v>
      </c>
      <c r="Q360" s="34">
        <v>208.094650392729</v>
      </c>
      <c r="R360" s="34">
        <v>213.012142310774</v>
      </c>
      <c r="S360" s="34">
        <v>217.667136650226</v>
      </c>
      <c r="T360" s="34">
        <v>222.123211533299</v>
      </c>
      <c r="U360" s="34">
        <v>226.293450990218</v>
      </c>
      <c r="V360" s="34">
        <v>230.032283184352</v>
      </c>
      <c r="W360" s="34">
        <v>3</v>
      </c>
      <c r="AG360" s="167"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4" t="s">
        <v>33</v>
      </c>
      <c r="B361" s="34" t="s">
        <v>388</v>
      </c>
      <c r="C361" s="34" t="s">
        <v>388</v>
      </c>
      <c r="D361" s="34">
        <v>35.2</v>
      </c>
      <c r="E361" s="34">
        <v>35.5507146384755</v>
      </c>
      <c r="F361" s="34"/>
      <c r="G361" s="34">
        <v>38.829397197982</v>
      </c>
      <c r="H361" s="34">
        <v>41.9131297239351</v>
      </c>
      <c r="I361" s="34">
        <v>44.4824742643479</v>
      </c>
      <c r="J361" s="34">
        <v>46.8393251617387</v>
      </c>
      <c r="K361" s="34">
        <v>49.1203299802284</v>
      </c>
      <c r="L361" s="34">
        <v>51.3618881370857</v>
      </c>
      <c r="M361" s="34">
        <v>53.6011476180372</v>
      </c>
      <c r="N361" s="34">
        <v>55.8913486795833</v>
      </c>
      <c r="O361" s="34">
        <v>58.2171704619482</v>
      </c>
      <c r="P361" s="34">
        <v>60.4309828688878</v>
      </c>
      <c r="Q361" s="34">
        <v>62.4775870153316</v>
      </c>
      <c r="R361" s="34">
        <v>64.3440659784574</v>
      </c>
      <c r="S361" s="34">
        <v>66.0149717874951</v>
      </c>
      <c r="T361" s="34">
        <v>67.5002293149998</v>
      </c>
      <c r="U361" s="34">
        <v>68.8319965471208</v>
      </c>
      <c r="V361" s="34">
        <v>70.0170070742553</v>
      </c>
      <c r="W361" s="34">
        <v>3</v>
      </c>
      <c r="AG361" s="167"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4" t="s">
        <v>33</v>
      </c>
      <c r="B362" s="34" t="s">
        <v>389</v>
      </c>
      <c r="C362" s="34" t="s">
        <v>389</v>
      </c>
      <c r="D362" s="34">
        <v>19.96</v>
      </c>
      <c r="E362" s="34">
        <v>20.1588711415901</v>
      </c>
      <c r="F362" s="34"/>
      <c r="G362" s="34">
        <v>22.0180331838557</v>
      </c>
      <c r="H362" s="34">
        <v>23.7666496957314</v>
      </c>
      <c r="I362" s="34">
        <v>25.2235848385336</v>
      </c>
      <c r="J362" s="34">
        <v>26.5600264269405</v>
      </c>
      <c r="K362" s="34">
        <v>27.8534598410613</v>
      </c>
      <c r="L362" s="34">
        <v>29.1245252050066</v>
      </c>
      <c r="M362" s="34">
        <v>30.3942871152279</v>
      </c>
      <c r="N362" s="34">
        <v>31.6929352171728</v>
      </c>
      <c r="O362" s="34">
        <v>33.0117818869456</v>
      </c>
      <c r="P362" s="34">
        <v>34.267114149517</v>
      </c>
      <c r="Q362" s="34">
        <v>35.4276317280119</v>
      </c>
      <c r="R362" s="34">
        <v>36.4860101400571</v>
      </c>
      <c r="S362" s="34">
        <v>37.4334896840455</v>
      </c>
      <c r="T362" s="34">
        <v>38.2756982138464</v>
      </c>
      <c r="U362" s="34">
        <v>39.0308707693333</v>
      </c>
      <c r="V362" s="34">
        <v>39.7028256023334</v>
      </c>
      <c r="W362" s="34">
        <v>3</v>
      </c>
      <c r="AG362" s="167"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4" t="s">
        <v>34</v>
      </c>
      <c r="B363" s="34" t="s">
        <v>374</v>
      </c>
      <c r="C363" s="34" t="s">
        <v>374</v>
      </c>
      <c r="D363" s="34"/>
      <c r="E363" s="34">
        <v>2.7922333831801</v>
      </c>
      <c r="F363" s="34">
        <f>E363</f>
        <v>2.7922333831801</v>
      </c>
      <c r="G363" s="34"/>
      <c r="H363" s="34"/>
      <c r="I363" s="34">
        <f>F363</f>
        <v>2.7922333831801</v>
      </c>
      <c r="J363" s="34">
        <f>I363</f>
        <v>2.7922333831801</v>
      </c>
      <c r="K363" s="34"/>
      <c r="L363" s="34">
        <f>J363</f>
        <v>2.7922333831801</v>
      </c>
      <c r="M363" s="34"/>
      <c r="N363" s="34"/>
      <c r="O363" s="34"/>
      <c r="P363" s="34"/>
      <c r="Q363" s="34"/>
      <c r="R363" s="34"/>
      <c r="S363" s="34"/>
      <c r="T363" s="34"/>
      <c r="U363" s="34"/>
      <c r="V363" s="34">
        <f>L363</f>
        <v>2.7922333831801</v>
      </c>
      <c r="W363" s="34">
        <v>3</v>
      </c>
      <c r="AG363" s="167"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4" t="s">
        <v>34</v>
      </c>
      <c r="B364" s="34" t="s">
        <v>377</v>
      </c>
      <c r="C364" s="34" t="s">
        <v>377</v>
      </c>
      <c r="D364" s="34"/>
      <c r="E364" s="34">
        <v>78.5809754084052</v>
      </c>
      <c r="F364" s="34">
        <f>E364</f>
        <v>78.5809754084052</v>
      </c>
      <c r="G364" s="34"/>
      <c r="H364" s="34"/>
      <c r="I364" s="34">
        <f>F364</f>
        <v>78.5809754084052</v>
      </c>
      <c r="J364" s="34">
        <f>I364</f>
        <v>78.5809754084052</v>
      </c>
      <c r="K364" s="34"/>
      <c r="L364" s="34">
        <f>J364</f>
        <v>78.5809754084052</v>
      </c>
      <c r="M364" s="34"/>
      <c r="N364" s="34"/>
      <c r="O364" s="34"/>
      <c r="P364" s="34"/>
      <c r="Q364" s="34"/>
      <c r="R364" s="34"/>
      <c r="S364" s="34"/>
      <c r="T364" s="34"/>
      <c r="U364" s="34"/>
      <c r="V364" s="34">
        <f>L364</f>
        <v>78.5809754084052</v>
      </c>
      <c r="W364" s="34">
        <v>3</v>
      </c>
      <c r="AG364" s="167"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4" t="s">
        <v>34</v>
      </c>
      <c r="B365" s="34" t="s">
        <v>378</v>
      </c>
      <c r="C365" s="34" t="s">
        <v>378</v>
      </c>
      <c r="D365" s="34"/>
      <c r="E365" s="34">
        <v>0.356036346642533</v>
      </c>
      <c r="F365" s="34"/>
      <c r="G365" s="34"/>
      <c r="H365" s="34"/>
      <c r="I365" s="34">
        <v>0.422268318976179</v>
      </c>
      <c r="J365" s="34">
        <v>0.437318678711944</v>
      </c>
      <c r="K365" s="34"/>
      <c r="L365" s="34">
        <v>0.465843190262119</v>
      </c>
      <c r="M365" s="34"/>
      <c r="N365" s="34"/>
      <c r="O365" s="34"/>
      <c r="P365" s="34"/>
      <c r="Q365" s="34"/>
      <c r="R365" s="34"/>
      <c r="S365" s="34"/>
      <c r="T365" s="34"/>
      <c r="U365" s="34"/>
      <c r="V365" s="34">
        <v>0.587643350380561</v>
      </c>
      <c r="W365" s="34">
        <v>3</v>
      </c>
      <c r="AG365" s="167"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4" t="s">
        <v>34</v>
      </c>
      <c r="B366" s="34" t="s">
        <v>379</v>
      </c>
      <c r="C366" s="34" t="s">
        <v>379</v>
      </c>
      <c r="D366" s="34"/>
      <c r="E366" s="34">
        <v>11.0388847973258</v>
      </c>
      <c r="F366" s="34"/>
      <c r="G366" s="34"/>
      <c r="H366" s="34"/>
      <c r="I366" s="34">
        <v>11.6000229964462</v>
      </c>
      <c r="J366" s="34">
        <v>11.7445834962148</v>
      </c>
      <c r="K366" s="34"/>
      <c r="L366" s="34">
        <v>12.0632503469926</v>
      </c>
      <c r="M366" s="34"/>
      <c r="N366" s="34"/>
      <c r="O366" s="34"/>
      <c r="P366" s="34"/>
      <c r="Q366" s="34"/>
      <c r="R366" s="34"/>
      <c r="S366" s="34"/>
      <c r="T366" s="34"/>
      <c r="U366" s="34"/>
      <c r="V366" s="34">
        <v>12.6327834024112</v>
      </c>
      <c r="W366" s="34">
        <v>3</v>
      </c>
      <c r="AG366" s="167"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4" t="s">
        <v>34</v>
      </c>
      <c r="B367" s="34" t="s">
        <v>381</v>
      </c>
      <c r="C367" s="34" t="s">
        <v>381</v>
      </c>
      <c r="D367" s="34"/>
      <c r="E367" s="34">
        <v>1.5612086088509</v>
      </c>
      <c r="F367" s="34">
        <f>E367</f>
        <v>1.5612086088509</v>
      </c>
      <c r="G367" s="34"/>
      <c r="H367" s="34"/>
      <c r="I367" s="34">
        <f>F367</f>
        <v>1.5612086088509</v>
      </c>
      <c r="J367" s="34">
        <f>I367</f>
        <v>1.5612086088509</v>
      </c>
      <c r="K367" s="34"/>
      <c r="L367" s="34">
        <f>J367</f>
        <v>1.5612086088509</v>
      </c>
      <c r="M367" s="34"/>
      <c r="N367" s="34"/>
      <c r="O367" s="34"/>
      <c r="P367" s="34"/>
      <c r="Q367" s="34"/>
      <c r="R367" s="34"/>
      <c r="S367" s="34"/>
      <c r="T367" s="34"/>
      <c r="U367" s="34"/>
      <c r="V367" s="34">
        <f>L367</f>
        <v>1.5612086088509</v>
      </c>
      <c r="W367" s="34">
        <v>3</v>
      </c>
      <c r="AG367" s="167"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4" t="s">
        <v>34</v>
      </c>
      <c r="B368" s="34" t="s">
        <v>382</v>
      </c>
      <c r="C368" s="34" t="s">
        <v>382</v>
      </c>
      <c r="D368" s="34"/>
      <c r="E368" s="34">
        <v>0.112388280015901</v>
      </c>
      <c r="F368" s="34">
        <f>E368</f>
        <v>0.112388280015901</v>
      </c>
      <c r="G368" s="34"/>
      <c r="H368" s="34"/>
      <c r="I368" s="34">
        <f>F368</f>
        <v>0.112388280015901</v>
      </c>
      <c r="J368" s="34">
        <f>I368</f>
        <v>0.112388280015901</v>
      </c>
      <c r="K368" s="34"/>
      <c r="L368" s="34">
        <f>J368</f>
        <v>0.112388280015901</v>
      </c>
      <c r="M368" s="34"/>
      <c r="N368" s="34"/>
      <c r="O368" s="34"/>
      <c r="P368" s="34"/>
      <c r="Q368" s="34"/>
      <c r="R368" s="34"/>
      <c r="S368" s="34"/>
      <c r="T368" s="34"/>
      <c r="U368" s="34"/>
      <c r="V368" s="34">
        <f>L368</f>
        <v>0.112388280015901</v>
      </c>
      <c r="W368" s="34">
        <v>3</v>
      </c>
      <c r="AG368" s="167"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4" t="s">
        <v>34</v>
      </c>
      <c r="B369" s="34" t="s">
        <v>383</v>
      </c>
      <c r="C369" s="34" t="s">
        <v>383</v>
      </c>
      <c r="D369" s="34">
        <v>0.483</v>
      </c>
      <c r="E369" s="34">
        <v>0.48518182243726</v>
      </c>
      <c r="F369" s="34"/>
      <c r="G369" s="34">
        <v>0.495911881130451</v>
      </c>
      <c r="H369" s="34">
        <v>0.503261085804945</v>
      </c>
      <c r="I369" s="34">
        <v>0.509845007087426</v>
      </c>
      <c r="J369" s="34">
        <v>0.516198740097412</v>
      </c>
      <c r="K369" s="34">
        <v>0.522903964366043</v>
      </c>
      <c r="L369" s="34">
        <v>0.530204807399444</v>
      </c>
      <c r="M369" s="34">
        <v>0.536611308238805</v>
      </c>
      <c r="N369" s="34">
        <v>0.541929909874136</v>
      </c>
      <c r="O369" s="34">
        <v>0.545957564444029</v>
      </c>
      <c r="P369" s="34">
        <v>0.549391710456534</v>
      </c>
      <c r="Q369" s="34">
        <v>0.552416772406551</v>
      </c>
      <c r="R369" s="34">
        <v>0.554785940721169</v>
      </c>
      <c r="S369" s="34">
        <v>0.556229668551109</v>
      </c>
      <c r="T369" s="34">
        <v>0.556713738288434</v>
      </c>
      <c r="U369" s="34">
        <v>0.556350254276603</v>
      </c>
      <c r="V369" s="34">
        <v>0.555236963349941</v>
      </c>
      <c r="W369" s="34">
        <v>3</v>
      </c>
      <c r="AG369" s="167"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4" t="s">
        <v>34</v>
      </c>
      <c r="B370" s="34" t="s">
        <v>384</v>
      </c>
      <c r="C370" s="34" t="s">
        <v>384</v>
      </c>
      <c r="D370" s="34">
        <v>0.285</v>
      </c>
      <c r="E370" s="34">
        <v>0.286287410754905</v>
      </c>
      <c r="F370" s="34"/>
      <c r="G370" s="34">
        <v>0.29261881184716</v>
      </c>
      <c r="H370" s="34">
        <v>0.296955299077452</v>
      </c>
      <c r="I370" s="34">
        <v>0.300840221573326</v>
      </c>
      <c r="J370" s="34">
        <v>0.30458931869102</v>
      </c>
      <c r="K370" s="34">
        <v>0.308545817483069</v>
      </c>
      <c r="L370" s="34">
        <v>0.312853768341287</v>
      </c>
      <c r="M370" s="34">
        <v>0.316634001755817</v>
      </c>
      <c r="N370" s="34">
        <v>0.319772307068589</v>
      </c>
      <c r="O370" s="34">
        <v>0.322148873429706</v>
      </c>
      <c r="P370" s="34">
        <v>0.324175232878079</v>
      </c>
      <c r="Q370" s="34">
        <v>0.325960207320636</v>
      </c>
      <c r="R370" s="34">
        <v>0.327358163779572</v>
      </c>
      <c r="S370" s="34">
        <v>0.328210052871772</v>
      </c>
      <c r="T370" s="34">
        <v>0.328495684083237</v>
      </c>
      <c r="U370" s="34">
        <v>0.32828120593961</v>
      </c>
      <c r="V370" s="34">
        <v>0.327624295144375</v>
      </c>
      <c r="W370" s="34">
        <v>3</v>
      </c>
      <c r="AG370" s="167"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4" t="s">
        <v>34</v>
      </c>
      <c r="B371" s="34" t="s">
        <v>385</v>
      </c>
      <c r="C371" s="34" t="s">
        <v>385</v>
      </c>
      <c r="D371" s="34">
        <v>0.35</v>
      </c>
      <c r="E371" s="34">
        <v>0.351581030751637</v>
      </c>
      <c r="F371" s="34"/>
      <c r="G371" s="34">
        <v>0.359356435601776</v>
      </c>
      <c r="H371" s="34">
        <v>0.364681946235467</v>
      </c>
      <c r="I371" s="34">
        <v>0.369452903686541</v>
      </c>
      <c r="J371" s="34">
        <v>0.374057058041603</v>
      </c>
      <c r="K371" s="34">
        <v>0.378915916207278</v>
      </c>
      <c r="L371" s="34">
        <v>0.38420638217351</v>
      </c>
      <c r="M371" s="34">
        <v>0.388848774086091</v>
      </c>
      <c r="N371" s="34">
        <v>0.392702833242127</v>
      </c>
      <c r="O371" s="34">
        <v>0.395621423510166</v>
      </c>
      <c r="P371" s="34">
        <v>0.39810993511343</v>
      </c>
      <c r="Q371" s="34">
        <v>0.400302008990255</v>
      </c>
      <c r="R371" s="34">
        <v>0.402018797624036</v>
      </c>
      <c r="S371" s="34">
        <v>0.403064977210948</v>
      </c>
      <c r="T371" s="34">
        <v>0.403415752382923</v>
      </c>
      <c r="U371" s="34">
        <v>0.403152358171451</v>
      </c>
      <c r="V371" s="34">
        <v>0.402345625615899</v>
      </c>
      <c r="W371" s="34">
        <v>3</v>
      </c>
      <c r="AG371" s="167"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4" t="s">
        <v>34</v>
      </c>
      <c r="B372" s="34" t="s">
        <v>386</v>
      </c>
      <c r="C372" s="34" t="s">
        <v>386</v>
      </c>
      <c r="D372" s="34">
        <v>57.564</v>
      </c>
      <c r="E372" s="34">
        <v>57.7686314236342</v>
      </c>
      <c r="F372" s="34"/>
      <c r="G372" s="34">
        <v>61.6476017768071</v>
      </c>
      <c r="H372" s="34">
        <v>63.3782283286491</v>
      </c>
      <c r="I372" s="34">
        <v>65.1616423283287</v>
      </c>
      <c r="J372" s="34">
        <v>66.6473371182639</v>
      </c>
      <c r="K372" s="34">
        <v>67.9528530131528</v>
      </c>
      <c r="L372" s="34">
        <v>69.1069219435617</v>
      </c>
      <c r="M372" s="34">
        <v>70.3317254034313</v>
      </c>
      <c r="N372" s="34">
        <v>71.7511295394044</v>
      </c>
      <c r="O372" s="34">
        <v>73.4056181300633</v>
      </c>
      <c r="P372" s="34">
        <v>75.095493175947</v>
      </c>
      <c r="Q372" s="34">
        <v>76.7151909420303</v>
      </c>
      <c r="R372" s="34">
        <v>78.2083945540549</v>
      </c>
      <c r="S372" s="34">
        <v>79.5797583083369</v>
      </c>
      <c r="T372" s="34">
        <v>80.8597286074797</v>
      </c>
      <c r="U372" s="34">
        <v>82.0716199812662</v>
      </c>
      <c r="V372" s="34">
        <v>83.2103554351266</v>
      </c>
      <c r="W372" s="34">
        <v>3</v>
      </c>
      <c r="AG372" s="167"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4" t="s">
        <v>34</v>
      </c>
      <c r="B373" s="34" t="s">
        <v>388</v>
      </c>
      <c r="C373" s="34" t="s">
        <v>388</v>
      </c>
      <c r="D373" s="34">
        <v>10.8</v>
      </c>
      <c r="E373" s="34">
        <v>10.8873959259748</v>
      </c>
      <c r="F373" s="34"/>
      <c r="G373" s="34">
        <v>11.8798148919975</v>
      </c>
      <c r="H373" s="34">
        <v>12.3957618110037</v>
      </c>
      <c r="I373" s="34">
        <v>12.9127332617682</v>
      </c>
      <c r="J373" s="34">
        <v>13.372964996019</v>
      </c>
      <c r="K373" s="34">
        <v>13.8132494830826</v>
      </c>
      <c r="L373" s="34">
        <v>14.245228892024</v>
      </c>
      <c r="M373" s="34">
        <v>14.6741110222106</v>
      </c>
      <c r="N373" s="34">
        <v>15.1198925895994</v>
      </c>
      <c r="O373" s="34">
        <v>15.5846786975454</v>
      </c>
      <c r="P373" s="34">
        <v>16.0448275419587</v>
      </c>
      <c r="Q373" s="34">
        <v>16.4821128210633</v>
      </c>
      <c r="R373" s="34">
        <v>16.8757288993681</v>
      </c>
      <c r="S373" s="34">
        <v>17.216764287631</v>
      </c>
      <c r="T373" s="34">
        <v>17.5090495851687</v>
      </c>
      <c r="U373" s="34">
        <v>17.7597562400516</v>
      </c>
      <c r="V373" s="34">
        <v>17.9698108892324</v>
      </c>
      <c r="W373" s="34">
        <v>3</v>
      </c>
      <c r="AG373" s="167"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4" t="s">
        <v>34</v>
      </c>
      <c r="B374" s="34" t="s">
        <v>389</v>
      </c>
      <c r="C374" s="34" t="s">
        <v>389</v>
      </c>
      <c r="D374" s="34">
        <v>6.56</v>
      </c>
      <c r="E374" s="34">
        <v>6.61308493281432</v>
      </c>
      <c r="F374" s="34"/>
      <c r="G374" s="34">
        <v>7.21588756402812</v>
      </c>
      <c r="H374" s="34">
        <v>7.52927754446151</v>
      </c>
      <c r="I374" s="34">
        <v>7.84328983307403</v>
      </c>
      <c r="J374" s="34">
        <v>8.12283799758193</v>
      </c>
      <c r="K374" s="34">
        <v>8.39027005639093</v>
      </c>
      <c r="L374" s="34">
        <v>8.6526575492294</v>
      </c>
      <c r="M374" s="34">
        <v>8.91316373200939</v>
      </c>
      <c r="N374" s="34">
        <v>9.18393475812702</v>
      </c>
      <c r="O374" s="34">
        <v>9.46624928295352</v>
      </c>
      <c r="P374" s="34">
        <v>9.74574709956007</v>
      </c>
      <c r="Q374" s="34">
        <v>10.0113574172384</v>
      </c>
      <c r="R374" s="34">
        <v>10.2504427388755</v>
      </c>
      <c r="S374" s="34">
        <v>10.4575901598944</v>
      </c>
      <c r="T374" s="34">
        <v>10.6351264146951</v>
      </c>
      <c r="U374" s="34">
        <v>10.7874074939572</v>
      </c>
      <c r="V374" s="34">
        <v>10.91499624383</v>
      </c>
      <c r="W374" s="34">
        <v>3</v>
      </c>
      <c r="AG374" s="167"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4" t="s">
        <v>35</v>
      </c>
      <c r="B375" s="34" t="s">
        <v>374</v>
      </c>
      <c r="C375" s="34" t="s">
        <v>374</v>
      </c>
      <c r="D375" s="34"/>
      <c r="E375" s="34">
        <v>51.6742677900742</v>
      </c>
      <c r="F375" s="34">
        <f>E375</f>
        <v>51.6742677900742</v>
      </c>
      <c r="G375" s="34"/>
      <c r="H375" s="34"/>
      <c r="I375" s="34">
        <f>F375</f>
        <v>51.6742677900742</v>
      </c>
      <c r="J375" s="34">
        <f>I375</f>
        <v>51.6742677900742</v>
      </c>
      <c r="K375" s="34"/>
      <c r="L375" s="34">
        <f>J375</f>
        <v>51.6742677900742</v>
      </c>
      <c r="M375" s="34"/>
      <c r="N375" s="34"/>
      <c r="O375" s="34"/>
      <c r="P375" s="34"/>
      <c r="Q375" s="34"/>
      <c r="R375" s="34"/>
      <c r="S375" s="34"/>
      <c r="T375" s="34"/>
      <c r="U375" s="34"/>
      <c r="V375" s="34">
        <f>L375</f>
        <v>51.6742677900742</v>
      </c>
      <c r="W375" s="34">
        <v>3</v>
      </c>
      <c r="AG375" s="167"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4" t="s">
        <v>35</v>
      </c>
      <c r="B376" s="34" t="s">
        <v>377</v>
      </c>
      <c r="C376" s="34" t="s">
        <v>377</v>
      </c>
      <c r="D376" s="34"/>
      <c r="E376" s="34">
        <v>188.943680282024</v>
      </c>
      <c r="F376" s="34">
        <f>E376</f>
        <v>188.943680282024</v>
      </c>
      <c r="G376" s="34"/>
      <c r="H376" s="34"/>
      <c r="I376" s="34">
        <f>F376</f>
        <v>188.943680282024</v>
      </c>
      <c r="J376" s="34">
        <f>I376</f>
        <v>188.943680282024</v>
      </c>
      <c r="K376" s="34"/>
      <c r="L376" s="34">
        <f>J376</f>
        <v>188.943680282024</v>
      </c>
      <c r="M376" s="34"/>
      <c r="N376" s="34"/>
      <c r="O376" s="34"/>
      <c r="P376" s="34"/>
      <c r="Q376" s="34"/>
      <c r="R376" s="34"/>
      <c r="S376" s="34"/>
      <c r="T376" s="34"/>
      <c r="U376" s="34"/>
      <c r="V376" s="34">
        <f>L376</f>
        <v>188.943680282024</v>
      </c>
      <c r="W376" s="34">
        <v>3</v>
      </c>
      <c r="AG376" s="167"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4" t="s">
        <v>35</v>
      </c>
      <c r="B377" s="34" t="s">
        <v>378</v>
      </c>
      <c r="C377" s="34" t="s">
        <v>378</v>
      </c>
      <c r="D377" s="34"/>
      <c r="E377" s="34">
        <v>3.95764867674044</v>
      </c>
      <c r="F377" s="34"/>
      <c r="G377" s="34"/>
      <c r="H377" s="34"/>
      <c r="I377" s="34">
        <v>6.4464674603342</v>
      </c>
      <c r="J377" s="34">
        <v>7.10077394538316</v>
      </c>
      <c r="K377" s="34"/>
      <c r="L377" s="34">
        <v>8.21786107201598</v>
      </c>
      <c r="M377" s="34"/>
      <c r="N377" s="34"/>
      <c r="O377" s="34"/>
      <c r="P377" s="34"/>
      <c r="Q377" s="34"/>
      <c r="R377" s="34"/>
      <c r="S377" s="34"/>
      <c r="T377" s="34"/>
      <c r="U377" s="34"/>
      <c r="V377" s="34">
        <v>10.5694547388171</v>
      </c>
      <c r="W377" s="34">
        <v>3</v>
      </c>
      <c r="AG377" s="167"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4" t="s">
        <v>35</v>
      </c>
      <c r="B378" s="34" t="s">
        <v>379</v>
      </c>
      <c r="C378" s="34" t="s">
        <v>379</v>
      </c>
      <c r="D378" s="34"/>
      <c r="E378" s="34">
        <v>5.66430246258363</v>
      </c>
      <c r="F378" s="34"/>
      <c r="G378" s="34"/>
      <c r="H378" s="34"/>
      <c r="I378" s="34">
        <v>6.10401954633122</v>
      </c>
      <c r="J378" s="34">
        <v>6.19700482916527</v>
      </c>
      <c r="K378" s="34"/>
      <c r="L378" s="34">
        <v>6.30371330506704</v>
      </c>
      <c r="M378" s="34"/>
      <c r="N378" s="34"/>
      <c r="O378" s="34"/>
      <c r="P378" s="34"/>
      <c r="Q378" s="34"/>
      <c r="R378" s="34"/>
      <c r="S378" s="34"/>
      <c r="T378" s="34"/>
      <c r="U378" s="34"/>
      <c r="V378" s="34">
        <v>5.7761418345808</v>
      </c>
      <c r="W378" s="34">
        <v>3</v>
      </c>
      <c r="AG378" s="167"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4" t="s">
        <v>35</v>
      </c>
      <c r="B379" s="34" t="s">
        <v>381</v>
      </c>
      <c r="C379" s="34" t="s">
        <v>381</v>
      </c>
      <c r="D379" s="34"/>
      <c r="E379" s="34">
        <v>16.622151379341</v>
      </c>
      <c r="F379" s="34">
        <f>E379</f>
        <v>16.622151379341</v>
      </c>
      <c r="G379" s="34"/>
      <c r="H379" s="34"/>
      <c r="I379" s="34">
        <f>F379</f>
        <v>16.622151379341</v>
      </c>
      <c r="J379" s="34">
        <f>I379</f>
        <v>16.622151379341</v>
      </c>
      <c r="K379" s="34"/>
      <c r="L379" s="34">
        <f>J379</f>
        <v>16.622151379341</v>
      </c>
      <c r="M379" s="34"/>
      <c r="N379" s="34"/>
      <c r="O379" s="34"/>
      <c r="P379" s="34"/>
      <c r="Q379" s="34"/>
      <c r="R379" s="34"/>
      <c r="S379" s="34"/>
      <c r="T379" s="34"/>
      <c r="U379" s="34"/>
      <c r="V379" s="34">
        <f>L379</f>
        <v>16.622151379341</v>
      </c>
      <c r="W379" s="34">
        <v>3</v>
      </c>
      <c r="AG379" s="167"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4" t="s">
        <v>35</v>
      </c>
      <c r="B380" s="34" t="s">
        <v>382</v>
      </c>
      <c r="C380" s="34" t="s">
        <v>382</v>
      </c>
      <c r="D380" s="34"/>
      <c r="E380" s="34">
        <v>37.8006200912268</v>
      </c>
      <c r="F380" s="34">
        <f>E380</f>
        <v>37.8006200912268</v>
      </c>
      <c r="G380" s="34"/>
      <c r="H380" s="34"/>
      <c r="I380" s="34">
        <f>F380</f>
        <v>37.8006200912268</v>
      </c>
      <c r="J380" s="34">
        <f>I380</f>
        <v>37.8006200912268</v>
      </c>
      <c r="K380" s="34"/>
      <c r="L380" s="34">
        <f>J380</f>
        <v>37.8006200912268</v>
      </c>
      <c r="M380" s="34"/>
      <c r="N380" s="34"/>
      <c r="O380" s="34"/>
      <c r="P380" s="34"/>
      <c r="Q380" s="34"/>
      <c r="R380" s="34"/>
      <c r="S380" s="34"/>
      <c r="T380" s="34"/>
      <c r="U380" s="34"/>
      <c r="V380" s="34">
        <f>L380</f>
        <v>37.8006200912268</v>
      </c>
      <c r="W380" s="34">
        <v>3</v>
      </c>
      <c r="AG380" s="167"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4" t="s">
        <v>35</v>
      </c>
      <c r="B381" s="34" t="s">
        <v>383</v>
      </c>
      <c r="C381" s="34" t="s">
        <v>383</v>
      </c>
      <c r="D381" s="34">
        <v>1.379</v>
      </c>
      <c r="E381" s="34">
        <v>1.38765376244726</v>
      </c>
      <c r="F381" s="34"/>
      <c r="G381" s="34">
        <v>1.43019363557436</v>
      </c>
      <c r="H381" s="34">
        <v>1.46658916614505</v>
      </c>
      <c r="I381" s="34">
        <v>1.49537665855058</v>
      </c>
      <c r="J381" s="34">
        <v>1.51815640564728</v>
      </c>
      <c r="K381" s="34">
        <v>1.53489847409426</v>
      </c>
      <c r="L381" s="34">
        <v>1.54429809194462</v>
      </c>
      <c r="M381" s="34">
        <v>1.54692341178661</v>
      </c>
      <c r="N381" s="34">
        <v>1.54288930682667</v>
      </c>
      <c r="O381" s="34">
        <v>1.53393202269634</v>
      </c>
      <c r="P381" s="34">
        <v>1.52171889253992</v>
      </c>
      <c r="Q381" s="34">
        <v>1.50711710410446</v>
      </c>
      <c r="R381" s="34">
        <v>1.4906247298634</v>
      </c>
      <c r="S381" s="34">
        <v>1.47269110568949</v>
      </c>
      <c r="T381" s="34">
        <v>1.45385970531635</v>
      </c>
      <c r="U381" s="34">
        <v>1.43458622824371</v>
      </c>
      <c r="V381" s="34">
        <v>1.41505242739617</v>
      </c>
      <c r="W381" s="34">
        <v>3</v>
      </c>
      <c r="AG381" s="167"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4" t="s">
        <v>35</v>
      </c>
      <c r="B382" s="34" t="s">
        <v>384</v>
      </c>
      <c r="C382" s="34" t="s">
        <v>384</v>
      </c>
      <c r="D382" s="34">
        <v>0.405</v>
      </c>
      <c r="E382" s="34">
        <v>0.407541532843466</v>
      </c>
      <c r="F382" s="34"/>
      <c r="G382" s="34">
        <v>0.420035114146203</v>
      </c>
      <c r="H382" s="34">
        <v>0.430724156844632</v>
      </c>
      <c r="I382" s="34">
        <v>0.439178786593898</v>
      </c>
      <c r="J382" s="34">
        <v>0.445868995132088</v>
      </c>
      <c r="K382" s="34">
        <v>0.450785991303972</v>
      </c>
      <c r="L382" s="34">
        <v>0.453546575226665</v>
      </c>
      <c r="M382" s="34">
        <v>0.4543176082477</v>
      </c>
      <c r="N382" s="34">
        <v>0.453132827603191</v>
      </c>
      <c r="O382" s="34">
        <v>0.450502153148671</v>
      </c>
      <c r="P382" s="34">
        <v>0.44691526575683</v>
      </c>
      <c r="Q382" s="34">
        <v>0.442626850734086</v>
      </c>
      <c r="R382" s="34">
        <v>0.437783187523334</v>
      </c>
      <c r="S382" s="34">
        <v>0.432516242062539</v>
      </c>
      <c r="T382" s="34">
        <v>0.426985627739754</v>
      </c>
      <c r="U382" s="34">
        <v>0.421325179433433</v>
      </c>
      <c r="V382" s="34">
        <v>0.41558827635638</v>
      </c>
      <c r="W382" s="34">
        <v>3</v>
      </c>
      <c r="AG382" s="167"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4" t="s">
        <v>35</v>
      </c>
      <c r="B383" s="34" t="s">
        <v>385</v>
      </c>
      <c r="C383" s="34" t="s">
        <v>385</v>
      </c>
      <c r="D383" s="34">
        <v>7.07</v>
      </c>
      <c r="E383" s="34">
        <v>7.11436700544026</v>
      </c>
      <c r="F383" s="34"/>
      <c r="G383" s="34">
        <v>7.33246483213249</v>
      </c>
      <c r="H383" s="34">
        <v>7.51906120713962</v>
      </c>
      <c r="I383" s="34">
        <v>7.66665190424409</v>
      </c>
      <c r="J383" s="34">
        <v>7.78344147057745</v>
      </c>
      <c r="K383" s="34">
        <v>7.86927644078785</v>
      </c>
      <c r="L383" s="34">
        <v>7.91746737494451</v>
      </c>
      <c r="M383" s="34">
        <v>7.93092713657097</v>
      </c>
      <c r="N383" s="34">
        <v>7.91024466951743</v>
      </c>
      <c r="O383" s="34">
        <v>7.86432153768174</v>
      </c>
      <c r="P383" s="34">
        <v>7.80170599728589</v>
      </c>
      <c r="Q383" s="34">
        <v>7.72684403627158</v>
      </c>
      <c r="R383" s="34">
        <v>7.64228922417277</v>
      </c>
      <c r="S383" s="34">
        <v>7.55034526267198</v>
      </c>
      <c r="T383" s="34">
        <v>7.45379848918534</v>
      </c>
      <c r="U383" s="34">
        <v>7.35498523109721</v>
      </c>
      <c r="V383" s="34">
        <v>7.25483731812248</v>
      </c>
      <c r="W383" s="34">
        <v>3</v>
      </c>
      <c r="AG383" s="167"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4" t="s">
        <v>35</v>
      </c>
      <c r="B384" s="34" t="s">
        <v>386</v>
      </c>
      <c r="C384" s="34" t="s">
        <v>386</v>
      </c>
      <c r="D384" s="34">
        <v>120.072</v>
      </c>
      <c r="E384" s="34">
        <v>122.24203192807</v>
      </c>
      <c r="F384" s="34"/>
      <c r="G384" s="34">
        <v>146.746196670805</v>
      </c>
      <c r="H384" s="34">
        <v>166.19345781071</v>
      </c>
      <c r="I384" s="34">
        <v>184.255030549047</v>
      </c>
      <c r="J384" s="34">
        <v>199.832870423254</v>
      </c>
      <c r="K384" s="34">
        <v>214.070185955273</v>
      </c>
      <c r="L384" s="34">
        <v>227.265948537644</v>
      </c>
      <c r="M384" s="34">
        <v>240.015284488005</v>
      </c>
      <c r="N384" s="34">
        <v>252.408556241334</v>
      </c>
      <c r="O384" s="34">
        <v>263.859975922234</v>
      </c>
      <c r="P384" s="34">
        <v>273.91974276582</v>
      </c>
      <c r="Q384" s="34">
        <v>282.846321961086</v>
      </c>
      <c r="R384" s="34">
        <v>290.858027301707</v>
      </c>
      <c r="S384" s="34">
        <v>298.339004723967</v>
      </c>
      <c r="T384" s="34">
        <v>305.550048100184</v>
      </c>
      <c r="U384" s="34">
        <v>312.579494226286</v>
      </c>
      <c r="V384" s="34">
        <v>319.425216025977</v>
      </c>
      <c r="W384" s="34">
        <v>3</v>
      </c>
      <c r="AG384" s="167"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4" t="s">
        <v>35</v>
      </c>
      <c r="B385" s="34" t="s">
        <v>388</v>
      </c>
      <c r="C385" s="34" t="s">
        <v>388</v>
      </c>
      <c r="D385" s="34">
        <v>79.3</v>
      </c>
      <c r="E385" s="34">
        <v>81.2420844381712</v>
      </c>
      <c r="F385" s="34"/>
      <c r="G385" s="34">
        <v>100.653800494769</v>
      </c>
      <c r="H385" s="34">
        <v>116.993225075507</v>
      </c>
      <c r="I385" s="34">
        <v>132.332224640955</v>
      </c>
      <c r="J385" s="34">
        <v>145.763740939812</v>
      </c>
      <c r="K385" s="34">
        <v>157.91179025532</v>
      </c>
      <c r="L385" s="34">
        <v>168.69515655537</v>
      </c>
      <c r="M385" s="34">
        <v>178.468116968861</v>
      </c>
      <c r="N385" s="34">
        <v>187.183634885734</v>
      </c>
      <c r="O385" s="34">
        <v>194.517480505798</v>
      </c>
      <c r="P385" s="34">
        <v>200.297317266607</v>
      </c>
      <c r="Q385" s="34">
        <v>204.808154479468</v>
      </c>
      <c r="R385" s="34">
        <v>208.27052498757</v>
      </c>
      <c r="S385" s="34">
        <v>211.020535844821</v>
      </c>
      <c r="T385" s="34">
        <v>213.318349810355</v>
      </c>
      <c r="U385" s="34">
        <v>215.291795637301</v>
      </c>
      <c r="V385" s="34">
        <v>216.968357854248</v>
      </c>
      <c r="W385" s="34">
        <v>3</v>
      </c>
      <c r="AG385" s="167"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4" t="s">
        <v>35</v>
      </c>
      <c r="B386" s="34" t="s">
        <v>389</v>
      </c>
      <c r="C386" s="34" t="s">
        <v>389</v>
      </c>
      <c r="D386" s="34">
        <v>67.56</v>
      </c>
      <c r="E386" s="34">
        <v>69.2145677760762</v>
      </c>
      <c r="F386" s="34"/>
      <c r="G386" s="34">
        <v>85.7524686182417</v>
      </c>
      <c r="H386" s="34">
        <v>99.6729165964851</v>
      </c>
      <c r="I386" s="34">
        <v>112.741047878221</v>
      </c>
      <c r="J386" s="34">
        <v>124.18409001127</v>
      </c>
      <c r="K386" s="34">
        <v>134.533676540345</v>
      </c>
      <c r="L386" s="34">
        <v>143.720615093075</v>
      </c>
      <c r="M386" s="34">
        <v>152.046733700079</v>
      </c>
      <c r="N386" s="34">
        <v>159.471959304921</v>
      </c>
      <c r="O386" s="34">
        <v>165.72006283697</v>
      </c>
      <c r="P386" s="34">
        <v>170.644221368625</v>
      </c>
      <c r="Q386" s="34">
        <v>174.487249894487</v>
      </c>
      <c r="R386" s="34">
        <v>177.437032385375</v>
      </c>
      <c r="S386" s="34">
        <v>179.779916792889</v>
      </c>
      <c r="T386" s="34">
        <v>181.737549977145</v>
      </c>
      <c r="U386" s="34">
        <v>183.418836232737</v>
      </c>
      <c r="V386" s="34">
        <v>184.847191130303</v>
      </c>
      <c r="W386" s="34">
        <v>3</v>
      </c>
      <c r="AG386" s="167"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4" t="s">
        <v>36</v>
      </c>
      <c r="B387" s="34" t="s">
        <v>374</v>
      </c>
      <c r="C387" s="34" t="s">
        <v>374</v>
      </c>
      <c r="D387" s="34"/>
      <c r="E387" s="34">
        <v>36.9226194799132</v>
      </c>
      <c r="F387" s="34">
        <f>E387</f>
        <v>36.9226194799132</v>
      </c>
      <c r="G387" s="34"/>
      <c r="H387" s="34"/>
      <c r="I387" s="34">
        <f>F387</f>
        <v>36.9226194799132</v>
      </c>
      <c r="J387" s="34">
        <f>I387</f>
        <v>36.9226194799132</v>
      </c>
      <c r="K387" s="34"/>
      <c r="L387" s="34">
        <f>J387</f>
        <v>36.9226194799132</v>
      </c>
      <c r="M387" s="34"/>
      <c r="N387" s="34"/>
      <c r="O387" s="34"/>
      <c r="P387" s="34"/>
      <c r="Q387" s="34"/>
      <c r="R387" s="34"/>
      <c r="S387" s="34"/>
      <c r="T387" s="34"/>
      <c r="U387" s="34"/>
      <c r="V387" s="34">
        <f>L387</f>
        <v>36.9226194799132</v>
      </c>
      <c r="W387" s="34">
        <v>3</v>
      </c>
      <c r="AG387" s="167"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4" t="s">
        <v>36</v>
      </c>
      <c r="B388" s="34" t="s">
        <v>377</v>
      </c>
      <c r="C388" s="34" t="s">
        <v>377</v>
      </c>
      <c r="D388" s="34"/>
      <c r="E388" s="34">
        <v>490.543871571096</v>
      </c>
      <c r="F388" s="34">
        <f>E388</f>
        <v>490.543871571096</v>
      </c>
      <c r="G388" s="34"/>
      <c r="H388" s="34"/>
      <c r="I388" s="34">
        <f>F388</f>
        <v>490.543871571096</v>
      </c>
      <c r="J388" s="34">
        <f>I388</f>
        <v>490.543871571096</v>
      </c>
      <c r="K388" s="34"/>
      <c r="L388" s="34">
        <f>J388</f>
        <v>490.543871571096</v>
      </c>
      <c r="M388" s="34"/>
      <c r="N388" s="34"/>
      <c r="O388" s="34"/>
      <c r="P388" s="34"/>
      <c r="Q388" s="34"/>
      <c r="R388" s="34"/>
      <c r="S388" s="34"/>
      <c r="T388" s="34"/>
      <c r="U388" s="34"/>
      <c r="V388" s="34">
        <f>L388</f>
        <v>490.543871571096</v>
      </c>
      <c r="W388" s="34">
        <v>3</v>
      </c>
      <c r="AG388" s="167"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4" t="s">
        <v>36</v>
      </c>
      <c r="B389" s="34" t="s">
        <v>378</v>
      </c>
      <c r="C389" s="34" t="s">
        <v>378</v>
      </c>
      <c r="D389" s="34"/>
      <c r="E389" s="34">
        <v>24.6033770922968</v>
      </c>
      <c r="F389" s="34"/>
      <c r="G389" s="34"/>
      <c r="H389" s="34"/>
      <c r="I389" s="34">
        <v>31.7384471153733</v>
      </c>
      <c r="J389" s="34">
        <v>34.1423828187106</v>
      </c>
      <c r="K389" s="34"/>
      <c r="L389" s="34">
        <v>39.4372995434473</v>
      </c>
      <c r="M389" s="34"/>
      <c r="N389" s="34"/>
      <c r="O389" s="34"/>
      <c r="P389" s="34"/>
      <c r="Q389" s="34"/>
      <c r="R389" s="34"/>
      <c r="S389" s="34"/>
      <c r="T389" s="34"/>
      <c r="U389" s="34"/>
      <c r="V389" s="34">
        <v>61.3720467254865</v>
      </c>
      <c r="W389" s="34">
        <v>3</v>
      </c>
      <c r="AG389" s="167"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4" t="s">
        <v>36</v>
      </c>
      <c r="B390" s="34" t="s">
        <v>379</v>
      </c>
      <c r="C390" s="34" t="s">
        <v>379</v>
      </c>
      <c r="D390" s="34"/>
      <c r="E390" s="34">
        <v>23.1089699635029</v>
      </c>
      <c r="F390" s="34"/>
      <c r="G390" s="34"/>
      <c r="H390" s="34"/>
      <c r="I390" s="34">
        <v>23.8134228090774</v>
      </c>
      <c r="J390" s="34">
        <v>24.0593576107348</v>
      </c>
      <c r="K390" s="34"/>
      <c r="L390" s="34">
        <v>24.6177722207965</v>
      </c>
      <c r="M390" s="34"/>
      <c r="N390" s="34"/>
      <c r="O390" s="34"/>
      <c r="P390" s="34"/>
      <c r="Q390" s="34"/>
      <c r="R390" s="34"/>
      <c r="S390" s="34"/>
      <c r="T390" s="34"/>
      <c r="U390" s="34"/>
      <c r="V390" s="34">
        <v>25.7219062863884</v>
      </c>
      <c r="W390" s="34">
        <v>3</v>
      </c>
      <c r="AG390" s="167"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4" t="s">
        <v>36</v>
      </c>
      <c r="B391" s="34" t="s">
        <v>381</v>
      </c>
      <c r="C391" s="34" t="s">
        <v>381</v>
      </c>
      <c r="D391" s="34"/>
      <c r="E391" s="34">
        <v>36.9758094058833</v>
      </c>
      <c r="F391" s="34">
        <f>E391</f>
        <v>36.9758094058833</v>
      </c>
      <c r="G391" s="34"/>
      <c r="H391" s="34"/>
      <c r="I391" s="34">
        <f>F391</f>
        <v>36.9758094058833</v>
      </c>
      <c r="J391" s="34">
        <f>I391</f>
        <v>36.9758094058833</v>
      </c>
      <c r="K391" s="34"/>
      <c r="L391" s="34">
        <f>J391</f>
        <v>36.9758094058833</v>
      </c>
      <c r="M391" s="34"/>
      <c r="N391" s="34"/>
      <c r="O391" s="34"/>
      <c r="P391" s="34"/>
      <c r="Q391" s="34"/>
      <c r="R391" s="34"/>
      <c r="S391" s="34"/>
      <c r="T391" s="34"/>
      <c r="U391" s="34"/>
      <c r="V391" s="34">
        <f>L391</f>
        <v>36.9758094058833</v>
      </c>
      <c r="W391" s="34">
        <v>3</v>
      </c>
      <c r="AG391" s="167"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4" t="s">
        <v>36</v>
      </c>
      <c r="B392" s="34" t="s">
        <v>382</v>
      </c>
      <c r="C392" s="34" t="s">
        <v>382</v>
      </c>
      <c r="D392" s="34"/>
      <c r="E392" s="34">
        <v>94.701473626264</v>
      </c>
      <c r="F392" s="34">
        <f>E392</f>
        <v>94.701473626264</v>
      </c>
      <c r="G392" s="34"/>
      <c r="H392" s="34"/>
      <c r="I392" s="34">
        <f>F392</f>
        <v>94.701473626264</v>
      </c>
      <c r="J392" s="34">
        <f>I392</f>
        <v>94.701473626264</v>
      </c>
      <c r="K392" s="34"/>
      <c r="L392" s="34">
        <f>J392</f>
        <v>94.701473626264</v>
      </c>
      <c r="M392" s="34"/>
      <c r="N392" s="34"/>
      <c r="O392" s="34"/>
      <c r="P392" s="34"/>
      <c r="Q392" s="34"/>
      <c r="R392" s="34"/>
      <c r="S392" s="34"/>
      <c r="T392" s="34"/>
      <c r="U392" s="34"/>
      <c r="V392" s="34">
        <f>L392</f>
        <v>94.701473626264</v>
      </c>
      <c r="W392" s="34">
        <v>3</v>
      </c>
      <c r="AG392" s="167"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4" t="s">
        <v>36</v>
      </c>
      <c r="B393" s="34" t="s">
        <v>383</v>
      </c>
      <c r="C393" s="34" t="s">
        <v>383</v>
      </c>
      <c r="D393" s="34">
        <v>2.476</v>
      </c>
      <c r="E393" s="34">
        <v>2.48127178115832</v>
      </c>
      <c r="F393" s="34"/>
      <c r="G393" s="34">
        <v>2.5072136556731</v>
      </c>
      <c r="H393" s="34">
        <v>2.5321347647971</v>
      </c>
      <c r="I393" s="34">
        <v>2.55691076332158</v>
      </c>
      <c r="J393" s="34">
        <v>2.58331743935782</v>
      </c>
      <c r="K393" s="34">
        <v>2.61232031400092</v>
      </c>
      <c r="L393" s="34">
        <v>2.64327590640854</v>
      </c>
      <c r="M393" s="34">
        <v>2.66789056239931</v>
      </c>
      <c r="N393" s="34">
        <v>2.68787531556032</v>
      </c>
      <c r="O393" s="34">
        <v>2.70502878644895</v>
      </c>
      <c r="P393" s="34">
        <v>2.722092195907</v>
      </c>
      <c r="Q393" s="34">
        <v>2.73873636118494</v>
      </c>
      <c r="R393" s="34">
        <v>2.75224298707687</v>
      </c>
      <c r="S393" s="34">
        <v>2.76045689959819</v>
      </c>
      <c r="T393" s="34">
        <v>2.76363225814255</v>
      </c>
      <c r="U393" s="34">
        <v>2.76364663124386</v>
      </c>
      <c r="V393" s="34">
        <v>2.76182972788546</v>
      </c>
      <c r="W393" s="34">
        <v>3</v>
      </c>
      <c r="AG393" s="167"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4" t="s">
        <v>36</v>
      </c>
      <c r="B394" s="34" t="s">
        <v>384</v>
      </c>
      <c r="C394" s="34" t="s">
        <v>384</v>
      </c>
      <c r="D394" s="34">
        <v>1.47</v>
      </c>
      <c r="E394" s="34">
        <v>1.47312985391871</v>
      </c>
      <c r="F394" s="34"/>
      <c r="G394" s="34">
        <v>1.48853153224534</v>
      </c>
      <c r="H394" s="34">
        <v>1.50332718265417</v>
      </c>
      <c r="I394" s="34">
        <v>1.51803668097041</v>
      </c>
      <c r="J394" s="34">
        <v>1.53371431173505</v>
      </c>
      <c r="K394" s="34">
        <v>1.55093330435434</v>
      </c>
      <c r="L394" s="34">
        <v>1.56931162456403</v>
      </c>
      <c r="M394" s="34">
        <v>1.5839253338962</v>
      </c>
      <c r="N394" s="34">
        <v>1.59579027216222</v>
      </c>
      <c r="O394" s="34">
        <v>1.60597427951533</v>
      </c>
      <c r="P394" s="34">
        <v>1.61610481744075</v>
      </c>
      <c r="Q394" s="34">
        <v>1.62598645029962</v>
      </c>
      <c r="R394" s="34">
        <v>1.63400532754564</v>
      </c>
      <c r="S394" s="34">
        <v>1.63888192342865</v>
      </c>
      <c r="T394" s="34">
        <v>1.64076713225749</v>
      </c>
      <c r="U394" s="34">
        <v>1.64077566556077</v>
      </c>
      <c r="V394" s="34">
        <v>1.63969697091746</v>
      </c>
      <c r="W394" s="34">
        <v>3</v>
      </c>
      <c r="AG394" s="167"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4" t="s">
        <v>36</v>
      </c>
      <c r="B395" s="34" t="s">
        <v>385</v>
      </c>
      <c r="C395" s="34" t="s">
        <v>385</v>
      </c>
      <c r="D395" s="34">
        <v>3.15</v>
      </c>
      <c r="E395" s="34">
        <v>3.15670682982582</v>
      </c>
      <c r="F395" s="34"/>
      <c r="G395" s="34">
        <v>3.18971042624</v>
      </c>
      <c r="H395" s="34">
        <v>3.2214153914018</v>
      </c>
      <c r="I395" s="34">
        <v>3.25293574493659</v>
      </c>
      <c r="J395" s="34">
        <v>3.28653066800369</v>
      </c>
      <c r="K395" s="34">
        <v>3.32342850933073</v>
      </c>
      <c r="L395" s="34">
        <v>3.36281062406579</v>
      </c>
      <c r="M395" s="34">
        <v>3.39412571549185</v>
      </c>
      <c r="N395" s="34">
        <v>3.41955058320476</v>
      </c>
      <c r="O395" s="34">
        <v>3.44137345610428</v>
      </c>
      <c r="P395" s="34">
        <v>3.46308175165874</v>
      </c>
      <c r="Q395" s="34">
        <v>3.48425667921347</v>
      </c>
      <c r="R395" s="34">
        <v>3.50143998759779</v>
      </c>
      <c r="S395" s="34">
        <v>3.51188983591853</v>
      </c>
      <c r="T395" s="34">
        <v>3.51592956912319</v>
      </c>
      <c r="U395" s="34">
        <v>3.51594785477308</v>
      </c>
      <c r="V395" s="34">
        <v>3.5136363662517</v>
      </c>
      <c r="W395" s="34">
        <v>3</v>
      </c>
      <c r="AG395" s="167"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4" t="s">
        <v>36</v>
      </c>
      <c r="B396" s="34" t="s">
        <v>386</v>
      </c>
      <c r="C396" s="34" t="s">
        <v>386</v>
      </c>
      <c r="D396" s="34">
        <v>346.02</v>
      </c>
      <c r="E396" s="34">
        <v>343.399415437687</v>
      </c>
      <c r="F396" s="34"/>
      <c r="G396" s="34">
        <v>382.701294180686</v>
      </c>
      <c r="H396" s="34">
        <v>405.04906631086</v>
      </c>
      <c r="I396" s="34">
        <v>429.613989636983</v>
      </c>
      <c r="J396" s="34">
        <v>457.334636446194</v>
      </c>
      <c r="K396" s="34">
        <v>486.825286283558</v>
      </c>
      <c r="L396" s="34">
        <v>516.022686042406</v>
      </c>
      <c r="M396" s="34">
        <v>545.778155089236</v>
      </c>
      <c r="N396" s="34">
        <v>576.312619885786</v>
      </c>
      <c r="O396" s="34">
        <v>606.947177163319</v>
      </c>
      <c r="P396" s="34">
        <v>635.578330573837</v>
      </c>
      <c r="Q396" s="34">
        <v>661.721500861818</v>
      </c>
      <c r="R396" s="34">
        <v>685.780557111094</v>
      </c>
      <c r="S396" s="34">
        <v>708.431650701317</v>
      </c>
      <c r="T396" s="34">
        <v>729.910180124928</v>
      </c>
      <c r="U396" s="34">
        <v>749.895055341612</v>
      </c>
      <c r="V396" s="34">
        <v>767.843576621015</v>
      </c>
      <c r="W396" s="34">
        <v>3</v>
      </c>
      <c r="AG396" s="167"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4" t="s">
        <v>36</v>
      </c>
      <c r="B397" s="34" t="s">
        <v>388</v>
      </c>
      <c r="C397" s="34" t="s">
        <v>388</v>
      </c>
      <c r="D397" s="34">
        <v>95.2</v>
      </c>
      <c r="E397" s="34">
        <v>94.6797727649605</v>
      </c>
      <c r="F397" s="34"/>
      <c r="G397" s="34">
        <v>106.649959117685</v>
      </c>
      <c r="H397" s="34">
        <v>114.017902981276</v>
      </c>
      <c r="I397" s="34">
        <v>122.13725577279</v>
      </c>
      <c r="J397" s="34">
        <v>131.388184427004</v>
      </c>
      <c r="K397" s="34">
        <v>141.464815972633</v>
      </c>
      <c r="L397" s="34">
        <v>151.764310453394</v>
      </c>
      <c r="M397" s="34">
        <v>162.043192473531</v>
      </c>
      <c r="N397" s="34">
        <v>172.419822922564</v>
      </c>
      <c r="O397" s="34">
        <v>182.770420870736</v>
      </c>
      <c r="P397" s="34">
        <v>192.625633514536</v>
      </c>
      <c r="Q397" s="34">
        <v>201.799812978739</v>
      </c>
      <c r="R397" s="34">
        <v>210.187791625947</v>
      </c>
      <c r="S397" s="34">
        <v>217.79001571338</v>
      </c>
      <c r="T397" s="34">
        <v>224.655742265625</v>
      </c>
      <c r="U397" s="34">
        <v>230.808016943289</v>
      </c>
      <c r="V397" s="34">
        <v>236.174546944976</v>
      </c>
      <c r="W397" s="34">
        <v>3</v>
      </c>
      <c r="AG397" s="167"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4" t="s">
        <v>36</v>
      </c>
      <c r="B398" s="34" t="s">
        <v>389</v>
      </c>
      <c r="C398" s="34" t="s">
        <v>389</v>
      </c>
      <c r="D398" s="34">
        <v>54.4</v>
      </c>
      <c r="E398" s="34">
        <v>54.1027272942632</v>
      </c>
      <c r="F398" s="34"/>
      <c r="G398" s="34">
        <v>60.9428337815345</v>
      </c>
      <c r="H398" s="34">
        <v>65.1530874178718</v>
      </c>
      <c r="I398" s="34">
        <v>69.7927175844515</v>
      </c>
      <c r="J398" s="34">
        <v>75.0789625297164</v>
      </c>
      <c r="K398" s="34">
        <v>80.8370376986475</v>
      </c>
      <c r="L398" s="34">
        <v>86.7224631162254</v>
      </c>
      <c r="M398" s="34">
        <v>92.5961099848746</v>
      </c>
      <c r="N398" s="34">
        <v>98.5256130986077</v>
      </c>
      <c r="O398" s="34">
        <v>104.440240497563</v>
      </c>
      <c r="P398" s="34">
        <v>110.071790579735</v>
      </c>
      <c r="Q398" s="34">
        <v>115.314178844994</v>
      </c>
      <c r="R398" s="34">
        <v>120.107309500541</v>
      </c>
      <c r="S398" s="34">
        <v>124.451437550503</v>
      </c>
      <c r="T398" s="34">
        <v>128.374709866072</v>
      </c>
      <c r="U398" s="34">
        <v>131.890295396165</v>
      </c>
      <c r="V398" s="34">
        <v>134.956883968558</v>
      </c>
      <c r="W398" s="34">
        <v>3</v>
      </c>
      <c r="AG398" s="167"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4" t="s">
        <v>37</v>
      </c>
      <c r="B399" s="34" t="s">
        <v>374</v>
      </c>
      <c r="C399" s="34" t="s">
        <v>374</v>
      </c>
      <c r="D399" s="34"/>
      <c r="E399" s="34">
        <v>7.75124785307158</v>
      </c>
      <c r="F399" s="34">
        <f>E399</f>
        <v>7.75124785307158</v>
      </c>
      <c r="G399" s="34"/>
      <c r="H399" s="34"/>
      <c r="I399" s="34">
        <f>F399</f>
        <v>7.75124785307158</v>
      </c>
      <c r="J399" s="34">
        <f>I399</f>
        <v>7.75124785307158</v>
      </c>
      <c r="K399" s="34"/>
      <c r="L399" s="34">
        <f>J399</f>
        <v>7.75124785307158</v>
      </c>
      <c r="M399" s="34"/>
      <c r="N399" s="34"/>
      <c r="O399" s="34"/>
      <c r="P399" s="34"/>
      <c r="Q399" s="34"/>
      <c r="R399" s="34"/>
      <c r="S399" s="34"/>
      <c r="T399" s="34"/>
      <c r="U399" s="34"/>
      <c r="V399" s="34">
        <f>L399</f>
        <v>7.75124785307158</v>
      </c>
      <c r="W399" s="34">
        <v>3</v>
      </c>
      <c r="AG399" s="167"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4" t="s">
        <v>37</v>
      </c>
      <c r="B400" s="34" t="s">
        <v>377</v>
      </c>
      <c r="C400" s="34" t="s">
        <v>377</v>
      </c>
      <c r="D400" s="34"/>
      <c r="E400" s="34">
        <v>7.39791458129825</v>
      </c>
      <c r="F400" s="34">
        <f>E400</f>
        <v>7.39791458129825</v>
      </c>
      <c r="G400" s="34"/>
      <c r="H400" s="34"/>
      <c r="I400" s="34">
        <f>F400</f>
        <v>7.39791458129825</v>
      </c>
      <c r="J400" s="34">
        <f>I400</f>
        <v>7.39791458129825</v>
      </c>
      <c r="K400" s="34"/>
      <c r="L400" s="34">
        <f>J400</f>
        <v>7.39791458129825</v>
      </c>
      <c r="M400" s="34"/>
      <c r="N400" s="34"/>
      <c r="O400" s="34"/>
      <c r="P400" s="34"/>
      <c r="Q400" s="34"/>
      <c r="R400" s="34"/>
      <c r="S400" s="34"/>
      <c r="T400" s="34"/>
      <c r="U400" s="34"/>
      <c r="V400" s="34">
        <f>L400</f>
        <v>7.39791458129825</v>
      </c>
      <c r="W400" s="34">
        <v>3</v>
      </c>
      <c r="AG400" s="167"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4" t="s">
        <v>37</v>
      </c>
      <c r="B401" s="34" t="s">
        <v>378</v>
      </c>
      <c r="C401" s="34" t="s">
        <v>378</v>
      </c>
      <c r="D401" s="34"/>
      <c r="E401" s="34">
        <v>5.36702369795162</v>
      </c>
      <c r="F401" s="34"/>
      <c r="G401" s="34"/>
      <c r="H401" s="34"/>
      <c r="I401" s="34">
        <v>6.79767649689424</v>
      </c>
      <c r="J401" s="34">
        <v>7.90571937471574</v>
      </c>
      <c r="K401" s="34"/>
      <c r="L401" s="34">
        <v>9.94129063496476</v>
      </c>
      <c r="M401" s="34"/>
      <c r="N401" s="34"/>
      <c r="O401" s="34"/>
      <c r="P401" s="34"/>
      <c r="Q401" s="34"/>
      <c r="R401" s="34"/>
      <c r="S401" s="34"/>
      <c r="T401" s="34"/>
      <c r="U401" s="34"/>
      <c r="V401" s="34">
        <v>19.5816696304826</v>
      </c>
      <c r="W401" s="34">
        <v>3</v>
      </c>
      <c r="AG401" s="167"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4" t="s">
        <v>37</v>
      </c>
      <c r="B402" s="34" t="s">
        <v>379</v>
      </c>
      <c r="C402" s="34" t="s">
        <v>379</v>
      </c>
      <c r="D402" s="34"/>
      <c r="E402" s="34">
        <v>15.1011499893745</v>
      </c>
      <c r="F402" s="34"/>
      <c r="G402" s="34"/>
      <c r="H402" s="34"/>
      <c r="I402" s="34">
        <v>12.7482738405374</v>
      </c>
      <c r="J402" s="34">
        <v>12.5807321535368</v>
      </c>
      <c r="K402" s="34"/>
      <c r="L402" s="34">
        <v>12.0676049227177</v>
      </c>
      <c r="M402" s="34"/>
      <c r="N402" s="34"/>
      <c r="O402" s="34"/>
      <c r="P402" s="34"/>
      <c r="Q402" s="34"/>
      <c r="R402" s="34"/>
      <c r="S402" s="34"/>
      <c r="T402" s="34"/>
      <c r="U402" s="34"/>
      <c r="V402" s="34">
        <v>9.69056012966569</v>
      </c>
      <c r="W402" s="34">
        <v>3</v>
      </c>
      <c r="AG402" s="167"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4" t="s">
        <v>37</v>
      </c>
      <c r="B403" s="34" t="s">
        <v>381</v>
      </c>
      <c r="C403" s="34" t="s">
        <v>381</v>
      </c>
      <c r="D403" s="34"/>
      <c r="E403" s="34">
        <v>5.71590616242323</v>
      </c>
      <c r="F403" s="34">
        <f>E403</f>
        <v>5.71590616242323</v>
      </c>
      <c r="G403" s="34"/>
      <c r="H403" s="34"/>
      <c r="I403" s="34">
        <f>F403</f>
        <v>5.71590616242323</v>
      </c>
      <c r="J403" s="34">
        <f>I403</f>
        <v>5.71590616242323</v>
      </c>
      <c r="K403" s="34"/>
      <c r="L403" s="34">
        <f>J403</f>
        <v>5.71590616242323</v>
      </c>
      <c r="M403" s="34"/>
      <c r="N403" s="34"/>
      <c r="O403" s="34"/>
      <c r="P403" s="34"/>
      <c r="Q403" s="34"/>
      <c r="R403" s="34"/>
      <c r="S403" s="34"/>
      <c r="T403" s="34"/>
      <c r="U403" s="34"/>
      <c r="V403" s="34">
        <f>L403</f>
        <v>5.71590616242323</v>
      </c>
      <c r="W403" s="34">
        <v>3</v>
      </c>
      <c r="AG403" s="167"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4" t="s">
        <v>37</v>
      </c>
      <c r="B404" s="34" t="s">
        <v>382</v>
      </c>
      <c r="C404" s="34" t="s">
        <v>382</v>
      </c>
      <c r="D404" s="34"/>
      <c r="E404" s="34">
        <v>0</v>
      </c>
      <c r="F404" s="34">
        <f>E404</f>
        <v>0</v>
      </c>
      <c r="G404" s="34"/>
      <c r="H404" s="34"/>
      <c r="I404" s="34">
        <f>F404</f>
        <v>0</v>
      </c>
      <c r="J404" s="34">
        <f>I404</f>
        <v>0</v>
      </c>
      <c r="K404" s="34"/>
      <c r="L404" s="34">
        <f>J404</f>
        <v>0</v>
      </c>
      <c r="M404" s="34"/>
      <c r="N404" s="34"/>
      <c r="O404" s="34"/>
      <c r="P404" s="34"/>
      <c r="Q404" s="34"/>
      <c r="R404" s="34"/>
      <c r="S404" s="34"/>
      <c r="T404" s="34"/>
      <c r="U404" s="34"/>
      <c r="V404" s="34">
        <f>L404</f>
        <v>0</v>
      </c>
      <c r="W404" s="34">
        <v>3</v>
      </c>
      <c r="AG404" s="167"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4" t="s">
        <v>37</v>
      </c>
      <c r="B405" s="34" t="s">
        <v>383</v>
      </c>
      <c r="C405" s="34" t="s">
        <v>383</v>
      </c>
      <c r="D405" s="34">
        <v>0.8</v>
      </c>
      <c r="E405" s="34">
        <v>0.774634535762821</v>
      </c>
      <c r="F405" s="34"/>
      <c r="G405" s="34">
        <v>0.649347640194087</v>
      </c>
      <c r="H405" s="34">
        <v>0.656076234062867</v>
      </c>
      <c r="I405" s="34">
        <v>0.653940474413564</v>
      </c>
      <c r="J405" s="34">
        <v>0.645346190069527</v>
      </c>
      <c r="K405" s="34">
        <v>0.632781014727966</v>
      </c>
      <c r="L405" s="34">
        <v>0.61902461359936</v>
      </c>
      <c r="M405" s="34">
        <v>0.604699743000447</v>
      </c>
      <c r="N405" s="34">
        <v>0.590686011537058</v>
      </c>
      <c r="O405" s="34">
        <v>0.576836006502876</v>
      </c>
      <c r="P405" s="34">
        <v>0.56343566187258</v>
      </c>
      <c r="Q405" s="34">
        <v>0.550740551251421</v>
      </c>
      <c r="R405" s="34">
        <v>0.53887309724235</v>
      </c>
      <c r="S405" s="34">
        <v>0.527783395814634</v>
      </c>
      <c r="T405" s="34">
        <v>0.517394347132957</v>
      </c>
      <c r="U405" s="34">
        <v>0.507357216508363</v>
      </c>
      <c r="V405" s="34">
        <v>0.497090787960327</v>
      </c>
      <c r="W405" s="34">
        <v>3</v>
      </c>
      <c r="AG405" s="167"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4" t="s">
        <v>37</v>
      </c>
      <c r="B406" s="34" t="s">
        <v>384</v>
      </c>
      <c r="C406" s="34" t="s">
        <v>384</v>
      </c>
      <c r="D406" s="34">
        <v>0.165</v>
      </c>
      <c r="E406" s="34">
        <v>0.159768373001082</v>
      </c>
      <c r="F406" s="34"/>
      <c r="G406" s="34">
        <v>0.13392795079003</v>
      </c>
      <c r="H406" s="34">
        <v>0.135315723275466</v>
      </c>
      <c r="I406" s="34">
        <v>0.134875222847798</v>
      </c>
      <c r="J406" s="34">
        <v>0.13310265170184</v>
      </c>
      <c r="K406" s="34">
        <v>0.130511084287643</v>
      </c>
      <c r="L406" s="34">
        <v>0.127673826554868</v>
      </c>
      <c r="M406" s="34">
        <v>0.124719321993842</v>
      </c>
      <c r="N406" s="34">
        <v>0.121828989879518</v>
      </c>
      <c r="O406" s="34">
        <v>0.118972426341218</v>
      </c>
      <c r="P406" s="34">
        <v>0.11620860526122</v>
      </c>
      <c r="Q406" s="34">
        <v>0.113590238695606</v>
      </c>
      <c r="R406" s="34">
        <v>0.111142576306235</v>
      </c>
      <c r="S406" s="34">
        <v>0.108855325386768</v>
      </c>
      <c r="T406" s="34">
        <v>0.106712584096172</v>
      </c>
      <c r="U406" s="34">
        <v>0.10464242590485</v>
      </c>
      <c r="V406" s="34">
        <v>0.102524975016818</v>
      </c>
      <c r="W406" s="34">
        <v>3</v>
      </c>
      <c r="AG406" s="167"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4" t="s">
        <v>37</v>
      </c>
      <c r="B407" s="34" t="s">
        <v>385</v>
      </c>
      <c r="C407" s="34" t="s">
        <v>385</v>
      </c>
      <c r="D407" s="34">
        <v>1.365</v>
      </c>
      <c r="E407" s="34">
        <v>1.32172017664531</v>
      </c>
      <c r="F407" s="34"/>
      <c r="G407" s="34">
        <v>1.10794941108116</v>
      </c>
      <c r="H407" s="34">
        <v>1.11943007436977</v>
      </c>
      <c r="I407" s="34">
        <v>1.11578593446814</v>
      </c>
      <c r="J407" s="34">
        <v>1.10112193680613</v>
      </c>
      <c r="K407" s="34">
        <v>1.07968260637959</v>
      </c>
      <c r="L407" s="34">
        <v>1.05621074695391</v>
      </c>
      <c r="M407" s="34">
        <v>1.03176893649451</v>
      </c>
      <c r="N407" s="34">
        <v>1.00785800718511</v>
      </c>
      <c r="O407" s="34">
        <v>0.984226436095533</v>
      </c>
      <c r="P407" s="34">
        <v>0.96136209807009</v>
      </c>
      <c r="Q407" s="34">
        <v>0.939701065572738</v>
      </c>
      <c r="R407" s="34">
        <v>0.91945222216976</v>
      </c>
      <c r="S407" s="34">
        <v>0.90053041910872</v>
      </c>
      <c r="T407" s="34">
        <v>0.882804104795609</v>
      </c>
      <c r="U407" s="34">
        <v>0.865678250667394</v>
      </c>
      <c r="V407" s="34">
        <v>0.848161156957309</v>
      </c>
      <c r="W407" s="34">
        <v>3</v>
      </c>
      <c r="AG407" s="167"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4" t="s">
        <v>37</v>
      </c>
      <c r="B408" s="34" t="s">
        <v>386</v>
      </c>
      <c r="C408" s="34" t="s">
        <v>386</v>
      </c>
      <c r="D408" s="34">
        <v>52.452</v>
      </c>
      <c r="E408" s="34">
        <v>54.9585102902393</v>
      </c>
      <c r="F408" s="34"/>
      <c r="G408" s="34">
        <v>55.5145418072004</v>
      </c>
      <c r="H408" s="34">
        <v>68.3093213185351</v>
      </c>
      <c r="I408" s="34">
        <v>82.455554499585</v>
      </c>
      <c r="J408" s="34">
        <v>97.1837395995836</v>
      </c>
      <c r="K408" s="34">
        <v>112.094818905688</v>
      </c>
      <c r="L408" s="34">
        <v>127.453754661499</v>
      </c>
      <c r="M408" s="34">
        <v>143.687396724801</v>
      </c>
      <c r="N408" s="34">
        <v>161.010488545071</v>
      </c>
      <c r="O408" s="34">
        <v>179.123977454507</v>
      </c>
      <c r="P408" s="34">
        <v>197.563889857771</v>
      </c>
      <c r="Q408" s="34">
        <v>215.969072924256</v>
      </c>
      <c r="R408" s="34">
        <v>234.362259457899</v>
      </c>
      <c r="S408" s="34">
        <v>253.139832020145</v>
      </c>
      <c r="T408" s="34">
        <v>272.582452801751</v>
      </c>
      <c r="U408" s="34">
        <v>292.724299316641</v>
      </c>
      <c r="V408" s="34">
        <v>313.585361955751</v>
      </c>
      <c r="W408" s="34">
        <v>3</v>
      </c>
      <c r="AG408" s="167"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4" t="s">
        <v>37</v>
      </c>
      <c r="B409" s="34" t="s">
        <v>388</v>
      </c>
      <c r="C409" s="34" t="s">
        <v>388</v>
      </c>
      <c r="D409" s="34">
        <v>20.6</v>
      </c>
      <c r="E409" s="34">
        <v>20.8999574826409</v>
      </c>
      <c r="F409" s="34"/>
      <c r="G409" s="34">
        <v>17.6964093865489</v>
      </c>
      <c r="H409" s="34">
        <v>22.0018098094489</v>
      </c>
      <c r="I409" s="34">
        <v>26.4711239900171</v>
      </c>
      <c r="J409" s="34">
        <v>30.786001348254</v>
      </c>
      <c r="K409" s="34">
        <v>34.8119401555185</v>
      </c>
      <c r="L409" s="34">
        <v>38.7128068155612</v>
      </c>
      <c r="M409" s="34">
        <v>42.622671998684</v>
      </c>
      <c r="N409" s="34">
        <v>46.6412172777935</v>
      </c>
      <c r="O409" s="34">
        <v>50.6560618796027</v>
      </c>
      <c r="P409" s="34">
        <v>54.555619573333</v>
      </c>
      <c r="Q409" s="34">
        <v>58.27605996008</v>
      </c>
      <c r="R409" s="34">
        <v>61.8576272599319</v>
      </c>
      <c r="S409" s="34">
        <v>65.4190042960361</v>
      </c>
      <c r="T409" s="34">
        <v>69.0359543208415</v>
      </c>
      <c r="U409" s="34">
        <v>72.6761524757677</v>
      </c>
      <c r="V409" s="34">
        <v>76.2538206925383</v>
      </c>
      <c r="W409" s="34">
        <v>3</v>
      </c>
      <c r="AG409" s="167"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4" t="s">
        <v>37</v>
      </c>
      <c r="B410" s="34" t="s">
        <v>389</v>
      </c>
      <c r="C410" s="34" t="s">
        <v>389</v>
      </c>
      <c r="D410" s="34">
        <v>27.24</v>
      </c>
      <c r="E410" s="34">
        <v>27.6366428071427</v>
      </c>
      <c r="F410" s="34"/>
      <c r="G410" s="34">
        <v>23.4004947422132</v>
      </c>
      <c r="H410" s="34">
        <v>29.0936553014266</v>
      </c>
      <c r="I410" s="34">
        <v>35.0035639557313</v>
      </c>
      <c r="J410" s="34">
        <v>40.7092561517689</v>
      </c>
      <c r="K410" s="34">
        <v>46.0328762056468</v>
      </c>
      <c r="L410" s="34">
        <v>51.191109594946</v>
      </c>
      <c r="M410" s="34">
        <v>56.3612420021434</v>
      </c>
      <c r="N410" s="34">
        <v>61.6750853712182</v>
      </c>
      <c r="O410" s="34">
        <v>66.9840352233194</v>
      </c>
      <c r="P410" s="34">
        <v>72.1405377270675</v>
      </c>
      <c r="Q410" s="34">
        <v>77.0601880248825</v>
      </c>
      <c r="R410" s="34">
        <v>81.7962022602207</v>
      </c>
      <c r="S410" s="34">
        <v>86.505518302137</v>
      </c>
      <c r="T410" s="34">
        <v>91.2883201795981</v>
      </c>
      <c r="U410" s="34">
        <v>96.1018637592191</v>
      </c>
      <c r="V410" s="34">
        <v>100.832722119648</v>
      </c>
      <c r="W410" s="34">
        <v>3</v>
      </c>
      <c r="AG410" s="167"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4" t="s">
        <v>38</v>
      </c>
      <c r="B411" s="34" t="s">
        <v>374</v>
      </c>
      <c r="C411" s="34" t="s">
        <v>374</v>
      </c>
      <c r="D411" s="34"/>
      <c r="E411" s="34">
        <v>0</v>
      </c>
      <c r="F411" s="34">
        <f>E411</f>
        <v>0</v>
      </c>
      <c r="G411" s="34"/>
      <c r="H411" s="34"/>
      <c r="I411" s="34">
        <f>F411</f>
        <v>0</v>
      </c>
      <c r="J411" s="34">
        <f>I411</f>
        <v>0</v>
      </c>
      <c r="K411" s="34"/>
      <c r="L411" s="34">
        <f>J411</f>
        <v>0</v>
      </c>
      <c r="M411" s="34"/>
      <c r="N411" s="34"/>
      <c r="O411" s="34"/>
      <c r="P411" s="34"/>
      <c r="Q411" s="34"/>
      <c r="R411" s="34"/>
      <c r="S411" s="34"/>
      <c r="T411" s="34"/>
      <c r="U411" s="34"/>
      <c r="V411" s="34">
        <f>L411</f>
        <v>0</v>
      </c>
      <c r="W411" s="34">
        <v>3</v>
      </c>
      <c r="AG411" s="167"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4" t="s">
        <v>38</v>
      </c>
      <c r="B412" s="34" t="s">
        <v>377</v>
      </c>
      <c r="C412" s="34" t="s">
        <v>377</v>
      </c>
      <c r="D412" s="34"/>
      <c r="E412" s="34">
        <v>9.75424966159573</v>
      </c>
      <c r="F412" s="34">
        <f>E412</f>
        <v>9.75424966159573</v>
      </c>
      <c r="G412" s="34"/>
      <c r="H412" s="34"/>
      <c r="I412" s="34">
        <f>F412</f>
        <v>9.75424966159573</v>
      </c>
      <c r="J412" s="34">
        <f>I412</f>
        <v>9.75424966159573</v>
      </c>
      <c r="K412" s="34"/>
      <c r="L412" s="34">
        <f>J412</f>
        <v>9.75424966159573</v>
      </c>
      <c r="M412" s="34"/>
      <c r="N412" s="34"/>
      <c r="O412" s="34"/>
      <c r="P412" s="34"/>
      <c r="Q412" s="34"/>
      <c r="R412" s="34"/>
      <c r="S412" s="34"/>
      <c r="T412" s="34"/>
      <c r="U412" s="34"/>
      <c r="V412" s="34">
        <f>L412</f>
        <v>9.75424966159573</v>
      </c>
      <c r="W412" s="34">
        <v>3</v>
      </c>
      <c r="AG412" s="167"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4" t="s">
        <v>38</v>
      </c>
      <c r="B413" s="34" t="s">
        <v>378</v>
      </c>
      <c r="C413" s="34" t="s">
        <v>378</v>
      </c>
      <c r="D413" s="34"/>
      <c r="E413" s="34">
        <v>0.890246851516642</v>
      </c>
      <c r="F413" s="34"/>
      <c r="G413" s="34"/>
      <c r="H413" s="34"/>
      <c r="I413" s="34">
        <v>1.46050023609891</v>
      </c>
      <c r="J413" s="34">
        <v>1.61970024496212</v>
      </c>
      <c r="K413" s="34"/>
      <c r="L413" s="34">
        <v>1.89179360953464</v>
      </c>
      <c r="M413" s="34"/>
      <c r="N413" s="34"/>
      <c r="O413" s="34"/>
      <c r="P413" s="34"/>
      <c r="Q413" s="34"/>
      <c r="R413" s="34"/>
      <c r="S413" s="34"/>
      <c r="T413" s="34"/>
      <c r="U413" s="34"/>
      <c r="V413" s="34">
        <v>3.05610476950368</v>
      </c>
      <c r="W413" s="34">
        <v>3</v>
      </c>
      <c r="AG413" s="167"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4" t="s">
        <v>38</v>
      </c>
      <c r="B414" s="34" t="s">
        <v>379</v>
      </c>
      <c r="C414" s="34" t="s">
        <v>379</v>
      </c>
      <c r="D414" s="34"/>
      <c r="E414" s="34">
        <v>1.58810450436334</v>
      </c>
      <c r="F414" s="34"/>
      <c r="G414" s="34"/>
      <c r="H414" s="34"/>
      <c r="I414" s="34">
        <v>1.49267611008859</v>
      </c>
      <c r="J414" s="34">
        <v>1.46069677747366</v>
      </c>
      <c r="K414" s="34"/>
      <c r="L414" s="34">
        <v>1.39716477220475</v>
      </c>
      <c r="M414" s="34"/>
      <c r="N414" s="34"/>
      <c r="O414" s="34"/>
      <c r="P414" s="34"/>
      <c r="Q414" s="34"/>
      <c r="R414" s="34"/>
      <c r="S414" s="34"/>
      <c r="T414" s="34"/>
      <c r="U414" s="34"/>
      <c r="V414" s="34">
        <v>1.13898479048603</v>
      </c>
      <c r="W414" s="34">
        <v>3</v>
      </c>
      <c r="AG414" s="167"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4" t="s">
        <v>38</v>
      </c>
      <c r="B415" s="34" t="s">
        <v>381</v>
      </c>
      <c r="C415" s="34" t="s">
        <v>381</v>
      </c>
      <c r="D415" s="34"/>
      <c r="E415" s="34">
        <v>1.85651971653567</v>
      </c>
      <c r="F415" s="34">
        <f>E415</f>
        <v>1.85651971653567</v>
      </c>
      <c r="G415" s="34"/>
      <c r="H415" s="34"/>
      <c r="I415" s="34">
        <f>F415</f>
        <v>1.85651971653567</v>
      </c>
      <c r="J415" s="34">
        <f>I415</f>
        <v>1.85651971653567</v>
      </c>
      <c r="K415" s="34"/>
      <c r="L415" s="34">
        <f>J415</f>
        <v>1.85651971653567</v>
      </c>
      <c r="M415" s="34"/>
      <c r="N415" s="34"/>
      <c r="O415" s="34"/>
      <c r="P415" s="34"/>
      <c r="Q415" s="34"/>
      <c r="R415" s="34"/>
      <c r="S415" s="34"/>
      <c r="T415" s="34"/>
      <c r="U415" s="34"/>
      <c r="V415" s="34">
        <f>L415</f>
        <v>1.85651971653567</v>
      </c>
      <c r="W415" s="34">
        <v>3</v>
      </c>
      <c r="AG415" s="167"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4" t="s">
        <v>38</v>
      </c>
      <c r="B416" s="34" t="s">
        <v>382</v>
      </c>
      <c r="C416" s="34" t="s">
        <v>382</v>
      </c>
      <c r="D416" s="34"/>
      <c r="E416" s="34">
        <v>2.05021145703732</v>
      </c>
      <c r="F416" s="34">
        <f>E416</f>
        <v>2.05021145703732</v>
      </c>
      <c r="G416" s="34"/>
      <c r="H416" s="34"/>
      <c r="I416" s="34">
        <f>F416</f>
        <v>2.05021145703732</v>
      </c>
      <c r="J416" s="34">
        <f>I416</f>
        <v>2.05021145703732</v>
      </c>
      <c r="K416" s="34"/>
      <c r="L416" s="34">
        <f>J416</f>
        <v>2.05021145703732</v>
      </c>
      <c r="M416" s="34"/>
      <c r="N416" s="34"/>
      <c r="O416" s="34"/>
      <c r="P416" s="34"/>
      <c r="Q416" s="34"/>
      <c r="R416" s="34"/>
      <c r="S416" s="34"/>
      <c r="T416" s="34"/>
      <c r="U416" s="34"/>
      <c r="V416" s="34">
        <f>L416</f>
        <v>2.05021145703732</v>
      </c>
      <c r="W416" s="34">
        <v>3</v>
      </c>
      <c r="AG416" s="167"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4" t="s">
        <v>38</v>
      </c>
      <c r="B417" s="34" t="s">
        <v>383</v>
      </c>
      <c r="C417" s="34" t="s">
        <v>383</v>
      </c>
      <c r="D417" s="34">
        <v>0.524</v>
      </c>
      <c r="E417" s="34">
        <v>0.521246872353281</v>
      </c>
      <c r="F417" s="34"/>
      <c r="G417" s="34">
        <v>0.507649342607659</v>
      </c>
      <c r="H417" s="34">
        <v>0.49943732777628</v>
      </c>
      <c r="I417" s="34">
        <v>0.489925412139078</v>
      </c>
      <c r="J417" s="34">
        <v>0.479429171457386</v>
      </c>
      <c r="K417" s="34">
        <v>0.468788024745208</v>
      </c>
      <c r="L417" s="34">
        <v>0.458576728214662</v>
      </c>
      <c r="M417" s="34">
        <v>0.448944941073824</v>
      </c>
      <c r="N417" s="34">
        <v>0.43975139923556</v>
      </c>
      <c r="O417" s="34">
        <v>0.430818462569595</v>
      </c>
      <c r="P417" s="34">
        <v>0.422011897645514</v>
      </c>
      <c r="Q417" s="34">
        <v>0.413315261359604</v>
      </c>
      <c r="R417" s="34">
        <v>0.404812470347008</v>
      </c>
      <c r="S417" s="34">
        <v>0.396604359408839</v>
      </c>
      <c r="T417" s="34">
        <v>0.388733855418037</v>
      </c>
      <c r="U417" s="34">
        <v>0.381186254484502</v>
      </c>
      <c r="V417" s="34">
        <v>0.373837022732208</v>
      </c>
      <c r="W417" s="34">
        <v>3</v>
      </c>
      <c r="AG417" s="167"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4" t="s">
        <v>38</v>
      </c>
      <c r="B418" s="34" t="s">
        <v>384</v>
      </c>
      <c r="C418" s="34" t="s">
        <v>384</v>
      </c>
      <c r="D418" s="34">
        <v>0.105</v>
      </c>
      <c r="E418" s="34">
        <v>0.104448323658577</v>
      </c>
      <c r="F418" s="34"/>
      <c r="G418" s="34">
        <v>0.101723627812603</v>
      </c>
      <c r="H418" s="34">
        <v>0.100078090489522</v>
      </c>
      <c r="I418" s="34">
        <v>0.0981720768599298</v>
      </c>
      <c r="J418" s="34">
        <v>0.096068822524858</v>
      </c>
      <c r="K418" s="34">
        <v>0.0939365316760436</v>
      </c>
      <c r="L418" s="34">
        <v>0.0918903749285106</v>
      </c>
      <c r="M418" s="34">
        <v>0.0899603412457089</v>
      </c>
      <c r="N418" s="34">
        <v>0.0881181238926216</v>
      </c>
      <c r="O418" s="34">
        <v>0.0863281270416173</v>
      </c>
      <c r="P418" s="34">
        <v>0.0845634527724789</v>
      </c>
      <c r="Q418" s="34">
        <v>0.0828208061884703</v>
      </c>
      <c r="R418" s="34">
        <v>0.0811170026458698</v>
      </c>
      <c r="S418" s="34">
        <v>0.0794722475914659</v>
      </c>
      <c r="T418" s="34">
        <v>0.0778951427841486</v>
      </c>
      <c r="U418" s="34">
        <v>0.0763827418337265</v>
      </c>
      <c r="V418" s="34">
        <v>0.0749100904329806</v>
      </c>
      <c r="W418" s="34">
        <v>3</v>
      </c>
      <c r="AG418" s="167"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4" t="s">
        <v>38</v>
      </c>
      <c r="B419" s="34" t="s">
        <v>385</v>
      </c>
      <c r="C419" s="34" t="s">
        <v>385</v>
      </c>
      <c r="D419" s="34">
        <v>1.18</v>
      </c>
      <c r="E419" s="34">
        <v>1.17380020873449</v>
      </c>
      <c r="F419" s="34"/>
      <c r="G419" s="34">
        <v>1.14317981732259</v>
      </c>
      <c r="H419" s="34">
        <v>1.12468711216796</v>
      </c>
      <c r="I419" s="34">
        <v>1.1032671494735</v>
      </c>
      <c r="J419" s="34">
        <v>1.07963057694602</v>
      </c>
      <c r="K419" s="34">
        <v>1.05566768931173</v>
      </c>
      <c r="L419" s="34">
        <v>1.03267278491088</v>
      </c>
      <c r="M419" s="34">
        <v>1.01098288257082</v>
      </c>
      <c r="N419" s="34">
        <v>0.990279868507557</v>
      </c>
      <c r="O419" s="34">
        <v>0.97016371342008</v>
      </c>
      <c r="P419" s="34">
        <v>0.950332135919287</v>
      </c>
      <c r="Q419" s="34">
        <v>0.930748107641856</v>
      </c>
      <c r="R419" s="34">
        <v>0.911600601163108</v>
      </c>
      <c r="S419" s="34">
        <v>0.893116687218379</v>
      </c>
      <c r="T419" s="34">
        <v>0.875393033193289</v>
      </c>
      <c r="U419" s="34">
        <v>0.858396527274259</v>
      </c>
      <c r="V419" s="34">
        <v>0.841846730580163</v>
      </c>
      <c r="W419" s="34">
        <v>3</v>
      </c>
      <c r="AG419" s="167"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4" t="s">
        <v>38</v>
      </c>
      <c r="B420" s="34" t="s">
        <v>386</v>
      </c>
      <c r="C420" s="34" t="s">
        <v>386</v>
      </c>
      <c r="D420" s="34">
        <v>39.264</v>
      </c>
      <c r="E420" s="34">
        <v>40.2247912331169</v>
      </c>
      <c r="F420" s="34"/>
      <c r="G420" s="34">
        <v>49.8525825358696</v>
      </c>
      <c r="H420" s="34">
        <v>60.1874567216683</v>
      </c>
      <c r="I420" s="34">
        <v>70.2286970965134</v>
      </c>
      <c r="J420" s="34">
        <v>79.6000926158636</v>
      </c>
      <c r="K420" s="34">
        <v>88.5674629876359</v>
      </c>
      <c r="L420" s="34">
        <v>97.2306510264698</v>
      </c>
      <c r="M420" s="34">
        <v>105.790894958278</v>
      </c>
      <c r="N420" s="34">
        <v>114.429489978263</v>
      </c>
      <c r="O420" s="34">
        <v>123.558804591252</v>
      </c>
      <c r="P420" s="34">
        <v>133.149609821288</v>
      </c>
      <c r="Q420" s="34">
        <v>142.937971167694</v>
      </c>
      <c r="R420" s="34">
        <v>152.79062639228</v>
      </c>
      <c r="S420" s="34">
        <v>162.648613762469</v>
      </c>
      <c r="T420" s="34">
        <v>172.605781450367</v>
      </c>
      <c r="U420" s="34">
        <v>182.731181231561</v>
      </c>
      <c r="V420" s="34">
        <v>193.10579846479</v>
      </c>
      <c r="W420" s="34">
        <v>3</v>
      </c>
      <c r="AG420" s="167"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4" t="s">
        <v>38</v>
      </c>
      <c r="B421" s="34" t="s">
        <v>388</v>
      </c>
      <c r="C421" s="34" t="s">
        <v>388</v>
      </c>
      <c r="D421" s="34">
        <v>16.31</v>
      </c>
      <c r="E421" s="34">
        <v>16.6213103990311</v>
      </c>
      <c r="F421" s="34"/>
      <c r="G421" s="34">
        <v>20.0607017988045</v>
      </c>
      <c r="H421" s="34">
        <v>23.8258178754856</v>
      </c>
      <c r="I421" s="34">
        <v>27.2681983886852</v>
      </c>
      <c r="J421" s="34">
        <v>30.2405343855336</v>
      </c>
      <c r="K421" s="34">
        <v>32.8953536095175</v>
      </c>
      <c r="L421" s="34">
        <v>35.3206402711898</v>
      </c>
      <c r="M421" s="34">
        <v>37.6168268492257</v>
      </c>
      <c r="N421" s="34">
        <v>39.8483011755903</v>
      </c>
      <c r="O421" s="34">
        <v>42.1452151589095</v>
      </c>
      <c r="P421" s="34">
        <v>44.4786499380045</v>
      </c>
      <c r="Q421" s="34">
        <v>46.7537323395421</v>
      </c>
      <c r="R421" s="34">
        <v>48.936624197609</v>
      </c>
      <c r="S421" s="34">
        <v>51.0252979836641</v>
      </c>
      <c r="T421" s="34">
        <v>53.0612887395663</v>
      </c>
      <c r="U421" s="34">
        <v>55.069357495699</v>
      </c>
      <c r="V421" s="34">
        <v>57.0588549674083</v>
      </c>
      <c r="W421" s="34">
        <v>3</v>
      </c>
      <c r="AG421" s="167"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4" t="s">
        <v>38</v>
      </c>
      <c r="B422" s="34" t="s">
        <v>389</v>
      </c>
      <c r="C422" s="34" t="s">
        <v>389</v>
      </c>
      <c r="D422" s="34">
        <v>11.49</v>
      </c>
      <c r="E422" s="34">
        <v>11.7093106367178</v>
      </c>
      <c r="F422" s="34"/>
      <c r="G422" s="34">
        <v>14.1322785817452</v>
      </c>
      <c r="H422" s="34">
        <v>16.7847116731655</v>
      </c>
      <c r="I422" s="34">
        <v>19.2097853762105</v>
      </c>
      <c r="J422" s="34">
        <v>21.3037241011515</v>
      </c>
      <c r="K422" s="34">
        <v>23.1739799493167</v>
      </c>
      <c r="L422" s="34">
        <v>24.8825356662153</v>
      </c>
      <c r="M422" s="34">
        <v>26.5001435007727</v>
      </c>
      <c r="N422" s="34">
        <v>28.0721631212466</v>
      </c>
      <c r="O422" s="34">
        <v>29.6902833952097</v>
      </c>
      <c r="P422" s="34">
        <v>31.3341316853263</v>
      </c>
      <c r="Q422" s="34">
        <v>32.9368721386474</v>
      </c>
      <c r="R422" s="34">
        <v>34.474666586789</v>
      </c>
      <c r="S422" s="34">
        <v>35.946086684997</v>
      </c>
      <c r="T422" s="34">
        <v>37.3803928643542</v>
      </c>
      <c r="U422" s="34">
        <v>38.7950286710963</v>
      </c>
      <c r="V422" s="34">
        <v>40.1965814577266</v>
      </c>
      <c r="W422" s="34">
        <v>3</v>
      </c>
      <c r="AG422" s="167"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3" t="s">
        <v>392</v>
      </c>
      <c r="G11" s="24" t="s">
        <v>393</v>
      </c>
      <c r="H11" s="24" t="s">
        <v>394</v>
      </c>
      <c r="M11" s="23" t="s">
        <v>395</v>
      </c>
      <c r="N11" s="23" t="s">
        <v>396</v>
      </c>
      <c r="O11" s="23" t="s">
        <v>397</v>
      </c>
      <c r="P11" s="23" t="s">
        <v>398</v>
      </c>
    </row>
    <row r="12" ht="37.5" spans="6:16">
      <c r="F12" s="25" t="s">
        <v>399</v>
      </c>
      <c r="G12" s="26">
        <v>720</v>
      </c>
      <c r="H12" s="24">
        <v>381</v>
      </c>
      <c r="M12" s="25" t="s">
        <v>3</v>
      </c>
      <c r="N12" s="25" t="s">
        <v>400</v>
      </c>
      <c r="O12" s="25">
        <v>0</v>
      </c>
      <c r="P12" s="27">
        <v>0</v>
      </c>
    </row>
    <row r="13" ht="87.5" spans="6:16">
      <c r="F13" s="25" t="s">
        <v>6</v>
      </c>
      <c r="G13" s="28">
        <v>18000</v>
      </c>
      <c r="H13" s="29">
        <v>9522</v>
      </c>
      <c r="M13" s="25" t="s">
        <v>5</v>
      </c>
      <c r="N13" s="25" t="s">
        <v>401</v>
      </c>
      <c r="O13" s="25">
        <v>300</v>
      </c>
      <c r="P13" s="27">
        <v>159</v>
      </c>
    </row>
    <row r="14" ht="13" spans="6:16">
      <c r="F14" s="25" t="s">
        <v>10</v>
      </c>
      <c r="G14" s="28">
        <v>11000</v>
      </c>
      <c r="H14" s="29">
        <v>5819</v>
      </c>
      <c r="M14" s="25" t="s">
        <v>6</v>
      </c>
      <c r="N14" s="25" t="s">
        <v>6</v>
      </c>
      <c r="O14" s="30">
        <v>18000</v>
      </c>
      <c r="P14" s="31">
        <v>9522</v>
      </c>
    </row>
    <row r="15" ht="13" spans="6:16">
      <c r="F15" s="25" t="s">
        <v>402</v>
      </c>
      <c r="G15" s="28">
        <v>1500</v>
      </c>
      <c r="H15" s="24">
        <v>794</v>
      </c>
      <c r="M15" s="25" t="s">
        <v>7</v>
      </c>
      <c r="N15" s="25" t="s">
        <v>7</v>
      </c>
      <c r="O15" s="25">
        <v>0</v>
      </c>
      <c r="P15" s="27">
        <v>0</v>
      </c>
    </row>
    <row r="16" ht="37.5" spans="6:16">
      <c r="F16" s="25" t="s">
        <v>11</v>
      </c>
      <c r="G16" s="28">
        <v>84000</v>
      </c>
      <c r="H16" s="29">
        <v>44436</v>
      </c>
      <c r="M16" s="25" t="s">
        <v>8</v>
      </c>
      <c r="N16" s="25" t="s">
        <v>403</v>
      </c>
      <c r="O16" s="25">
        <v>0</v>
      </c>
      <c r="P16" s="27">
        <v>0</v>
      </c>
    </row>
    <row r="17" ht="62.5" spans="6:16">
      <c r="F17" s="25" t="s">
        <v>15</v>
      </c>
      <c r="G17" s="26">
        <v>960</v>
      </c>
      <c r="H17" s="24">
        <v>508</v>
      </c>
      <c r="M17" s="25" t="s">
        <v>9</v>
      </c>
      <c r="N17" s="25" t="s">
        <v>404</v>
      </c>
      <c r="O17" s="25">
        <v>0</v>
      </c>
      <c r="P17" s="27">
        <v>0</v>
      </c>
    </row>
    <row r="18" ht="13" spans="6:16">
      <c r="F18" s="25" t="s">
        <v>405</v>
      </c>
      <c r="G18" s="26">
        <v>860</v>
      </c>
      <c r="H18" s="24">
        <v>455</v>
      </c>
      <c r="M18" s="25" t="s">
        <v>10</v>
      </c>
      <c r="N18" s="25" t="s">
        <v>10</v>
      </c>
      <c r="O18" s="30">
        <v>11000</v>
      </c>
      <c r="P18" s="31">
        <v>5819</v>
      </c>
    </row>
    <row r="19" ht="13" spans="6:16">
      <c r="F19" s="25" t="s">
        <v>406</v>
      </c>
      <c r="G19" s="26">
        <v>300</v>
      </c>
      <c r="H19" s="24">
        <v>159</v>
      </c>
      <c r="M19" s="25" t="s">
        <v>11</v>
      </c>
      <c r="N19" s="25" t="s">
        <v>11</v>
      </c>
      <c r="O19" s="30">
        <v>84000</v>
      </c>
      <c r="P19" s="31">
        <v>44436</v>
      </c>
    </row>
    <row r="20" ht="25" spans="6:16">
      <c r="F20" s="25" t="s">
        <v>19</v>
      </c>
      <c r="G20" s="28">
        <v>7600</v>
      </c>
      <c r="H20" s="29">
        <v>4020</v>
      </c>
      <c r="M20" s="25" t="s">
        <v>12</v>
      </c>
      <c r="N20" s="25" t="s">
        <v>407</v>
      </c>
      <c r="O20" s="25">
        <v>0</v>
      </c>
      <c r="P20" s="27">
        <v>0</v>
      </c>
    </row>
    <row r="21" ht="25" spans="6:16">
      <c r="F21" s="25" t="s">
        <v>408</v>
      </c>
      <c r="G21" s="28">
        <v>1300</v>
      </c>
      <c r="H21" s="24">
        <v>688</v>
      </c>
      <c r="M21" s="25" t="s">
        <v>13</v>
      </c>
      <c r="N21" s="25" t="s">
        <v>409</v>
      </c>
      <c r="O21" s="25">
        <v>0</v>
      </c>
      <c r="P21" s="27">
        <v>0</v>
      </c>
    </row>
    <row r="22" ht="13" spans="6:16">
      <c r="F22" s="25" t="s">
        <v>20</v>
      </c>
      <c r="G22" s="28">
        <v>1600</v>
      </c>
      <c r="H22" s="24">
        <v>846</v>
      </c>
      <c r="M22" s="25" t="s">
        <v>14</v>
      </c>
      <c r="N22" s="25" t="s">
        <v>14</v>
      </c>
      <c r="O22" s="25">
        <v>0</v>
      </c>
      <c r="P22" s="27">
        <v>0</v>
      </c>
    </row>
    <row r="23" ht="13" spans="6:16">
      <c r="F23" s="25" t="s">
        <v>410</v>
      </c>
      <c r="G23" s="28">
        <v>1500</v>
      </c>
      <c r="H23" s="24">
        <v>794</v>
      </c>
      <c r="M23" s="25" t="s">
        <v>15</v>
      </c>
      <c r="N23" s="25" t="s">
        <v>15</v>
      </c>
      <c r="O23" s="25">
        <v>960</v>
      </c>
      <c r="P23" s="27">
        <v>508</v>
      </c>
    </row>
    <row r="24" ht="25" spans="6:16">
      <c r="F24" s="25" t="s">
        <v>411</v>
      </c>
      <c r="G24" s="28">
        <v>1400</v>
      </c>
      <c r="H24" s="24">
        <v>741</v>
      </c>
      <c r="M24" s="25" t="s">
        <v>16</v>
      </c>
      <c r="N24" s="25" t="s">
        <v>412</v>
      </c>
      <c r="O24" s="25">
        <v>860</v>
      </c>
      <c r="P24" s="27">
        <v>455</v>
      </c>
    </row>
    <row r="25" ht="37.5" spans="6:16">
      <c r="F25" s="25" t="s">
        <v>29</v>
      </c>
      <c r="G25" s="28">
        <v>2900</v>
      </c>
      <c r="H25" s="29">
        <v>1534</v>
      </c>
      <c r="M25" s="25" t="s">
        <v>17</v>
      </c>
      <c r="N25" s="25" t="s">
        <v>413</v>
      </c>
      <c r="O25" s="25">
        <v>0</v>
      </c>
      <c r="P25" s="27">
        <v>0</v>
      </c>
    </row>
    <row r="26" ht="25" spans="6:16">
      <c r="F26" s="25" t="s">
        <v>414</v>
      </c>
      <c r="G26" s="28">
        <v>1800</v>
      </c>
      <c r="H26" s="24">
        <v>952</v>
      </c>
      <c r="M26" s="25" t="s">
        <v>18</v>
      </c>
      <c r="N26" s="25" t="s">
        <v>18</v>
      </c>
      <c r="O26" s="25">
        <v>0</v>
      </c>
      <c r="P26" s="27">
        <v>0</v>
      </c>
    </row>
    <row r="27" ht="13" spans="6:16">
      <c r="F27" s="25" t="s">
        <v>415</v>
      </c>
      <c r="G27" s="26">
        <v>820</v>
      </c>
      <c r="H27" s="24">
        <v>434</v>
      </c>
      <c r="M27" s="25" t="s">
        <v>19</v>
      </c>
      <c r="N27" s="25" t="s">
        <v>19</v>
      </c>
      <c r="O27" s="30">
        <v>7600</v>
      </c>
      <c r="P27" s="31">
        <v>4020</v>
      </c>
    </row>
    <row r="28" ht="13" spans="6:16">
      <c r="F28" s="25" t="s">
        <v>35</v>
      </c>
      <c r="G28" s="26">
        <v>320</v>
      </c>
      <c r="H28" s="24">
        <v>169</v>
      </c>
      <c r="M28" s="25" t="s">
        <v>20</v>
      </c>
      <c r="N28" s="25" t="s">
        <v>20</v>
      </c>
      <c r="O28" s="30">
        <v>1600</v>
      </c>
      <c r="P28" s="27">
        <v>846</v>
      </c>
    </row>
    <row r="29" ht="37.5" spans="6:16">
      <c r="F29" s="25" t="s">
        <v>416</v>
      </c>
      <c r="G29" s="28">
        <v>2400</v>
      </c>
      <c r="H29" s="29">
        <v>1270</v>
      </c>
      <c r="M29" s="25" t="s">
        <v>21</v>
      </c>
      <c r="N29" s="25" t="s">
        <v>417</v>
      </c>
      <c r="O29" s="25">
        <v>0</v>
      </c>
      <c r="P29" s="27">
        <v>0</v>
      </c>
    </row>
    <row r="30" ht="13" spans="6:16">
      <c r="F30" s="25" t="s">
        <v>418</v>
      </c>
      <c r="G30" s="28">
        <v>1500</v>
      </c>
      <c r="H30" s="24">
        <v>794</v>
      </c>
      <c r="M30" s="25" t="s">
        <v>22</v>
      </c>
      <c r="N30" s="25" t="s">
        <v>22</v>
      </c>
      <c r="O30" s="25">
        <v>0</v>
      </c>
      <c r="P30" s="27">
        <v>0</v>
      </c>
    </row>
    <row r="31" ht="100" spans="6:16">
      <c r="F31" s="25" t="s">
        <v>350</v>
      </c>
      <c r="G31" s="28">
        <v>1500</v>
      </c>
      <c r="H31" s="24">
        <v>794</v>
      </c>
      <c r="M31" s="25" t="s">
        <v>23</v>
      </c>
      <c r="N31" s="25" t="s">
        <v>419</v>
      </c>
      <c r="O31" s="25">
        <v>0</v>
      </c>
      <c r="P31" s="27">
        <v>0</v>
      </c>
    </row>
    <row r="32" ht="13" spans="6:16">
      <c r="F32" s="27" t="s">
        <v>221</v>
      </c>
      <c r="G32" s="29">
        <v>142000</v>
      </c>
      <c r="H32" s="29">
        <v>75118</v>
      </c>
      <c r="M32" s="25" t="s">
        <v>24</v>
      </c>
      <c r="N32" s="25" t="s">
        <v>420</v>
      </c>
      <c r="O32" s="30">
        <v>2400</v>
      </c>
      <c r="P32" s="31">
        <v>1270</v>
      </c>
    </row>
    <row r="33" ht="25" spans="13:16">
      <c r="M33" s="25" t="s">
        <v>25</v>
      </c>
      <c r="N33" s="25" t="s">
        <v>421</v>
      </c>
      <c r="O33" s="30">
        <v>2220</v>
      </c>
      <c r="P33" s="31">
        <v>1175</v>
      </c>
    </row>
    <row r="34" ht="13" spans="13:16">
      <c r="M34" s="25" t="s">
        <v>26</v>
      </c>
      <c r="N34" s="25" t="s">
        <v>26</v>
      </c>
      <c r="O34" s="25">
        <v>0</v>
      </c>
      <c r="P34" s="27">
        <v>0</v>
      </c>
    </row>
    <row r="35" ht="13" spans="13:16">
      <c r="M35" s="25" t="s">
        <v>27</v>
      </c>
      <c r="N35" s="25" t="s">
        <v>27</v>
      </c>
      <c r="O35" s="25">
        <v>0</v>
      </c>
      <c r="P35" s="27">
        <v>0</v>
      </c>
    </row>
    <row r="36" ht="112.5" spans="13:16">
      <c r="M36" s="25" t="s">
        <v>28</v>
      </c>
      <c r="N36" s="25" t="s">
        <v>422</v>
      </c>
      <c r="O36" s="30">
        <v>5700</v>
      </c>
      <c r="P36" s="31">
        <v>3015</v>
      </c>
    </row>
    <row r="37" ht="13" spans="13:16">
      <c r="M37" s="25" t="s">
        <v>29</v>
      </c>
      <c r="N37" s="25" t="s">
        <v>29</v>
      </c>
      <c r="O37" s="30">
        <v>2900</v>
      </c>
      <c r="P37" s="31">
        <v>1534</v>
      </c>
    </row>
    <row r="38" ht="25" spans="13:16">
      <c r="M38" s="25" t="s">
        <v>30</v>
      </c>
      <c r="N38" s="25" t="s">
        <v>414</v>
      </c>
      <c r="O38" s="30">
        <v>1800</v>
      </c>
      <c r="P38" s="27">
        <v>952</v>
      </c>
    </row>
    <row r="39" ht="25" spans="13:16">
      <c r="M39" s="25" t="s">
        <v>31</v>
      </c>
      <c r="N39" s="25" t="s">
        <v>423</v>
      </c>
      <c r="O39" s="25">
        <v>0</v>
      </c>
      <c r="P39" s="27">
        <v>0</v>
      </c>
    </row>
    <row r="40" ht="25" spans="13:16">
      <c r="M40" s="25" t="s">
        <v>32</v>
      </c>
      <c r="N40" s="25" t="s">
        <v>424</v>
      </c>
      <c r="O40" s="25">
        <v>820</v>
      </c>
      <c r="P40" s="27">
        <v>434</v>
      </c>
    </row>
    <row r="41" ht="37.5" spans="13:16">
      <c r="M41" s="25" t="s">
        <v>33</v>
      </c>
      <c r="N41" s="25" t="s">
        <v>425</v>
      </c>
      <c r="O41" s="25">
        <v>0</v>
      </c>
      <c r="P41" s="27">
        <v>0</v>
      </c>
    </row>
    <row r="42" ht="25" spans="13:16">
      <c r="M42" s="25" t="s">
        <v>34</v>
      </c>
      <c r="N42" s="25" t="s">
        <v>34</v>
      </c>
      <c r="O42" s="25">
        <v>0</v>
      </c>
      <c r="P42" s="27">
        <v>0</v>
      </c>
    </row>
    <row r="43" ht="13" spans="13:16">
      <c r="M43" s="25" t="s">
        <v>35</v>
      </c>
      <c r="N43" s="25" t="s">
        <v>35</v>
      </c>
      <c r="O43" s="25">
        <v>320</v>
      </c>
      <c r="P43" s="27">
        <v>169</v>
      </c>
    </row>
    <row r="44" ht="25" spans="13:16">
      <c r="M44" s="25" t="s">
        <v>36</v>
      </c>
      <c r="N44" s="25" t="s">
        <v>426</v>
      </c>
      <c r="O44" s="25">
        <v>0</v>
      </c>
      <c r="P44" s="27">
        <v>0</v>
      </c>
    </row>
    <row r="45" ht="13" spans="13:16">
      <c r="M45" s="25" t="s">
        <v>37</v>
      </c>
      <c r="N45" s="25" t="s">
        <v>37</v>
      </c>
      <c r="O45" s="25">
        <v>0</v>
      </c>
      <c r="P45" s="27">
        <v>0</v>
      </c>
    </row>
    <row r="46" ht="13" spans="13:16">
      <c r="M46" s="27" t="s">
        <v>221</v>
      </c>
      <c r="N46" s="25" t="s">
        <v>221</v>
      </c>
      <c r="O46" s="31">
        <v>142000</v>
      </c>
      <c r="P46" s="31">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0"/>
      <c r="F8" s="1"/>
      <c r="H8" s="1"/>
      <c r="I8" s="1"/>
      <c r="J8" s="1"/>
      <c r="K8" s="1"/>
      <c r="L8" s="1"/>
      <c r="W8" s="21"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2"/>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2"/>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2"/>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2"/>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2"/>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2"/>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2"/>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2"/>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3" t="s">
        <v>1</v>
      </c>
      <c r="H28" s="24"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5" t="s">
        <v>3</v>
      </c>
      <c r="H29" s="24"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5" t="s">
        <v>5</v>
      </c>
      <c r="H30" s="24"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5" t="s">
        <v>6</v>
      </c>
      <c r="H31" s="24"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5" t="s">
        <v>7</v>
      </c>
      <c r="H32" s="24"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5" t="s">
        <v>8</v>
      </c>
      <c r="H33" s="24"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5" t="s">
        <v>9</v>
      </c>
      <c r="H34" s="24"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5" t="s">
        <v>10</v>
      </c>
      <c r="H35" s="24"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5" t="s">
        <v>11</v>
      </c>
      <c r="H36" s="24"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5" t="s">
        <v>12</v>
      </c>
      <c r="H37" s="24"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5" t="s">
        <v>13</v>
      </c>
      <c r="H38" s="24"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5" t="s">
        <v>14</v>
      </c>
      <c r="H39" s="24"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5" t="s">
        <v>15</v>
      </c>
      <c r="H40" s="24"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5" t="s">
        <v>16</v>
      </c>
      <c r="H41" s="24"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5" t="s">
        <v>17</v>
      </c>
      <c r="H42" s="24"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5" t="s">
        <v>18</v>
      </c>
      <c r="H43" s="24"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5" t="s">
        <v>19</v>
      </c>
      <c r="H44" s="24"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5" t="s">
        <v>20</v>
      </c>
      <c r="H45" s="24"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5" t="s">
        <v>21</v>
      </c>
      <c r="H46" s="24"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5" t="s">
        <v>22</v>
      </c>
      <c r="H47" s="24"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5" t="s">
        <v>23</v>
      </c>
      <c r="H48" s="24"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5" t="s">
        <v>24</v>
      </c>
      <c r="H49" s="24"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5" t="s">
        <v>25</v>
      </c>
      <c r="H50" s="24"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5" t="s">
        <v>26</v>
      </c>
      <c r="H51" s="24"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5" t="s">
        <v>27</v>
      </c>
      <c r="H52" s="24"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5" t="s">
        <v>28</v>
      </c>
      <c r="H53" s="24"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5" t="s">
        <v>29</v>
      </c>
      <c r="H54" s="24"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5" t="s">
        <v>30</v>
      </c>
      <c r="H55" s="24"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5" t="s">
        <v>31</v>
      </c>
      <c r="H56" s="24"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5" t="s">
        <v>32</v>
      </c>
      <c r="H57" s="24"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5" t="s">
        <v>33</v>
      </c>
      <c r="H58" s="24"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5" t="s">
        <v>34</v>
      </c>
      <c r="H59" s="24"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5" t="s">
        <v>35</v>
      </c>
      <c r="H60" s="24"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5" t="s">
        <v>36</v>
      </c>
      <c r="H61" s="24"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5" t="s">
        <v>37</v>
      </c>
      <c r="H62" s="24"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5" t="s">
        <v>38</v>
      </c>
      <c r="H63" s="24"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tabSelected="1" zoomScale="96" zoomScaleNormal="96" topLeftCell="F34" workbookViewId="0">
      <selection activeCell="D38" sqref="D38"/>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14"/>
    <col min="116" max="116" width="29.9090909090909" style="14" customWidth="1"/>
    <col min="117" max="117" width="9.81818181818182" style="14"/>
  </cols>
  <sheetData>
    <row r="1" spans="5:117">
      <c r="DI1" s="14" t="s">
        <v>502</v>
      </c>
      <c r="DJ1" s="14" t="s">
        <v>503</v>
      </c>
      <c r="DK1" s="14" t="s">
        <v>139</v>
      </c>
      <c r="DL1" s="14" t="s">
        <v>504</v>
      </c>
      <c r="DM1" s="14" t="s">
        <v>505</v>
      </c>
    </row>
    <row r="2" spans="5:117">
      <c r="DI2" s="14" t="s">
        <v>506</v>
      </c>
      <c r="DJ2" s="14">
        <v>2010</v>
      </c>
      <c r="DK2" s="14">
        <v>0.001</v>
      </c>
      <c r="DL2" s="14" t="s">
        <v>507</v>
      </c>
      <c r="DM2" s="14" t="s">
        <v>508</v>
      </c>
    </row>
    <row r="3" spans="5:117">
      <c r="DI3" s="14" t="s">
        <v>506</v>
      </c>
      <c r="DJ3" s="14">
        <v>2011</v>
      </c>
      <c r="DK3" s="14">
        <v>0.004</v>
      </c>
      <c r="DL3" s="14" t="s">
        <v>507</v>
      </c>
      <c r="DM3" s="14" t="s">
        <v>508</v>
      </c>
    </row>
    <row r="4" spans="5:117">
      <c r="DI4" s="14" t="s">
        <v>506</v>
      </c>
      <c r="DJ4" s="14">
        <v>2012</v>
      </c>
      <c r="DK4" s="14">
        <v>0.009</v>
      </c>
      <c r="DL4" s="14" t="s">
        <v>507</v>
      </c>
      <c r="DM4" s="14" t="s">
        <v>508</v>
      </c>
    </row>
    <row r="5" spans="5:117">
      <c r="DI5" s="14" t="s">
        <v>506</v>
      </c>
      <c r="DJ5" s="14">
        <v>2013</v>
      </c>
      <c r="DK5" s="14">
        <v>0.017</v>
      </c>
      <c r="DL5" s="14" t="s">
        <v>507</v>
      </c>
      <c r="DM5" s="14" t="s">
        <v>508</v>
      </c>
    </row>
    <row r="6" spans="5:117">
      <c r="E6" s="15"/>
      <c r="F6" s="15"/>
      <c r="G6" s="15"/>
      <c r="H6" s="15"/>
      <c r="DI6" s="14" t="s">
        <v>506</v>
      </c>
      <c r="DJ6" s="14">
        <v>2014</v>
      </c>
      <c r="DK6" s="14">
        <v>0.029</v>
      </c>
      <c r="DL6" s="14" t="s">
        <v>507</v>
      </c>
      <c r="DM6" s="14" t="s">
        <v>508</v>
      </c>
    </row>
    <row r="7" spans="5:117">
      <c r="E7" s="15" t="s">
        <v>133</v>
      </c>
      <c r="F7" s="15"/>
      <c r="G7" s="15"/>
      <c r="H7" s="15" t="s">
        <v>509</v>
      </c>
      <c r="DI7" s="14" t="s">
        <v>506</v>
      </c>
      <c r="DJ7" s="14">
        <v>2015</v>
      </c>
      <c r="DK7" s="14">
        <v>0.058</v>
      </c>
      <c r="DL7" s="14" t="s">
        <v>507</v>
      </c>
      <c r="DM7" s="14" t="s">
        <v>508</v>
      </c>
    </row>
    <row r="8" spans="5:117">
      <c r="E8" s="15" t="s">
        <v>510</v>
      </c>
      <c r="F8" s="15" t="s">
        <v>511</v>
      </c>
      <c r="G8" s="15"/>
      <c r="H8" s="15" t="str">
        <f>"*"&amp;1/10/[4]storage!$J$2</f>
        <v>*0.1</v>
      </c>
      <c r="DI8" s="14" t="s">
        <v>506</v>
      </c>
      <c r="DJ8" s="14">
        <v>2016</v>
      </c>
      <c r="DK8" s="14">
        <v>0.09</v>
      </c>
      <c r="DL8" s="14" t="s">
        <v>507</v>
      </c>
      <c r="DM8" s="14" t="s">
        <v>508</v>
      </c>
    </row>
    <row r="9" spans="5:117">
      <c r="E9" s="15" t="s">
        <v>510</v>
      </c>
      <c r="F9" s="15" t="str">
        <f t="shared" ref="F9:F17" si="0">F8</f>
        <v>*virgin*, -Tra_EV_Batt-Sodium*</v>
      </c>
      <c r="G9" s="15"/>
      <c r="H9" s="15" t="str">
        <f>"*"&amp;1/10/[4]storage!$J$2</f>
        <v>*0.1</v>
      </c>
      <c r="AZ9" t="s">
        <v>512</v>
      </c>
      <c r="DI9" s="14" t="s">
        <v>506</v>
      </c>
      <c r="DJ9" s="14">
        <v>2017</v>
      </c>
      <c r="DK9" s="14">
        <v>0.163</v>
      </c>
      <c r="DL9" s="14" t="s">
        <v>507</v>
      </c>
      <c r="DM9" s="14" t="s">
        <v>508</v>
      </c>
    </row>
    <row r="10" spans="5:117">
      <c r="E10" s="15" t="s">
        <v>510</v>
      </c>
      <c r="F10" s="15" t="str">
        <f t="shared" si="0"/>
        <v>*virgin*, -Tra_EV_Batt-Sodium*</v>
      </c>
      <c r="G10" s="15"/>
      <c r="H10" s="15" t="str">
        <f>"*"&amp;1/10/[4]storage!$J$2</f>
        <v>*0.1</v>
      </c>
      <c r="DI10" s="14" t="s">
        <v>506</v>
      </c>
      <c r="DJ10" s="14">
        <v>2018</v>
      </c>
      <c r="DK10" s="14">
        <v>0.301</v>
      </c>
      <c r="DL10" s="14" t="s">
        <v>507</v>
      </c>
      <c r="DM10" s="14" t="s">
        <v>508</v>
      </c>
    </row>
    <row r="11" spans="5:117">
      <c r="E11" s="15" t="s">
        <v>510</v>
      </c>
      <c r="F11" s="15" t="str">
        <f t="shared" si="0"/>
        <v>*virgin*, -Tra_EV_Batt-Sodium*</v>
      </c>
      <c r="G11" s="15"/>
      <c r="H11" s="15" t="str">
        <f>"*"&amp;1/10/[4]storage!$J$2</f>
        <v>*0.1</v>
      </c>
      <c r="DI11" s="14" t="s">
        <v>506</v>
      </c>
      <c r="DJ11" s="14">
        <v>2019</v>
      </c>
      <c r="DK11" s="14">
        <v>0.328</v>
      </c>
      <c r="DL11" s="14" t="s">
        <v>507</v>
      </c>
      <c r="DM11" s="14" t="s">
        <v>508</v>
      </c>
    </row>
    <row r="12" spans="5:117">
      <c r="E12" s="15" t="s">
        <v>510</v>
      </c>
      <c r="F12" s="15" t="str">
        <f t="shared" si="0"/>
        <v>*virgin*, -Tra_EV_Batt-Sodium*</v>
      </c>
      <c r="G12" s="15"/>
      <c r="H12" s="15"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14" t="s">
        <v>513</v>
      </c>
      <c r="DJ12" s="14">
        <v>2010</v>
      </c>
      <c r="DK12" s="14">
        <v>0</v>
      </c>
      <c r="DL12" s="14" t="s">
        <v>514</v>
      </c>
      <c r="DM12" s="14" t="s">
        <v>515</v>
      </c>
    </row>
    <row r="13" spans="5:117">
      <c r="E13" s="15" t="s">
        <v>510</v>
      </c>
      <c r="F13" s="15" t="str">
        <f t="shared" si="0"/>
        <v>*virgin*, -Tra_EV_Batt-Sodium*</v>
      </c>
      <c r="G13" s="15"/>
      <c r="H13" s="15"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14" t="s">
        <v>513</v>
      </c>
      <c r="DJ13" s="14">
        <v>2011</v>
      </c>
      <c r="DK13" s="14">
        <v>0</v>
      </c>
      <c r="DL13" s="14" t="s">
        <v>514</v>
      </c>
      <c r="DM13" s="14" t="s">
        <v>515</v>
      </c>
    </row>
    <row r="14" spans="5:117">
      <c r="E14" s="15" t="s">
        <v>510</v>
      </c>
      <c r="F14" s="15" t="str">
        <f t="shared" si="0"/>
        <v>*virgin*, -Tra_EV_Batt-Sodium*</v>
      </c>
      <c r="G14" s="15"/>
      <c r="H14" s="15"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14" t="s">
        <v>513</v>
      </c>
      <c r="DJ14" s="14">
        <v>2012</v>
      </c>
      <c r="DK14" s="14">
        <v>0.005</v>
      </c>
      <c r="DL14" s="14" t="s">
        <v>514</v>
      </c>
      <c r="DM14" s="14" t="s">
        <v>515</v>
      </c>
    </row>
    <row r="15" spans="5:117">
      <c r="E15" s="15" t="s">
        <v>510</v>
      </c>
      <c r="F15" s="15" t="str">
        <f t="shared" si="0"/>
        <v>*virgin*, -Tra_EV_Batt-Sodium*</v>
      </c>
      <c r="G15" s="15"/>
      <c r="H15" s="15"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14" t="s">
        <v>513</v>
      </c>
      <c r="DJ15" s="14">
        <v>2013</v>
      </c>
      <c r="DK15" s="14">
        <v>0.015</v>
      </c>
      <c r="DL15" s="14" t="s">
        <v>514</v>
      </c>
      <c r="DM15" s="14" t="s">
        <v>515</v>
      </c>
    </row>
    <row r="16" spans="5:117">
      <c r="E16" s="15" t="s">
        <v>510</v>
      </c>
      <c r="F16" s="15" t="str">
        <f t="shared" si="0"/>
        <v>*virgin*, -Tra_EV_Batt-Sodium*</v>
      </c>
      <c r="G16" s="15"/>
      <c r="H16" s="15"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14" t="s">
        <v>513</v>
      </c>
      <c r="DJ16" s="14">
        <v>2014</v>
      </c>
      <c r="DK16" s="14">
        <v>0.04</v>
      </c>
      <c r="DL16" s="14" t="s">
        <v>514</v>
      </c>
      <c r="DM16" s="14" t="s">
        <v>515</v>
      </c>
    </row>
    <row r="17" spans="5:117">
      <c r="E17" s="15" t="s">
        <v>510</v>
      </c>
      <c r="F17" s="15" t="str">
        <f t="shared" si="0"/>
        <v>*virgin*, -Tra_EV_Batt-Sodium*</v>
      </c>
      <c r="G17" s="15"/>
      <c r="H17" s="15"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14" t="s">
        <v>513</v>
      </c>
      <c r="DJ17" s="14">
        <v>2015</v>
      </c>
      <c r="DK17" s="14">
        <v>0.14</v>
      </c>
      <c r="DL17" s="14" t="s">
        <v>514</v>
      </c>
      <c r="DM17" s="14" t="s">
        <v>515</v>
      </c>
    </row>
    <row r="18" spans="5:117">
      <c r="E18" s="15"/>
      <c r="F18" s="15"/>
      <c r="G18" s="15"/>
      <c r="H18" s="15"/>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14" t="s">
        <v>513</v>
      </c>
      <c r="DJ18" s="14">
        <v>2016</v>
      </c>
      <c r="DK18" s="14">
        <v>0.22</v>
      </c>
      <c r="DL18" s="14" t="s">
        <v>514</v>
      </c>
      <c r="DM18" s="14" t="s">
        <v>515</v>
      </c>
    </row>
    <row r="19" spans="5:117">
      <c r="E19" s="15"/>
      <c r="F19" s="15"/>
      <c r="G19" s="15"/>
      <c r="H19" s="15"/>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14" t="s">
        <v>513</v>
      </c>
      <c r="DJ19" s="14">
        <v>2017</v>
      </c>
      <c r="DK19" s="14">
        <v>0.25</v>
      </c>
      <c r="DL19" s="14" t="s">
        <v>514</v>
      </c>
      <c r="DM19" s="14" t="s">
        <v>515</v>
      </c>
    </row>
    <row r="20" spans="5:117">
      <c r="E20" s="15"/>
      <c r="F20" s="15"/>
      <c r="G20" s="15"/>
      <c r="H20" s="15"/>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14" t="s">
        <v>513</v>
      </c>
      <c r="DJ20" s="14">
        <v>2018</v>
      </c>
      <c r="DK20" s="14">
        <v>0.21</v>
      </c>
      <c r="DL20" s="14" t="s">
        <v>514</v>
      </c>
      <c r="DM20" s="14" t="s">
        <v>515</v>
      </c>
    </row>
    <row r="21" spans="5:117">
      <c r="E21" s="15"/>
      <c r="F21" s="15"/>
      <c r="G21" s="15"/>
      <c r="H21" s="15"/>
      <c r="DI21" s="14" t="s">
        <v>513</v>
      </c>
      <c r="DJ21" s="14">
        <v>2019</v>
      </c>
      <c r="DK21" s="14">
        <v>0.12</v>
      </c>
      <c r="DL21" s="14" t="s">
        <v>514</v>
      </c>
      <c r="DM21" s="14" t="s">
        <v>515</v>
      </c>
    </row>
    <row r="22" spans="5:117">
      <c r="E22" s="15"/>
      <c r="F22" s="15"/>
      <c r="G22" s="15"/>
      <c r="H22" s="15"/>
      <c r="DI22" s="14" t="s">
        <v>516</v>
      </c>
      <c r="DJ22" s="14">
        <v>2010</v>
      </c>
      <c r="DK22" s="14">
        <v>0</v>
      </c>
      <c r="DL22" s="14" t="s">
        <v>517</v>
      </c>
      <c r="DM22" s="14" t="s">
        <v>518</v>
      </c>
    </row>
    <row r="23" spans="5:117">
      <c r="E23" s="15"/>
      <c r="F23" s="15"/>
      <c r="G23" s="15"/>
      <c r="H23" s="15"/>
      <c r="DI23" s="14" t="s">
        <v>516</v>
      </c>
      <c r="DJ23" s="14">
        <v>2011</v>
      </c>
      <c r="DK23" s="14">
        <v>0</v>
      </c>
      <c r="DL23" s="14" t="s">
        <v>517</v>
      </c>
      <c r="DM23" s="14" t="s">
        <v>518</v>
      </c>
    </row>
    <row r="24" spans="5:117">
      <c r="E24" s="15"/>
      <c r="F24" s="15"/>
      <c r="G24" s="15"/>
      <c r="H24" s="15"/>
      <c r="DI24" s="14" t="s">
        <v>516</v>
      </c>
      <c r="DJ24" s="14">
        <v>2012</v>
      </c>
      <c r="DK24" s="14">
        <v>0</v>
      </c>
      <c r="DL24" s="14" t="s">
        <v>517</v>
      </c>
      <c r="DM24" s="14" t="s">
        <v>518</v>
      </c>
    </row>
    <row r="25" spans="5:117">
      <c r="E25" s="15" t="s">
        <v>133</v>
      </c>
      <c r="F25" s="15" t="s">
        <v>147</v>
      </c>
      <c r="G25" s="15" t="s">
        <v>301</v>
      </c>
      <c r="H25" s="15" t="s">
        <v>509</v>
      </c>
      <c r="DI25" s="14" t="s">
        <v>516</v>
      </c>
      <c r="DJ25" s="14">
        <v>2013</v>
      </c>
      <c r="DK25" s="14">
        <v>0.019</v>
      </c>
      <c r="DL25" s="14" t="s">
        <v>517</v>
      </c>
      <c r="DM25" s="14" t="s">
        <v>519</v>
      </c>
    </row>
    <row r="26" spans="5:117">
      <c r="E26" s="15" t="s">
        <v>510</v>
      </c>
      <c r="F26" s="15" t="s">
        <v>520</v>
      </c>
      <c r="G26" s="15">
        <v>2019</v>
      </c>
      <c r="H26" s="15" t="str">
        <f>"*"&amp;1/10/[4]storage!$J$2</f>
        <v>*0.1</v>
      </c>
      <c r="DI26" s="14" t="s">
        <v>516</v>
      </c>
      <c r="DJ26" s="14">
        <v>2014</v>
      </c>
      <c r="DK26" s="14">
        <v>0.037</v>
      </c>
      <c r="DL26" s="14" t="s">
        <v>517</v>
      </c>
      <c r="DM26" s="14" t="s">
        <v>519</v>
      </c>
    </row>
    <row r="27" spans="5:117">
      <c r="E27" s="15" t="s">
        <v>510</v>
      </c>
      <c r="F27" s="15" t="str">
        <f t="shared" ref="F27:F35" si="1">F26</f>
        <v>MINBatMaterials*</v>
      </c>
      <c r="G27" s="15">
        <f t="shared" ref="G27:G34" si="2">G26-1</f>
        <v>2018</v>
      </c>
      <c r="H27" s="15" t="str">
        <f>"*"&amp;1/10/[4]storage!$J$2</f>
        <v>*0.1</v>
      </c>
      <c r="DI27" s="14" t="s">
        <v>516</v>
      </c>
      <c r="DJ27" s="14">
        <v>2015</v>
      </c>
      <c r="DK27" s="14">
        <v>0.065</v>
      </c>
      <c r="DL27" s="14" t="s">
        <v>517</v>
      </c>
      <c r="DM27" s="14" t="s">
        <v>519</v>
      </c>
    </row>
    <row r="28" spans="5:117">
      <c r="E28" s="15" t="s">
        <v>510</v>
      </c>
      <c r="F28" s="15" t="str">
        <f t="shared" si="1"/>
        <v>MINBatMaterials*</v>
      </c>
      <c r="G28" s="15">
        <f t="shared" si="2"/>
        <v>2017</v>
      </c>
      <c r="H28" s="15" t="str">
        <f>"*"&amp;1/10/[4]storage!$J$2</f>
        <v>*0.1</v>
      </c>
      <c r="DI28" s="14" t="s">
        <v>516</v>
      </c>
      <c r="DJ28" s="14">
        <v>2016</v>
      </c>
      <c r="DK28" s="14">
        <v>0.121</v>
      </c>
      <c r="DL28" s="14" t="s">
        <v>517</v>
      </c>
      <c r="DM28" s="14" t="s">
        <v>519</v>
      </c>
    </row>
    <row r="29" spans="5:117">
      <c r="E29" s="15" t="s">
        <v>510</v>
      </c>
      <c r="F29" s="15" t="str">
        <f t="shared" si="1"/>
        <v>MINBatMaterials*</v>
      </c>
      <c r="G29" s="15">
        <f t="shared" si="2"/>
        <v>2016</v>
      </c>
      <c r="H29" s="15" t="str">
        <f>"*"&amp;1/10/[4]storage!$J$2</f>
        <v>*0.1</v>
      </c>
      <c r="DI29" s="14" t="s">
        <v>516</v>
      </c>
      <c r="DJ29" s="14">
        <v>2017</v>
      </c>
      <c r="DK29" s="14">
        <v>0.159</v>
      </c>
      <c r="DL29" s="14" t="s">
        <v>517</v>
      </c>
      <c r="DM29" s="14" t="s">
        <v>519</v>
      </c>
    </row>
    <row r="30" spans="5:117">
      <c r="E30" s="15" t="s">
        <v>510</v>
      </c>
      <c r="F30" s="15" t="str">
        <f t="shared" si="1"/>
        <v>MINBatMaterials*</v>
      </c>
      <c r="G30" s="15">
        <f t="shared" si="2"/>
        <v>2015</v>
      </c>
      <c r="H30" s="15" t="str">
        <f>"*"&amp;1/10/[4]storage!$J$2</f>
        <v>*0.1</v>
      </c>
      <c r="DI30" s="14" t="s">
        <v>516</v>
      </c>
      <c r="DJ30" s="14">
        <v>2018</v>
      </c>
      <c r="DK30" s="14">
        <v>0.308</v>
      </c>
      <c r="DL30" s="14" t="s">
        <v>517</v>
      </c>
      <c r="DM30" s="14" t="s">
        <v>519</v>
      </c>
    </row>
    <row r="31" spans="5:117">
      <c r="E31" s="15" t="s">
        <v>510</v>
      </c>
      <c r="F31" s="15" t="str">
        <f t="shared" si="1"/>
        <v>MINBatMaterials*</v>
      </c>
      <c r="G31" s="15">
        <f t="shared" si="2"/>
        <v>2014</v>
      </c>
      <c r="H31" s="15" t="str">
        <f>"*"&amp;1/10/[4]storage!$J$2</f>
        <v>*0.1</v>
      </c>
      <c r="DI31" s="14" t="s">
        <v>516</v>
      </c>
      <c r="DJ31" s="14">
        <v>2019</v>
      </c>
      <c r="DK31" s="14">
        <v>0.291</v>
      </c>
      <c r="DL31" s="14" t="s">
        <v>517</v>
      </c>
      <c r="DM31" s="14" t="s">
        <v>519</v>
      </c>
    </row>
    <row r="32" spans="5:117">
      <c r="E32" s="15" t="s">
        <v>510</v>
      </c>
      <c r="F32" s="15" t="str">
        <f t="shared" si="1"/>
        <v>MINBatMaterials*</v>
      </c>
      <c r="G32" s="15">
        <f t="shared" si="2"/>
        <v>2013</v>
      </c>
      <c r="H32" s="15" t="str">
        <f>"*"&amp;1/10/[4]storage!$J$2</f>
        <v>*0.1</v>
      </c>
    </row>
    <row r="33" spans="4:91">
      <c r="E33" s="15" t="s">
        <v>510</v>
      </c>
      <c r="F33" s="15" t="str">
        <f t="shared" si="1"/>
        <v>MINBatMaterials*</v>
      </c>
      <c r="G33" s="15">
        <f t="shared" si="2"/>
        <v>2012</v>
      </c>
      <c r="H33" s="15" t="str">
        <f>"*"&amp;1/10/[4]storage!$J$2</f>
        <v>*0.1</v>
      </c>
    </row>
    <row r="34" spans="4:91">
      <c r="E34" s="15" t="s">
        <v>510</v>
      </c>
      <c r="F34" s="15" t="str">
        <f t="shared" si="1"/>
        <v>MINBatMaterials*</v>
      </c>
      <c r="G34" s="15">
        <f t="shared" si="2"/>
        <v>2011</v>
      </c>
      <c r="H34" s="15" t="str">
        <f>"*"&amp;1/10/[4]storage!$J$2</f>
        <v>*0.1</v>
      </c>
    </row>
    <row r="35" spans="4:91">
      <c r="E35" s="15" t="s">
        <v>510</v>
      </c>
      <c r="F35" s="15" t="str">
        <f t="shared" si="1"/>
        <v>MINBatMaterials*</v>
      </c>
      <c r="G35" s="15">
        <v>2020</v>
      </c>
      <c r="H35" s="15"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6" t="s">
        <v>522</v>
      </c>
      <c r="CH43" s="17"/>
      <c r="CI43" s="17"/>
      <c r="CJ43" s="17"/>
      <c r="CK43" s="17"/>
      <c r="CL43" s="17"/>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14" t="s">
        <v>41</v>
      </c>
      <c r="CH44" s="14" t="s">
        <v>147</v>
      </c>
      <c r="CI44" s="14" t="s">
        <v>523</v>
      </c>
      <c r="CJ44" s="14" t="s">
        <v>524</v>
      </c>
      <c r="CK44" s="14" t="s">
        <v>525</v>
      </c>
      <c r="CL44" s="14" t="s">
        <v>526</v>
      </c>
      <c r="CM44" s="14" t="s">
        <v>527</v>
      </c>
    </row>
    <row r="45" spans="4:91">
      <c r="D45" s="18">
        <v>2011</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14">
        <v>2011</v>
      </c>
      <c r="AR45" s="14" t="s">
        <v>189</v>
      </c>
      <c r="AS45" s="14">
        <v>0.075</v>
      </c>
      <c r="AT45" s="14" t="s">
        <v>528</v>
      </c>
      <c r="AU45" s="14"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14">
        <v>2011</v>
      </c>
      <c r="CH45" s="14" t="s">
        <v>189</v>
      </c>
      <c r="CI45" s="14">
        <v>0.075</v>
      </c>
      <c r="CJ45" s="14">
        <v>0.075</v>
      </c>
      <c r="CK45" s="14" t="s">
        <v>528</v>
      </c>
      <c r="CL45" s="14" t="s">
        <v>528</v>
      </c>
      <c r="CM45" s="14" t="s">
        <v>530</v>
      </c>
    </row>
    <row r="46" spans="4:91">
      <c r="D46">
        <f>D45</f>
        <v>2011</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14">
        <v>2011</v>
      </c>
      <c r="AR46" s="14" t="s">
        <v>191</v>
      </c>
      <c r="AS46" s="14">
        <v>0.075</v>
      </c>
      <c r="AT46" s="14" t="s">
        <v>528</v>
      </c>
      <c r="AU46" s="14"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14">
        <v>2011</v>
      </c>
      <c r="CH46" s="14" t="s">
        <v>191</v>
      </c>
      <c r="CI46" s="14">
        <v>0.075</v>
      </c>
      <c r="CJ46" s="14">
        <v>0.075</v>
      </c>
      <c r="CK46" s="14" t="s">
        <v>528</v>
      </c>
      <c r="CL46" s="14" t="s">
        <v>528</v>
      </c>
      <c r="CM46" s="14" t="s">
        <v>530</v>
      </c>
    </row>
    <row r="47" ht="16" spans="4:91">
      <c r="D47">
        <f t="shared" ref="D47:D65" si="8">D46</f>
        <v>2011</v>
      </c>
      <c r="E47" s="19"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14">
        <v>2011</v>
      </c>
      <c r="AR47" s="14" t="s">
        <v>195</v>
      </c>
      <c r="AS47" s="14">
        <v>0.075</v>
      </c>
      <c r="AT47" s="14" t="s">
        <v>528</v>
      </c>
      <c r="AU47" s="14"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14">
        <v>2011</v>
      </c>
      <c r="CH47" s="14" t="s">
        <v>195</v>
      </c>
      <c r="CI47" s="14">
        <v>0.075</v>
      </c>
      <c r="CJ47" s="14">
        <v>0.075</v>
      </c>
      <c r="CK47" s="14" t="s">
        <v>528</v>
      </c>
      <c r="CL47" s="14" t="s">
        <v>528</v>
      </c>
      <c r="CM47" s="14" t="s">
        <v>530</v>
      </c>
    </row>
    <row r="48" spans="4:91">
      <c r="D48">
        <f t="shared" si="8"/>
        <v>2011</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14">
        <v>2011</v>
      </c>
      <c r="AR48" s="14" t="s">
        <v>196</v>
      </c>
      <c r="AS48" s="14">
        <v>0.075</v>
      </c>
      <c r="AT48" s="14" t="s">
        <v>528</v>
      </c>
      <c r="AU48" s="14"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14">
        <v>2011</v>
      </c>
      <c r="CH48" s="14" t="s">
        <v>196</v>
      </c>
      <c r="CI48" s="14">
        <v>0.075</v>
      </c>
      <c r="CJ48" s="14">
        <v>0.075</v>
      </c>
      <c r="CK48" s="14" t="s">
        <v>528</v>
      </c>
      <c r="CL48" s="14" t="s">
        <v>528</v>
      </c>
      <c r="CM48" s="14" t="s">
        <v>530</v>
      </c>
    </row>
    <row r="49" spans="4:91">
      <c r="D49">
        <f t="shared" si="8"/>
        <v>2011</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14">
        <v>2011</v>
      </c>
      <c r="AR49" s="14" t="s">
        <v>198</v>
      </c>
      <c r="AS49" s="14">
        <v>0.075</v>
      </c>
      <c r="AT49" s="14" t="s">
        <v>528</v>
      </c>
      <c r="AU49" s="14"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14">
        <v>2011</v>
      </c>
      <c r="CH49" s="14" t="s">
        <v>198</v>
      </c>
      <c r="CI49" s="14">
        <v>0.075</v>
      </c>
      <c r="CJ49" s="14">
        <v>0.075</v>
      </c>
      <c r="CK49" s="14" t="s">
        <v>528</v>
      </c>
      <c r="CL49" s="14" t="s">
        <v>528</v>
      </c>
      <c r="CM49" s="14" t="s">
        <v>530</v>
      </c>
    </row>
    <row r="50" spans="4:91">
      <c r="D50">
        <f t="shared" si="8"/>
        <v>2011</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14">
        <v>2011</v>
      </c>
      <c r="AR50" s="14" t="s">
        <v>200</v>
      </c>
      <c r="AS50" s="14">
        <v>0.075</v>
      </c>
      <c r="AT50" s="14" t="s">
        <v>528</v>
      </c>
      <c r="AU50" s="14"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14">
        <v>2011</v>
      </c>
      <c r="CH50" s="14" t="s">
        <v>200</v>
      </c>
      <c r="CI50" s="14">
        <v>0.075</v>
      </c>
      <c r="CJ50" s="14">
        <v>0.075</v>
      </c>
      <c r="CK50" s="14" t="s">
        <v>528</v>
      </c>
      <c r="CL50" s="14" t="s">
        <v>528</v>
      </c>
      <c r="CM50" s="14" t="s">
        <v>530</v>
      </c>
    </row>
    <row r="51" spans="4:91">
      <c r="D51">
        <f t="shared" si="8"/>
        <v>2011</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14">
        <v>2011</v>
      </c>
      <c r="AR51" s="14" t="s">
        <v>202</v>
      </c>
      <c r="AS51" s="14">
        <v>0.075</v>
      </c>
      <c r="AT51" s="14" t="s">
        <v>528</v>
      </c>
      <c r="AU51" s="14"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14">
        <v>2011</v>
      </c>
      <c r="CH51" s="14" t="s">
        <v>202</v>
      </c>
      <c r="CI51" s="14">
        <v>0.075</v>
      </c>
      <c r="CJ51" s="14">
        <v>0.075</v>
      </c>
      <c r="CK51" s="14" t="s">
        <v>528</v>
      </c>
      <c r="CL51" s="14" t="s">
        <v>528</v>
      </c>
      <c r="CM51" s="14" t="s">
        <v>530</v>
      </c>
    </row>
    <row r="52" spans="4:91">
      <c r="D52">
        <f t="shared" si="8"/>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14">
        <v>2011</v>
      </c>
      <c r="AR52" s="14" t="s">
        <v>68</v>
      </c>
      <c r="AS52" s="14">
        <v>0.004</v>
      </c>
      <c r="AT52" s="14" t="s">
        <v>506</v>
      </c>
      <c r="AU52" s="14"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14">
        <v>2011</v>
      </c>
      <c r="CH52" s="14" t="s">
        <v>68</v>
      </c>
      <c r="CI52" s="14">
        <v>0.004</v>
      </c>
      <c r="CJ52" s="14">
        <v>0.003</v>
      </c>
      <c r="CK52" s="14" t="s">
        <v>532</v>
      </c>
      <c r="CL52" s="14" t="s">
        <v>533</v>
      </c>
      <c r="CM52" s="14"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14">
        <v>2011</v>
      </c>
      <c r="AR53" s="14" t="s">
        <v>90</v>
      </c>
      <c r="AS53" s="14">
        <v>0.004</v>
      </c>
      <c r="AT53" s="14" t="s">
        <v>506</v>
      </c>
      <c r="AU53" s="14"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14">
        <v>2011</v>
      </c>
      <c r="CH53" s="14" t="s">
        <v>90</v>
      </c>
      <c r="CI53" s="14">
        <v>0.004</v>
      </c>
      <c r="CJ53" s="14">
        <v>0.003</v>
      </c>
      <c r="CK53" s="14" t="s">
        <v>532</v>
      </c>
      <c r="CL53" s="14" t="s">
        <v>533</v>
      </c>
      <c r="CM53" s="14"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14">
        <v>2011</v>
      </c>
      <c r="AR54" s="14" t="s">
        <v>94</v>
      </c>
      <c r="AS54" s="14">
        <v>0.004</v>
      </c>
      <c r="AT54" s="14" t="s">
        <v>506</v>
      </c>
      <c r="AU54" s="14"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14">
        <v>2011</v>
      </c>
      <c r="CH54" s="14" t="s">
        <v>94</v>
      </c>
      <c r="CI54" s="14">
        <v>0.004</v>
      </c>
      <c r="CJ54" s="14">
        <v>0.003</v>
      </c>
      <c r="CK54" s="14" t="s">
        <v>532</v>
      </c>
      <c r="CL54" s="14" t="s">
        <v>533</v>
      </c>
      <c r="CM54" s="14"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14">
        <v>2011</v>
      </c>
      <c r="AR55" s="14" t="s">
        <v>86</v>
      </c>
      <c r="AS55" s="14">
        <v>0.004</v>
      </c>
      <c r="AT55" s="14" t="s">
        <v>506</v>
      </c>
      <c r="AU55" s="14"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14">
        <v>2011</v>
      </c>
      <c r="CH55" s="14" t="s">
        <v>86</v>
      </c>
      <c r="CI55" s="14">
        <v>0.004</v>
      </c>
      <c r="CJ55" s="14">
        <v>0.003</v>
      </c>
      <c r="CK55" s="14" t="s">
        <v>532</v>
      </c>
      <c r="CL55" s="14" t="s">
        <v>533</v>
      </c>
      <c r="CM55" s="14"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14">
        <v>2011</v>
      </c>
      <c r="AR56" s="14" t="s">
        <v>77</v>
      </c>
      <c r="AS56" s="14">
        <v>0.004</v>
      </c>
      <c r="AT56" s="14" t="s">
        <v>506</v>
      </c>
      <c r="AU56" s="14"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14">
        <v>2011</v>
      </c>
      <c r="CH56" s="14" t="s">
        <v>77</v>
      </c>
      <c r="CI56" s="14">
        <v>0.004</v>
      </c>
      <c r="CJ56" s="14">
        <v>0.003</v>
      </c>
      <c r="CK56" s="14" t="s">
        <v>532</v>
      </c>
      <c r="CL56" s="14" t="s">
        <v>533</v>
      </c>
      <c r="CM56" s="14"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14">
        <v>2011</v>
      </c>
      <c r="AR57" s="14" t="s">
        <v>73</v>
      </c>
      <c r="AS57" s="14">
        <v>0.004</v>
      </c>
      <c r="AT57" s="14" t="s">
        <v>506</v>
      </c>
      <c r="AU57" s="14"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14">
        <v>2011</v>
      </c>
      <c r="CH57" s="14" t="s">
        <v>73</v>
      </c>
      <c r="CI57" s="14">
        <v>0.004</v>
      </c>
      <c r="CJ57" s="14">
        <v>0.003</v>
      </c>
      <c r="CK57" s="14" t="s">
        <v>532</v>
      </c>
      <c r="CL57" s="14" t="s">
        <v>533</v>
      </c>
      <c r="CM57" s="14"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14">
        <v>2011</v>
      </c>
      <c r="AR58" s="14" t="s">
        <v>81</v>
      </c>
      <c r="AS58" s="14">
        <v>0.004</v>
      </c>
      <c r="AT58" s="14" t="s">
        <v>506</v>
      </c>
      <c r="AU58" s="14"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14">
        <v>2011</v>
      </c>
      <c r="CH58" s="14" t="s">
        <v>81</v>
      </c>
      <c r="CI58" s="14">
        <v>0.004</v>
      </c>
      <c r="CJ58" s="14">
        <v>0.003</v>
      </c>
      <c r="CK58" s="14" t="s">
        <v>532</v>
      </c>
      <c r="CL58" s="14" t="s">
        <v>533</v>
      </c>
      <c r="CM58" s="14"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14">
        <v>2011</v>
      </c>
      <c r="AR59" s="14" t="s">
        <v>69</v>
      </c>
      <c r="AS59" s="14">
        <v>0.004</v>
      </c>
      <c r="AT59" s="14" t="s">
        <v>506</v>
      </c>
      <c r="AU59" s="14"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14">
        <v>2011</v>
      </c>
      <c r="CH59" s="14" t="s">
        <v>69</v>
      </c>
      <c r="CI59" s="14">
        <v>0.004</v>
      </c>
      <c r="CJ59" s="14">
        <v>0.003</v>
      </c>
      <c r="CK59" s="14" t="s">
        <v>532</v>
      </c>
      <c r="CL59" s="14" t="s">
        <v>533</v>
      </c>
      <c r="CM59" s="14"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14">
        <v>2011</v>
      </c>
      <c r="AR60" s="14" t="s">
        <v>91</v>
      </c>
      <c r="AS60" s="14">
        <v>0.004</v>
      </c>
      <c r="AT60" s="14" t="s">
        <v>506</v>
      </c>
      <c r="AU60" s="14"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14">
        <v>2011</v>
      </c>
      <c r="CH60" s="14" t="s">
        <v>91</v>
      </c>
      <c r="CI60" s="14">
        <v>0.004</v>
      </c>
      <c r="CJ60" s="14">
        <v>0.003</v>
      </c>
      <c r="CK60" s="14" t="s">
        <v>532</v>
      </c>
      <c r="CL60" s="14" t="s">
        <v>533</v>
      </c>
      <c r="CM60" s="14"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14">
        <v>2011</v>
      </c>
      <c r="AR61" s="14" t="s">
        <v>95</v>
      </c>
      <c r="AS61" s="14">
        <v>0.004</v>
      </c>
      <c r="AT61" s="14" t="s">
        <v>506</v>
      </c>
      <c r="AU61" s="14"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14">
        <v>2011</v>
      </c>
      <c r="CH61" s="14" t="s">
        <v>95</v>
      </c>
      <c r="CI61" s="14">
        <v>0.004</v>
      </c>
      <c r="CJ61" s="14">
        <v>0.003</v>
      </c>
      <c r="CK61" s="14" t="s">
        <v>532</v>
      </c>
      <c r="CL61" s="14" t="s">
        <v>533</v>
      </c>
      <c r="CM61" s="14"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14">
        <v>2011</v>
      </c>
      <c r="AR62" s="14" t="s">
        <v>87</v>
      </c>
      <c r="AS62" s="14">
        <v>0.004</v>
      </c>
      <c r="AT62" s="14" t="s">
        <v>506</v>
      </c>
      <c r="AU62" s="14"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14">
        <v>2011</v>
      </c>
      <c r="CH62" s="14" t="s">
        <v>87</v>
      </c>
      <c r="CI62" s="14">
        <v>0.004</v>
      </c>
      <c r="CJ62" s="14">
        <v>0.003</v>
      </c>
      <c r="CK62" s="14" t="s">
        <v>532</v>
      </c>
      <c r="CL62" s="14" t="s">
        <v>533</v>
      </c>
      <c r="CM62" s="14"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14">
        <v>2011</v>
      </c>
      <c r="AR63" s="14" t="s">
        <v>78</v>
      </c>
      <c r="AS63" s="14">
        <v>0.004</v>
      </c>
      <c r="AT63" s="14" t="s">
        <v>506</v>
      </c>
      <c r="AU63" s="14"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14">
        <v>2011</v>
      </c>
      <c r="CH63" s="14" t="s">
        <v>78</v>
      </c>
      <c r="CI63" s="14">
        <v>0.004</v>
      </c>
      <c r="CJ63" s="14">
        <v>0.003</v>
      </c>
      <c r="CK63" s="14" t="s">
        <v>532</v>
      </c>
      <c r="CL63" s="14" t="s">
        <v>533</v>
      </c>
      <c r="CM63" s="14"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14">
        <v>2011</v>
      </c>
      <c r="AR64" s="14" t="s">
        <v>74</v>
      </c>
      <c r="AS64" s="14">
        <v>0.004</v>
      </c>
      <c r="AT64" s="14" t="s">
        <v>506</v>
      </c>
      <c r="AU64" s="14"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14">
        <v>2011</v>
      </c>
      <c r="CH64" s="14" t="s">
        <v>74</v>
      </c>
      <c r="CI64" s="14">
        <v>0.004</v>
      </c>
      <c r="CJ64" s="14">
        <v>0.003</v>
      </c>
      <c r="CK64" s="14" t="s">
        <v>532</v>
      </c>
      <c r="CL64" s="14" t="s">
        <v>533</v>
      </c>
      <c r="CM64" s="14"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14">
        <v>2011</v>
      </c>
      <c r="AR65" s="14" t="s">
        <v>82</v>
      </c>
      <c r="AS65" s="14">
        <v>0.004</v>
      </c>
      <c r="AT65" s="14" t="s">
        <v>506</v>
      </c>
      <c r="AU65" s="14"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14">
        <v>2011</v>
      </c>
      <c r="CH65" s="14" t="s">
        <v>82</v>
      </c>
      <c r="CI65" s="14">
        <v>0.004</v>
      </c>
      <c r="CJ65" s="14">
        <v>0.003</v>
      </c>
      <c r="CK65" s="14" t="s">
        <v>532</v>
      </c>
      <c r="CL65" s="14" t="s">
        <v>533</v>
      </c>
      <c r="CM65" s="14" t="s">
        <v>534</v>
      </c>
    </row>
    <row r="66" spans="4:91">
      <c r="D66">
        <v>2012</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14">
        <v>2012</v>
      </c>
      <c r="AR66" s="14" t="s">
        <v>189</v>
      </c>
      <c r="AS66" s="14">
        <v>0.08</v>
      </c>
      <c r="AT66" s="14" t="s">
        <v>528</v>
      </c>
      <c r="AU66" s="14"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14">
        <v>2012</v>
      </c>
      <c r="CH66" s="14" t="s">
        <v>189</v>
      </c>
      <c r="CI66" s="14">
        <v>0.08</v>
      </c>
      <c r="CJ66" s="14">
        <v>0.08</v>
      </c>
      <c r="CK66" s="14" t="s">
        <v>528</v>
      </c>
      <c r="CL66" s="14" t="s">
        <v>528</v>
      </c>
      <c r="CM66" s="14" t="s">
        <v>530</v>
      </c>
    </row>
    <row r="67" spans="4:91">
      <c r="D67">
        <f>D66</f>
        <v>2012</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14">
        <v>2012</v>
      </c>
      <c r="AR67" s="14" t="s">
        <v>191</v>
      </c>
      <c r="AS67" s="14">
        <v>0.08</v>
      </c>
      <c r="AT67" s="14" t="s">
        <v>528</v>
      </c>
      <c r="AU67" s="14" t="s">
        <v>529</v>
      </c>
      <c r="AV67" t="str">
        <f t="shared" ref="AV67:AV82"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14">
        <v>2012</v>
      </c>
      <c r="CH67" s="14" t="s">
        <v>191</v>
      </c>
      <c r="CI67" s="14">
        <v>0.08</v>
      </c>
      <c r="CJ67" s="14">
        <v>0.08</v>
      </c>
      <c r="CK67" s="14" t="s">
        <v>528</v>
      </c>
      <c r="CL67" s="14" t="s">
        <v>528</v>
      </c>
      <c r="CM67" s="14" t="s">
        <v>530</v>
      </c>
    </row>
    <row r="68" spans="4:91">
      <c r="D68">
        <f t="shared" ref="D68:D86" si="53">D67</f>
        <v>2012</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14">
        <v>2012</v>
      </c>
      <c r="AR68" s="14" t="s">
        <v>195</v>
      </c>
      <c r="AS68" s="14">
        <v>0.08</v>
      </c>
      <c r="AT68" s="14" t="s">
        <v>528</v>
      </c>
      <c r="AU68" s="14"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14">
        <v>2012</v>
      </c>
      <c r="CH68" s="14" t="s">
        <v>195</v>
      </c>
      <c r="CI68" s="14">
        <v>0.08</v>
      </c>
      <c r="CJ68" s="14">
        <v>0.08</v>
      </c>
      <c r="CK68" s="14" t="s">
        <v>528</v>
      </c>
      <c r="CL68" s="14" t="s">
        <v>528</v>
      </c>
      <c r="CM68" s="14" t="s">
        <v>530</v>
      </c>
    </row>
    <row r="69" spans="4:91">
      <c r="D69">
        <f t="shared" si="53"/>
        <v>2012</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14">
        <v>2012</v>
      </c>
      <c r="AR69" s="14" t="s">
        <v>196</v>
      </c>
      <c r="AS69" s="14">
        <v>0.08</v>
      </c>
      <c r="AT69" s="14" t="s">
        <v>528</v>
      </c>
      <c r="AU69" s="14"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14">
        <v>2012</v>
      </c>
      <c r="CH69" s="14" t="s">
        <v>196</v>
      </c>
      <c r="CI69" s="14">
        <v>0.08</v>
      </c>
      <c r="CJ69" s="14">
        <v>0.08</v>
      </c>
      <c r="CK69" s="14" t="s">
        <v>528</v>
      </c>
      <c r="CL69" s="14" t="s">
        <v>528</v>
      </c>
      <c r="CM69" s="14" t="s">
        <v>530</v>
      </c>
    </row>
    <row r="70" spans="4:91">
      <c r="D70">
        <f t="shared" si="53"/>
        <v>2012</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14">
        <v>2012</v>
      </c>
      <c r="AR70" s="14" t="s">
        <v>198</v>
      </c>
      <c r="AS70" s="14">
        <v>0.08</v>
      </c>
      <c r="AT70" s="14" t="s">
        <v>528</v>
      </c>
      <c r="AU70" s="14"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14">
        <v>2012</v>
      </c>
      <c r="CH70" s="14" t="s">
        <v>198</v>
      </c>
      <c r="CI70" s="14">
        <v>0.08</v>
      </c>
      <c r="CJ70" s="14">
        <v>0.08</v>
      </c>
      <c r="CK70" s="14" t="s">
        <v>528</v>
      </c>
      <c r="CL70" s="14" t="s">
        <v>528</v>
      </c>
      <c r="CM70" s="14" t="s">
        <v>530</v>
      </c>
    </row>
    <row r="71" spans="4:91">
      <c r="D71">
        <f t="shared" si="53"/>
        <v>2012</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14">
        <v>2012</v>
      </c>
      <c r="AR71" s="14" t="s">
        <v>200</v>
      </c>
      <c r="AS71" s="14">
        <v>0.08</v>
      </c>
      <c r="AT71" s="14" t="s">
        <v>528</v>
      </c>
      <c r="AU71" s="14"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14">
        <v>2012</v>
      </c>
      <c r="CH71" s="14" t="s">
        <v>200</v>
      </c>
      <c r="CI71" s="14">
        <v>0.08</v>
      </c>
      <c r="CJ71" s="14">
        <v>0.08</v>
      </c>
      <c r="CK71" s="14" t="s">
        <v>528</v>
      </c>
      <c r="CL71" s="14" t="s">
        <v>528</v>
      </c>
      <c r="CM71" s="14" t="s">
        <v>530</v>
      </c>
    </row>
    <row r="72" spans="4:91">
      <c r="D72">
        <f t="shared" si="53"/>
        <v>2012</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14">
        <v>2012</v>
      </c>
      <c r="AR72" s="14" t="s">
        <v>202</v>
      </c>
      <c r="AS72" s="14">
        <v>0.08</v>
      </c>
      <c r="AT72" s="14" t="s">
        <v>528</v>
      </c>
      <c r="AU72" s="14"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14">
        <v>2012</v>
      </c>
      <c r="CH72" s="14" t="s">
        <v>202</v>
      </c>
      <c r="CI72" s="14">
        <v>0.08</v>
      </c>
      <c r="CJ72" s="14">
        <v>0.08</v>
      </c>
      <c r="CK72" s="14" t="s">
        <v>528</v>
      </c>
      <c r="CL72" s="14" t="s">
        <v>528</v>
      </c>
      <c r="CM72" s="14" t="s">
        <v>530</v>
      </c>
    </row>
    <row r="73" spans="4:91">
      <c r="D73">
        <f t="shared" si="5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14">
        <v>2012</v>
      </c>
      <c r="AR73" s="14" t="s">
        <v>68</v>
      </c>
      <c r="AS73" s="14">
        <v>0.009</v>
      </c>
      <c r="AT73" s="14" t="s">
        <v>506</v>
      </c>
      <c r="AU73" s="14"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14">
        <v>2012</v>
      </c>
      <c r="CH73" s="14" t="s">
        <v>68</v>
      </c>
      <c r="CI73" s="14">
        <v>0.009</v>
      </c>
      <c r="CJ73" s="14">
        <v>0.007</v>
      </c>
      <c r="CK73" s="14" t="s">
        <v>532</v>
      </c>
      <c r="CL73" s="14" t="s">
        <v>533</v>
      </c>
      <c r="CM73" s="14"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14">
        <v>2012</v>
      </c>
      <c r="AR74" s="14" t="s">
        <v>90</v>
      </c>
      <c r="AS74" s="14">
        <v>0.009</v>
      </c>
      <c r="AT74" s="14" t="s">
        <v>506</v>
      </c>
      <c r="AU74" s="14"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14">
        <v>2012</v>
      </c>
      <c r="CH74" s="14" t="s">
        <v>90</v>
      </c>
      <c r="CI74" s="14">
        <v>0.009</v>
      </c>
      <c r="CJ74" s="14">
        <v>0.007</v>
      </c>
      <c r="CK74" s="14" t="s">
        <v>532</v>
      </c>
      <c r="CL74" s="14" t="s">
        <v>533</v>
      </c>
      <c r="CM74" s="14"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14">
        <v>2012</v>
      </c>
      <c r="AR75" s="14" t="s">
        <v>94</v>
      </c>
      <c r="AS75" s="14">
        <v>0.009</v>
      </c>
      <c r="AT75" s="14" t="s">
        <v>506</v>
      </c>
      <c r="AU75" s="14"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14">
        <v>2012</v>
      </c>
      <c r="CH75" s="14" t="s">
        <v>94</v>
      </c>
      <c r="CI75" s="14">
        <v>0.009</v>
      </c>
      <c r="CJ75" s="14">
        <v>0.007</v>
      </c>
      <c r="CK75" s="14" t="s">
        <v>532</v>
      </c>
      <c r="CL75" s="14" t="s">
        <v>533</v>
      </c>
      <c r="CM75" s="14"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14">
        <v>2012</v>
      </c>
      <c r="AR76" s="14" t="s">
        <v>86</v>
      </c>
      <c r="AS76" s="14">
        <v>0.009</v>
      </c>
      <c r="AT76" s="14" t="s">
        <v>506</v>
      </c>
      <c r="AU76" s="14"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14">
        <v>2012</v>
      </c>
      <c r="CH76" s="14" t="s">
        <v>86</v>
      </c>
      <c r="CI76" s="14">
        <v>0.009</v>
      </c>
      <c r="CJ76" s="14">
        <v>0.007</v>
      </c>
      <c r="CK76" s="14" t="s">
        <v>532</v>
      </c>
      <c r="CL76" s="14" t="s">
        <v>533</v>
      </c>
      <c r="CM76" s="14"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14">
        <v>2012</v>
      </c>
      <c r="AR77" s="14" t="s">
        <v>77</v>
      </c>
      <c r="AS77" s="14">
        <v>0.009</v>
      </c>
      <c r="AT77" s="14" t="s">
        <v>506</v>
      </c>
      <c r="AU77" s="14"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14">
        <v>2012</v>
      </c>
      <c r="CH77" s="14" t="s">
        <v>77</v>
      </c>
      <c r="CI77" s="14">
        <v>0.009</v>
      </c>
      <c r="CJ77" s="14">
        <v>0.007</v>
      </c>
      <c r="CK77" s="14" t="s">
        <v>532</v>
      </c>
      <c r="CL77" s="14" t="s">
        <v>533</v>
      </c>
      <c r="CM77" s="14"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14">
        <v>2012</v>
      </c>
      <c r="AR78" s="14" t="s">
        <v>73</v>
      </c>
      <c r="AS78" s="14">
        <v>0.009</v>
      </c>
      <c r="AT78" s="14" t="s">
        <v>506</v>
      </c>
      <c r="AU78" s="14"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14">
        <v>2012</v>
      </c>
      <c r="CH78" s="14" t="s">
        <v>73</v>
      </c>
      <c r="CI78" s="14">
        <v>0.009</v>
      </c>
      <c r="CJ78" s="14">
        <v>0.007</v>
      </c>
      <c r="CK78" s="14" t="s">
        <v>532</v>
      </c>
      <c r="CL78" s="14" t="s">
        <v>533</v>
      </c>
      <c r="CM78" s="14"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14">
        <v>2012</v>
      </c>
      <c r="AR79" s="14" t="s">
        <v>81</v>
      </c>
      <c r="AS79" s="14">
        <v>0.009</v>
      </c>
      <c r="AT79" s="14" t="s">
        <v>506</v>
      </c>
      <c r="AU79" s="14"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14">
        <v>2012</v>
      </c>
      <c r="CH79" s="14" t="s">
        <v>81</v>
      </c>
      <c r="CI79" s="14">
        <v>0.009</v>
      </c>
      <c r="CJ79" s="14">
        <v>0.007</v>
      </c>
      <c r="CK79" s="14" t="s">
        <v>532</v>
      </c>
      <c r="CL79" s="14" t="s">
        <v>533</v>
      </c>
      <c r="CM79" s="14"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14">
        <v>2012</v>
      </c>
      <c r="AR80" s="14" t="s">
        <v>69</v>
      </c>
      <c r="AS80" s="14">
        <v>0.009</v>
      </c>
      <c r="AT80" s="14" t="s">
        <v>506</v>
      </c>
      <c r="AU80" s="14"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14">
        <v>2012</v>
      </c>
      <c r="CH80" s="14" t="s">
        <v>69</v>
      </c>
      <c r="CI80" s="14">
        <v>0.009</v>
      </c>
      <c r="CJ80" s="14">
        <v>0.007</v>
      </c>
      <c r="CK80" s="14" t="s">
        <v>532</v>
      </c>
      <c r="CL80" s="14" t="s">
        <v>533</v>
      </c>
      <c r="CM80" s="14"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14">
        <v>2012</v>
      </c>
      <c r="AR81" s="14" t="s">
        <v>91</v>
      </c>
      <c r="AS81" s="14">
        <v>0.009</v>
      </c>
      <c r="AT81" s="14" t="s">
        <v>506</v>
      </c>
      <c r="AU81" s="14"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14">
        <v>2012</v>
      </c>
      <c r="CH81" s="14" t="s">
        <v>91</v>
      </c>
      <c r="CI81" s="14">
        <v>0.009</v>
      </c>
      <c r="CJ81" s="14">
        <v>0.007</v>
      </c>
      <c r="CK81" s="14" t="s">
        <v>532</v>
      </c>
      <c r="CL81" s="14" t="s">
        <v>533</v>
      </c>
      <c r="CM81" s="14"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14">
        <v>2012</v>
      </c>
      <c r="AR82" s="14" t="s">
        <v>95</v>
      </c>
      <c r="AS82" s="14">
        <v>0.009</v>
      </c>
      <c r="AT82" s="14" t="s">
        <v>506</v>
      </c>
      <c r="AU82" s="14"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14">
        <v>2012</v>
      </c>
      <c r="CH82" s="14" t="s">
        <v>95</v>
      </c>
      <c r="CI82" s="14">
        <v>0.009</v>
      </c>
      <c r="CJ82" s="14">
        <v>0.007</v>
      </c>
      <c r="CK82" s="14" t="s">
        <v>532</v>
      </c>
      <c r="CL82" s="14" t="s">
        <v>533</v>
      </c>
      <c r="CM82" s="14"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14">
        <v>2012</v>
      </c>
      <c r="AR83" s="14" t="s">
        <v>87</v>
      </c>
      <c r="AS83" s="14">
        <v>0.009</v>
      </c>
      <c r="AT83" s="14" t="s">
        <v>506</v>
      </c>
      <c r="AU83" s="14" t="s">
        <v>531</v>
      </c>
      <c r="AV83" t="str">
        <f>AV62</f>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14">
        <v>2012</v>
      </c>
      <c r="CH83" s="14" t="s">
        <v>87</v>
      </c>
      <c r="CI83" s="14">
        <v>0.009</v>
      </c>
      <c r="CJ83" s="14">
        <v>0.007</v>
      </c>
      <c r="CK83" s="14" t="s">
        <v>532</v>
      </c>
      <c r="CL83" s="14" t="s">
        <v>533</v>
      </c>
      <c r="CM83" s="14"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14">
        <v>2012</v>
      </c>
      <c r="AR84" s="14" t="s">
        <v>78</v>
      </c>
      <c r="AS84" s="14">
        <v>0.009</v>
      </c>
      <c r="AT84" s="14" t="s">
        <v>506</v>
      </c>
      <c r="AU84" s="14" t="s">
        <v>531</v>
      </c>
      <c r="AV84" t="str">
        <f>AV63</f>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14">
        <v>2012</v>
      </c>
      <c r="CH84" s="14" t="s">
        <v>78</v>
      </c>
      <c r="CI84" s="14">
        <v>0.009</v>
      </c>
      <c r="CJ84" s="14">
        <v>0.007</v>
      </c>
      <c r="CK84" s="14" t="s">
        <v>532</v>
      </c>
      <c r="CL84" s="14" t="s">
        <v>533</v>
      </c>
      <c r="CM84" s="14"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14">
        <v>2012</v>
      </c>
      <c r="AR85" s="14" t="s">
        <v>74</v>
      </c>
      <c r="AS85" s="14">
        <v>0.009</v>
      </c>
      <c r="AT85" s="14" t="s">
        <v>506</v>
      </c>
      <c r="AU85" s="14" t="s">
        <v>531</v>
      </c>
      <c r="AV85" t="str">
        <f>AV64</f>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14">
        <v>2012</v>
      </c>
      <c r="CH85" s="14" t="s">
        <v>74</v>
      </c>
      <c r="CI85" s="14">
        <v>0.009</v>
      </c>
      <c r="CJ85" s="14">
        <v>0.007</v>
      </c>
      <c r="CK85" s="14" t="s">
        <v>532</v>
      </c>
      <c r="CL85" s="14" t="s">
        <v>533</v>
      </c>
      <c r="CM85" s="14"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14">
        <v>2012</v>
      </c>
      <c r="AR86" s="14" t="s">
        <v>82</v>
      </c>
      <c r="AS86" s="14">
        <v>0.009</v>
      </c>
      <c r="AT86" s="14" t="s">
        <v>506</v>
      </c>
      <c r="AU86" s="14" t="s">
        <v>531</v>
      </c>
      <c r="AV86" t="str">
        <f>AV65</f>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14">
        <v>2012</v>
      </c>
      <c r="CH86" s="14" t="s">
        <v>82</v>
      </c>
      <c r="CI86" s="14">
        <v>0.009</v>
      </c>
      <c r="CJ86" s="14">
        <v>0.007</v>
      </c>
      <c r="CK86" s="14" t="s">
        <v>532</v>
      </c>
      <c r="CL86" s="14" t="s">
        <v>533</v>
      </c>
      <c r="CM86" s="14" t="s">
        <v>534</v>
      </c>
    </row>
    <row r="87" spans="4:91">
      <c r="D87">
        <v>2013</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14">
        <v>2013</v>
      </c>
      <c r="AR87" s="14" t="s">
        <v>189</v>
      </c>
      <c r="AS87" s="14">
        <v>0.085</v>
      </c>
      <c r="AT87" s="14" t="s">
        <v>528</v>
      </c>
      <c r="AU87" s="14"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14">
        <v>2013</v>
      </c>
      <c r="CH87" s="14" t="s">
        <v>189</v>
      </c>
      <c r="CI87" s="14">
        <v>0.085</v>
      </c>
      <c r="CJ87" s="14">
        <v>0.085</v>
      </c>
      <c r="CK87" s="14" t="s">
        <v>528</v>
      </c>
      <c r="CL87" s="14" t="s">
        <v>528</v>
      </c>
      <c r="CM87" s="14" t="s">
        <v>530</v>
      </c>
    </row>
    <row r="88" spans="4:91">
      <c r="D88">
        <f>D87</f>
        <v>2013</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14">
        <v>2013</v>
      </c>
      <c r="AR88" s="14" t="s">
        <v>191</v>
      </c>
      <c r="AS88" s="14">
        <v>0.085</v>
      </c>
      <c r="AT88" s="14" t="s">
        <v>528</v>
      </c>
      <c r="AU88" s="14"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14">
        <v>2013</v>
      </c>
      <c r="CH88" s="14" t="s">
        <v>191</v>
      </c>
      <c r="CI88" s="14">
        <v>0.085</v>
      </c>
      <c r="CJ88" s="14">
        <v>0.085</v>
      </c>
      <c r="CK88" s="14" t="s">
        <v>528</v>
      </c>
      <c r="CL88" s="14" t="s">
        <v>528</v>
      </c>
      <c r="CM88" s="14" t="s">
        <v>530</v>
      </c>
    </row>
    <row r="89" ht="16" spans="4:91">
      <c r="D89">
        <f t="shared" ref="D89:D107" si="109">D88</f>
        <v>2013</v>
      </c>
      <c r="E89" s="19"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14">
        <v>2013</v>
      </c>
      <c r="AR89" s="14" t="s">
        <v>195</v>
      </c>
      <c r="AS89" s="14">
        <v>0.085</v>
      </c>
      <c r="AT89" s="14" t="s">
        <v>528</v>
      </c>
      <c r="AU89" s="14"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14">
        <v>2013</v>
      </c>
      <c r="CH89" s="14" t="s">
        <v>195</v>
      </c>
      <c r="CI89" s="14">
        <v>0.085</v>
      </c>
      <c r="CJ89" s="14">
        <v>0.085</v>
      </c>
      <c r="CK89" s="14" t="s">
        <v>528</v>
      </c>
      <c r="CL89" s="14" t="s">
        <v>528</v>
      </c>
      <c r="CM89" s="14" t="s">
        <v>530</v>
      </c>
    </row>
    <row r="90" spans="4:91">
      <c r="D90">
        <f t="shared" si="109"/>
        <v>2013</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14">
        <v>2013</v>
      </c>
      <c r="AR90" s="14" t="s">
        <v>196</v>
      </c>
      <c r="AS90" s="14">
        <v>0.085</v>
      </c>
      <c r="AT90" s="14" t="s">
        <v>528</v>
      </c>
      <c r="AU90" s="14"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14">
        <v>2013</v>
      </c>
      <c r="CH90" s="14" t="s">
        <v>196</v>
      </c>
      <c r="CI90" s="14">
        <v>0.085</v>
      </c>
      <c r="CJ90" s="14">
        <v>0.085</v>
      </c>
      <c r="CK90" s="14" t="s">
        <v>528</v>
      </c>
      <c r="CL90" s="14" t="s">
        <v>528</v>
      </c>
      <c r="CM90" s="14" t="s">
        <v>530</v>
      </c>
    </row>
    <row r="91" spans="4:91">
      <c r="D91">
        <f t="shared" si="109"/>
        <v>2013</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14">
        <v>2013</v>
      </c>
      <c r="AR91" s="14" t="s">
        <v>198</v>
      </c>
      <c r="AS91" s="14">
        <v>0.085</v>
      </c>
      <c r="AT91" s="14" t="s">
        <v>528</v>
      </c>
      <c r="AU91" s="14"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14">
        <v>2013</v>
      </c>
      <c r="CH91" s="14" t="s">
        <v>198</v>
      </c>
      <c r="CI91" s="14">
        <v>0.085</v>
      </c>
      <c r="CJ91" s="14">
        <v>0.085</v>
      </c>
      <c r="CK91" s="14" t="s">
        <v>528</v>
      </c>
      <c r="CL91" s="14" t="s">
        <v>528</v>
      </c>
      <c r="CM91" s="14" t="s">
        <v>530</v>
      </c>
    </row>
    <row r="92" spans="4:91">
      <c r="D92">
        <f t="shared" si="109"/>
        <v>2013</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14">
        <v>2013</v>
      </c>
      <c r="AR92" s="14" t="s">
        <v>200</v>
      </c>
      <c r="AS92" s="14">
        <v>0.085</v>
      </c>
      <c r="AT92" s="14" t="s">
        <v>528</v>
      </c>
      <c r="AU92" s="14"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14">
        <v>2013</v>
      </c>
      <c r="CH92" s="14" t="s">
        <v>200</v>
      </c>
      <c r="CI92" s="14">
        <v>0.085</v>
      </c>
      <c r="CJ92" s="14">
        <v>0.085</v>
      </c>
      <c r="CK92" s="14" t="s">
        <v>528</v>
      </c>
      <c r="CL92" s="14" t="s">
        <v>528</v>
      </c>
      <c r="CM92" s="14" t="s">
        <v>530</v>
      </c>
    </row>
    <row r="93" spans="4:91">
      <c r="D93">
        <f t="shared" si="109"/>
        <v>2013</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14">
        <v>2013</v>
      </c>
      <c r="AR93" s="14" t="s">
        <v>202</v>
      </c>
      <c r="AS93" s="14">
        <v>0.085</v>
      </c>
      <c r="AT93" s="14" t="s">
        <v>528</v>
      </c>
      <c r="AU93" s="14"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14">
        <v>2013</v>
      </c>
      <c r="CH93" s="14" t="s">
        <v>202</v>
      </c>
      <c r="CI93" s="14">
        <v>0.085</v>
      </c>
      <c r="CJ93" s="14">
        <v>0.085</v>
      </c>
      <c r="CK93" s="14" t="s">
        <v>528</v>
      </c>
      <c r="CL93" s="14" t="s">
        <v>528</v>
      </c>
      <c r="CM93" s="14" t="s">
        <v>530</v>
      </c>
    </row>
    <row r="94" spans="4:91">
      <c r="D94">
        <f t="shared" si="109"/>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14">
        <v>2013</v>
      </c>
      <c r="AR94" s="14" t="s">
        <v>68</v>
      </c>
      <c r="AS94" s="14">
        <v>0.017</v>
      </c>
      <c r="AT94" s="14" t="s">
        <v>506</v>
      </c>
      <c r="AU94" s="14"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14">
        <v>2013</v>
      </c>
      <c r="CH94" s="14" t="s">
        <v>68</v>
      </c>
      <c r="CI94" s="14">
        <v>0.017</v>
      </c>
      <c r="CJ94" s="14">
        <v>0.018</v>
      </c>
      <c r="CK94" s="14" t="s">
        <v>532</v>
      </c>
      <c r="CL94" s="14" t="s">
        <v>533</v>
      </c>
      <c r="CM94" s="14"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14">
        <v>2013</v>
      </c>
      <c r="AR95" s="14" t="s">
        <v>90</v>
      </c>
      <c r="AS95" s="14">
        <v>0.017</v>
      </c>
      <c r="AT95" s="14" t="s">
        <v>506</v>
      </c>
      <c r="AU95" s="14"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14">
        <v>2013</v>
      </c>
      <c r="CH95" s="14" t="s">
        <v>90</v>
      </c>
      <c r="CI95" s="14">
        <v>0.017</v>
      </c>
      <c r="CJ95" s="14">
        <v>0.018</v>
      </c>
      <c r="CK95" s="14" t="s">
        <v>532</v>
      </c>
      <c r="CL95" s="14" t="s">
        <v>533</v>
      </c>
      <c r="CM95" s="14"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14">
        <v>2013</v>
      </c>
      <c r="AR96" s="14" t="s">
        <v>94</v>
      </c>
      <c r="AS96" s="14">
        <v>0.017</v>
      </c>
      <c r="AT96" s="14" t="s">
        <v>506</v>
      </c>
      <c r="AU96" s="14"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14">
        <v>2013</v>
      </c>
      <c r="CH96" s="14" t="s">
        <v>94</v>
      </c>
      <c r="CI96" s="14">
        <v>0.017</v>
      </c>
      <c r="CJ96" s="14">
        <v>0.018</v>
      </c>
      <c r="CK96" s="14" t="s">
        <v>532</v>
      </c>
      <c r="CL96" s="14" t="s">
        <v>533</v>
      </c>
      <c r="CM96" s="14"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14">
        <v>2013</v>
      </c>
      <c r="AR97" s="14" t="s">
        <v>86</v>
      </c>
      <c r="AS97" s="14">
        <v>0.017</v>
      </c>
      <c r="AT97" s="14" t="s">
        <v>506</v>
      </c>
      <c r="AU97" s="14"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14">
        <v>2013</v>
      </c>
      <c r="CH97" s="14" t="s">
        <v>86</v>
      </c>
      <c r="CI97" s="14">
        <v>0.017</v>
      </c>
      <c r="CJ97" s="14">
        <v>0.018</v>
      </c>
      <c r="CK97" s="14" t="s">
        <v>532</v>
      </c>
      <c r="CL97" s="14" t="s">
        <v>533</v>
      </c>
      <c r="CM97" s="14"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14">
        <v>2013</v>
      </c>
      <c r="AR98" s="14" t="s">
        <v>77</v>
      </c>
      <c r="AS98" s="14">
        <v>0.017</v>
      </c>
      <c r="AT98" s="14" t="s">
        <v>506</v>
      </c>
      <c r="AU98" s="14"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14">
        <v>2013</v>
      </c>
      <c r="CH98" s="14" t="s">
        <v>77</v>
      </c>
      <c r="CI98" s="14">
        <v>0.017</v>
      </c>
      <c r="CJ98" s="14">
        <v>0.018</v>
      </c>
      <c r="CK98" s="14" t="s">
        <v>532</v>
      </c>
      <c r="CL98" s="14" t="s">
        <v>533</v>
      </c>
      <c r="CM98" s="14"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14">
        <v>2013</v>
      </c>
      <c r="AR99" s="14" t="s">
        <v>73</v>
      </c>
      <c r="AS99" s="14">
        <v>0.017</v>
      </c>
      <c r="AT99" s="14" t="s">
        <v>506</v>
      </c>
      <c r="AU99" s="14"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14">
        <v>2013</v>
      </c>
      <c r="CH99" s="14" t="s">
        <v>73</v>
      </c>
      <c r="CI99" s="14">
        <v>0.017</v>
      </c>
      <c r="CJ99" s="14">
        <v>0.018</v>
      </c>
      <c r="CK99" s="14" t="s">
        <v>532</v>
      </c>
      <c r="CL99" s="14" t="s">
        <v>533</v>
      </c>
      <c r="CM99" s="14"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14">
        <v>2013</v>
      </c>
      <c r="AR100" s="14" t="s">
        <v>81</v>
      </c>
      <c r="AS100" s="14">
        <v>0.017</v>
      </c>
      <c r="AT100" s="14" t="s">
        <v>506</v>
      </c>
      <c r="AU100" s="14"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14">
        <v>2013</v>
      </c>
      <c r="CH100" s="14" t="s">
        <v>81</v>
      </c>
      <c r="CI100" s="14">
        <v>0.017</v>
      </c>
      <c r="CJ100" s="14">
        <v>0.018</v>
      </c>
      <c r="CK100" s="14" t="s">
        <v>532</v>
      </c>
      <c r="CL100" s="14" t="s">
        <v>533</v>
      </c>
      <c r="CM100" s="14"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14">
        <v>2013</v>
      </c>
      <c r="AR101" s="14" t="s">
        <v>69</v>
      </c>
      <c r="AS101" s="14">
        <v>0.017</v>
      </c>
      <c r="AT101" s="14" t="s">
        <v>506</v>
      </c>
      <c r="AU101" s="14"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14">
        <v>2013</v>
      </c>
      <c r="CH101" s="14" t="s">
        <v>69</v>
      </c>
      <c r="CI101" s="14">
        <v>0.017</v>
      </c>
      <c r="CJ101" s="14">
        <v>0.018</v>
      </c>
      <c r="CK101" s="14" t="s">
        <v>532</v>
      </c>
      <c r="CL101" s="14" t="s">
        <v>533</v>
      </c>
      <c r="CM101" s="14"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14">
        <v>2013</v>
      </c>
      <c r="AR102" s="14" t="s">
        <v>91</v>
      </c>
      <c r="AS102" s="14">
        <v>0.017</v>
      </c>
      <c r="AT102" s="14" t="s">
        <v>506</v>
      </c>
      <c r="AU102" s="14"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14">
        <v>2013</v>
      </c>
      <c r="CH102" s="14" t="s">
        <v>91</v>
      </c>
      <c r="CI102" s="14">
        <v>0.017</v>
      </c>
      <c r="CJ102" s="14">
        <v>0.018</v>
      </c>
      <c r="CK102" s="14" t="s">
        <v>532</v>
      </c>
      <c r="CL102" s="14" t="s">
        <v>533</v>
      </c>
      <c r="CM102" s="14"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14">
        <v>2013</v>
      </c>
      <c r="AR103" s="14" t="s">
        <v>95</v>
      </c>
      <c r="AS103" s="14">
        <v>0.017</v>
      </c>
      <c r="AT103" s="14" t="s">
        <v>506</v>
      </c>
      <c r="AU103" s="14"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14">
        <v>2013</v>
      </c>
      <c r="CH103" s="14" t="s">
        <v>95</v>
      </c>
      <c r="CI103" s="14">
        <v>0.017</v>
      </c>
      <c r="CJ103" s="14">
        <v>0.018</v>
      </c>
      <c r="CK103" s="14" t="s">
        <v>532</v>
      </c>
      <c r="CL103" s="14" t="s">
        <v>533</v>
      </c>
      <c r="CM103" s="14"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14">
        <v>2013</v>
      </c>
      <c r="AR104" s="14" t="s">
        <v>87</v>
      </c>
      <c r="AS104" s="14">
        <v>0.017</v>
      </c>
      <c r="AT104" s="14" t="s">
        <v>506</v>
      </c>
      <c r="AU104" s="14"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14">
        <v>2013</v>
      </c>
      <c r="CH104" s="14" t="s">
        <v>87</v>
      </c>
      <c r="CI104" s="14">
        <v>0.017</v>
      </c>
      <c r="CJ104" s="14">
        <v>0.018</v>
      </c>
      <c r="CK104" s="14" t="s">
        <v>532</v>
      </c>
      <c r="CL104" s="14" t="s">
        <v>533</v>
      </c>
      <c r="CM104" s="14"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14">
        <v>2013</v>
      </c>
      <c r="AR105" s="14" t="s">
        <v>78</v>
      </c>
      <c r="AS105" s="14">
        <v>0.017</v>
      </c>
      <c r="AT105" s="14" t="s">
        <v>506</v>
      </c>
      <c r="AU105" s="14"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14">
        <v>2013</v>
      </c>
      <c r="CH105" s="14" t="s">
        <v>78</v>
      </c>
      <c r="CI105" s="14">
        <v>0.017</v>
      </c>
      <c r="CJ105" s="14">
        <v>0.018</v>
      </c>
      <c r="CK105" s="14" t="s">
        <v>532</v>
      </c>
      <c r="CL105" s="14" t="s">
        <v>533</v>
      </c>
      <c r="CM105" s="14"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14">
        <v>2013</v>
      </c>
      <c r="AR106" s="14" t="s">
        <v>74</v>
      </c>
      <c r="AS106" s="14">
        <v>0.017</v>
      </c>
      <c r="AT106" s="14" t="s">
        <v>506</v>
      </c>
      <c r="AU106" s="14"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14">
        <v>2013</v>
      </c>
      <c r="CH106" s="14" t="s">
        <v>74</v>
      </c>
      <c r="CI106" s="14">
        <v>0.017</v>
      </c>
      <c r="CJ106" s="14">
        <v>0.018</v>
      </c>
      <c r="CK106" s="14" t="s">
        <v>532</v>
      </c>
      <c r="CL106" s="14" t="s">
        <v>533</v>
      </c>
      <c r="CM106" s="14"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14">
        <v>2013</v>
      </c>
      <c r="AR107" s="14" t="s">
        <v>82</v>
      </c>
      <c r="AS107" s="14">
        <v>0.017</v>
      </c>
      <c r="AT107" s="14" t="s">
        <v>506</v>
      </c>
      <c r="AU107" s="14"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14">
        <v>2013</v>
      </c>
      <c r="CH107" s="14" t="s">
        <v>82</v>
      </c>
      <c r="CI107" s="14">
        <v>0.017</v>
      </c>
      <c r="CJ107" s="14">
        <v>0.018</v>
      </c>
      <c r="CK107" s="14" t="s">
        <v>532</v>
      </c>
      <c r="CL107" s="14" t="s">
        <v>533</v>
      </c>
      <c r="CM107" s="14" t="s">
        <v>534</v>
      </c>
    </row>
    <row r="108" spans="4:91">
      <c r="D108">
        <v>2014</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14">
        <v>2014</v>
      </c>
      <c r="AR108" s="14" t="s">
        <v>189</v>
      </c>
      <c r="AS108" s="14">
        <v>0.09</v>
      </c>
      <c r="AT108" s="14" t="s">
        <v>528</v>
      </c>
      <c r="AU108" s="14"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14">
        <v>2014</v>
      </c>
      <c r="CH108" s="14" t="s">
        <v>189</v>
      </c>
      <c r="CI108" s="14">
        <v>0.09</v>
      </c>
      <c r="CJ108" s="14">
        <v>0.09</v>
      </c>
      <c r="CK108" s="14" t="s">
        <v>528</v>
      </c>
      <c r="CL108" s="14" t="s">
        <v>528</v>
      </c>
      <c r="CM108" s="14" t="s">
        <v>530</v>
      </c>
    </row>
    <row r="109" spans="4:91">
      <c r="D109">
        <f>D108</f>
        <v>2014</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14">
        <v>2014</v>
      </c>
      <c r="AR109" s="14" t="s">
        <v>191</v>
      </c>
      <c r="AS109" s="14">
        <v>0.09</v>
      </c>
      <c r="AT109" s="14" t="s">
        <v>528</v>
      </c>
      <c r="AU109" s="14"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14">
        <v>2014</v>
      </c>
      <c r="CH109" s="14" t="s">
        <v>191</v>
      </c>
      <c r="CI109" s="14">
        <v>0.09</v>
      </c>
      <c r="CJ109" s="14">
        <v>0.09</v>
      </c>
      <c r="CK109" s="14" t="s">
        <v>528</v>
      </c>
      <c r="CL109" s="14" t="s">
        <v>528</v>
      </c>
      <c r="CM109" s="14" t="s">
        <v>530</v>
      </c>
    </row>
    <row r="110" ht="16" spans="4:91">
      <c r="D110">
        <f t="shared" ref="D110:D128" si="110">D109</f>
        <v>2014</v>
      </c>
      <c r="E110" s="19"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14">
        <v>2014</v>
      </c>
      <c r="AR110" s="14" t="s">
        <v>195</v>
      </c>
      <c r="AS110" s="14">
        <v>0.09</v>
      </c>
      <c r="AT110" s="14" t="s">
        <v>528</v>
      </c>
      <c r="AU110" s="14"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14">
        <v>2014</v>
      </c>
      <c r="CH110" s="14" t="s">
        <v>195</v>
      </c>
      <c r="CI110" s="14">
        <v>0.09</v>
      </c>
      <c r="CJ110" s="14">
        <v>0.09</v>
      </c>
      <c r="CK110" s="14" t="s">
        <v>528</v>
      </c>
      <c r="CL110" s="14" t="s">
        <v>528</v>
      </c>
      <c r="CM110" s="14" t="s">
        <v>530</v>
      </c>
    </row>
    <row r="111" spans="4:91">
      <c r="D111">
        <f t="shared" si="110"/>
        <v>2014</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14">
        <v>2014</v>
      </c>
      <c r="AR111" s="14" t="s">
        <v>196</v>
      </c>
      <c r="AS111" s="14">
        <v>0.09</v>
      </c>
      <c r="AT111" s="14" t="s">
        <v>528</v>
      </c>
      <c r="AU111" s="14"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14">
        <v>2014</v>
      </c>
      <c r="CH111" s="14" t="s">
        <v>196</v>
      </c>
      <c r="CI111" s="14">
        <v>0.09</v>
      </c>
      <c r="CJ111" s="14">
        <v>0.09</v>
      </c>
      <c r="CK111" s="14" t="s">
        <v>528</v>
      </c>
      <c r="CL111" s="14" t="s">
        <v>528</v>
      </c>
      <c r="CM111" s="14" t="s">
        <v>530</v>
      </c>
    </row>
    <row r="112" spans="4:91">
      <c r="D112">
        <f t="shared" si="110"/>
        <v>2014</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14">
        <v>2014</v>
      </c>
      <c r="AR112" s="14" t="s">
        <v>198</v>
      </c>
      <c r="AS112" s="14">
        <v>0.09</v>
      </c>
      <c r="AT112" s="14" t="s">
        <v>528</v>
      </c>
      <c r="AU112" s="14"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14">
        <v>2014</v>
      </c>
      <c r="CH112" s="14" t="s">
        <v>198</v>
      </c>
      <c r="CI112" s="14">
        <v>0.09</v>
      </c>
      <c r="CJ112" s="14">
        <v>0.09</v>
      </c>
      <c r="CK112" s="14" t="s">
        <v>528</v>
      </c>
      <c r="CL112" s="14" t="s">
        <v>528</v>
      </c>
      <c r="CM112" s="14" t="s">
        <v>530</v>
      </c>
    </row>
    <row r="113" spans="4:91">
      <c r="D113">
        <f t="shared" si="110"/>
        <v>2014</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14">
        <v>2014</v>
      </c>
      <c r="AR113" s="14" t="s">
        <v>200</v>
      </c>
      <c r="AS113" s="14">
        <v>0.09</v>
      </c>
      <c r="AT113" s="14" t="s">
        <v>528</v>
      </c>
      <c r="AU113" s="14"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14">
        <v>2014</v>
      </c>
      <c r="CH113" s="14" t="s">
        <v>200</v>
      </c>
      <c r="CI113" s="14">
        <v>0.09</v>
      </c>
      <c r="CJ113" s="14">
        <v>0.09</v>
      </c>
      <c r="CK113" s="14" t="s">
        <v>528</v>
      </c>
      <c r="CL113" s="14" t="s">
        <v>528</v>
      </c>
      <c r="CM113" s="14" t="s">
        <v>530</v>
      </c>
    </row>
    <row r="114" spans="4:91">
      <c r="D114">
        <f t="shared" si="110"/>
        <v>2014</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14">
        <v>2014</v>
      </c>
      <c r="AR114" s="14" t="s">
        <v>202</v>
      </c>
      <c r="AS114" s="14">
        <v>0.09</v>
      </c>
      <c r="AT114" s="14" t="s">
        <v>528</v>
      </c>
      <c r="AU114" s="14"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14">
        <v>2014</v>
      </c>
      <c r="CH114" s="14" t="s">
        <v>202</v>
      </c>
      <c r="CI114" s="14">
        <v>0.09</v>
      </c>
      <c r="CJ114" s="14">
        <v>0.09</v>
      </c>
      <c r="CK114" s="14" t="s">
        <v>528</v>
      </c>
      <c r="CL114" s="14" t="s">
        <v>528</v>
      </c>
      <c r="CM114" s="14" t="s">
        <v>530</v>
      </c>
    </row>
    <row r="115" spans="4:91">
      <c r="D115">
        <f t="shared" si="110"/>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14">
        <v>2014</v>
      </c>
      <c r="AR115" s="14" t="s">
        <v>68</v>
      </c>
      <c r="AS115" s="14">
        <v>0.029</v>
      </c>
      <c r="AT115" s="14" t="s">
        <v>506</v>
      </c>
      <c r="AU115" s="14"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14">
        <v>2014</v>
      </c>
      <c r="CH115" s="14" t="s">
        <v>68</v>
      </c>
      <c r="CI115" s="14">
        <v>0.029</v>
      </c>
      <c r="CJ115" s="14">
        <v>0.042</v>
      </c>
      <c r="CK115" s="14" t="s">
        <v>532</v>
      </c>
      <c r="CL115" s="14" t="s">
        <v>533</v>
      </c>
      <c r="CM115" s="14"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14">
        <v>2014</v>
      </c>
      <c r="AR116" s="14" t="s">
        <v>90</v>
      </c>
      <c r="AS116" s="14">
        <v>0.029</v>
      </c>
      <c r="AT116" s="14" t="s">
        <v>506</v>
      </c>
      <c r="AU116" s="14"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14">
        <v>2014</v>
      </c>
      <c r="CH116" s="14" t="s">
        <v>90</v>
      </c>
      <c r="CI116" s="14">
        <v>0.029</v>
      </c>
      <c r="CJ116" s="14">
        <v>0.042</v>
      </c>
      <c r="CK116" s="14" t="s">
        <v>532</v>
      </c>
      <c r="CL116" s="14" t="s">
        <v>533</v>
      </c>
      <c r="CM116" s="14"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14">
        <v>2014</v>
      </c>
      <c r="AR117" s="14" t="s">
        <v>94</v>
      </c>
      <c r="AS117" s="14">
        <v>0.029</v>
      </c>
      <c r="AT117" s="14" t="s">
        <v>506</v>
      </c>
      <c r="AU117" s="14"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14">
        <v>2014</v>
      </c>
      <c r="CH117" s="14" t="s">
        <v>94</v>
      </c>
      <c r="CI117" s="14">
        <v>0.029</v>
      </c>
      <c r="CJ117" s="14">
        <v>0.042</v>
      </c>
      <c r="CK117" s="14" t="s">
        <v>532</v>
      </c>
      <c r="CL117" s="14" t="s">
        <v>533</v>
      </c>
      <c r="CM117" s="14"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14">
        <v>2014</v>
      </c>
      <c r="AR118" s="14" t="s">
        <v>86</v>
      </c>
      <c r="AS118" s="14">
        <v>0.029</v>
      </c>
      <c r="AT118" s="14" t="s">
        <v>506</v>
      </c>
      <c r="AU118" s="14"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14">
        <v>2014</v>
      </c>
      <c r="CH118" s="14" t="s">
        <v>86</v>
      </c>
      <c r="CI118" s="14">
        <v>0.029</v>
      </c>
      <c r="CJ118" s="14">
        <v>0.042</v>
      </c>
      <c r="CK118" s="14" t="s">
        <v>532</v>
      </c>
      <c r="CL118" s="14" t="s">
        <v>533</v>
      </c>
      <c r="CM118" s="14"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14">
        <v>2014</v>
      </c>
      <c r="AR119" s="14" t="s">
        <v>77</v>
      </c>
      <c r="AS119" s="14">
        <v>0.029</v>
      </c>
      <c r="AT119" s="14" t="s">
        <v>506</v>
      </c>
      <c r="AU119" s="14"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14">
        <v>2014</v>
      </c>
      <c r="CH119" s="14" t="s">
        <v>77</v>
      </c>
      <c r="CI119" s="14">
        <v>0.029</v>
      </c>
      <c r="CJ119" s="14">
        <v>0.042</v>
      </c>
      <c r="CK119" s="14" t="s">
        <v>532</v>
      </c>
      <c r="CL119" s="14" t="s">
        <v>533</v>
      </c>
      <c r="CM119" s="14"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14">
        <v>2014</v>
      </c>
      <c r="AR120" s="14" t="s">
        <v>73</v>
      </c>
      <c r="AS120" s="14">
        <v>0.029</v>
      </c>
      <c r="AT120" s="14" t="s">
        <v>506</v>
      </c>
      <c r="AU120" s="14"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14">
        <v>2014</v>
      </c>
      <c r="CH120" s="14" t="s">
        <v>73</v>
      </c>
      <c r="CI120" s="14">
        <v>0.029</v>
      </c>
      <c r="CJ120" s="14">
        <v>0.042</v>
      </c>
      <c r="CK120" s="14" t="s">
        <v>532</v>
      </c>
      <c r="CL120" s="14" t="s">
        <v>533</v>
      </c>
      <c r="CM120" s="14"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14">
        <v>2014</v>
      </c>
      <c r="AR121" s="14" t="s">
        <v>81</v>
      </c>
      <c r="AS121" s="14">
        <v>0.029</v>
      </c>
      <c r="AT121" s="14" t="s">
        <v>506</v>
      </c>
      <c r="AU121" s="14"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14">
        <v>2014</v>
      </c>
      <c r="CH121" s="14" t="s">
        <v>81</v>
      </c>
      <c r="CI121" s="14">
        <v>0.029</v>
      </c>
      <c r="CJ121" s="14">
        <v>0.042</v>
      </c>
      <c r="CK121" s="14" t="s">
        <v>532</v>
      </c>
      <c r="CL121" s="14" t="s">
        <v>533</v>
      </c>
      <c r="CM121" s="14"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14">
        <v>2014</v>
      </c>
      <c r="AR122" s="14" t="s">
        <v>69</v>
      </c>
      <c r="AS122" s="14">
        <v>0.029</v>
      </c>
      <c r="AT122" s="14" t="s">
        <v>506</v>
      </c>
      <c r="AU122" s="14"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14">
        <v>2014</v>
      </c>
      <c r="CH122" s="14" t="s">
        <v>69</v>
      </c>
      <c r="CI122" s="14">
        <v>0.029</v>
      </c>
      <c r="CJ122" s="14">
        <v>0.042</v>
      </c>
      <c r="CK122" s="14" t="s">
        <v>532</v>
      </c>
      <c r="CL122" s="14" t="s">
        <v>533</v>
      </c>
      <c r="CM122" s="14"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14">
        <v>2014</v>
      </c>
      <c r="AR123" s="14" t="s">
        <v>91</v>
      </c>
      <c r="AS123" s="14">
        <v>0.029</v>
      </c>
      <c r="AT123" s="14" t="s">
        <v>506</v>
      </c>
      <c r="AU123" s="14"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14">
        <v>2014</v>
      </c>
      <c r="CH123" s="14" t="s">
        <v>91</v>
      </c>
      <c r="CI123" s="14">
        <v>0.029</v>
      </c>
      <c r="CJ123" s="14">
        <v>0.042</v>
      </c>
      <c r="CK123" s="14" t="s">
        <v>532</v>
      </c>
      <c r="CL123" s="14" t="s">
        <v>533</v>
      </c>
      <c r="CM123" s="14"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14">
        <v>2014</v>
      </c>
      <c r="AR124" s="14" t="s">
        <v>95</v>
      </c>
      <c r="AS124" s="14">
        <v>0.029</v>
      </c>
      <c r="AT124" s="14" t="s">
        <v>506</v>
      </c>
      <c r="AU124" s="14"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14">
        <v>2014</v>
      </c>
      <c r="CH124" s="14" t="s">
        <v>95</v>
      </c>
      <c r="CI124" s="14">
        <v>0.029</v>
      </c>
      <c r="CJ124" s="14">
        <v>0.042</v>
      </c>
      <c r="CK124" s="14" t="s">
        <v>532</v>
      </c>
      <c r="CL124" s="14" t="s">
        <v>533</v>
      </c>
      <c r="CM124" s="14"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14">
        <v>2014</v>
      </c>
      <c r="AR125" s="14" t="s">
        <v>87</v>
      </c>
      <c r="AS125" s="14">
        <v>0.029</v>
      </c>
      <c r="AT125" s="14" t="s">
        <v>506</v>
      </c>
      <c r="AU125" s="14"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14">
        <v>2014</v>
      </c>
      <c r="CH125" s="14" t="s">
        <v>87</v>
      </c>
      <c r="CI125" s="14">
        <v>0.029</v>
      </c>
      <c r="CJ125" s="14">
        <v>0.042</v>
      </c>
      <c r="CK125" s="14" t="s">
        <v>532</v>
      </c>
      <c r="CL125" s="14" t="s">
        <v>533</v>
      </c>
      <c r="CM125" s="14"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14">
        <v>2014</v>
      </c>
      <c r="AR126" s="14" t="s">
        <v>78</v>
      </c>
      <c r="AS126" s="14">
        <v>0.029</v>
      </c>
      <c r="AT126" s="14" t="s">
        <v>506</v>
      </c>
      <c r="AU126" s="14"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14">
        <v>2014</v>
      </c>
      <c r="CH126" s="14" t="s">
        <v>78</v>
      </c>
      <c r="CI126" s="14">
        <v>0.029</v>
      </c>
      <c r="CJ126" s="14">
        <v>0.042</v>
      </c>
      <c r="CK126" s="14" t="s">
        <v>532</v>
      </c>
      <c r="CL126" s="14" t="s">
        <v>533</v>
      </c>
      <c r="CM126" s="14"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14">
        <v>2014</v>
      </c>
      <c r="AR127" s="14" t="s">
        <v>74</v>
      </c>
      <c r="AS127" s="14">
        <v>0.029</v>
      </c>
      <c r="AT127" s="14" t="s">
        <v>506</v>
      </c>
      <c r="AU127" s="14"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14">
        <v>2014</v>
      </c>
      <c r="CH127" s="14" t="s">
        <v>74</v>
      </c>
      <c r="CI127" s="14">
        <v>0.029</v>
      </c>
      <c r="CJ127" s="14">
        <v>0.042</v>
      </c>
      <c r="CK127" s="14" t="s">
        <v>532</v>
      </c>
      <c r="CL127" s="14" t="s">
        <v>533</v>
      </c>
      <c r="CM127" s="14"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14">
        <v>2014</v>
      </c>
      <c r="AR128" s="14" t="s">
        <v>82</v>
      </c>
      <c r="AS128" s="14">
        <v>0.029</v>
      </c>
      <c r="AT128" s="14" t="s">
        <v>506</v>
      </c>
      <c r="AU128" s="14"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14">
        <v>2014</v>
      </c>
      <c r="CH128" s="14" t="s">
        <v>82</v>
      </c>
      <c r="CI128" s="14">
        <v>0.029</v>
      </c>
      <c r="CJ128" s="14">
        <v>0.042</v>
      </c>
      <c r="CK128" s="14" t="s">
        <v>532</v>
      </c>
      <c r="CL128" s="14" t="s">
        <v>533</v>
      </c>
      <c r="CM128" s="14" t="s">
        <v>534</v>
      </c>
    </row>
    <row r="129" spans="4:91">
      <c r="D129">
        <v>2015</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14">
        <v>2015</v>
      </c>
      <c r="AR129" s="14" t="s">
        <v>189</v>
      </c>
      <c r="AS129" s="14">
        <v>0.095</v>
      </c>
      <c r="AT129" s="14" t="s">
        <v>528</v>
      </c>
      <c r="AU129" s="14"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14">
        <v>2015</v>
      </c>
      <c r="CH129" s="14" t="s">
        <v>189</v>
      </c>
      <c r="CI129" s="14">
        <v>0.095</v>
      </c>
      <c r="CJ129" s="14">
        <v>0.095</v>
      </c>
      <c r="CK129" s="14" t="s">
        <v>528</v>
      </c>
      <c r="CL129" s="14" t="s">
        <v>528</v>
      </c>
      <c r="CM129" s="14" t="s">
        <v>530</v>
      </c>
    </row>
    <row r="130" spans="4:91">
      <c r="D130">
        <f>D129</f>
        <v>2015</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14">
        <v>2015</v>
      </c>
      <c r="AR130" s="14" t="s">
        <v>191</v>
      </c>
      <c r="AS130" s="14">
        <v>0.095</v>
      </c>
      <c r="AT130" s="14" t="s">
        <v>528</v>
      </c>
      <c r="AU130" s="14"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14">
        <v>2015</v>
      </c>
      <c r="CH130" s="14" t="s">
        <v>191</v>
      </c>
      <c r="CI130" s="14">
        <v>0.095</v>
      </c>
      <c r="CJ130" s="14">
        <v>0.095</v>
      </c>
      <c r="CK130" s="14" t="s">
        <v>528</v>
      </c>
      <c r="CL130" s="14" t="s">
        <v>528</v>
      </c>
      <c r="CM130" s="14" t="s">
        <v>530</v>
      </c>
    </row>
    <row r="131" ht="16" spans="4:91">
      <c r="D131">
        <f t="shared" ref="D131:D149" si="182">D130</f>
        <v>2015</v>
      </c>
      <c r="E131" s="19"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14">
        <v>2015</v>
      </c>
      <c r="AR131" s="14" t="s">
        <v>195</v>
      </c>
      <c r="AS131" s="14">
        <v>0.095</v>
      </c>
      <c r="AT131" s="14" t="s">
        <v>528</v>
      </c>
      <c r="AU131" s="14"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14">
        <v>2015</v>
      </c>
      <c r="CH131" s="14" t="s">
        <v>195</v>
      </c>
      <c r="CI131" s="14">
        <v>0.095</v>
      </c>
      <c r="CJ131" s="14">
        <v>0.095</v>
      </c>
      <c r="CK131" s="14" t="s">
        <v>528</v>
      </c>
      <c r="CL131" s="14" t="s">
        <v>528</v>
      </c>
      <c r="CM131" s="14" t="s">
        <v>530</v>
      </c>
    </row>
    <row r="132" spans="4:91">
      <c r="D132">
        <f t="shared" si="182"/>
        <v>2015</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14">
        <v>2015</v>
      </c>
      <c r="AR132" s="14" t="s">
        <v>196</v>
      </c>
      <c r="AS132" s="14">
        <v>0.095</v>
      </c>
      <c r="AT132" s="14" t="s">
        <v>528</v>
      </c>
      <c r="AU132" s="14"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14">
        <v>2015</v>
      </c>
      <c r="CH132" s="14" t="s">
        <v>196</v>
      </c>
      <c r="CI132" s="14">
        <v>0.095</v>
      </c>
      <c r="CJ132" s="14">
        <v>0.095</v>
      </c>
      <c r="CK132" s="14" t="s">
        <v>528</v>
      </c>
      <c r="CL132" s="14" t="s">
        <v>528</v>
      </c>
      <c r="CM132" s="14" t="s">
        <v>530</v>
      </c>
    </row>
    <row r="133" spans="4:91">
      <c r="D133">
        <f t="shared" si="182"/>
        <v>2015</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14">
        <v>2015</v>
      </c>
      <c r="AR133" s="14" t="s">
        <v>198</v>
      </c>
      <c r="AS133" s="14">
        <v>0.095</v>
      </c>
      <c r="AT133" s="14" t="s">
        <v>528</v>
      </c>
      <c r="AU133" s="14"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14">
        <v>2015</v>
      </c>
      <c r="CH133" s="14" t="s">
        <v>198</v>
      </c>
      <c r="CI133" s="14">
        <v>0.095</v>
      </c>
      <c r="CJ133" s="14">
        <v>0.095</v>
      </c>
      <c r="CK133" s="14" t="s">
        <v>528</v>
      </c>
      <c r="CL133" s="14" t="s">
        <v>528</v>
      </c>
      <c r="CM133" s="14" t="s">
        <v>530</v>
      </c>
    </row>
    <row r="134" spans="4:91">
      <c r="D134">
        <f t="shared" si="182"/>
        <v>2015</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14">
        <v>2015</v>
      </c>
      <c r="AR134" s="14" t="s">
        <v>200</v>
      </c>
      <c r="AS134" s="14">
        <v>0.095</v>
      </c>
      <c r="AT134" s="14" t="s">
        <v>528</v>
      </c>
      <c r="AU134" s="14"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14">
        <v>2015</v>
      </c>
      <c r="CH134" s="14" t="s">
        <v>200</v>
      </c>
      <c r="CI134" s="14">
        <v>0.095</v>
      </c>
      <c r="CJ134" s="14">
        <v>0.095</v>
      </c>
      <c r="CK134" s="14" t="s">
        <v>528</v>
      </c>
      <c r="CL134" s="14" t="s">
        <v>528</v>
      </c>
      <c r="CM134" s="14" t="s">
        <v>530</v>
      </c>
    </row>
    <row r="135" spans="4:91">
      <c r="D135">
        <f t="shared" si="182"/>
        <v>2015</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14">
        <v>2015</v>
      </c>
      <c r="AR135" s="14" t="s">
        <v>202</v>
      </c>
      <c r="AS135" s="14">
        <v>0.095</v>
      </c>
      <c r="AT135" s="14" t="s">
        <v>528</v>
      </c>
      <c r="AU135" s="14"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14">
        <v>2015</v>
      </c>
      <c r="CH135" s="14" t="s">
        <v>202</v>
      </c>
      <c r="CI135" s="14">
        <v>0.095</v>
      </c>
      <c r="CJ135" s="14">
        <v>0.095</v>
      </c>
      <c r="CK135" s="14" t="s">
        <v>528</v>
      </c>
      <c r="CL135" s="14" t="s">
        <v>528</v>
      </c>
      <c r="CM135" s="14" t="s">
        <v>530</v>
      </c>
    </row>
    <row r="136" spans="4:91">
      <c r="D136">
        <f t="shared" si="182"/>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14">
        <v>2015</v>
      </c>
      <c r="AR136" s="14" t="s">
        <v>68</v>
      </c>
      <c r="AS136" s="14">
        <v>0.058</v>
      </c>
      <c r="AT136" s="14" t="s">
        <v>506</v>
      </c>
      <c r="AU136" s="14"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14">
        <v>2015</v>
      </c>
      <c r="CH136" s="14" t="s">
        <v>68</v>
      </c>
      <c r="CI136" s="14">
        <v>0.058</v>
      </c>
      <c r="CJ136" s="14">
        <v>0.09</v>
      </c>
      <c r="CK136" s="14" t="s">
        <v>532</v>
      </c>
      <c r="CL136" s="14" t="s">
        <v>533</v>
      </c>
      <c r="CM136" s="14"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14">
        <v>2015</v>
      </c>
      <c r="AR137" s="14" t="s">
        <v>90</v>
      </c>
      <c r="AS137" s="14">
        <v>0.058</v>
      </c>
      <c r="AT137" s="14" t="s">
        <v>506</v>
      </c>
      <c r="AU137" s="14"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14">
        <v>2015</v>
      </c>
      <c r="CH137" s="14" t="s">
        <v>90</v>
      </c>
      <c r="CI137" s="14">
        <v>0.058</v>
      </c>
      <c r="CJ137" s="14">
        <v>0.09</v>
      </c>
      <c r="CK137" s="14" t="s">
        <v>532</v>
      </c>
      <c r="CL137" s="14" t="s">
        <v>533</v>
      </c>
      <c r="CM137" s="14"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14">
        <v>2015</v>
      </c>
      <c r="AR138" s="14" t="s">
        <v>94</v>
      </c>
      <c r="AS138" s="14">
        <v>0.058</v>
      </c>
      <c r="AT138" s="14" t="s">
        <v>506</v>
      </c>
      <c r="AU138" s="14"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14">
        <v>2015</v>
      </c>
      <c r="CH138" s="14" t="s">
        <v>94</v>
      </c>
      <c r="CI138" s="14">
        <v>0.058</v>
      </c>
      <c r="CJ138" s="14">
        <v>0.09</v>
      </c>
      <c r="CK138" s="14" t="s">
        <v>532</v>
      </c>
      <c r="CL138" s="14" t="s">
        <v>533</v>
      </c>
      <c r="CM138" s="14"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14">
        <v>2015</v>
      </c>
      <c r="AR139" s="14" t="s">
        <v>86</v>
      </c>
      <c r="AS139" s="14">
        <v>0.058</v>
      </c>
      <c r="AT139" s="14" t="s">
        <v>506</v>
      </c>
      <c r="AU139" s="14"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14">
        <v>2015</v>
      </c>
      <c r="CH139" s="14" t="s">
        <v>86</v>
      </c>
      <c r="CI139" s="14">
        <v>0.058</v>
      </c>
      <c r="CJ139" s="14">
        <v>0.09</v>
      </c>
      <c r="CK139" s="14" t="s">
        <v>532</v>
      </c>
      <c r="CL139" s="14" t="s">
        <v>533</v>
      </c>
      <c r="CM139" s="14"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14">
        <v>2015</v>
      </c>
      <c r="AR140" s="14" t="s">
        <v>77</v>
      </c>
      <c r="AS140" s="14">
        <v>0.058</v>
      </c>
      <c r="AT140" s="14" t="s">
        <v>506</v>
      </c>
      <c r="AU140" s="14"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14">
        <v>2015</v>
      </c>
      <c r="CH140" s="14" t="s">
        <v>77</v>
      </c>
      <c r="CI140" s="14">
        <v>0.058</v>
      </c>
      <c r="CJ140" s="14">
        <v>0.09</v>
      </c>
      <c r="CK140" s="14" t="s">
        <v>532</v>
      </c>
      <c r="CL140" s="14" t="s">
        <v>533</v>
      </c>
      <c r="CM140" s="14"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14">
        <v>2015</v>
      </c>
      <c r="AR141" s="14" t="s">
        <v>73</v>
      </c>
      <c r="AS141" s="14">
        <v>0.058</v>
      </c>
      <c r="AT141" s="14" t="s">
        <v>506</v>
      </c>
      <c r="AU141" s="14"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14">
        <v>2015</v>
      </c>
      <c r="CH141" s="14" t="s">
        <v>73</v>
      </c>
      <c r="CI141" s="14">
        <v>0.058</v>
      </c>
      <c r="CJ141" s="14">
        <v>0.09</v>
      </c>
      <c r="CK141" s="14" t="s">
        <v>532</v>
      </c>
      <c r="CL141" s="14" t="s">
        <v>533</v>
      </c>
      <c r="CM141" s="14"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14">
        <v>2015</v>
      </c>
      <c r="AR142" s="14" t="s">
        <v>81</v>
      </c>
      <c r="AS142" s="14">
        <v>0.058</v>
      </c>
      <c r="AT142" s="14" t="s">
        <v>506</v>
      </c>
      <c r="AU142" s="14"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14">
        <v>2015</v>
      </c>
      <c r="CH142" s="14" t="s">
        <v>81</v>
      </c>
      <c r="CI142" s="14">
        <v>0.058</v>
      </c>
      <c r="CJ142" s="14">
        <v>0.09</v>
      </c>
      <c r="CK142" s="14" t="s">
        <v>532</v>
      </c>
      <c r="CL142" s="14" t="s">
        <v>533</v>
      </c>
      <c r="CM142" s="14"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14">
        <v>2015</v>
      </c>
      <c r="AR143" s="14" t="s">
        <v>69</v>
      </c>
      <c r="AS143" s="14">
        <v>0.058</v>
      </c>
      <c r="AT143" s="14" t="s">
        <v>506</v>
      </c>
      <c r="AU143" s="14"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14">
        <v>2015</v>
      </c>
      <c r="CH143" s="14" t="s">
        <v>69</v>
      </c>
      <c r="CI143" s="14">
        <v>0.058</v>
      </c>
      <c r="CJ143" s="14">
        <v>0.09</v>
      </c>
      <c r="CK143" s="14" t="s">
        <v>532</v>
      </c>
      <c r="CL143" s="14" t="s">
        <v>533</v>
      </c>
      <c r="CM143" s="14"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14">
        <v>2015</v>
      </c>
      <c r="AR144" s="14" t="s">
        <v>91</v>
      </c>
      <c r="AS144" s="14">
        <v>0.058</v>
      </c>
      <c r="AT144" s="14" t="s">
        <v>506</v>
      </c>
      <c r="AU144" s="14"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14">
        <v>2015</v>
      </c>
      <c r="CH144" s="14" t="s">
        <v>91</v>
      </c>
      <c r="CI144" s="14">
        <v>0.058</v>
      </c>
      <c r="CJ144" s="14">
        <v>0.09</v>
      </c>
      <c r="CK144" s="14" t="s">
        <v>532</v>
      </c>
      <c r="CL144" s="14" t="s">
        <v>533</v>
      </c>
      <c r="CM144" s="14"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14">
        <v>2015</v>
      </c>
      <c r="AR145" s="14" t="s">
        <v>95</v>
      </c>
      <c r="AS145" s="14">
        <v>0.058</v>
      </c>
      <c r="AT145" s="14" t="s">
        <v>506</v>
      </c>
      <c r="AU145" s="14"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14">
        <v>2015</v>
      </c>
      <c r="CH145" s="14" t="s">
        <v>95</v>
      </c>
      <c r="CI145" s="14">
        <v>0.058</v>
      </c>
      <c r="CJ145" s="14">
        <v>0.09</v>
      </c>
      <c r="CK145" s="14" t="s">
        <v>532</v>
      </c>
      <c r="CL145" s="14" t="s">
        <v>533</v>
      </c>
      <c r="CM145" s="14"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14">
        <v>2015</v>
      </c>
      <c r="AR146" s="14" t="s">
        <v>87</v>
      </c>
      <c r="AS146" s="14">
        <v>0.058</v>
      </c>
      <c r="AT146" s="14" t="s">
        <v>506</v>
      </c>
      <c r="AU146" s="14"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14">
        <v>2015</v>
      </c>
      <c r="CH146" s="14" t="s">
        <v>87</v>
      </c>
      <c r="CI146" s="14">
        <v>0.058</v>
      </c>
      <c r="CJ146" s="14">
        <v>0.09</v>
      </c>
      <c r="CK146" s="14" t="s">
        <v>532</v>
      </c>
      <c r="CL146" s="14" t="s">
        <v>533</v>
      </c>
      <c r="CM146" s="14"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14">
        <v>2015</v>
      </c>
      <c r="AR147" s="14" t="s">
        <v>78</v>
      </c>
      <c r="AS147" s="14">
        <v>0.058</v>
      </c>
      <c r="AT147" s="14" t="s">
        <v>506</v>
      </c>
      <c r="AU147" s="14"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14">
        <v>2015</v>
      </c>
      <c r="CH147" s="14" t="s">
        <v>78</v>
      </c>
      <c r="CI147" s="14">
        <v>0.058</v>
      </c>
      <c r="CJ147" s="14">
        <v>0.09</v>
      </c>
      <c r="CK147" s="14" t="s">
        <v>532</v>
      </c>
      <c r="CL147" s="14" t="s">
        <v>533</v>
      </c>
      <c r="CM147" s="14"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14">
        <v>2015</v>
      </c>
      <c r="AR148" s="14" t="s">
        <v>74</v>
      </c>
      <c r="AS148" s="14">
        <v>0.058</v>
      </c>
      <c r="AT148" s="14" t="s">
        <v>506</v>
      </c>
      <c r="AU148" s="14"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14">
        <v>2015</v>
      </c>
      <c r="CH148" s="14" t="s">
        <v>74</v>
      </c>
      <c r="CI148" s="14">
        <v>0.058</v>
      </c>
      <c r="CJ148" s="14">
        <v>0.09</v>
      </c>
      <c r="CK148" s="14" t="s">
        <v>532</v>
      </c>
      <c r="CL148" s="14" t="s">
        <v>533</v>
      </c>
      <c r="CM148" s="14"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14">
        <v>2015</v>
      </c>
      <c r="AR149" s="14" t="s">
        <v>82</v>
      </c>
      <c r="AS149" s="14">
        <v>0.058</v>
      </c>
      <c r="AT149" s="14" t="s">
        <v>506</v>
      </c>
      <c r="AU149" s="14"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14">
        <v>2015</v>
      </c>
      <c r="CH149" s="14" t="s">
        <v>82</v>
      </c>
      <c r="CI149" s="14">
        <v>0.058</v>
      </c>
      <c r="CJ149" s="14">
        <v>0.09</v>
      </c>
      <c r="CK149" s="14" t="s">
        <v>532</v>
      </c>
      <c r="CL149" s="14" t="s">
        <v>533</v>
      </c>
      <c r="CM149" s="14" t="s">
        <v>534</v>
      </c>
    </row>
    <row r="150" spans="4:91">
      <c r="D150">
        <v>2016</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14">
        <v>2016</v>
      </c>
      <c r="AR150" s="14" t="s">
        <v>189</v>
      </c>
      <c r="AS150" s="14">
        <v>0.105</v>
      </c>
      <c r="AT150" s="14" t="s">
        <v>528</v>
      </c>
      <c r="AU150" s="14"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14">
        <v>2016</v>
      </c>
      <c r="CH150" s="14" t="s">
        <v>189</v>
      </c>
      <c r="CI150" s="14">
        <v>0.105</v>
      </c>
      <c r="CJ150" s="14">
        <v>0.105</v>
      </c>
      <c r="CK150" s="14" t="s">
        <v>528</v>
      </c>
      <c r="CL150" s="14" t="s">
        <v>528</v>
      </c>
      <c r="CM150" s="14" t="s">
        <v>530</v>
      </c>
    </row>
    <row r="151" spans="4:91">
      <c r="D151">
        <f>D150</f>
        <v>2016</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14">
        <v>2016</v>
      </c>
      <c r="AR151" s="14" t="s">
        <v>191</v>
      </c>
      <c r="AS151" s="14">
        <v>0.105</v>
      </c>
      <c r="AT151" s="14" t="s">
        <v>528</v>
      </c>
      <c r="AU151" s="14"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14">
        <v>2016</v>
      </c>
      <c r="CH151" s="14" t="s">
        <v>191</v>
      </c>
      <c r="CI151" s="14">
        <v>0.105</v>
      </c>
      <c r="CJ151" s="14">
        <v>0.105</v>
      </c>
      <c r="CK151" s="14" t="s">
        <v>528</v>
      </c>
      <c r="CL151" s="14" t="s">
        <v>528</v>
      </c>
      <c r="CM151" s="14" t="s">
        <v>530</v>
      </c>
    </row>
    <row r="152" ht="16" spans="4:91">
      <c r="D152">
        <f t="shared" ref="D152:D170" si="219">D151</f>
        <v>2016</v>
      </c>
      <c r="E152" s="19"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14">
        <v>2016</v>
      </c>
      <c r="AR152" s="14" t="s">
        <v>195</v>
      </c>
      <c r="AS152" s="14">
        <v>0.105</v>
      </c>
      <c r="AT152" s="14" t="s">
        <v>528</v>
      </c>
      <c r="AU152" s="14"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14">
        <v>2016</v>
      </c>
      <c r="CH152" s="14" t="s">
        <v>195</v>
      </c>
      <c r="CI152" s="14">
        <v>0.105</v>
      </c>
      <c r="CJ152" s="14">
        <v>0.105</v>
      </c>
      <c r="CK152" s="14" t="s">
        <v>528</v>
      </c>
      <c r="CL152" s="14" t="s">
        <v>528</v>
      </c>
      <c r="CM152" s="14" t="s">
        <v>530</v>
      </c>
    </row>
    <row r="153" spans="4:91">
      <c r="D153">
        <f t="shared" si="219"/>
        <v>2016</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14">
        <v>2016</v>
      </c>
      <c r="AR153" s="14" t="s">
        <v>196</v>
      </c>
      <c r="AS153" s="14">
        <v>0.105</v>
      </c>
      <c r="AT153" s="14" t="s">
        <v>528</v>
      </c>
      <c r="AU153" s="14"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14">
        <v>2016</v>
      </c>
      <c r="CH153" s="14" t="s">
        <v>196</v>
      </c>
      <c r="CI153" s="14">
        <v>0.105</v>
      </c>
      <c r="CJ153" s="14">
        <v>0.105</v>
      </c>
      <c r="CK153" s="14" t="s">
        <v>528</v>
      </c>
      <c r="CL153" s="14" t="s">
        <v>528</v>
      </c>
      <c r="CM153" s="14" t="s">
        <v>530</v>
      </c>
    </row>
    <row r="154" spans="4:91">
      <c r="D154">
        <f t="shared" si="219"/>
        <v>2016</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14">
        <v>2016</v>
      </c>
      <c r="AR154" s="14" t="s">
        <v>198</v>
      </c>
      <c r="AS154" s="14">
        <v>0.105</v>
      </c>
      <c r="AT154" s="14" t="s">
        <v>528</v>
      </c>
      <c r="AU154" s="14"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14">
        <v>2016</v>
      </c>
      <c r="CH154" s="14" t="s">
        <v>198</v>
      </c>
      <c r="CI154" s="14">
        <v>0.105</v>
      </c>
      <c r="CJ154" s="14">
        <v>0.105</v>
      </c>
      <c r="CK154" s="14" t="s">
        <v>528</v>
      </c>
      <c r="CL154" s="14" t="s">
        <v>528</v>
      </c>
      <c r="CM154" s="14" t="s">
        <v>530</v>
      </c>
    </row>
    <row r="155" spans="4:91">
      <c r="D155">
        <f t="shared" si="219"/>
        <v>2016</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14">
        <v>2016</v>
      </c>
      <c r="AR155" s="14" t="s">
        <v>200</v>
      </c>
      <c r="AS155" s="14">
        <v>0.105</v>
      </c>
      <c r="AT155" s="14" t="s">
        <v>528</v>
      </c>
      <c r="AU155" s="14"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14">
        <v>2016</v>
      </c>
      <c r="CH155" s="14" t="s">
        <v>200</v>
      </c>
      <c r="CI155" s="14">
        <v>0.105</v>
      </c>
      <c r="CJ155" s="14">
        <v>0.105</v>
      </c>
      <c r="CK155" s="14" t="s">
        <v>528</v>
      </c>
      <c r="CL155" s="14" t="s">
        <v>528</v>
      </c>
      <c r="CM155" s="14" t="s">
        <v>530</v>
      </c>
    </row>
    <row r="156" spans="4:91">
      <c r="D156">
        <f t="shared" si="219"/>
        <v>2016</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14">
        <v>2016</v>
      </c>
      <c r="AR156" s="14" t="s">
        <v>202</v>
      </c>
      <c r="AS156" s="14">
        <v>0.105</v>
      </c>
      <c r="AT156" s="14" t="s">
        <v>528</v>
      </c>
      <c r="AU156" s="14"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14">
        <v>2016</v>
      </c>
      <c r="CH156" s="14" t="s">
        <v>202</v>
      </c>
      <c r="CI156" s="14">
        <v>0.105</v>
      </c>
      <c r="CJ156" s="14">
        <v>0.105</v>
      </c>
      <c r="CK156" s="14" t="s">
        <v>528</v>
      </c>
      <c r="CL156" s="14" t="s">
        <v>528</v>
      </c>
      <c r="CM156" s="14" t="s">
        <v>530</v>
      </c>
    </row>
    <row r="157" spans="4:91">
      <c r="D157">
        <f t="shared" si="219"/>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14">
        <v>2016</v>
      </c>
      <c r="AR157" s="14" t="s">
        <v>68</v>
      </c>
      <c r="AS157" s="14">
        <v>0.09</v>
      </c>
      <c r="AT157" s="14" t="s">
        <v>506</v>
      </c>
      <c r="AU157" s="14"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14">
        <v>2016</v>
      </c>
      <c r="CH157" s="14" t="s">
        <v>68</v>
      </c>
      <c r="CI157" s="14">
        <v>0.09</v>
      </c>
      <c r="CJ157" s="14">
        <v>0.15</v>
      </c>
      <c r="CK157" s="14" t="s">
        <v>532</v>
      </c>
      <c r="CL157" s="14" t="s">
        <v>533</v>
      </c>
      <c r="CM157" s="14"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14">
        <v>2016</v>
      </c>
      <c r="AR158" s="14" t="s">
        <v>90</v>
      </c>
      <c r="AS158" s="14">
        <v>0.09</v>
      </c>
      <c r="AT158" s="14" t="s">
        <v>506</v>
      </c>
      <c r="AU158" s="14"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14">
        <v>2016</v>
      </c>
      <c r="CH158" s="14" t="s">
        <v>90</v>
      </c>
      <c r="CI158" s="14">
        <v>0.09</v>
      </c>
      <c r="CJ158" s="14">
        <v>0.15</v>
      </c>
      <c r="CK158" s="14" t="s">
        <v>532</v>
      </c>
      <c r="CL158" s="14" t="s">
        <v>533</v>
      </c>
      <c r="CM158" s="14"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14">
        <v>2016</v>
      </c>
      <c r="AR159" s="14" t="s">
        <v>94</v>
      </c>
      <c r="AS159" s="14">
        <v>0.09</v>
      </c>
      <c r="AT159" s="14" t="s">
        <v>506</v>
      </c>
      <c r="AU159" s="14"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14">
        <v>2016</v>
      </c>
      <c r="CH159" s="14" t="s">
        <v>94</v>
      </c>
      <c r="CI159" s="14">
        <v>0.09</v>
      </c>
      <c r="CJ159" s="14">
        <v>0.15</v>
      </c>
      <c r="CK159" s="14" t="s">
        <v>532</v>
      </c>
      <c r="CL159" s="14" t="s">
        <v>533</v>
      </c>
      <c r="CM159" s="14"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14">
        <v>2016</v>
      </c>
      <c r="AR160" s="14" t="s">
        <v>86</v>
      </c>
      <c r="AS160" s="14">
        <v>0.09</v>
      </c>
      <c r="AT160" s="14" t="s">
        <v>506</v>
      </c>
      <c r="AU160" s="14"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14">
        <v>2016</v>
      </c>
      <c r="CH160" s="14" t="s">
        <v>86</v>
      </c>
      <c r="CI160" s="14">
        <v>0.09</v>
      </c>
      <c r="CJ160" s="14">
        <v>0.15</v>
      </c>
      <c r="CK160" s="14" t="s">
        <v>532</v>
      </c>
      <c r="CL160" s="14" t="s">
        <v>533</v>
      </c>
      <c r="CM160" s="14"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14">
        <v>2016</v>
      </c>
      <c r="AR161" s="14" t="s">
        <v>77</v>
      </c>
      <c r="AS161" s="14">
        <v>0.09</v>
      </c>
      <c r="AT161" s="14" t="s">
        <v>506</v>
      </c>
      <c r="AU161" s="14"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14">
        <v>2016</v>
      </c>
      <c r="CH161" s="14" t="s">
        <v>77</v>
      </c>
      <c r="CI161" s="14">
        <v>0.09</v>
      </c>
      <c r="CJ161" s="14">
        <v>0.15</v>
      </c>
      <c r="CK161" s="14" t="s">
        <v>532</v>
      </c>
      <c r="CL161" s="14" t="s">
        <v>533</v>
      </c>
      <c r="CM161" s="14"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14">
        <v>2016</v>
      </c>
      <c r="AR162" s="14" t="s">
        <v>73</v>
      </c>
      <c r="AS162" s="14">
        <v>0.09</v>
      </c>
      <c r="AT162" s="14" t="s">
        <v>506</v>
      </c>
      <c r="AU162" s="14"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14">
        <v>2016</v>
      </c>
      <c r="CH162" s="14" t="s">
        <v>73</v>
      </c>
      <c r="CI162" s="14">
        <v>0.09</v>
      </c>
      <c r="CJ162" s="14">
        <v>0.15</v>
      </c>
      <c r="CK162" s="14" t="s">
        <v>532</v>
      </c>
      <c r="CL162" s="14" t="s">
        <v>533</v>
      </c>
      <c r="CM162" s="14"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14">
        <v>2016</v>
      </c>
      <c r="AR163" s="14" t="s">
        <v>81</v>
      </c>
      <c r="AS163" s="14">
        <v>0.09</v>
      </c>
      <c r="AT163" s="14" t="s">
        <v>506</v>
      </c>
      <c r="AU163" s="14"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14">
        <v>2016</v>
      </c>
      <c r="CH163" s="14" t="s">
        <v>81</v>
      </c>
      <c r="CI163" s="14">
        <v>0.09</v>
      </c>
      <c r="CJ163" s="14">
        <v>0.15</v>
      </c>
      <c r="CK163" s="14" t="s">
        <v>532</v>
      </c>
      <c r="CL163" s="14" t="s">
        <v>533</v>
      </c>
      <c r="CM163" s="14"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14">
        <v>2016</v>
      </c>
      <c r="AR164" s="14" t="s">
        <v>69</v>
      </c>
      <c r="AS164" s="14">
        <v>0.09</v>
      </c>
      <c r="AT164" s="14" t="s">
        <v>506</v>
      </c>
      <c r="AU164" s="14"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14">
        <v>2016</v>
      </c>
      <c r="CH164" s="14" t="s">
        <v>69</v>
      </c>
      <c r="CI164" s="14">
        <v>0.09</v>
      </c>
      <c r="CJ164" s="14">
        <v>0.15</v>
      </c>
      <c r="CK164" s="14" t="s">
        <v>532</v>
      </c>
      <c r="CL164" s="14" t="s">
        <v>533</v>
      </c>
      <c r="CM164" s="14"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14">
        <v>2016</v>
      </c>
      <c r="AR165" s="14" t="s">
        <v>91</v>
      </c>
      <c r="AS165" s="14">
        <v>0.09</v>
      </c>
      <c r="AT165" s="14" t="s">
        <v>506</v>
      </c>
      <c r="AU165" s="14"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14">
        <v>2016</v>
      </c>
      <c r="CH165" s="14" t="s">
        <v>91</v>
      </c>
      <c r="CI165" s="14">
        <v>0.09</v>
      </c>
      <c r="CJ165" s="14">
        <v>0.15</v>
      </c>
      <c r="CK165" s="14" t="s">
        <v>532</v>
      </c>
      <c r="CL165" s="14" t="s">
        <v>533</v>
      </c>
      <c r="CM165" s="14"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14">
        <v>2016</v>
      </c>
      <c r="AR166" s="14" t="s">
        <v>95</v>
      </c>
      <c r="AS166" s="14">
        <v>0.09</v>
      </c>
      <c r="AT166" s="14" t="s">
        <v>506</v>
      </c>
      <c r="AU166" s="14"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14">
        <v>2016</v>
      </c>
      <c r="CH166" s="14" t="s">
        <v>95</v>
      </c>
      <c r="CI166" s="14">
        <v>0.09</v>
      </c>
      <c r="CJ166" s="14">
        <v>0.15</v>
      </c>
      <c r="CK166" s="14" t="s">
        <v>532</v>
      </c>
      <c r="CL166" s="14" t="s">
        <v>533</v>
      </c>
      <c r="CM166" s="14"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14">
        <v>2016</v>
      </c>
      <c r="AR167" s="14" t="s">
        <v>87</v>
      </c>
      <c r="AS167" s="14">
        <v>0.09</v>
      </c>
      <c r="AT167" s="14" t="s">
        <v>506</v>
      </c>
      <c r="AU167" s="14"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14">
        <v>2016</v>
      </c>
      <c r="CH167" s="14" t="s">
        <v>87</v>
      </c>
      <c r="CI167" s="14">
        <v>0.09</v>
      </c>
      <c r="CJ167" s="14">
        <v>0.15</v>
      </c>
      <c r="CK167" s="14" t="s">
        <v>532</v>
      </c>
      <c r="CL167" s="14" t="s">
        <v>533</v>
      </c>
      <c r="CM167" s="14"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14">
        <v>2016</v>
      </c>
      <c r="AR168" s="14" t="s">
        <v>78</v>
      </c>
      <c r="AS168" s="14">
        <v>0.09</v>
      </c>
      <c r="AT168" s="14" t="s">
        <v>506</v>
      </c>
      <c r="AU168" s="14"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14">
        <v>2016</v>
      </c>
      <c r="CH168" s="14" t="s">
        <v>78</v>
      </c>
      <c r="CI168" s="14">
        <v>0.09</v>
      </c>
      <c r="CJ168" s="14">
        <v>0.15</v>
      </c>
      <c r="CK168" s="14" t="s">
        <v>532</v>
      </c>
      <c r="CL168" s="14" t="s">
        <v>533</v>
      </c>
      <c r="CM168" s="14"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14">
        <v>2016</v>
      </c>
      <c r="AR169" s="14" t="s">
        <v>74</v>
      </c>
      <c r="AS169" s="14">
        <v>0.09</v>
      </c>
      <c r="AT169" s="14" t="s">
        <v>506</v>
      </c>
      <c r="AU169" s="14"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14">
        <v>2016</v>
      </c>
      <c r="CH169" s="14" t="s">
        <v>74</v>
      </c>
      <c r="CI169" s="14">
        <v>0.09</v>
      </c>
      <c r="CJ169" s="14">
        <v>0.15</v>
      </c>
      <c r="CK169" s="14" t="s">
        <v>532</v>
      </c>
      <c r="CL169" s="14" t="s">
        <v>533</v>
      </c>
      <c r="CM169" s="14"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14">
        <v>2016</v>
      </c>
      <c r="AR170" s="14" t="s">
        <v>82</v>
      </c>
      <c r="AS170" s="14">
        <v>0.09</v>
      </c>
      <c r="AT170" s="14" t="s">
        <v>506</v>
      </c>
      <c r="AU170" s="14"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14">
        <v>2016</v>
      </c>
      <c r="CH170" s="14" t="s">
        <v>82</v>
      </c>
      <c r="CI170" s="14">
        <v>0.09</v>
      </c>
      <c r="CJ170" s="14">
        <v>0.15</v>
      </c>
      <c r="CK170" s="14" t="s">
        <v>532</v>
      </c>
      <c r="CL170" s="14" t="s">
        <v>533</v>
      </c>
      <c r="CM170" s="14" t="s">
        <v>534</v>
      </c>
    </row>
    <row r="171" spans="4:91">
      <c r="D171">
        <v>2017</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14">
        <v>2017</v>
      </c>
      <c r="AR171" s="14" t="s">
        <v>189</v>
      </c>
      <c r="AS171" s="14">
        <v>0.115</v>
      </c>
      <c r="AT171" s="14" t="s">
        <v>528</v>
      </c>
      <c r="AU171" s="14"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14">
        <v>2017</v>
      </c>
      <c r="CH171" s="14" t="s">
        <v>189</v>
      </c>
      <c r="CI171" s="14">
        <v>0.115</v>
      </c>
      <c r="CJ171" s="14">
        <v>0.115</v>
      </c>
      <c r="CK171" s="14" t="s">
        <v>528</v>
      </c>
      <c r="CL171" s="14" t="s">
        <v>528</v>
      </c>
      <c r="CM171" s="14" t="s">
        <v>530</v>
      </c>
    </row>
    <row r="172" spans="4:91">
      <c r="D172">
        <f>D171</f>
        <v>2017</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14">
        <v>2017</v>
      </c>
      <c r="AR172" s="14" t="s">
        <v>191</v>
      </c>
      <c r="AS172" s="14">
        <v>0.115</v>
      </c>
      <c r="AT172" s="14" t="s">
        <v>528</v>
      </c>
      <c r="AU172" s="14"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14">
        <v>2017</v>
      </c>
      <c r="CH172" s="14" t="s">
        <v>191</v>
      </c>
      <c r="CI172" s="14">
        <v>0.115</v>
      </c>
      <c r="CJ172" s="14">
        <v>0.115</v>
      </c>
      <c r="CK172" s="14" t="s">
        <v>528</v>
      </c>
      <c r="CL172" s="14" t="s">
        <v>528</v>
      </c>
      <c r="CM172" s="14" t="s">
        <v>530</v>
      </c>
    </row>
    <row r="173" ht="16" spans="4:91">
      <c r="D173">
        <f t="shared" ref="D173:D191" si="220">D172</f>
        <v>2017</v>
      </c>
      <c r="E173" s="19"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14">
        <v>2017</v>
      </c>
      <c r="AR173" s="14" t="s">
        <v>195</v>
      </c>
      <c r="AS173" s="14">
        <v>0.115</v>
      </c>
      <c r="AT173" s="14" t="s">
        <v>528</v>
      </c>
      <c r="AU173" s="14"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14">
        <v>2017</v>
      </c>
      <c r="CH173" s="14" t="s">
        <v>195</v>
      </c>
      <c r="CI173" s="14">
        <v>0.115</v>
      </c>
      <c r="CJ173" s="14">
        <v>0.115</v>
      </c>
      <c r="CK173" s="14" t="s">
        <v>528</v>
      </c>
      <c r="CL173" s="14" t="s">
        <v>528</v>
      </c>
      <c r="CM173" s="14" t="s">
        <v>530</v>
      </c>
    </row>
    <row r="174" spans="4:91">
      <c r="D174">
        <f t="shared" si="220"/>
        <v>2017</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14">
        <v>2017</v>
      </c>
      <c r="AR174" s="14" t="s">
        <v>196</v>
      </c>
      <c r="AS174" s="14">
        <v>0.115</v>
      </c>
      <c r="AT174" s="14" t="s">
        <v>528</v>
      </c>
      <c r="AU174" s="14"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14">
        <v>2017</v>
      </c>
      <c r="CH174" s="14" t="s">
        <v>196</v>
      </c>
      <c r="CI174" s="14">
        <v>0.115</v>
      </c>
      <c r="CJ174" s="14">
        <v>0.115</v>
      </c>
      <c r="CK174" s="14" t="s">
        <v>528</v>
      </c>
      <c r="CL174" s="14" t="s">
        <v>528</v>
      </c>
      <c r="CM174" s="14" t="s">
        <v>530</v>
      </c>
    </row>
    <row r="175" spans="4:91">
      <c r="D175">
        <f t="shared" si="220"/>
        <v>2017</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14">
        <v>2017</v>
      </c>
      <c r="AR175" s="14" t="s">
        <v>198</v>
      </c>
      <c r="AS175" s="14">
        <v>0.115</v>
      </c>
      <c r="AT175" s="14" t="s">
        <v>528</v>
      </c>
      <c r="AU175" s="14"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14">
        <v>2017</v>
      </c>
      <c r="CH175" s="14" t="s">
        <v>198</v>
      </c>
      <c r="CI175" s="14">
        <v>0.115</v>
      </c>
      <c r="CJ175" s="14">
        <v>0.115</v>
      </c>
      <c r="CK175" s="14" t="s">
        <v>528</v>
      </c>
      <c r="CL175" s="14" t="s">
        <v>528</v>
      </c>
      <c r="CM175" s="14" t="s">
        <v>530</v>
      </c>
    </row>
    <row r="176" spans="4:91">
      <c r="D176">
        <f t="shared" si="220"/>
        <v>2017</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14">
        <v>2017</v>
      </c>
      <c r="AR176" s="14" t="s">
        <v>200</v>
      </c>
      <c r="AS176" s="14">
        <v>0.115</v>
      </c>
      <c r="AT176" s="14" t="s">
        <v>528</v>
      </c>
      <c r="AU176" s="14"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14">
        <v>2017</v>
      </c>
      <c r="CH176" s="14" t="s">
        <v>200</v>
      </c>
      <c r="CI176" s="14">
        <v>0.115</v>
      </c>
      <c r="CJ176" s="14">
        <v>0.115</v>
      </c>
      <c r="CK176" s="14" t="s">
        <v>528</v>
      </c>
      <c r="CL176" s="14" t="s">
        <v>528</v>
      </c>
      <c r="CM176" s="14" t="s">
        <v>530</v>
      </c>
    </row>
    <row r="177" spans="4:91">
      <c r="D177">
        <f t="shared" si="220"/>
        <v>2017</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14">
        <v>2017</v>
      </c>
      <c r="AR177" s="14" t="s">
        <v>202</v>
      </c>
      <c r="AS177" s="14">
        <v>0.115</v>
      </c>
      <c r="AT177" s="14" t="s">
        <v>528</v>
      </c>
      <c r="AU177" s="14"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14">
        <v>2017</v>
      </c>
      <c r="CH177" s="14" t="s">
        <v>202</v>
      </c>
      <c r="CI177" s="14">
        <v>0.115</v>
      </c>
      <c r="CJ177" s="14">
        <v>0.115</v>
      </c>
      <c r="CK177" s="14" t="s">
        <v>528</v>
      </c>
      <c r="CL177" s="14" t="s">
        <v>528</v>
      </c>
      <c r="CM177" s="14" t="s">
        <v>530</v>
      </c>
    </row>
    <row r="178" spans="4:91">
      <c r="D178">
        <f t="shared" si="220"/>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14">
        <v>2017</v>
      </c>
      <c r="AR178" s="14" t="s">
        <v>68</v>
      </c>
      <c r="AS178" s="14">
        <v>0.163</v>
      </c>
      <c r="AT178" s="14" t="s">
        <v>506</v>
      </c>
      <c r="AU178" s="14"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14">
        <v>2017</v>
      </c>
      <c r="CH178" s="14" t="s">
        <v>68</v>
      </c>
      <c r="CI178" s="14">
        <v>0.163</v>
      </c>
      <c r="CJ178" s="14">
        <v>0.22</v>
      </c>
      <c r="CK178" s="14" t="s">
        <v>532</v>
      </c>
      <c r="CL178" s="14" t="s">
        <v>533</v>
      </c>
      <c r="CM178" s="14"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14">
        <v>2017</v>
      </c>
      <c r="AR179" s="14" t="s">
        <v>90</v>
      </c>
      <c r="AS179" s="14">
        <v>0.163</v>
      </c>
      <c r="AT179" s="14" t="s">
        <v>506</v>
      </c>
      <c r="AU179" s="14"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14">
        <v>2017</v>
      </c>
      <c r="CH179" s="14" t="s">
        <v>90</v>
      </c>
      <c r="CI179" s="14">
        <v>0.163</v>
      </c>
      <c r="CJ179" s="14">
        <v>0.22</v>
      </c>
      <c r="CK179" s="14" t="s">
        <v>532</v>
      </c>
      <c r="CL179" s="14" t="s">
        <v>533</v>
      </c>
      <c r="CM179" s="14"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14">
        <v>2017</v>
      </c>
      <c r="AR180" s="14" t="s">
        <v>94</v>
      </c>
      <c r="AS180" s="14">
        <v>0.163</v>
      </c>
      <c r="AT180" s="14" t="s">
        <v>506</v>
      </c>
      <c r="AU180" s="14"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14">
        <v>2017</v>
      </c>
      <c r="CH180" s="14" t="s">
        <v>94</v>
      </c>
      <c r="CI180" s="14">
        <v>0.163</v>
      </c>
      <c r="CJ180" s="14">
        <v>0.22</v>
      </c>
      <c r="CK180" s="14" t="s">
        <v>532</v>
      </c>
      <c r="CL180" s="14" t="s">
        <v>533</v>
      </c>
      <c r="CM180" s="14"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14">
        <v>2017</v>
      </c>
      <c r="AR181" s="14" t="s">
        <v>86</v>
      </c>
      <c r="AS181" s="14">
        <v>0.163</v>
      </c>
      <c r="AT181" s="14" t="s">
        <v>506</v>
      </c>
      <c r="AU181" s="14"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14">
        <v>2017</v>
      </c>
      <c r="CH181" s="14" t="s">
        <v>86</v>
      </c>
      <c r="CI181" s="14">
        <v>0.163</v>
      </c>
      <c r="CJ181" s="14">
        <v>0.22</v>
      </c>
      <c r="CK181" s="14" t="s">
        <v>532</v>
      </c>
      <c r="CL181" s="14" t="s">
        <v>533</v>
      </c>
      <c r="CM181" s="14"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14">
        <v>2017</v>
      </c>
      <c r="AR182" s="14" t="s">
        <v>77</v>
      </c>
      <c r="AS182" s="14">
        <v>0.163</v>
      </c>
      <c r="AT182" s="14" t="s">
        <v>506</v>
      </c>
      <c r="AU182" s="14"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14">
        <v>2017</v>
      </c>
      <c r="CH182" s="14" t="s">
        <v>77</v>
      </c>
      <c r="CI182" s="14">
        <v>0.163</v>
      </c>
      <c r="CJ182" s="14">
        <v>0.22</v>
      </c>
      <c r="CK182" s="14" t="s">
        <v>532</v>
      </c>
      <c r="CL182" s="14" t="s">
        <v>533</v>
      </c>
      <c r="CM182" s="14"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14">
        <v>2017</v>
      </c>
      <c r="AR183" s="14" t="s">
        <v>73</v>
      </c>
      <c r="AS183" s="14">
        <v>0.163</v>
      </c>
      <c r="AT183" s="14" t="s">
        <v>506</v>
      </c>
      <c r="AU183" s="14"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14">
        <v>2017</v>
      </c>
      <c r="CH183" s="14" t="s">
        <v>73</v>
      </c>
      <c r="CI183" s="14">
        <v>0.163</v>
      </c>
      <c r="CJ183" s="14">
        <v>0.22</v>
      </c>
      <c r="CK183" s="14" t="s">
        <v>532</v>
      </c>
      <c r="CL183" s="14" t="s">
        <v>533</v>
      </c>
      <c r="CM183" s="14"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14">
        <v>2017</v>
      </c>
      <c r="AR184" s="14" t="s">
        <v>81</v>
      </c>
      <c r="AS184" s="14">
        <v>0.163</v>
      </c>
      <c r="AT184" s="14" t="s">
        <v>506</v>
      </c>
      <c r="AU184" s="14"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14">
        <v>2017</v>
      </c>
      <c r="CH184" s="14" t="s">
        <v>81</v>
      </c>
      <c r="CI184" s="14">
        <v>0.163</v>
      </c>
      <c r="CJ184" s="14">
        <v>0.22</v>
      </c>
      <c r="CK184" s="14" t="s">
        <v>532</v>
      </c>
      <c r="CL184" s="14" t="s">
        <v>533</v>
      </c>
      <c r="CM184" s="14"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14">
        <v>2017</v>
      </c>
      <c r="AR185" s="14" t="s">
        <v>69</v>
      </c>
      <c r="AS185" s="14">
        <v>0.163</v>
      </c>
      <c r="AT185" s="14" t="s">
        <v>506</v>
      </c>
      <c r="AU185" s="14"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14">
        <v>2017</v>
      </c>
      <c r="CH185" s="14" t="s">
        <v>69</v>
      </c>
      <c r="CI185" s="14">
        <v>0.163</v>
      </c>
      <c r="CJ185" s="14">
        <v>0.22</v>
      </c>
      <c r="CK185" s="14" t="s">
        <v>532</v>
      </c>
      <c r="CL185" s="14" t="s">
        <v>533</v>
      </c>
      <c r="CM185" s="14"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14">
        <v>2017</v>
      </c>
      <c r="AR186" s="14" t="s">
        <v>91</v>
      </c>
      <c r="AS186" s="14">
        <v>0.163</v>
      </c>
      <c r="AT186" s="14" t="s">
        <v>506</v>
      </c>
      <c r="AU186" s="14"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14">
        <v>2017</v>
      </c>
      <c r="CH186" s="14" t="s">
        <v>91</v>
      </c>
      <c r="CI186" s="14">
        <v>0.163</v>
      </c>
      <c r="CJ186" s="14">
        <v>0.22</v>
      </c>
      <c r="CK186" s="14" t="s">
        <v>532</v>
      </c>
      <c r="CL186" s="14" t="s">
        <v>533</v>
      </c>
      <c r="CM186" s="14"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14">
        <v>2017</v>
      </c>
      <c r="AR187" s="14" t="s">
        <v>95</v>
      </c>
      <c r="AS187" s="14">
        <v>0.163</v>
      </c>
      <c r="AT187" s="14" t="s">
        <v>506</v>
      </c>
      <c r="AU187" s="14"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14">
        <v>2017</v>
      </c>
      <c r="CH187" s="14" t="s">
        <v>95</v>
      </c>
      <c r="CI187" s="14">
        <v>0.163</v>
      </c>
      <c r="CJ187" s="14">
        <v>0.22</v>
      </c>
      <c r="CK187" s="14" t="s">
        <v>532</v>
      </c>
      <c r="CL187" s="14" t="s">
        <v>533</v>
      </c>
      <c r="CM187" s="14"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14">
        <v>2017</v>
      </c>
      <c r="AR188" s="14" t="s">
        <v>87</v>
      </c>
      <c r="AS188" s="14">
        <v>0.163</v>
      </c>
      <c r="AT188" s="14" t="s">
        <v>506</v>
      </c>
      <c r="AU188" s="14"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14">
        <v>2017</v>
      </c>
      <c r="CH188" s="14" t="s">
        <v>87</v>
      </c>
      <c r="CI188" s="14">
        <v>0.163</v>
      </c>
      <c r="CJ188" s="14">
        <v>0.22</v>
      </c>
      <c r="CK188" s="14" t="s">
        <v>532</v>
      </c>
      <c r="CL188" s="14" t="s">
        <v>533</v>
      </c>
      <c r="CM188" s="14"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14">
        <v>2017</v>
      </c>
      <c r="AR189" s="14" t="s">
        <v>78</v>
      </c>
      <c r="AS189" s="14">
        <v>0.163</v>
      </c>
      <c r="AT189" s="14" t="s">
        <v>506</v>
      </c>
      <c r="AU189" s="14"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14">
        <v>2017</v>
      </c>
      <c r="CH189" s="14" t="s">
        <v>78</v>
      </c>
      <c r="CI189" s="14">
        <v>0.163</v>
      </c>
      <c r="CJ189" s="14">
        <v>0.22</v>
      </c>
      <c r="CK189" s="14" t="s">
        <v>532</v>
      </c>
      <c r="CL189" s="14" t="s">
        <v>533</v>
      </c>
      <c r="CM189" s="14"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14">
        <v>2017</v>
      </c>
      <c r="AR190" s="14" t="s">
        <v>74</v>
      </c>
      <c r="AS190" s="14">
        <v>0.163</v>
      </c>
      <c r="AT190" s="14" t="s">
        <v>506</v>
      </c>
      <c r="AU190" s="14"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14">
        <v>2017</v>
      </c>
      <c r="CH190" s="14" t="s">
        <v>74</v>
      </c>
      <c r="CI190" s="14">
        <v>0.163</v>
      </c>
      <c r="CJ190" s="14">
        <v>0.22</v>
      </c>
      <c r="CK190" s="14" t="s">
        <v>532</v>
      </c>
      <c r="CL190" s="14" t="s">
        <v>533</v>
      </c>
      <c r="CM190" s="14"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14">
        <v>2017</v>
      </c>
      <c r="AR191" s="14" t="s">
        <v>82</v>
      </c>
      <c r="AS191" s="14">
        <v>0.163</v>
      </c>
      <c r="AT191" s="14" t="s">
        <v>506</v>
      </c>
      <c r="AU191" s="14"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14">
        <v>2017</v>
      </c>
      <c r="CH191" s="14" t="s">
        <v>82</v>
      </c>
      <c r="CI191" s="14">
        <v>0.163</v>
      </c>
      <c r="CJ191" s="14">
        <v>0.22</v>
      </c>
      <c r="CK191" s="14" t="s">
        <v>532</v>
      </c>
      <c r="CL191" s="14" t="s">
        <v>533</v>
      </c>
      <c r="CM191" s="14" t="s">
        <v>534</v>
      </c>
    </row>
    <row r="192" spans="4:91">
      <c r="D192">
        <v>2018</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14">
        <v>2018</v>
      </c>
      <c r="AR192" s="14" t="s">
        <v>189</v>
      </c>
      <c r="AS192" s="14">
        <v>0.135</v>
      </c>
      <c r="AT192" s="14" t="s">
        <v>528</v>
      </c>
      <c r="AU192" s="14"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14">
        <v>2018</v>
      </c>
      <c r="CH192" s="14" t="s">
        <v>189</v>
      </c>
      <c r="CI192" s="14">
        <v>0.135</v>
      </c>
      <c r="CJ192" s="14">
        <v>0.135</v>
      </c>
      <c r="CK192" s="14" t="s">
        <v>528</v>
      </c>
      <c r="CL192" s="14" t="s">
        <v>528</v>
      </c>
      <c r="CM192" s="14" t="s">
        <v>530</v>
      </c>
    </row>
    <row r="193" spans="4:91">
      <c r="D193">
        <f>D192</f>
        <v>2018</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14">
        <v>2018</v>
      </c>
      <c r="AR193" s="14" t="s">
        <v>191</v>
      </c>
      <c r="AS193" s="14">
        <v>0.135</v>
      </c>
      <c r="AT193" s="14" t="s">
        <v>528</v>
      </c>
      <c r="AU193" s="14"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14">
        <v>2018</v>
      </c>
      <c r="CH193" s="14" t="s">
        <v>191</v>
      </c>
      <c r="CI193" s="14">
        <v>0.135</v>
      </c>
      <c r="CJ193" s="14">
        <v>0.135</v>
      </c>
      <c r="CK193" s="14" t="s">
        <v>528</v>
      </c>
      <c r="CL193" s="14" t="s">
        <v>528</v>
      </c>
      <c r="CM193" s="14" t="s">
        <v>530</v>
      </c>
    </row>
    <row r="194" ht="16" spans="4:91">
      <c r="D194">
        <f t="shared" ref="D194:D212" si="292">D193</f>
        <v>2018</v>
      </c>
      <c r="E194" s="19"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14">
        <v>2018</v>
      </c>
      <c r="AR194" s="14" t="s">
        <v>195</v>
      </c>
      <c r="AS194" s="14">
        <v>0.135</v>
      </c>
      <c r="AT194" s="14" t="s">
        <v>528</v>
      </c>
      <c r="AU194" s="14"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14">
        <v>2018</v>
      </c>
      <c r="CH194" s="14" t="s">
        <v>195</v>
      </c>
      <c r="CI194" s="14">
        <v>0.135</v>
      </c>
      <c r="CJ194" s="14">
        <v>0.135</v>
      </c>
      <c r="CK194" s="14" t="s">
        <v>528</v>
      </c>
      <c r="CL194" s="14" t="s">
        <v>528</v>
      </c>
      <c r="CM194" s="14" t="s">
        <v>530</v>
      </c>
    </row>
    <row r="195" spans="4:91">
      <c r="D195">
        <f t="shared" si="292"/>
        <v>2018</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14">
        <v>2018</v>
      </c>
      <c r="AR195" s="14" t="s">
        <v>196</v>
      </c>
      <c r="AS195" s="14">
        <v>0.135</v>
      </c>
      <c r="AT195" s="14" t="s">
        <v>528</v>
      </c>
      <c r="AU195" s="14"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14">
        <v>2018</v>
      </c>
      <c r="CH195" s="14" t="s">
        <v>196</v>
      </c>
      <c r="CI195" s="14">
        <v>0.135</v>
      </c>
      <c r="CJ195" s="14">
        <v>0.135</v>
      </c>
      <c r="CK195" s="14" t="s">
        <v>528</v>
      </c>
      <c r="CL195" s="14" t="s">
        <v>528</v>
      </c>
      <c r="CM195" s="14" t="s">
        <v>530</v>
      </c>
    </row>
    <row r="196" spans="4:91">
      <c r="D196">
        <f t="shared" si="292"/>
        <v>2018</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14">
        <v>2018</v>
      </c>
      <c r="AR196" s="14" t="s">
        <v>198</v>
      </c>
      <c r="AS196" s="14">
        <v>0.135</v>
      </c>
      <c r="AT196" s="14" t="s">
        <v>528</v>
      </c>
      <c r="AU196" s="14"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14">
        <v>2018</v>
      </c>
      <c r="CH196" s="14" t="s">
        <v>198</v>
      </c>
      <c r="CI196" s="14">
        <v>0.135</v>
      </c>
      <c r="CJ196" s="14">
        <v>0.135</v>
      </c>
      <c r="CK196" s="14" t="s">
        <v>528</v>
      </c>
      <c r="CL196" s="14" t="s">
        <v>528</v>
      </c>
      <c r="CM196" s="14" t="s">
        <v>530</v>
      </c>
    </row>
    <row r="197" spans="4:91">
      <c r="D197">
        <f t="shared" si="292"/>
        <v>2018</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14">
        <v>2018</v>
      </c>
      <c r="AR197" s="14" t="s">
        <v>200</v>
      </c>
      <c r="AS197" s="14">
        <v>0.135</v>
      </c>
      <c r="AT197" s="14" t="s">
        <v>528</v>
      </c>
      <c r="AU197" s="14"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14">
        <v>2018</v>
      </c>
      <c r="CH197" s="14" t="s">
        <v>200</v>
      </c>
      <c r="CI197" s="14">
        <v>0.135</v>
      </c>
      <c r="CJ197" s="14">
        <v>0.135</v>
      </c>
      <c r="CK197" s="14" t="s">
        <v>528</v>
      </c>
      <c r="CL197" s="14" t="s">
        <v>528</v>
      </c>
      <c r="CM197" s="14" t="s">
        <v>530</v>
      </c>
    </row>
    <row r="198" spans="4:91">
      <c r="D198">
        <f t="shared" si="292"/>
        <v>2018</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14">
        <v>2018</v>
      </c>
      <c r="AR198" s="14" t="s">
        <v>202</v>
      </c>
      <c r="AS198" s="14">
        <v>0.135</v>
      </c>
      <c r="AT198" s="14" t="s">
        <v>528</v>
      </c>
      <c r="AU198" s="14"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14">
        <v>2018</v>
      </c>
      <c r="CH198" s="14" t="s">
        <v>202</v>
      </c>
      <c r="CI198" s="14">
        <v>0.135</v>
      </c>
      <c r="CJ198" s="14">
        <v>0.135</v>
      </c>
      <c r="CK198" s="14" t="s">
        <v>528</v>
      </c>
      <c r="CL198" s="14" t="s">
        <v>528</v>
      </c>
      <c r="CM198" s="14" t="s">
        <v>530</v>
      </c>
    </row>
    <row r="199" spans="4:91">
      <c r="D199">
        <f t="shared" si="292"/>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14">
        <v>2018</v>
      </c>
      <c r="AR199" s="14" t="s">
        <v>68</v>
      </c>
      <c r="AS199" s="14">
        <v>0.301</v>
      </c>
      <c r="AT199" s="14" t="s">
        <v>506</v>
      </c>
      <c r="AU199" s="14"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14">
        <v>2018</v>
      </c>
      <c r="CH199" s="14" t="s">
        <v>68</v>
      </c>
      <c r="CI199" s="14">
        <v>0.301</v>
      </c>
      <c r="CJ199" s="14">
        <v>0.26</v>
      </c>
      <c r="CK199" s="14" t="s">
        <v>532</v>
      </c>
      <c r="CL199" s="14" t="s">
        <v>533</v>
      </c>
      <c r="CM199" s="14"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14">
        <v>2018</v>
      </c>
      <c r="AR200" s="14" t="s">
        <v>90</v>
      </c>
      <c r="AS200" s="14">
        <v>0.301</v>
      </c>
      <c r="AT200" s="14" t="s">
        <v>506</v>
      </c>
      <c r="AU200" s="14"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14">
        <v>2018</v>
      </c>
      <c r="CH200" s="14" t="s">
        <v>90</v>
      </c>
      <c r="CI200" s="14">
        <v>0.301</v>
      </c>
      <c r="CJ200" s="14">
        <v>0.26</v>
      </c>
      <c r="CK200" s="14" t="s">
        <v>532</v>
      </c>
      <c r="CL200" s="14" t="s">
        <v>533</v>
      </c>
      <c r="CM200" s="14"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14">
        <v>2018</v>
      </c>
      <c r="AR201" s="14" t="s">
        <v>94</v>
      </c>
      <c r="AS201" s="14">
        <v>0.301</v>
      </c>
      <c r="AT201" s="14" t="s">
        <v>506</v>
      </c>
      <c r="AU201" s="14"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14">
        <v>2018</v>
      </c>
      <c r="CH201" s="14" t="s">
        <v>94</v>
      </c>
      <c r="CI201" s="14">
        <v>0.301</v>
      </c>
      <c r="CJ201" s="14">
        <v>0.26</v>
      </c>
      <c r="CK201" s="14" t="s">
        <v>532</v>
      </c>
      <c r="CL201" s="14" t="s">
        <v>533</v>
      </c>
      <c r="CM201" s="14"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14">
        <v>2018</v>
      </c>
      <c r="AR202" s="14" t="s">
        <v>86</v>
      </c>
      <c r="AS202" s="14">
        <v>0.301</v>
      </c>
      <c r="AT202" s="14" t="s">
        <v>506</v>
      </c>
      <c r="AU202" s="14"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14">
        <v>2018</v>
      </c>
      <c r="CH202" s="14" t="s">
        <v>86</v>
      </c>
      <c r="CI202" s="14">
        <v>0.301</v>
      </c>
      <c r="CJ202" s="14">
        <v>0.26</v>
      </c>
      <c r="CK202" s="14" t="s">
        <v>532</v>
      </c>
      <c r="CL202" s="14" t="s">
        <v>533</v>
      </c>
      <c r="CM202" s="14"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14">
        <v>2018</v>
      </c>
      <c r="AR203" s="14" t="s">
        <v>77</v>
      </c>
      <c r="AS203" s="14">
        <v>0.301</v>
      </c>
      <c r="AT203" s="14" t="s">
        <v>506</v>
      </c>
      <c r="AU203" s="14"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14">
        <v>2018</v>
      </c>
      <c r="CH203" s="14" t="s">
        <v>77</v>
      </c>
      <c r="CI203" s="14">
        <v>0.301</v>
      </c>
      <c r="CJ203" s="14">
        <v>0.26</v>
      </c>
      <c r="CK203" s="14" t="s">
        <v>532</v>
      </c>
      <c r="CL203" s="14" t="s">
        <v>533</v>
      </c>
      <c r="CM203" s="14"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14">
        <v>2018</v>
      </c>
      <c r="AR204" s="14" t="s">
        <v>73</v>
      </c>
      <c r="AS204" s="14">
        <v>0.301</v>
      </c>
      <c r="AT204" s="14" t="s">
        <v>506</v>
      </c>
      <c r="AU204" s="14"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14">
        <v>2018</v>
      </c>
      <c r="CH204" s="14" t="s">
        <v>73</v>
      </c>
      <c r="CI204" s="14">
        <v>0.301</v>
      </c>
      <c r="CJ204" s="14">
        <v>0.26</v>
      </c>
      <c r="CK204" s="14" t="s">
        <v>532</v>
      </c>
      <c r="CL204" s="14" t="s">
        <v>533</v>
      </c>
      <c r="CM204" s="14"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14">
        <v>2018</v>
      </c>
      <c r="AR205" s="14" t="s">
        <v>81</v>
      </c>
      <c r="AS205" s="14">
        <v>0.301</v>
      </c>
      <c r="AT205" s="14" t="s">
        <v>506</v>
      </c>
      <c r="AU205" s="14"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14">
        <v>2018</v>
      </c>
      <c r="CH205" s="14" t="s">
        <v>81</v>
      </c>
      <c r="CI205" s="14">
        <v>0.301</v>
      </c>
      <c r="CJ205" s="14">
        <v>0.26</v>
      </c>
      <c r="CK205" s="14" t="s">
        <v>532</v>
      </c>
      <c r="CL205" s="14" t="s">
        <v>533</v>
      </c>
      <c r="CM205" s="14"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14">
        <v>2018</v>
      </c>
      <c r="AR206" s="14" t="s">
        <v>69</v>
      </c>
      <c r="AS206" s="14">
        <v>0.301</v>
      </c>
      <c r="AT206" s="14" t="s">
        <v>506</v>
      </c>
      <c r="AU206" s="14"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14">
        <v>2018</v>
      </c>
      <c r="CH206" s="14" t="s">
        <v>69</v>
      </c>
      <c r="CI206" s="14">
        <v>0.301</v>
      </c>
      <c r="CJ206" s="14">
        <v>0.26</v>
      </c>
      <c r="CK206" s="14" t="s">
        <v>532</v>
      </c>
      <c r="CL206" s="14" t="s">
        <v>533</v>
      </c>
      <c r="CM206" s="14"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14">
        <v>2018</v>
      </c>
      <c r="AR207" s="14" t="s">
        <v>91</v>
      </c>
      <c r="AS207" s="14">
        <v>0.301</v>
      </c>
      <c r="AT207" s="14" t="s">
        <v>506</v>
      </c>
      <c r="AU207" s="14"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14">
        <v>2018</v>
      </c>
      <c r="CH207" s="14" t="s">
        <v>91</v>
      </c>
      <c r="CI207" s="14">
        <v>0.301</v>
      </c>
      <c r="CJ207" s="14">
        <v>0.26</v>
      </c>
      <c r="CK207" s="14" t="s">
        <v>532</v>
      </c>
      <c r="CL207" s="14" t="s">
        <v>533</v>
      </c>
      <c r="CM207" s="14"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14">
        <v>2018</v>
      </c>
      <c r="AR208" s="14" t="s">
        <v>95</v>
      </c>
      <c r="AS208" s="14">
        <v>0.301</v>
      </c>
      <c r="AT208" s="14" t="s">
        <v>506</v>
      </c>
      <c r="AU208" s="14"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14">
        <v>2018</v>
      </c>
      <c r="CH208" s="14" t="s">
        <v>95</v>
      </c>
      <c r="CI208" s="14">
        <v>0.301</v>
      </c>
      <c r="CJ208" s="14">
        <v>0.26</v>
      </c>
      <c r="CK208" s="14" t="s">
        <v>532</v>
      </c>
      <c r="CL208" s="14" t="s">
        <v>533</v>
      </c>
      <c r="CM208" s="14"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14">
        <v>2018</v>
      </c>
      <c r="AR209" s="14" t="s">
        <v>87</v>
      </c>
      <c r="AS209" s="14">
        <v>0.301</v>
      </c>
      <c r="AT209" s="14" t="s">
        <v>506</v>
      </c>
      <c r="AU209" s="14"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14">
        <v>2018</v>
      </c>
      <c r="CH209" s="14" t="s">
        <v>87</v>
      </c>
      <c r="CI209" s="14">
        <v>0.301</v>
      </c>
      <c r="CJ209" s="14">
        <v>0.26</v>
      </c>
      <c r="CK209" s="14" t="s">
        <v>532</v>
      </c>
      <c r="CL209" s="14" t="s">
        <v>533</v>
      </c>
      <c r="CM209" s="14"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14">
        <v>2018</v>
      </c>
      <c r="AR210" s="14" t="s">
        <v>78</v>
      </c>
      <c r="AS210" s="14">
        <v>0.301</v>
      </c>
      <c r="AT210" s="14" t="s">
        <v>506</v>
      </c>
      <c r="AU210" s="14"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14">
        <v>2018</v>
      </c>
      <c r="CH210" s="14" t="s">
        <v>78</v>
      </c>
      <c r="CI210" s="14">
        <v>0.301</v>
      </c>
      <c r="CJ210" s="14">
        <v>0.26</v>
      </c>
      <c r="CK210" s="14" t="s">
        <v>532</v>
      </c>
      <c r="CL210" s="14" t="s">
        <v>533</v>
      </c>
      <c r="CM210" s="14"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14">
        <v>2018</v>
      </c>
      <c r="AR211" s="14" t="s">
        <v>74</v>
      </c>
      <c r="AS211" s="14">
        <v>0.301</v>
      </c>
      <c r="AT211" s="14" t="s">
        <v>506</v>
      </c>
      <c r="AU211" s="14"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14">
        <v>2018</v>
      </c>
      <c r="CH211" s="14" t="s">
        <v>74</v>
      </c>
      <c r="CI211" s="14">
        <v>0.301</v>
      </c>
      <c r="CJ211" s="14">
        <v>0.26</v>
      </c>
      <c r="CK211" s="14" t="s">
        <v>532</v>
      </c>
      <c r="CL211" s="14" t="s">
        <v>533</v>
      </c>
      <c r="CM211" s="14"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14">
        <v>2018</v>
      </c>
      <c r="AR212" s="14" t="s">
        <v>82</v>
      </c>
      <c r="AS212" s="14">
        <v>0.301</v>
      </c>
      <c r="AT212" s="14" t="s">
        <v>506</v>
      </c>
      <c r="AU212" s="14"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14">
        <v>2018</v>
      </c>
      <c r="CH212" s="14" t="s">
        <v>82</v>
      </c>
      <c r="CI212" s="14">
        <v>0.301</v>
      </c>
      <c r="CJ212" s="14">
        <v>0.26</v>
      </c>
      <c r="CK212" s="14" t="s">
        <v>532</v>
      </c>
      <c r="CL212" s="14" t="s">
        <v>533</v>
      </c>
      <c r="CM212" s="14" t="s">
        <v>534</v>
      </c>
    </row>
    <row r="213" spans="4:91">
      <c r="D213">
        <v>2019</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14">
        <v>2019</v>
      </c>
      <c r="AR213" s="14" t="s">
        <v>189</v>
      </c>
      <c r="AS213" s="14">
        <v>0.15</v>
      </c>
      <c r="AT213" s="14" t="s">
        <v>528</v>
      </c>
      <c r="AU213" s="14"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14">
        <v>2019</v>
      </c>
      <c r="CH213" s="14" t="s">
        <v>189</v>
      </c>
      <c r="CI213" s="14">
        <v>0.15</v>
      </c>
      <c r="CJ213" s="14">
        <v>0.15</v>
      </c>
      <c r="CK213" s="14" t="s">
        <v>528</v>
      </c>
      <c r="CL213" s="14" t="s">
        <v>528</v>
      </c>
      <c r="CM213" s="14" t="s">
        <v>530</v>
      </c>
    </row>
    <row r="214" spans="4:91">
      <c r="D214">
        <f>D213</f>
        <v>2019</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14">
        <v>2019</v>
      </c>
      <c r="AR214" s="14" t="s">
        <v>191</v>
      </c>
      <c r="AS214" s="14">
        <v>0.15</v>
      </c>
      <c r="AT214" s="14" t="s">
        <v>528</v>
      </c>
      <c r="AU214" s="14"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14">
        <v>2019</v>
      </c>
      <c r="CH214" s="14" t="s">
        <v>191</v>
      </c>
      <c r="CI214" s="14">
        <v>0.15</v>
      </c>
      <c r="CJ214" s="14">
        <v>0.15</v>
      </c>
      <c r="CK214" s="14" t="s">
        <v>528</v>
      </c>
      <c r="CL214" s="14" t="s">
        <v>528</v>
      </c>
      <c r="CM214" s="14" t="s">
        <v>530</v>
      </c>
    </row>
    <row r="215" ht="16" spans="4:91">
      <c r="D215">
        <f t="shared" ref="D215:D233" si="293">D214</f>
        <v>2019</v>
      </c>
      <c r="E215" s="19"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14">
        <v>2019</v>
      </c>
      <c r="AR215" s="14" t="s">
        <v>195</v>
      </c>
      <c r="AS215" s="14">
        <v>0.15</v>
      </c>
      <c r="AT215" s="14" t="s">
        <v>528</v>
      </c>
      <c r="AU215" s="14" t="s">
        <v>529</v>
      </c>
      <c r="AV215" t="str">
        <f t="shared" ref="AV215:AV246" si="294">AV194</f>
        <v>MINBatMaterials_COB</v>
      </c>
      <c r="AW215">
        <f t="shared" ref="AW215:AW246" si="295">AW194</f>
        <v>0</v>
      </c>
      <c r="AX215">
        <f t="shared" ref="AX215:AX246" si="296">AX194</f>
        <v>169.176</v>
      </c>
      <c r="AY215">
        <f t="shared" ref="AY215:AY246" si="297">AY194</f>
        <v>2.736</v>
      </c>
      <c r="AZ215">
        <f t="shared" ref="AZ215:AZ246" si="298">AZ194</f>
        <v>0</v>
      </c>
      <c r="BA215">
        <f t="shared" ref="BA215:BA246" si="299">BA194</f>
        <v>0</v>
      </c>
      <c r="BB215">
        <f t="shared" ref="BB215:BB246" si="300">BB194</f>
        <v>0</v>
      </c>
      <c r="BC215">
        <f t="shared" ref="BC215:BC246" si="301">BC194</f>
        <v>0</v>
      </c>
      <c r="BD215">
        <f t="shared" ref="BD215:BD246" si="302">BD194</f>
        <v>0</v>
      </c>
      <c r="BE215">
        <f t="shared" ref="BE215:BE246" si="303">BE194</f>
        <v>0</v>
      </c>
      <c r="BF215">
        <f t="shared" ref="BF215:BF246" si="304">BF194</f>
        <v>0</v>
      </c>
      <c r="BG215">
        <f t="shared" ref="BG215:BG246" si="305">BG194</f>
        <v>0</v>
      </c>
      <c r="BH215">
        <f t="shared" ref="BH215:BH246" si="306">BH194</f>
        <v>0</v>
      </c>
      <c r="BI215">
        <f t="shared" ref="BI215:BI246" si="307">BI194</f>
        <v>0</v>
      </c>
      <c r="BJ215">
        <f t="shared" ref="BJ215:BJ246" si="308">BJ194</f>
        <v>0</v>
      </c>
      <c r="BK215">
        <f t="shared" ref="BK215:BK246" si="309">BK194</f>
        <v>0</v>
      </c>
      <c r="BL215">
        <f t="shared" ref="BL215:BL246" si="310">BL194</f>
        <v>0</v>
      </c>
      <c r="BM215">
        <f t="shared" ref="BM215:BM246" si="311">BM194</f>
        <v>0</v>
      </c>
      <c r="BN215">
        <f t="shared" ref="BN215:BN246" si="312">BN194</f>
        <v>0</v>
      </c>
      <c r="BO215">
        <f t="shared" ref="BO215:BO246" si="313">BO194</f>
        <v>0</v>
      </c>
      <c r="BP215">
        <f t="shared" ref="BP215:BP246" si="314">BP194</f>
        <v>2.66</v>
      </c>
      <c r="BQ215">
        <f t="shared" ref="BQ215:BQ246" si="315">BQ194</f>
        <v>0</v>
      </c>
      <c r="BR215">
        <f t="shared" ref="BR215:BR246" si="316">BR194</f>
        <v>3.648</v>
      </c>
      <c r="BS215">
        <f t="shared" ref="BS215:BS246" si="317">BS194</f>
        <v>0</v>
      </c>
      <c r="BT215">
        <f t="shared" ref="BT215:BT246" si="318">BT194</f>
        <v>0</v>
      </c>
      <c r="BU215">
        <f t="shared" ref="BU215:BU246" si="319">BU194</f>
        <v>33.288</v>
      </c>
      <c r="BV215">
        <f t="shared" ref="BV215:BV246" si="320">BV194</f>
        <v>6.612</v>
      </c>
      <c r="BW215">
        <f t="shared" ref="BW215:BW246" si="321">BW194</f>
        <v>0</v>
      </c>
      <c r="BX215">
        <f t="shared" ref="BX215:BX246" si="322">BX194</f>
        <v>0</v>
      </c>
      <c r="BY215">
        <f t="shared" ref="BY215:BY246" si="323">BY194</f>
        <v>0</v>
      </c>
      <c r="BZ215">
        <f t="shared" ref="BZ215:BZ246" si="324">BZ194</f>
        <v>0</v>
      </c>
      <c r="CA215">
        <f t="shared" ref="CA215:CA246" si="325">CA194</f>
        <v>0</v>
      </c>
      <c r="CB215">
        <f t="shared" ref="CB215:CB246" si="326">CB194</f>
        <v>2.052</v>
      </c>
      <c r="CC215">
        <f t="shared" ref="CC215:CC246" si="327">CC194</f>
        <v>0</v>
      </c>
      <c r="CD215">
        <f t="shared" ref="CD215:CD246" si="328">CD194</f>
        <v>0</v>
      </c>
      <c r="CE215">
        <f t="shared" ref="CE215:CE246" si="329">CE194</f>
        <v>0</v>
      </c>
      <c r="CG215" s="14">
        <v>2019</v>
      </c>
      <c r="CH215" s="14" t="s">
        <v>195</v>
      </c>
      <c r="CI215" s="14">
        <v>0.15</v>
      </c>
      <c r="CJ215" s="14">
        <v>0.15</v>
      </c>
      <c r="CK215" s="14" t="s">
        <v>528</v>
      </c>
      <c r="CL215" s="14" t="s">
        <v>528</v>
      </c>
      <c r="CM215" s="14" t="s">
        <v>530</v>
      </c>
    </row>
    <row r="216" spans="4:91">
      <c r="D216">
        <f t="shared" si="293"/>
        <v>2019</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14">
        <v>2019</v>
      </c>
      <c r="AR216" s="14" t="s">
        <v>196</v>
      </c>
      <c r="AS216" s="14">
        <v>0.15</v>
      </c>
      <c r="AT216" s="14" t="s">
        <v>528</v>
      </c>
      <c r="AU216" s="14"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14">
        <v>2019</v>
      </c>
      <c r="CH216" s="14" t="s">
        <v>196</v>
      </c>
      <c r="CI216" s="14">
        <v>0.15</v>
      </c>
      <c r="CJ216" s="14">
        <v>0.15</v>
      </c>
      <c r="CK216" s="14" t="s">
        <v>528</v>
      </c>
      <c r="CL216" s="14" t="s">
        <v>528</v>
      </c>
      <c r="CM216" s="14" t="s">
        <v>530</v>
      </c>
    </row>
    <row r="217" spans="4:91">
      <c r="D217">
        <f t="shared" si="293"/>
        <v>2019</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14">
        <v>2019</v>
      </c>
      <c r="AR217" s="14" t="s">
        <v>198</v>
      </c>
      <c r="AS217" s="14">
        <v>0.15</v>
      </c>
      <c r="AT217" s="14" t="s">
        <v>528</v>
      </c>
      <c r="AU217" s="14"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14">
        <v>2019</v>
      </c>
      <c r="CH217" s="14" t="s">
        <v>198</v>
      </c>
      <c r="CI217" s="14">
        <v>0.15</v>
      </c>
      <c r="CJ217" s="14">
        <v>0.15</v>
      </c>
      <c r="CK217" s="14" t="s">
        <v>528</v>
      </c>
      <c r="CL217" s="14" t="s">
        <v>528</v>
      </c>
      <c r="CM217" s="14" t="s">
        <v>530</v>
      </c>
    </row>
    <row r="218" spans="4:91">
      <c r="D218">
        <f t="shared" si="293"/>
        <v>2019</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14">
        <v>2019</v>
      </c>
      <c r="AR218" s="14" t="s">
        <v>200</v>
      </c>
      <c r="AS218" s="14">
        <v>0.15</v>
      </c>
      <c r="AT218" s="14" t="s">
        <v>528</v>
      </c>
      <c r="AU218" s="14"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14">
        <v>2019</v>
      </c>
      <c r="CH218" s="14" t="s">
        <v>200</v>
      </c>
      <c r="CI218" s="14">
        <v>0.15</v>
      </c>
      <c r="CJ218" s="14">
        <v>0.15</v>
      </c>
      <c r="CK218" s="14" t="s">
        <v>528</v>
      </c>
      <c r="CL218" s="14" t="s">
        <v>528</v>
      </c>
      <c r="CM218" s="14" t="s">
        <v>530</v>
      </c>
    </row>
    <row r="219" spans="4:91">
      <c r="D219">
        <f t="shared" si="293"/>
        <v>2019</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14">
        <v>2019</v>
      </c>
      <c r="AR219" s="14" t="s">
        <v>202</v>
      </c>
      <c r="AS219" s="14">
        <v>0.15</v>
      </c>
      <c r="AT219" s="14" t="s">
        <v>528</v>
      </c>
      <c r="AU219" s="14"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14">
        <v>2019</v>
      </c>
      <c r="CH219" s="14" t="s">
        <v>202</v>
      </c>
      <c r="CI219" s="14">
        <v>0.15</v>
      </c>
      <c r="CJ219" s="14">
        <v>0.15</v>
      </c>
      <c r="CK219" s="14" t="s">
        <v>528</v>
      </c>
      <c r="CL219" s="14" t="s">
        <v>528</v>
      </c>
      <c r="CM219" s="14" t="s">
        <v>530</v>
      </c>
    </row>
    <row r="220" spans="4:91">
      <c r="D220">
        <f t="shared" si="293"/>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14">
        <v>2019</v>
      </c>
      <c r="AR220" s="14" t="s">
        <v>68</v>
      </c>
      <c r="AS220" s="14">
        <v>0.328</v>
      </c>
      <c r="AT220" s="14" t="s">
        <v>506</v>
      </c>
      <c r="AU220" s="14"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14">
        <v>2019</v>
      </c>
      <c r="CH220" s="14" t="s">
        <v>68</v>
      </c>
      <c r="CI220" s="14">
        <v>0.328</v>
      </c>
      <c r="CJ220" s="14">
        <v>0.209</v>
      </c>
      <c r="CK220" s="14" t="s">
        <v>532</v>
      </c>
      <c r="CL220" s="14" t="s">
        <v>533</v>
      </c>
      <c r="CM220" s="14"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14">
        <v>2019</v>
      </c>
      <c r="AR221" s="14" t="s">
        <v>90</v>
      </c>
      <c r="AS221" s="14">
        <v>0.328</v>
      </c>
      <c r="AT221" s="14" t="s">
        <v>506</v>
      </c>
      <c r="AU221" s="14"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14">
        <v>2019</v>
      </c>
      <c r="CH221" s="14" t="s">
        <v>90</v>
      </c>
      <c r="CI221" s="14">
        <v>0.328</v>
      </c>
      <c r="CJ221" s="14">
        <v>0.209</v>
      </c>
      <c r="CK221" s="14" t="s">
        <v>532</v>
      </c>
      <c r="CL221" s="14" t="s">
        <v>533</v>
      </c>
      <c r="CM221" s="14"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14">
        <v>2019</v>
      </c>
      <c r="AR222" s="14" t="s">
        <v>94</v>
      </c>
      <c r="AS222" s="14">
        <v>0.328</v>
      </c>
      <c r="AT222" s="14" t="s">
        <v>506</v>
      </c>
      <c r="AU222" s="14"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14">
        <v>2019</v>
      </c>
      <c r="CH222" s="14" t="s">
        <v>94</v>
      </c>
      <c r="CI222" s="14">
        <v>0.328</v>
      </c>
      <c r="CJ222" s="14">
        <v>0.209</v>
      </c>
      <c r="CK222" s="14" t="s">
        <v>532</v>
      </c>
      <c r="CL222" s="14" t="s">
        <v>533</v>
      </c>
      <c r="CM222" s="14"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14">
        <v>2019</v>
      </c>
      <c r="AR223" s="14" t="s">
        <v>86</v>
      </c>
      <c r="AS223" s="14">
        <v>0.328</v>
      </c>
      <c r="AT223" s="14" t="s">
        <v>506</v>
      </c>
      <c r="AU223" s="14"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14">
        <v>2019</v>
      </c>
      <c r="CH223" s="14" t="s">
        <v>86</v>
      </c>
      <c r="CI223" s="14">
        <v>0.328</v>
      </c>
      <c r="CJ223" s="14">
        <v>0.209</v>
      </c>
      <c r="CK223" s="14" t="s">
        <v>532</v>
      </c>
      <c r="CL223" s="14" t="s">
        <v>533</v>
      </c>
      <c r="CM223" s="14"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14">
        <v>2019</v>
      </c>
      <c r="AR224" s="14" t="s">
        <v>77</v>
      </c>
      <c r="AS224" s="14">
        <v>0.328</v>
      </c>
      <c r="AT224" s="14" t="s">
        <v>506</v>
      </c>
      <c r="AU224" s="14"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14">
        <v>2019</v>
      </c>
      <c r="CH224" s="14" t="s">
        <v>77</v>
      </c>
      <c r="CI224" s="14">
        <v>0.328</v>
      </c>
      <c r="CJ224" s="14">
        <v>0.209</v>
      </c>
      <c r="CK224" s="14" t="s">
        <v>532</v>
      </c>
      <c r="CL224" s="14" t="s">
        <v>533</v>
      </c>
      <c r="CM224" s="14"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14">
        <v>2019</v>
      </c>
      <c r="AR225" s="14" t="s">
        <v>73</v>
      </c>
      <c r="AS225" s="14">
        <v>0.328</v>
      </c>
      <c r="AT225" s="14" t="s">
        <v>506</v>
      </c>
      <c r="AU225" s="14"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14">
        <v>2019</v>
      </c>
      <c r="CH225" s="14" t="s">
        <v>73</v>
      </c>
      <c r="CI225" s="14">
        <v>0.328</v>
      </c>
      <c r="CJ225" s="14">
        <v>0.209</v>
      </c>
      <c r="CK225" s="14" t="s">
        <v>532</v>
      </c>
      <c r="CL225" s="14" t="s">
        <v>533</v>
      </c>
      <c r="CM225" s="14"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14">
        <v>2019</v>
      </c>
      <c r="AR226" s="14" t="s">
        <v>81</v>
      </c>
      <c r="AS226" s="14">
        <v>0.328</v>
      </c>
      <c r="AT226" s="14" t="s">
        <v>506</v>
      </c>
      <c r="AU226" s="14"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14">
        <v>2019</v>
      </c>
      <c r="CH226" s="14" t="s">
        <v>81</v>
      </c>
      <c r="CI226" s="14">
        <v>0.328</v>
      </c>
      <c r="CJ226" s="14">
        <v>0.209</v>
      </c>
      <c r="CK226" s="14" t="s">
        <v>532</v>
      </c>
      <c r="CL226" s="14" t="s">
        <v>533</v>
      </c>
      <c r="CM226" s="14"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14">
        <v>2019</v>
      </c>
      <c r="AR227" s="14" t="s">
        <v>69</v>
      </c>
      <c r="AS227" s="14">
        <v>0.328</v>
      </c>
      <c r="AT227" s="14" t="s">
        <v>506</v>
      </c>
      <c r="AU227" s="14"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14">
        <v>2019</v>
      </c>
      <c r="CH227" s="14" t="s">
        <v>69</v>
      </c>
      <c r="CI227" s="14">
        <v>0.328</v>
      </c>
      <c r="CJ227" s="14">
        <v>0.209</v>
      </c>
      <c r="CK227" s="14" t="s">
        <v>532</v>
      </c>
      <c r="CL227" s="14" t="s">
        <v>533</v>
      </c>
      <c r="CM227" s="14"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14">
        <v>2019</v>
      </c>
      <c r="AR228" s="14" t="s">
        <v>91</v>
      </c>
      <c r="AS228" s="14">
        <v>0.328</v>
      </c>
      <c r="AT228" s="14" t="s">
        <v>506</v>
      </c>
      <c r="AU228" s="14"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14">
        <v>2019</v>
      </c>
      <c r="CH228" s="14" t="s">
        <v>91</v>
      </c>
      <c r="CI228" s="14">
        <v>0.328</v>
      </c>
      <c r="CJ228" s="14">
        <v>0.209</v>
      </c>
      <c r="CK228" s="14" t="s">
        <v>532</v>
      </c>
      <c r="CL228" s="14" t="s">
        <v>533</v>
      </c>
      <c r="CM228" s="14"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14">
        <v>2019</v>
      </c>
      <c r="AR229" s="14" t="s">
        <v>95</v>
      </c>
      <c r="AS229" s="14">
        <v>0.328</v>
      </c>
      <c r="AT229" s="14" t="s">
        <v>506</v>
      </c>
      <c r="AU229" s="14"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14">
        <v>2019</v>
      </c>
      <c r="CH229" s="14" t="s">
        <v>95</v>
      </c>
      <c r="CI229" s="14">
        <v>0.328</v>
      </c>
      <c r="CJ229" s="14">
        <v>0.209</v>
      </c>
      <c r="CK229" s="14" t="s">
        <v>532</v>
      </c>
      <c r="CL229" s="14" t="s">
        <v>533</v>
      </c>
      <c r="CM229" s="14"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14">
        <v>2019</v>
      </c>
      <c r="AR230" s="14" t="s">
        <v>87</v>
      </c>
      <c r="AS230" s="14">
        <v>0.328</v>
      </c>
      <c r="AT230" s="14" t="s">
        <v>506</v>
      </c>
      <c r="AU230" s="14"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14">
        <v>2019</v>
      </c>
      <c r="CH230" s="14" t="s">
        <v>87</v>
      </c>
      <c r="CI230" s="14">
        <v>0.328</v>
      </c>
      <c r="CJ230" s="14">
        <v>0.209</v>
      </c>
      <c r="CK230" s="14" t="s">
        <v>532</v>
      </c>
      <c r="CL230" s="14" t="s">
        <v>533</v>
      </c>
      <c r="CM230" s="14"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14">
        <v>2019</v>
      </c>
      <c r="AR231" s="14" t="s">
        <v>78</v>
      </c>
      <c r="AS231" s="14">
        <v>0.328</v>
      </c>
      <c r="AT231" s="14" t="s">
        <v>506</v>
      </c>
      <c r="AU231" s="14"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14">
        <v>2019</v>
      </c>
      <c r="CH231" s="14" t="s">
        <v>78</v>
      </c>
      <c r="CI231" s="14">
        <v>0.328</v>
      </c>
      <c r="CJ231" s="14">
        <v>0.209</v>
      </c>
      <c r="CK231" s="14" t="s">
        <v>532</v>
      </c>
      <c r="CL231" s="14" t="s">
        <v>533</v>
      </c>
      <c r="CM231" s="14"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14">
        <v>2019</v>
      </c>
      <c r="AR232" s="14" t="s">
        <v>74</v>
      </c>
      <c r="AS232" s="14">
        <v>0.328</v>
      </c>
      <c r="AT232" s="14" t="s">
        <v>506</v>
      </c>
      <c r="AU232" s="14"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14">
        <v>2019</v>
      </c>
      <c r="CH232" s="14" t="s">
        <v>74</v>
      </c>
      <c r="CI232" s="14">
        <v>0.328</v>
      </c>
      <c r="CJ232" s="14">
        <v>0.209</v>
      </c>
      <c r="CK232" s="14" t="s">
        <v>532</v>
      </c>
      <c r="CL232" s="14" t="s">
        <v>533</v>
      </c>
      <c r="CM232" s="14"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14">
        <v>2019</v>
      </c>
      <c r="AR233" s="14" t="s">
        <v>82</v>
      </c>
      <c r="AS233" s="14">
        <v>0.328</v>
      </c>
      <c r="AT233" s="14" t="s">
        <v>506</v>
      </c>
      <c r="AU233" s="14"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14">
        <v>2019</v>
      </c>
      <c r="CH233" s="14" t="s">
        <v>82</v>
      </c>
      <c r="CI233" s="14">
        <v>0.328</v>
      </c>
      <c r="CJ233" s="14">
        <v>0.209</v>
      </c>
      <c r="CK233" s="14" t="s">
        <v>532</v>
      </c>
      <c r="CL233" s="14" t="s">
        <v>533</v>
      </c>
      <c r="CM233" s="14" t="s">
        <v>534</v>
      </c>
    </row>
    <row r="234" spans="4:91">
      <c r="D234">
        <v>2010</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14">
        <v>2010</v>
      </c>
      <c r="AR234" s="14" t="s">
        <v>189</v>
      </c>
      <c r="AS234" s="14">
        <v>0.07</v>
      </c>
      <c r="AT234" s="14" t="s">
        <v>528</v>
      </c>
      <c r="AU234" s="14"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14">
        <v>2010</v>
      </c>
      <c r="CH234" s="14" t="s">
        <v>189</v>
      </c>
      <c r="CI234" s="14">
        <v>0.07</v>
      </c>
      <c r="CJ234" s="14">
        <v>0.07</v>
      </c>
      <c r="CK234" s="14" t="s">
        <v>528</v>
      </c>
      <c r="CL234" s="14" t="s">
        <v>528</v>
      </c>
      <c r="CM234" s="14" t="s">
        <v>530</v>
      </c>
    </row>
    <row r="235" spans="4:91">
      <c r="D235">
        <f>D234</f>
        <v>2010</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14">
        <v>2010</v>
      </c>
      <c r="AR235" s="14" t="s">
        <v>191</v>
      </c>
      <c r="AS235" s="14">
        <v>0.07</v>
      </c>
      <c r="AT235" s="14" t="s">
        <v>528</v>
      </c>
      <c r="AU235" s="14"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14">
        <v>2010</v>
      </c>
      <c r="CH235" s="14" t="s">
        <v>191</v>
      </c>
      <c r="CI235" s="14">
        <v>0.07</v>
      </c>
      <c r="CJ235" s="14">
        <v>0.07</v>
      </c>
      <c r="CK235" s="14" t="s">
        <v>528</v>
      </c>
      <c r="CL235" s="14" t="s">
        <v>528</v>
      </c>
      <c r="CM235" s="14" t="s">
        <v>530</v>
      </c>
    </row>
    <row r="236" ht="16" spans="4:91">
      <c r="D236">
        <f t="shared" ref="D236:D254" si="330">D235</f>
        <v>2010</v>
      </c>
      <c r="E236" s="19"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14">
        <v>2010</v>
      </c>
      <c r="AR236" s="14" t="s">
        <v>195</v>
      </c>
      <c r="AS236" s="14">
        <v>0.07</v>
      </c>
      <c r="AT236" s="14" t="s">
        <v>528</v>
      </c>
      <c r="AU236" s="14"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14">
        <v>2010</v>
      </c>
      <c r="CH236" s="14" t="s">
        <v>195</v>
      </c>
      <c r="CI236" s="14">
        <v>0.07</v>
      </c>
      <c r="CJ236" s="14">
        <v>0.07</v>
      </c>
      <c r="CK236" s="14" t="s">
        <v>528</v>
      </c>
      <c r="CL236" s="14" t="s">
        <v>528</v>
      </c>
      <c r="CM236" s="14" t="s">
        <v>530</v>
      </c>
    </row>
    <row r="237" spans="4:91">
      <c r="D237">
        <f t="shared" si="330"/>
        <v>2010</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14">
        <v>2010</v>
      </c>
      <c r="AR237" s="14" t="s">
        <v>196</v>
      </c>
      <c r="AS237" s="14">
        <v>0.07</v>
      </c>
      <c r="AT237" s="14" t="s">
        <v>528</v>
      </c>
      <c r="AU237" s="14"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14">
        <v>2010</v>
      </c>
      <c r="CH237" s="14" t="s">
        <v>196</v>
      </c>
      <c r="CI237" s="14">
        <v>0.07</v>
      </c>
      <c r="CJ237" s="14">
        <v>0.07</v>
      </c>
      <c r="CK237" s="14" t="s">
        <v>528</v>
      </c>
      <c r="CL237" s="14" t="s">
        <v>528</v>
      </c>
      <c r="CM237" s="14" t="s">
        <v>530</v>
      </c>
    </row>
    <row r="238" spans="4:91">
      <c r="D238">
        <f t="shared" si="330"/>
        <v>2010</v>
      </c>
      <c r="E238" t="s">
        <v>198</v>
      </c>
      <c r="F238" s="1">
        <f t="shared" si="222"/>
        <v>0</v>
      </c>
      <c r="G238" s="1">
        <f t="shared" si="223"/>
        <v>0.2226</v>
      </c>
      <c r="H238" s="1">
        <f t="shared" si="224"/>
        <v>13.3308</v>
      </c>
      <c r="I238" s="1">
        <f t="shared" si="225"/>
        <v>0</v>
      </c>
      <c r="J238" s="1">
        <f t="shared" si="226"/>
        <v>0</v>
      </c>
      <c r="K238" s="1">
        <f t="shared" si="227"/>
        <v>0</v>
      </c>
      <c r="L238" s="1">
        <f t="shared" si="228"/>
        <v>8.1466</v>
      </c>
      <c r="M238" s="1">
        <f>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14">
        <v>2010</v>
      </c>
      <c r="AR238" s="14" t="s">
        <v>198</v>
      </c>
      <c r="AS238" s="14">
        <v>0.07</v>
      </c>
      <c r="AT238" s="14" t="s">
        <v>528</v>
      </c>
      <c r="AU238" s="14"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14">
        <v>2010</v>
      </c>
      <c r="CH238" s="14" t="s">
        <v>198</v>
      </c>
      <c r="CI238" s="14">
        <v>0.07</v>
      </c>
      <c r="CJ238" s="14">
        <v>0.07</v>
      </c>
      <c r="CK238" s="14" t="s">
        <v>528</v>
      </c>
      <c r="CL238" s="14" t="s">
        <v>528</v>
      </c>
      <c r="CM238" s="14" t="s">
        <v>530</v>
      </c>
    </row>
    <row r="239" spans="4:91">
      <c r="D239">
        <f t="shared" si="330"/>
        <v>2010</v>
      </c>
      <c r="E239" t="s">
        <v>200</v>
      </c>
      <c r="F239" s="1">
        <f t="shared" si="222"/>
        <v>0</v>
      </c>
      <c r="G239" s="1">
        <f t="shared" si="223"/>
        <v>6.965</v>
      </c>
      <c r="H239" s="1">
        <f t="shared" si="224"/>
        <v>1.4</v>
      </c>
      <c r="I239" s="1">
        <f t="shared" si="225"/>
        <v>0</v>
      </c>
      <c r="J239" s="1">
        <f t="shared" si="226"/>
        <v>0</v>
      </c>
      <c r="K239" s="1">
        <f t="shared" si="227"/>
        <v>0</v>
      </c>
      <c r="L239" s="1">
        <f t="shared" si="228"/>
        <v>0</v>
      </c>
      <c r="M239" s="1">
        <f>BD239*$CI239</f>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14">
        <v>2010</v>
      </c>
      <c r="AR239" s="14" t="s">
        <v>200</v>
      </c>
      <c r="AS239" s="14">
        <v>0.07</v>
      </c>
      <c r="AT239" s="14" t="s">
        <v>528</v>
      </c>
      <c r="AU239" s="14"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14">
        <v>2010</v>
      </c>
      <c r="CH239" s="14" t="s">
        <v>200</v>
      </c>
      <c r="CI239" s="14">
        <v>0.07</v>
      </c>
      <c r="CJ239" s="14">
        <v>0.07</v>
      </c>
      <c r="CK239" s="14" t="s">
        <v>528</v>
      </c>
      <c r="CL239" s="14" t="s">
        <v>528</v>
      </c>
      <c r="CM239" s="14" t="s">
        <v>530</v>
      </c>
    </row>
    <row r="240" spans="4:91">
      <c r="D240">
        <f t="shared" si="330"/>
        <v>2010</v>
      </c>
      <c r="E240" t="s">
        <v>202</v>
      </c>
      <c r="F240" s="1">
        <f>AW240*$AS240</f>
        <v>0</v>
      </c>
      <c r="G240" s="1">
        <f>AX240*$AS240</f>
        <v>11.907</v>
      </c>
      <c r="H240" s="1">
        <f>AY240*$AS240</f>
        <v>0</v>
      </c>
      <c r="I240" s="1">
        <f>AZ240*$AS240</f>
        <v>0.0315</v>
      </c>
      <c r="J240" s="1">
        <f>BA240*$AS240</f>
        <v>0</v>
      </c>
      <c r="K240" s="1">
        <f>BB240*$AS240</f>
        <v>0</v>
      </c>
      <c r="L240" s="1">
        <f>BC240*$AS240</f>
        <v>4.284</v>
      </c>
      <c r="M240" s="1">
        <f>BD240*$CI240</f>
        <v>80.01</v>
      </c>
      <c r="N240" s="1">
        <f>BE240*$AS240</f>
        <v>0</v>
      </c>
      <c r="O240" s="1">
        <f>BF240*$AS240</f>
        <v>0</v>
      </c>
      <c r="P240" s="1">
        <f>BG240*$AS240</f>
        <v>0</v>
      </c>
      <c r="Q240" s="1">
        <f>BH240*$AS240</f>
        <v>0.0126</v>
      </c>
      <c r="R240" s="1">
        <f>BI240*$AS240</f>
        <v>0</v>
      </c>
      <c r="S240" s="1">
        <f>BJ240*$AS240</f>
        <v>0</v>
      </c>
      <c r="T240" s="1">
        <f>BK240*$AS240</f>
        <v>0</v>
      </c>
      <c r="U240" s="1">
        <f>BL240*$AS240</f>
        <v>1.764</v>
      </c>
      <c r="V240" s="1">
        <f>BM240*$AS240</f>
        <v>0</v>
      </c>
      <c r="W240" s="1">
        <f>BN240*$AS240</f>
        <v>0</v>
      </c>
      <c r="X240" s="1">
        <f>BO240*$AS240</f>
        <v>0</v>
      </c>
      <c r="Y240" s="1">
        <f>BP240*$AS240</f>
        <v>0</v>
      </c>
      <c r="Z240" s="1">
        <f>BQ240*$AS240</f>
        <v>0</v>
      </c>
      <c r="AA240" s="1">
        <f>BR240*$AS240</f>
        <v>1.3167</v>
      </c>
      <c r="AB240" s="1">
        <f>BS240*$AS240</f>
        <v>0.441</v>
      </c>
      <c r="AC240" s="1">
        <f>BT240*$AS240</f>
        <v>0</v>
      </c>
      <c r="AD240" s="1">
        <f>BU240*$AS240</f>
        <v>1.4427</v>
      </c>
      <c r="AE240" s="1">
        <f>BV240*$AS240</f>
        <v>1.26</v>
      </c>
      <c r="AF240" s="1">
        <f>BW240*$AS240</f>
        <v>0</v>
      </c>
      <c r="AG240" s="1">
        <f>BX240*$AS240</f>
        <v>0</v>
      </c>
      <c r="AH240" s="1">
        <f>BY240*$AS240</f>
        <v>0</v>
      </c>
      <c r="AI240" s="1">
        <f>BZ240*$AS240</f>
        <v>0</v>
      </c>
      <c r="AJ240" s="1">
        <f>CA240*$AS240</f>
        <v>0</v>
      </c>
      <c r="AK240" s="1">
        <f>CB240*$AS240</f>
        <v>0.189</v>
      </c>
      <c r="AL240" s="1">
        <f>CC240*$AS240</f>
        <v>0</v>
      </c>
      <c r="AM240" s="1">
        <f>CD240*$AS240</f>
        <v>0.0756</v>
      </c>
      <c r="AN240" s="1">
        <f>CE240*$AS240</f>
        <v>0</v>
      </c>
      <c r="AQ240" s="14">
        <v>2010</v>
      </c>
      <c r="AR240" s="14" t="s">
        <v>202</v>
      </c>
      <c r="AS240" s="14">
        <v>0.07</v>
      </c>
      <c r="AT240" s="14" t="s">
        <v>528</v>
      </c>
      <c r="AU240" s="14"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14">
        <v>2010</v>
      </c>
      <c r="CH240" s="14" t="s">
        <v>202</v>
      </c>
      <c r="CI240" s="14">
        <v>0.07</v>
      </c>
      <c r="CJ240" s="14">
        <v>0.07</v>
      </c>
      <c r="CK240" s="14" t="s">
        <v>528</v>
      </c>
      <c r="CL240" s="14" t="s">
        <v>528</v>
      </c>
      <c r="CM240" s="14" t="s">
        <v>530</v>
      </c>
    </row>
    <row r="241" spans="4:91">
      <c r="D241">
        <f t="shared" si="330"/>
        <v>2010</v>
      </c>
      <c r="E241" t="s">
        <v>68</v>
      </c>
      <c r="F241" s="1">
        <f>AW241*$AS241</f>
        <v>0.00270047156845812</v>
      </c>
      <c r="G241" s="1">
        <f>AX241*$AS241</f>
        <v>0</v>
      </c>
      <c r="H241" s="1">
        <f>AY241*$AS241</f>
        <v>0.00303412561201197</v>
      </c>
      <c r="I241" s="1">
        <f>AZ241*$AS241</f>
        <v>0.000476962737941833</v>
      </c>
      <c r="J241" s="1">
        <f>BA241*$AS241</f>
        <v>4.09064974235645e-6</v>
      </c>
      <c r="K241" s="1">
        <f>BB241*$AS241</f>
        <v>0.0046301135077302</v>
      </c>
      <c r="L241" s="1">
        <f>BC241*$AS241</f>
        <v>0.00190663375437732</v>
      </c>
      <c r="M241" s="1">
        <f>BD241*$CI241</f>
        <v>0.167552498082159</v>
      </c>
      <c r="N241" s="1">
        <f>BE241*$AS241</f>
        <v>0.000579445415374862</v>
      </c>
      <c r="O241" s="1">
        <f>BF241*$AS241</f>
        <v>0.00264382085354907</v>
      </c>
      <c r="P241" s="1">
        <f>BG241*$AS241</f>
        <v>0.0112538795555429</v>
      </c>
      <c r="Q241" s="1">
        <f>BH241*$AS241</f>
        <v>0.0066423572524105</v>
      </c>
      <c r="R241" s="1">
        <f>BI241*$AS241</f>
        <v>0.000224780310033883</v>
      </c>
      <c r="S241" s="1">
        <f>BJ241*$AS241</f>
        <v>0.0030175573987723</v>
      </c>
      <c r="T241" s="1">
        <f>BK241*$AS241</f>
        <v>8.40570283394965e-5</v>
      </c>
      <c r="U241" s="1">
        <f>BL241*$AS241</f>
        <v>0.0226664174429379</v>
      </c>
      <c r="V241" s="1">
        <f>BM241*$AS241</f>
        <v>2.4654019511857e-5</v>
      </c>
      <c r="W241" s="1">
        <f>BN241*$AS241</f>
        <v>0.00709546051638262</v>
      </c>
      <c r="X241" s="1">
        <f>BO241*$AS241</f>
        <v>0.0221794832455743</v>
      </c>
      <c r="Y241" s="1">
        <f>BP241*$AS241</f>
        <v>0.0018551035254334</v>
      </c>
      <c r="Z241" s="1">
        <f>BQ241*$AS241</f>
        <v>0.000147291672799524</v>
      </c>
      <c r="AA241" s="1">
        <f>BR241*$AS241</f>
        <v>0.0107367486821926</v>
      </c>
      <c r="AB241" s="1">
        <f>BS241*$AS241</f>
        <v>0.00232906895797145</v>
      </c>
      <c r="AC241" s="1">
        <f>BT241*$AS241</f>
        <v>0.00403549622432517</v>
      </c>
      <c r="AD241" s="1">
        <f>BU241*$AS241</f>
        <v>0.0166333708524932</v>
      </c>
      <c r="AE241" s="1">
        <f>BV241*$AS241</f>
        <v>0.0660476618761158</v>
      </c>
      <c r="AF241" s="1">
        <f>BW241*$AS241</f>
        <v>0</v>
      </c>
      <c r="AG241" s="1">
        <f>BX241*$AS241</f>
        <v>0.00317356159859707</v>
      </c>
      <c r="AH241" s="1">
        <f>BY241*$AS241</f>
        <v>0.007830330737292</v>
      </c>
      <c r="AI241" s="1">
        <f>BZ241*$AS241</f>
        <v>0.005264142175387</v>
      </c>
      <c r="AJ241" s="1">
        <f>CA241*$AS241</f>
        <v>0</v>
      </c>
      <c r="AK241" s="1">
        <f>CB241*$AS241</f>
        <v>0</v>
      </c>
      <c r="AL241" s="1">
        <f>CC241*$AS241</f>
        <v>0</v>
      </c>
      <c r="AM241" s="1">
        <f>CD241*$AS241</f>
        <v>0</v>
      </c>
      <c r="AN241" s="1">
        <f>CE241*$AS241</f>
        <v>0</v>
      </c>
      <c r="AQ241" s="14">
        <v>2010</v>
      </c>
      <c r="AR241" s="14" t="s">
        <v>68</v>
      </c>
      <c r="AS241" s="14">
        <v>0.001</v>
      </c>
      <c r="AT241" s="14" t="s">
        <v>506</v>
      </c>
      <c r="AU241" s="14"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14">
        <v>2010</v>
      </c>
      <c r="CH241" s="14" t="s">
        <v>68</v>
      </c>
      <c r="CI241" s="14">
        <v>0.001</v>
      </c>
      <c r="CJ241" s="14">
        <v>0.001</v>
      </c>
      <c r="CK241" s="14" t="s">
        <v>532</v>
      </c>
      <c r="CL241" s="14" t="s">
        <v>533</v>
      </c>
      <c r="CM241" s="14" t="s">
        <v>534</v>
      </c>
    </row>
    <row r="242" spans="4:91">
      <c r="D242">
        <f t="shared" si="330"/>
        <v>2010</v>
      </c>
      <c r="E242" t="s">
        <v>90</v>
      </c>
      <c r="F242" s="1">
        <f>AW242*$AS242</f>
        <v>0.00162028294107487</v>
      </c>
      <c r="G242" s="1">
        <f>AX242*$AS242</f>
        <v>0</v>
      </c>
      <c r="H242" s="1">
        <f>AY242*$AS242</f>
        <v>0.00182047536720718</v>
      </c>
      <c r="I242" s="1">
        <f>AZ242*$AS242</f>
        <v>0.000286177642765099</v>
      </c>
      <c r="J242" s="1">
        <f>BA242*$AS242</f>
        <v>2.45438984541387e-6</v>
      </c>
      <c r="K242" s="1">
        <f>BB242*$AS242</f>
        <v>0.00277806810463812</v>
      </c>
      <c r="L242" s="1">
        <f>BC242*$AS242</f>
        <v>0.00114398025262639</v>
      </c>
      <c r="M242" s="1">
        <f>BD242*$CI242</f>
        <v>0.100531498849296</v>
      </c>
      <c r="N242" s="1">
        <f>BE242*$AS242</f>
        <v>0.000347667249224917</v>
      </c>
      <c r="O242" s="1">
        <f>BF242*$AS242</f>
        <v>0.00158629251212944</v>
      </c>
      <c r="P242" s="1">
        <f>BG242*$AS242</f>
        <v>0.00675232773332572</v>
      </c>
      <c r="Q242" s="1">
        <f>BH242*$AS242</f>
        <v>0.0039854143514463</v>
      </c>
      <c r="R242" s="1">
        <f>BI242*$AS242</f>
        <v>0.00013486818602033</v>
      </c>
      <c r="S242" s="1">
        <f>BJ242*$AS242</f>
        <v>0.00181053443926338</v>
      </c>
      <c r="T242" s="1">
        <f>BK242*$AS242</f>
        <v>5.04342170036979e-5</v>
      </c>
      <c r="U242" s="1">
        <f>BL242*$AS242</f>
        <v>0.0135998504657627</v>
      </c>
      <c r="V242" s="1">
        <f>BM242*$AS242</f>
        <v>1.47924117071142e-5</v>
      </c>
      <c r="W242" s="1">
        <f>BN242*$AS242</f>
        <v>0.00425727630982957</v>
      </c>
      <c r="X242" s="1">
        <f>BO242*$AS242</f>
        <v>0.0133076899473446</v>
      </c>
      <c r="Y242" s="1">
        <f>BP242*$AS242</f>
        <v>0.00111306211526004</v>
      </c>
      <c r="Z242" s="1">
        <f>BQ242*$AS242</f>
        <v>8.83750036797145e-5</v>
      </c>
      <c r="AA242" s="1">
        <f>BR242*$AS242</f>
        <v>0.00644204920931559</v>
      </c>
      <c r="AB242" s="1">
        <f>BS242*$AS242</f>
        <v>0.00139744137478287</v>
      </c>
      <c r="AC242" s="1">
        <f>BT242*$AS242</f>
        <v>0.0024212977345951</v>
      </c>
      <c r="AD242" s="1">
        <f>BU242*$AS242</f>
        <v>0.00998002251149592</v>
      </c>
      <c r="AE242" s="1">
        <f>BV242*$AS242</f>
        <v>0.0396285971256695</v>
      </c>
      <c r="AF242" s="1">
        <f>BW242*$AS242</f>
        <v>0</v>
      </c>
      <c r="AG242" s="1">
        <f>BX242*$AS242</f>
        <v>0.00190413695915824</v>
      </c>
      <c r="AH242" s="1">
        <f>BY242*$AS242</f>
        <v>0.0046981984423752</v>
      </c>
      <c r="AI242" s="1">
        <f>BZ242*$AS242</f>
        <v>0.0031584853052322</v>
      </c>
      <c r="AJ242" s="1">
        <f>CA242*$AS242</f>
        <v>0</v>
      </c>
      <c r="AK242" s="1">
        <f>CB242*$AS242</f>
        <v>0</v>
      </c>
      <c r="AL242" s="1">
        <f>CC242*$AS242</f>
        <v>0</v>
      </c>
      <c r="AM242" s="1">
        <f>CD242*$AS242</f>
        <v>0</v>
      </c>
      <c r="AN242" s="1">
        <f>CE242*$AS242</f>
        <v>0</v>
      </c>
      <c r="AQ242" s="14">
        <v>2010</v>
      </c>
      <c r="AR242" s="14" t="s">
        <v>90</v>
      </c>
      <c r="AS242" s="14">
        <v>0.001</v>
      </c>
      <c r="AT242" s="14" t="s">
        <v>506</v>
      </c>
      <c r="AU242" s="14"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14">
        <v>2010</v>
      </c>
      <c r="CH242" s="14" t="s">
        <v>90</v>
      </c>
      <c r="CI242" s="14">
        <v>0.001</v>
      </c>
      <c r="CJ242" s="14">
        <v>0.001</v>
      </c>
      <c r="CK242" s="14" t="s">
        <v>532</v>
      </c>
      <c r="CL242" s="14" t="s">
        <v>533</v>
      </c>
      <c r="CM242" s="14" t="s">
        <v>534</v>
      </c>
    </row>
    <row r="243" spans="4:91">
      <c r="D243">
        <f t="shared" si="330"/>
        <v>2010</v>
      </c>
      <c r="E243" t="s">
        <v>94</v>
      </c>
      <c r="F243" s="1">
        <f>AW243*$AS243</f>
        <v>0.00162028294107487</v>
      </c>
      <c r="G243" s="1">
        <f>AX243*$AS243</f>
        <v>0</v>
      </c>
      <c r="H243" s="1">
        <f>AY243*$AS243</f>
        <v>0.00182047536720718</v>
      </c>
      <c r="I243" s="1">
        <f>AZ243*$AS243</f>
        <v>0.000286177642765099</v>
      </c>
      <c r="J243" s="1">
        <f>BA243*$AS243</f>
        <v>2.45438984541387e-6</v>
      </c>
      <c r="K243" s="1">
        <f>BB243*$AS243</f>
        <v>0.00277806810463812</v>
      </c>
      <c r="L243" s="1">
        <f>BC243*$AS243</f>
        <v>0.00114398025262639</v>
      </c>
      <c r="M243" s="1">
        <f>BD243*$CI243</f>
        <v>0.100531498849296</v>
      </c>
      <c r="N243" s="1">
        <f>BE243*$AS243</f>
        <v>0.000347667249224917</v>
      </c>
      <c r="O243" s="1">
        <f>BF243*$AS243</f>
        <v>0.00158629251212944</v>
      </c>
      <c r="P243" s="1">
        <f>BG243*$AS243</f>
        <v>0.00675232773332572</v>
      </c>
      <c r="Q243" s="1">
        <f>BH243*$AS243</f>
        <v>0.0039854143514463</v>
      </c>
      <c r="R243" s="1">
        <f>BI243*$AS243</f>
        <v>0.00013486818602033</v>
      </c>
      <c r="S243" s="1">
        <f>BJ243*$AS243</f>
        <v>0.00181053443926338</v>
      </c>
      <c r="T243" s="1">
        <f>BK243*$AS243</f>
        <v>5.04342170036979e-5</v>
      </c>
      <c r="U243" s="1">
        <f>BL243*$AS243</f>
        <v>0.0135998504657627</v>
      </c>
      <c r="V243" s="1">
        <f>BM243*$AS243</f>
        <v>1.47924117071142e-5</v>
      </c>
      <c r="W243" s="1">
        <f>BN243*$AS243</f>
        <v>0.00425727630982957</v>
      </c>
      <c r="X243" s="1">
        <f>BO243*$AS243</f>
        <v>0.0133076899473446</v>
      </c>
      <c r="Y243" s="1">
        <f>BP243*$AS243</f>
        <v>0.00111306211526004</v>
      </c>
      <c r="Z243" s="1">
        <f>BQ243*$AS243</f>
        <v>8.83750036797145e-5</v>
      </c>
      <c r="AA243" s="1">
        <f>BR243*$AS243</f>
        <v>0.00644204920931559</v>
      </c>
      <c r="AB243" s="1">
        <f>BS243*$AS243</f>
        <v>0.00139744137478287</v>
      </c>
      <c r="AC243" s="1">
        <f>BT243*$AS243</f>
        <v>0.0024212977345951</v>
      </c>
      <c r="AD243" s="1">
        <f>BU243*$AS243</f>
        <v>0.00998002251149592</v>
      </c>
      <c r="AE243" s="1">
        <f>BV243*$AS243</f>
        <v>0.0396285971256695</v>
      </c>
      <c r="AF243" s="1">
        <f>BW243*$AS243</f>
        <v>0</v>
      </c>
      <c r="AG243" s="1">
        <f>BX243*$AS243</f>
        <v>0.00190413695915824</v>
      </c>
      <c r="AH243" s="1">
        <f>BY243*$AS243</f>
        <v>0.0046981984423752</v>
      </c>
      <c r="AI243" s="1">
        <f>BZ243*$AS243</f>
        <v>0.0031584853052322</v>
      </c>
      <c r="AJ243" s="1">
        <f>CA243*$AS243</f>
        <v>0</v>
      </c>
      <c r="AK243" s="1">
        <f>CB243*$AS243</f>
        <v>0</v>
      </c>
      <c r="AL243" s="1">
        <f>CC243*$AS243</f>
        <v>0</v>
      </c>
      <c r="AM243" s="1">
        <f>CD243*$AS243</f>
        <v>0</v>
      </c>
      <c r="AN243" s="1">
        <f>CE243*$AS243</f>
        <v>0</v>
      </c>
      <c r="AQ243" s="14">
        <v>2010</v>
      </c>
      <c r="AR243" s="14" t="s">
        <v>94</v>
      </c>
      <c r="AS243" s="14">
        <v>0.001</v>
      </c>
      <c r="AT243" s="14" t="s">
        <v>506</v>
      </c>
      <c r="AU243" s="14"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14">
        <v>2010</v>
      </c>
      <c r="CH243" s="14" t="s">
        <v>94</v>
      </c>
      <c r="CI243" s="14">
        <v>0.001</v>
      </c>
      <c r="CJ243" s="14">
        <v>0.001</v>
      </c>
      <c r="CK243" s="14" t="s">
        <v>532</v>
      </c>
      <c r="CL243" s="14" t="s">
        <v>533</v>
      </c>
      <c r="CM243" s="14" t="s">
        <v>534</v>
      </c>
    </row>
    <row r="244" spans="4:91">
      <c r="D244">
        <f t="shared" si="330"/>
        <v>2010</v>
      </c>
      <c r="E244" t="s">
        <v>86</v>
      </c>
      <c r="F244" s="1">
        <f>AW244*$AS244</f>
        <v>0.00162028294107487</v>
      </c>
      <c r="G244" s="1">
        <f>AX244*$AS244</f>
        <v>0</v>
      </c>
      <c r="H244" s="1">
        <f>AY244*$AS244</f>
        <v>0.00182047536720718</v>
      </c>
      <c r="I244" s="1">
        <f>AZ244*$AS244</f>
        <v>0.000286177642765099</v>
      </c>
      <c r="J244" s="1">
        <f>BA244*$AS244</f>
        <v>2.45438984541387e-6</v>
      </c>
      <c r="K244" s="1">
        <f>BB244*$AS244</f>
        <v>0.00277806810463812</v>
      </c>
      <c r="L244" s="1">
        <f>BC244*$AS244</f>
        <v>0.00114398025262639</v>
      </c>
      <c r="M244" s="1">
        <f>BD244*$CI244</f>
        <v>0.100531498849296</v>
      </c>
      <c r="N244" s="1">
        <f>BE244*$AS244</f>
        <v>0.000347667249224917</v>
      </c>
      <c r="O244" s="1">
        <f>BF244*$AS244</f>
        <v>0.00158629251212944</v>
      </c>
      <c r="P244" s="1">
        <f>BG244*$AS244</f>
        <v>0.00675232773332572</v>
      </c>
      <c r="Q244" s="1">
        <f>BH244*$AS244</f>
        <v>0.0039854143514463</v>
      </c>
      <c r="R244" s="1">
        <f>BI244*$AS244</f>
        <v>0.00013486818602033</v>
      </c>
      <c r="S244" s="1">
        <f>BJ244*$AS244</f>
        <v>0.00181053443926338</v>
      </c>
      <c r="T244" s="1">
        <f>BK244*$AS244</f>
        <v>5.04342170036979e-5</v>
      </c>
      <c r="U244" s="1">
        <f>BL244*$AS244</f>
        <v>0.0135998504657627</v>
      </c>
      <c r="V244" s="1">
        <f>BM244*$AS244</f>
        <v>1.47924117071142e-5</v>
      </c>
      <c r="W244" s="1">
        <f>BN244*$AS244</f>
        <v>0.00425727630982957</v>
      </c>
      <c r="X244" s="1">
        <f>BO244*$AS244</f>
        <v>0.0133076899473446</v>
      </c>
      <c r="Y244" s="1">
        <f>BP244*$AS244</f>
        <v>0.00111306211526004</v>
      </c>
      <c r="Z244" s="1">
        <f>BQ244*$AS244</f>
        <v>8.83750036797145e-5</v>
      </c>
      <c r="AA244" s="1">
        <f>BR244*$AS244</f>
        <v>0.00644204920931559</v>
      </c>
      <c r="AB244" s="1">
        <f>BS244*$AS244</f>
        <v>0.00139744137478287</v>
      </c>
      <c r="AC244" s="1">
        <f>BT244*$AS244</f>
        <v>0.0024212977345951</v>
      </c>
      <c r="AD244" s="1">
        <f>BU244*$AS244</f>
        <v>0.00998002251149592</v>
      </c>
      <c r="AE244" s="1">
        <f>BV244*$AS244</f>
        <v>0.0396285971256695</v>
      </c>
      <c r="AF244" s="1">
        <f>BW244*$AS244</f>
        <v>0</v>
      </c>
      <c r="AG244" s="1">
        <f>BX244*$AS244</f>
        <v>0.00190413695915824</v>
      </c>
      <c r="AH244" s="1">
        <f>BY244*$AS244</f>
        <v>0.0046981984423752</v>
      </c>
      <c r="AI244" s="1">
        <f>BZ244*$AS244</f>
        <v>0.0031584853052322</v>
      </c>
      <c r="AJ244" s="1">
        <f>CA244*$AS244</f>
        <v>0</v>
      </c>
      <c r="AK244" s="1">
        <f>CB244*$AS244</f>
        <v>0</v>
      </c>
      <c r="AL244" s="1">
        <f>CC244*$AS244</f>
        <v>0</v>
      </c>
      <c r="AM244" s="1">
        <f>CD244*$AS244</f>
        <v>0</v>
      </c>
      <c r="AN244" s="1">
        <f>CE244*$AS244</f>
        <v>0</v>
      </c>
      <c r="AQ244" s="14">
        <v>2010</v>
      </c>
      <c r="AR244" s="14" t="s">
        <v>86</v>
      </c>
      <c r="AS244" s="14">
        <v>0.001</v>
      </c>
      <c r="AT244" s="14" t="s">
        <v>506</v>
      </c>
      <c r="AU244" s="14"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14">
        <v>2010</v>
      </c>
      <c r="CH244" s="14" t="s">
        <v>86</v>
      </c>
      <c r="CI244" s="14">
        <v>0.001</v>
      </c>
      <c r="CJ244" s="14">
        <v>0.001</v>
      </c>
      <c r="CK244" s="14" t="s">
        <v>532</v>
      </c>
      <c r="CL244" s="14" t="s">
        <v>533</v>
      </c>
      <c r="CM244" s="14" t="s">
        <v>534</v>
      </c>
    </row>
    <row r="245" spans="4:91">
      <c r="D245">
        <f t="shared" si="330"/>
        <v>2010</v>
      </c>
      <c r="E245" t="s">
        <v>77</v>
      </c>
      <c r="F245" s="1">
        <f>AW245*$AS245</f>
        <v>0.00162028294107487</v>
      </c>
      <c r="G245" s="1">
        <f>AX245*$AS245</f>
        <v>0</v>
      </c>
      <c r="H245" s="1">
        <f>AY245*$AS245</f>
        <v>0.00182047536720718</v>
      </c>
      <c r="I245" s="1">
        <f>AZ245*$AS245</f>
        <v>0.000286177642765099</v>
      </c>
      <c r="J245" s="1">
        <f>BA245*$AS245</f>
        <v>2.45438984541387e-6</v>
      </c>
      <c r="K245" s="1">
        <f>BB245*$AS245</f>
        <v>0.00277806810463812</v>
      </c>
      <c r="L245" s="1">
        <f>BC245*$AS245</f>
        <v>0.00114398025262639</v>
      </c>
      <c r="M245" s="1">
        <f>BD245*$CI245</f>
        <v>0.100531498849296</v>
      </c>
      <c r="N245" s="1">
        <f>BE245*$AS245</f>
        <v>0.000347667249224917</v>
      </c>
      <c r="O245" s="1">
        <f>BF245*$AS245</f>
        <v>0.00158629251212944</v>
      </c>
      <c r="P245" s="1">
        <f>BG245*$AS245</f>
        <v>0.00675232773332572</v>
      </c>
      <c r="Q245" s="1">
        <f>BH245*$AS245</f>
        <v>0.0039854143514463</v>
      </c>
      <c r="R245" s="1">
        <f>BI245*$AS245</f>
        <v>0.00013486818602033</v>
      </c>
      <c r="S245" s="1">
        <f>BJ245*$AS245</f>
        <v>0.00181053443926338</v>
      </c>
      <c r="T245" s="1">
        <f>BK245*$AS245</f>
        <v>5.04342170036979e-5</v>
      </c>
      <c r="U245" s="1">
        <f>BL245*$AS245</f>
        <v>0.0135998504657627</v>
      </c>
      <c r="V245" s="1">
        <f>BM245*$AS245</f>
        <v>1.47924117071142e-5</v>
      </c>
      <c r="W245" s="1">
        <f>BN245*$AS245</f>
        <v>0.00425727630982957</v>
      </c>
      <c r="X245" s="1">
        <f>BO245*$AS245</f>
        <v>0.0133076899473446</v>
      </c>
      <c r="Y245" s="1">
        <f>BP245*$AS245</f>
        <v>0.00111306211526004</v>
      </c>
      <c r="Z245" s="1">
        <f>BQ245*$AS245</f>
        <v>8.83750036797145e-5</v>
      </c>
      <c r="AA245" s="1">
        <f>BR245*$AS245</f>
        <v>0.00644204920931559</v>
      </c>
      <c r="AB245" s="1">
        <f>BS245*$AS245</f>
        <v>0.00139744137478287</v>
      </c>
      <c r="AC245" s="1">
        <f>BT245*$AS245</f>
        <v>0.0024212977345951</v>
      </c>
      <c r="AD245" s="1">
        <f>BU245*$AS245</f>
        <v>0.00998002251149592</v>
      </c>
      <c r="AE245" s="1">
        <f>BV245*$AS245</f>
        <v>0.0396285971256695</v>
      </c>
      <c r="AF245" s="1">
        <f>BW245*$AS245</f>
        <v>0</v>
      </c>
      <c r="AG245" s="1">
        <f>BX245*$AS245</f>
        <v>0.00190413695915824</v>
      </c>
      <c r="AH245" s="1">
        <f>BY245*$AS245</f>
        <v>0.0046981984423752</v>
      </c>
      <c r="AI245" s="1">
        <f>BZ245*$AS245</f>
        <v>0.0031584853052322</v>
      </c>
      <c r="AJ245" s="1">
        <f>CA245*$AS245</f>
        <v>0</v>
      </c>
      <c r="AK245" s="1">
        <f>CB245*$AS245</f>
        <v>0</v>
      </c>
      <c r="AL245" s="1">
        <f>CC245*$AS245</f>
        <v>0</v>
      </c>
      <c r="AM245" s="1">
        <f>CD245*$AS245</f>
        <v>0</v>
      </c>
      <c r="AN245" s="1">
        <f>CE245*$AS245</f>
        <v>0</v>
      </c>
      <c r="AQ245" s="14">
        <v>2010</v>
      </c>
      <c r="AR245" s="14" t="s">
        <v>77</v>
      </c>
      <c r="AS245" s="14">
        <v>0.001</v>
      </c>
      <c r="AT245" s="14" t="s">
        <v>506</v>
      </c>
      <c r="AU245" s="14"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14">
        <v>2010</v>
      </c>
      <c r="CH245" s="14" t="s">
        <v>77</v>
      </c>
      <c r="CI245" s="14">
        <v>0.001</v>
      </c>
      <c r="CJ245" s="14">
        <v>0.001</v>
      </c>
      <c r="CK245" s="14" t="s">
        <v>532</v>
      </c>
      <c r="CL245" s="14" t="s">
        <v>533</v>
      </c>
      <c r="CM245" s="14" t="s">
        <v>534</v>
      </c>
    </row>
    <row r="246" spans="4:91">
      <c r="D246">
        <f t="shared" si="330"/>
        <v>2010</v>
      </c>
      <c r="E246" t="s">
        <v>73</v>
      </c>
      <c r="F246" s="1">
        <f>AW246*$AS246</f>
        <v>0</v>
      </c>
      <c r="G246" s="1">
        <f>AX246*$AS246</f>
        <v>0</v>
      </c>
      <c r="H246" s="1">
        <f>AY246*$AS246</f>
        <v>0</v>
      </c>
      <c r="I246" s="1">
        <f>AZ246*$AS246</f>
        <v>0</v>
      </c>
      <c r="J246" s="1">
        <f>BA246*$AS246</f>
        <v>0</v>
      </c>
      <c r="K246" s="1">
        <f>BB246*$AS246</f>
        <v>0</v>
      </c>
      <c r="L246" s="1">
        <f>BC246*$AS246</f>
        <v>0</v>
      </c>
      <c r="M246" s="1">
        <f>BD246*$CI246</f>
        <v>0</v>
      </c>
      <c r="N246" s="1">
        <f>BE246*$AS246</f>
        <v>0</v>
      </c>
      <c r="O246" s="1">
        <f>BF246*$AS246</f>
        <v>0</v>
      </c>
      <c r="P246" s="1">
        <f>BG246*$AS246</f>
        <v>0</v>
      </c>
      <c r="Q246" s="1">
        <f>BH246*$AS246</f>
        <v>0</v>
      </c>
      <c r="R246" s="1">
        <f>BI246*$AS246</f>
        <v>0</v>
      </c>
      <c r="S246" s="1">
        <f>BJ246*$AS246</f>
        <v>0</v>
      </c>
      <c r="T246" s="1">
        <f>BK246*$AS246</f>
        <v>0</v>
      </c>
      <c r="U246" s="1">
        <f>BL246*$AS246</f>
        <v>0</v>
      </c>
      <c r="V246" s="1">
        <f>BM246*$AS246</f>
        <v>0</v>
      </c>
      <c r="W246" s="1">
        <f>BN246*$AS246</f>
        <v>0</v>
      </c>
      <c r="X246" s="1">
        <f>BO246*$AS246</f>
        <v>0</v>
      </c>
      <c r="Y246" s="1">
        <f>BP246*$AS246</f>
        <v>0</v>
      </c>
      <c r="Z246" s="1">
        <f>BQ246*$AS246</f>
        <v>0</v>
      </c>
      <c r="AA246" s="1">
        <f>BR246*$AS246</f>
        <v>0</v>
      </c>
      <c r="AB246" s="1">
        <f>BS246*$AS246</f>
        <v>0</v>
      </c>
      <c r="AC246" s="1">
        <f>BT246*$AS246</f>
        <v>0</v>
      </c>
      <c r="AD246" s="1">
        <f>BU246*$AS246</f>
        <v>0</v>
      </c>
      <c r="AE246" s="1">
        <f>BV246*$AS246</f>
        <v>0</v>
      </c>
      <c r="AF246" s="1">
        <f>BW246*$AS246</f>
        <v>0</v>
      </c>
      <c r="AG246" s="1">
        <f>BX246*$AS246</f>
        <v>0</v>
      </c>
      <c r="AH246" s="1">
        <f>BY246*$AS246</f>
        <v>0</v>
      </c>
      <c r="AI246" s="1">
        <f>BZ246*$AS246</f>
        <v>0</v>
      </c>
      <c r="AJ246" s="1">
        <f>CA246*$AS246</f>
        <v>0</v>
      </c>
      <c r="AK246" s="1">
        <f>CB246*$AS246</f>
        <v>0</v>
      </c>
      <c r="AL246" s="1">
        <f>CC246*$AS246</f>
        <v>0</v>
      </c>
      <c r="AM246" s="1">
        <f>CD246*$AS246</f>
        <v>0</v>
      </c>
      <c r="AN246" s="1">
        <f>CE246*$AS246</f>
        <v>0</v>
      </c>
      <c r="AQ246" s="14">
        <v>2010</v>
      </c>
      <c r="AR246" s="14" t="s">
        <v>73</v>
      </c>
      <c r="AS246" s="14">
        <v>0.001</v>
      </c>
      <c r="AT246" s="14" t="s">
        <v>506</v>
      </c>
      <c r="AU246" s="14"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14">
        <v>2010</v>
      </c>
      <c r="CH246" s="14" t="s">
        <v>73</v>
      </c>
      <c r="CI246" s="14">
        <v>0.001</v>
      </c>
      <c r="CJ246" s="14">
        <v>0.001</v>
      </c>
      <c r="CK246" s="14" t="s">
        <v>532</v>
      </c>
      <c r="CL246" s="14" t="s">
        <v>533</v>
      </c>
      <c r="CM246" s="14" t="s">
        <v>534</v>
      </c>
    </row>
    <row r="247" spans="4:91">
      <c r="D247">
        <f t="shared" si="330"/>
        <v>2010</v>
      </c>
      <c r="E247" t="s">
        <v>81</v>
      </c>
      <c r="F247" s="1">
        <f>AW247*$AS247</f>
        <v>0.00162028294107487</v>
      </c>
      <c r="G247" s="1">
        <f>AX247*$AS247</f>
        <v>0</v>
      </c>
      <c r="H247" s="1">
        <f>AY247*$AS247</f>
        <v>0.00182047536720718</v>
      </c>
      <c r="I247" s="1">
        <f>AZ247*$AS247</f>
        <v>0.000286177642765099</v>
      </c>
      <c r="J247" s="1">
        <f>BA247*$AS247</f>
        <v>2.45438984541387e-6</v>
      </c>
      <c r="K247" s="1">
        <f>BB247*$AS247</f>
        <v>0.00277806810463812</v>
      </c>
      <c r="L247" s="1">
        <f>BC247*$AS247</f>
        <v>0.00114398025262639</v>
      </c>
      <c r="M247" s="1">
        <f>BD247*$CI247</f>
        <v>0.100531498849296</v>
      </c>
      <c r="N247" s="1">
        <f>BE247*$AS247</f>
        <v>0.000347667249224917</v>
      </c>
      <c r="O247" s="1">
        <f>BF247*$AS247</f>
        <v>0.00158629251212944</v>
      </c>
      <c r="P247" s="1">
        <f>BG247*$AS247</f>
        <v>0.00675232773332572</v>
      </c>
      <c r="Q247" s="1">
        <f>BH247*$AS247</f>
        <v>0.0039854143514463</v>
      </c>
      <c r="R247" s="1">
        <f>BI247*$AS247</f>
        <v>0.00013486818602033</v>
      </c>
      <c r="S247" s="1">
        <f>BJ247*$AS247</f>
        <v>0.00181053443926338</v>
      </c>
      <c r="T247" s="1">
        <f>BK247*$AS247</f>
        <v>5.04342170036979e-5</v>
      </c>
      <c r="U247" s="1">
        <f>BL247*$AS247</f>
        <v>0.0135998504657627</v>
      </c>
      <c r="V247" s="1">
        <f>BM247*$AS247</f>
        <v>1.47924117071142e-5</v>
      </c>
      <c r="W247" s="1">
        <f>BN247*$AS247</f>
        <v>0.00425727630982957</v>
      </c>
      <c r="X247" s="1">
        <f>BO247*$AS247</f>
        <v>0.0133076899473446</v>
      </c>
      <c r="Y247" s="1">
        <f>BP247*$AS247</f>
        <v>0.00111306211526004</v>
      </c>
      <c r="Z247" s="1">
        <f>BQ247*$AS247</f>
        <v>8.83750036797145e-5</v>
      </c>
      <c r="AA247" s="1">
        <f>BR247*$AS247</f>
        <v>0.00644204920931559</v>
      </c>
      <c r="AB247" s="1">
        <f>BS247*$AS247</f>
        <v>0.00139744137478287</v>
      </c>
      <c r="AC247" s="1">
        <f>BT247*$AS247</f>
        <v>0.0024212977345951</v>
      </c>
      <c r="AD247" s="1">
        <f>BU247*$AS247</f>
        <v>0.00998002251149592</v>
      </c>
      <c r="AE247" s="1">
        <f>BV247*$AS247</f>
        <v>0.0396285971256695</v>
      </c>
      <c r="AF247" s="1">
        <f>BW247*$AS247</f>
        <v>0</v>
      </c>
      <c r="AG247" s="1">
        <f>BX247*$AS247</f>
        <v>0.00190413695915824</v>
      </c>
      <c r="AH247" s="1">
        <f>BY247*$AS247</f>
        <v>0.0046981984423752</v>
      </c>
      <c r="AI247" s="1">
        <f>BZ247*$AS247</f>
        <v>0.0031584853052322</v>
      </c>
      <c r="AJ247" s="1">
        <f>CA247*$AS247</f>
        <v>0</v>
      </c>
      <c r="AK247" s="1">
        <f>CB247*$AS247</f>
        <v>0</v>
      </c>
      <c r="AL247" s="1">
        <f>CC247*$AS247</f>
        <v>0</v>
      </c>
      <c r="AM247" s="1">
        <f>CD247*$AS247</f>
        <v>0</v>
      </c>
      <c r="AN247" s="1">
        <f>CE247*$AS247</f>
        <v>0</v>
      </c>
      <c r="AQ247" s="14">
        <v>2010</v>
      </c>
      <c r="AR247" s="14" t="s">
        <v>81</v>
      </c>
      <c r="AS247" s="14">
        <v>0.001</v>
      </c>
      <c r="AT247" s="14" t="s">
        <v>506</v>
      </c>
      <c r="AU247" s="14" t="s">
        <v>531</v>
      </c>
      <c r="AV247" t="str">
        <f>AV226</f>
        <v>Tra_EV_Batt-NMC111_virgin</v>
      </c>
      <c r="AW247">
        <f>AW226</f>
        <v>1.62028294107487</v>
      </c>
      <c r="AX247">
        <f>AX226</f>
        <v>0</v>
      </c>
      <c r="AY247">
        <f>AY226</f>
        <v>1.82047536720718</v>
      </c>
      <c r="AZ247">
        <f>AZ226</f>
        <v>0.286177642765099</v>
      </c>
      <c r="BA247">
        <f>BA226</f>
        <v>0.00245438984541387</v>
      </c>
      <c r="BB247">
        <f>BB226</f>
        <v>2.77806810463812</v>
      </c>
      <c r="BC247">
        <f>BC226</f>
        <v>1.14398025262639</v>
      </c>
      <c r="BD247">
        <f>BD226</f>
        <v>100.531498849296</v>
      </c>
      <c r="BE247">
        <f>BE226</f>
        <v>0.347667249224917</v>
      </c>
      <c r="BF247">
        <f>BF226</f>
        <v>1.58629251212944</v>
      </c>
      <c r="BG247">
        <f>BG226</f>
        <v>6.75232773332572</v>
      </c>
      <c r="BH247">
        <f>BH226</f>
        <v>3.9854143514463</v>
      </c>
      <c r="BI247">
        <f>BI226</f>
        <v>0.13486818602033</v>
      </c>
      <c r="BJ247">
        <f>BJ226</f>
        <v>1.81053443926338</v>
      </c>
      <c r="BK247">
        <f>BK226</f>
        <v>0.0504342170036979</v>
      </c>
      <c r="BL247">
        <f>BL226</f>
        <v>13.5998504657627</v>
      </c>
      <c r="BM247">
        <f>BM226</f>
        <v>0.0147924117071142</v>
      </c>
      <c r="BN247">
        <f>BN226</f>
        <v>4.25727630982957</v>
      </c>
      <c r="BO247">
        <f>BO226</f>
        <v>13.3076899473446</v>
      </c>
      <c r="BP247">
        <f>BP226</f>
        <v>1.11306211526004</v>
      </c>
      <c r="BQ247">
        <f>BQ226</f>
        <v>0.0883750036797145</v>
      </c>
      <c r="BR247">
        <f>BR226</f>
        <v>6.44204920931559</v>
      </c>
      <c r="BS247">
        <f>BS226</f>
        <v>1.39744137478287</v>
      </c>
      <c r="BT247">
        <f>BT226</f>
        <v>2.4212977345951</v>
      </c>
      <c r="BU247">
        <f>BU226</f>
        <v>9.98002251149592</v>
      </c>
      <c r="BV247">
        <f>BV226</f>
        <v>39.6285971256695</v>
      </c>
      <c r="BW247">
        <f>BW226</f>
        <v>0</v>
      </c>
      <c r="BX247">
        <f>BX226</f>
        <v>1.90413695915824</v>
      </c>
      <c r="BY247">
        <f>BY226</f>
        <v>4.6981984423752</v>
      </c>
      <c r="BZ247">
        <f>BZ226</f>
        <v>3.1584853052322</v>
      </c>
      <c r="CA247">
        <f>CA226</f>
        <v>0</v>
      </c>
      <c r="CB247">
        <f>CB226</f>
        <v>0</v>
      </c>
      <c r="CC247">
        <f>CC226</f>
        <v>0</v>
      </c>
      <c r="CD247">
        <f>CD226</f>
        <v>0</v>
      </c>
      <c r="CE247">
        <f>CE226</f>
        <v>0</v>
      </c>
      <c r="CG247" s="14">
        <v>2010</v>
      </c>
      <c r="CH247" s="14" t="s">
        <v>81</v>
      </c>
      <c r="CI247" s="14">
        <v>0.001</v>
      </c>
      <c r="CJ247" s="14">
        <v>0.001</v>
      </c>
      <c r="CK247" s="14" t="s">
        <v>532</v>
      </c>
      <c r="CL247" s="14" t="s">
        <v>533</v>
      </c>
      <c r="CM247" s="14" t="s">
        <v>534</v>
      </c>
    </row>
    <row r="248" spans="4:91">
      <c r="D248">
        <f t="shared" si="330"/>
        <v>2010</v>
      </c>
      <c r="E248" t="s">
        <v>69</v>
      </c>
      <c r="F248" s="1">
        <f>AW248*$AS248</f>
        <v>0.00270047156845812</v>
      </c>
      <c r="G248" s="1">
        <f>AX248*$AS248</f>
        <v>0</v>
      </c>
      <c r="H248" s="1">
        <f>AY248*$AS248</f>
        <v>0.00303412561201197</v>
      </c>
      <c r="I248" s="1">
        <f>AZ248*$AS248</f>
        <v>0.000476962737941833</v>
      </c>
      <c r="J248" s="1">
        <f>BA248*$AS248</f>
        <v>4.09064974235645e-6</v>
      </c>
      <c r="K248" s="1">
        <f>BB248*$AS248</f>
        <v>0.0046301135077302</v>
      </c>
      <c r="L248" s="1">
        <f>BC248*$AS248</f>
        <v>0.00190663375437732</v>
      </c>
      <c r="M248" s="1">
        <f>BD248*$CI248</f>
        <v>0.167552498082159</v>
      </c>
      <c r="N248" s="1">
        <f>BE248*$AS248</f>
        <v>0.000579445415374862</v>
      </c>
      <c r="O248" s="1">
        <f>BF248*$AS248</f>
        <v>0.00264382085354907</v>
      </c>
      <c r="P248" s="1">
        <f>BG248*$AS248</f>
        <v>0.0112538795555429</v>
      </c>
      <c r="Q248" s="1">
        <f>BH248*$AS248</f>
        <v>0.0066423572524105</v>
      </c>
      <c r="R248" s="1">
        <f>BI248*$AS248</f>
        <v>0.000224780310033883</v>
      </c>
      <c r="S248" s="1">
        <f>BJ248*$AS248</f>
        <v>0.0030175573987723</v>
      </c>
      <c r="T248" s="1">
        <f>BK248*$AS248</f>
        <v>8.40570283394965e-5</v>
      </c>
      <c r="U248" s="1">
        <f>BL248*$AS248</f>
        <v>0.0226664174429379</v>
      </c>
      <c r="V248" s="1">
        <f>BM248*$AS248</f>
        <v>2.4654019511857e-5</v>
      </c>
      <c r="W248" s="1">
        <f>BN248*$AS248</f>
        <v>0.00709546051638262</v>
      </c>
      <c r="X248" s="1">
        <f>BO248*$AS248</f>
        <v>0.0221794832455743</v>
      </c>
      <c r="Y248" s="1">
        <f>BP248*$AS248</f>
        <v>0.0018551035254334</v>
      </c>
      <c r="Z248" s="1">
        <f>BQ248*$AS248</f>
        <v>0.000147291672799524</v>
      </c>
      <c r="AA248" s="1">
        <f>BR248*$AS248</f>
        <v>0.0107367486821926</v>
      </c>
      <c r="AB248" s="1">
        <f>BS248*$AS248</f>
        <v>0.00232906895797145</v>
      </c>
      <c r="AC248" s="1">
        <f>BT248*$AS248</f>
        <v>0.00403549622432517</v>
      </c>
      <c r="AD248" s="1">
        <f>BU248*$AS248</f>
        <v>0.0166333708524932</v>
      </c>
      <c r="AE248" s="1">
        <f>BV248*$AS248</f>
        <v>0.0660476618761158</v>
      </c>
      <c r="AF248" s="1">
        <f>BW248*$AS248</f>
        <v>0</v>
      </c>
      <c r="AG248" s="1">
        <f>BX248*$AS248</f>
        <v>0.00317356159859707</v>
      </c>
      <c r="AH248" s="1">
        <f>BY248*$AS248</f>
        <v>0.007830330737292</v>
      </c>
      <c r="AI248" s="1">
        <f>BZ248*$AS248</f>
        <v>0.005264142175387</v>
      </c>
      <c r="AJ248" s="1">
        <f>CA248*$AS248</f>
        <v>0</v>
      </c>
      <c r="AK248" s="1">
        <f>CB248*$AS248</f>
        <v>0</v>
      </c>
      <c r="AL248" s="1">
        <f>CC248*$AS248</f>
        <v>0</v>
      </c>
      <c r="AM248" s="1">
        <f>CD248*$AS248</f>
        <v>0</v>
      </c>
      <c r="AN248" s="1">
        <f>CE248*$AS248</f>
        <v>0</v>
      </c>
      <c r="AQ248" s="14">
        <v>2010</v>
      </c>
      <c r="AR248" s="14" t="s">
        <v>69</v>
      </c>
      <c r="AS248" s="14">
        <v>0.001</v>
      </c>
      <c r="AT248" s="14" t="s">
        <v>506</v>
      </c>
      <c r="AU248" s="14" t="s">
        <v>531</v>
      </c>
      <c r="AV248" t="str">
        <f>AV227</f>
        <v>Tra_EV_Batt-LFP_virgin_pack</v>
      </c>
      <c r="AW248">
        <f>AW227</f>
        <v>2.70047156845812</v>
      </c>
      <c r="AX248">
        <f>AX227</f>
        <v>0</v>
      </c>
      <c r="AY248">
        <f>AY227</f>
        <v>3.03412561201197</v>
      </c>
      <c r="AZ248">
        <f>AZ227</f>
        <v>0.476962737941833</v>
      </c>
      <c r="BA248">
        <f>BA227</f>
        <v>0.00409064974235645</v>
      </c>
      <c r="BB248">
        <f>BB227</f>
        <v>4.6301135077302</v>
      </c>
      <c r="BC248">
        <f>BC227</f>
        <v>1.90663375437732</v>
      </c>
      <c r="BD248">
        <f>BD227</f>
        <v>167.552498082159</v>
      </c>
      <c r="BE248">
        <f>BE227</f>
        <v>0.579445415374862</v>
      </c>
      <c r="BF248">
        <f>BF227</f>
        <v>2.64382085354907</v>
      </c>
      <c r="BG248">
        <f>BG227</f>
        <v>11.2538795555429</v>
      </c>
      <c r="BH248">
        <f>BH227</f>
        <v>6.6423572524105</v>
      </c>
      <c r="BI248">
        <f>BI227</f>
        <v>0.224780310033883</v>
      </c>
      <c r="BJ248">
        <f>BJ227</f>
        <v>3.0175573987723</v>
      </c>
      <c r="BK248">
        <f>BK227</f>
        <v>0.0840570283394965</v>
      </c>
      <c r="BL248">
        <f>BL227</f>
        <v>22.6664174429379</v>
      </c>
      <c r="BM248">
        <f>BM227</f>
        <v>0.024654019511857</v>
      </c>
      <c r="BN248">
        <f>BN227</f>
        <v>7.09546051638262</v>
      </c>
      <c r="BO248">
        <f>BO227</f>
        <v>22.1794832455743</v>
      </c>
      <c r="BP248">
        <f>BP227</f>
        <v>1.8551035254334</v>
      </c>
      <c r="BQ248">
        <f>BQ227</f>
        <v>0.147291672799524</v>
      </c>
      <c r="BR248">
        <f>BR227</f>
        <v>10.7367486821926</v>
      </c>
      <c r="BS248">
        <f>BS227</f>
        <v>2.32906895797145</v>
      </c>
      <c r="BT248">
        <f>BT227</f>
        <v>4.03549622432517</v>
      </c>
      <c r="BU248">
        <f>BU227</f>
        <v>16.6333708524932</v>
      </c>
      <c r="BV248">
        <f>BV227</f>
        <v>66.0476618761158</v>
      </c>
      <c r="BW248">
        <f>BW227</f>
        <v>0</v>
      </c>
      <c r="BX248">
        <f>BX227</f>
        <v>3.17356159859707</v>
      </c>
      <c r="BY248">
        <f>BY227</f>
        <v>7.830330737292</v>
      </c>
      <c r="BZ248">
        <f>BZ227</f>
        <v>5.264142175387</v>
      </c>
      <c r="CA248">
        <f>CA227</f>
        <v>0</v>
      </c>
      <c r="CB248">
        <f>CB227</f>
        <v>0</v>
      </c>
      <c r="CC248">
        <f>CC227</f>
        <v>0</v>
      </c>
      <c r="CD248">
        <f>CD227</f>
        <v>0</v>
      </c>
      <c r="CE248">
        <f>CE227</f>
        <v>0</v>
      </c>
      <c r="CG248" s="14">
        <v>2010</v>
      </c>
      <c r="CH248" s="14" t="s">
        <v>69</v>
      </c>
      <c r="CI248" s="14">
        <v>0.001</v>
      </c>
      <c r="CJ248" s="14">
        <v>0.001</v>
      </c>
      <c r="CK248" s="14" t="s">
        <v>532</v>
      </c>
      <c r="CL248" s="14" t="s">
        <v>533</v>
      </c>
      <c r="CM248" s="14" t="s">
        <v>534</v>
      </c>
    </row>
    <row r="249" spans="4:91">
      <c r="D249">
        <f t="shared" si="330"/>
        <v>2010</v>
      </c>
      <c r="E249" t="s">
        <v>91</v>
      </c>
      <c r="F249" s="1">
        <f>AW249*$AS249</f>
        <v>0.00162028294107487</v>
      </c>
      <c r="G249" s="1">
        <f>AX249*$AS249</f>
        <v>0</v>
      </c>
      <c r="H249" s="1">
        <f>AY249*$AS249</f>
        <v>0.00182047536720718</v>
      </c>
      <c r="I249" s="1">
        <f>AZ249*$AS249</f>
        <v>0.000286177642765099</v>
      </c>
      <c r="J249" s="1">
        <f>BA249*$AS249</f>
        <v>2.45438984541387e-6</v>
      </c>
      <c r="K249" s="1">
        <f>BB249*$AS249</f>
        <v>0.00277806810463812</v>
      </c>
      <c r="L249" s="1">
        <f>BC249*$AS249</f>
        <v>0.00114398025262639</v>
      </c>
      <c r="M249" s="1">
        <f>BD249*$CI249</f>
        <v>0.100531498849296</v>
      </c>
      <c r="N249" s="1">
        <f>BE249*$AS249</f>
        <v>0.000347667249224917</v>
      </c>
      <c r="O249" s="1">
        <f>BF249*$AS249</f>
        <v>0.00158629251212944</v>
      </c>
      <c r="P249" s="1">
        <f>BG249*$AS249</f>
        <v>0.00675232773332572</v>
      </c>
      <c r="Q249" s="1">
        <f>BH249*$AS249</f>
        <v>0.0039854143514463</v>
      </c>
      <c r="R249" s="1">
        <f>BI249*$AS249</f>
        <v>0.00013486818602033</v>
      </c>
      <c r="S249" s="1">
        <f>BJ249*$AS249</f>
        <v>0.00181053443926338</v>
      </c>
      <c r="T249" s="1">
        <f>BK249*$AS249</f>
        <v>5.04342170036979e-5</v>
      </c>
      <c r="U249" s="1">
        <f>BL249*$AS249</f>
        <v>0.0135998504657627</v>
      </c>
      <c r="V249" s="1">
        <f>BM249*$AS249</f>
        <v>1.47924117071142e-5</v>
      </c>
      <c r="W249" s="1">
        <f>BN249*$AS249</f>
        <v>0.00425727630982957</v>
      </c>
      <c r="X249" s="1">
        <f>BO249*$AS249</f>
        <v>0.0133076899473446</v>
      </c>
      <c r="Y249" s="1">
        <f>BP249*$AS249</f>
        <v>0.00111306211526004</v>
      </c>
      <c r="Z249" s="1">
        <f>BQ249*$AS249</f>
        <v>8.83750036797145e-5</v>
      </c>
      <c r="AA249" s="1">
        <f>BR249*$AS249</f>
        <v>0.00644204920931559</v>
      </c>
      <c r="AB249" s="1">
        <f>BS249*$AS249</f>
        <v>0.00139744137478287</v>
      </c>
      <c r="AC249" s="1">
        <f>BT249*$AS249</f>
        <v>0.0024212977345951</v>
      </c>
      <c r="AD249" s="1">
        <f>BU249*$AS249</f>
        <v>0.00998002251149592</v>
      </c>
      <c r="AE249" s="1">
        <f>BV249*$AS249</f>
        <v>0.0396285971256695</v>
      </c>
      <c r="AF249" s="1">
        <f>BW249*$AS249</f>
        <v>0</v>
      </c>
      <c r="AG249" s="1">
        <f>BX249*$AS249</f>
        <v>0.00190413695915824</v>
      </c>
      <c r="AH249" s="1">
        <f>BY249*$AS249</f>
        <v>0.0046981984423752</v>
      </c>
      <c r="AI249" s="1">
        <f>BZ249*$AS249</f>
        <v>0.0031584853052322</v>
      </c>
      <c r="AJ249" s="1">
        <f>CA249*$AS249</f>
        <v>0</v>
      </c>
      <c r="AK249" s="1">
        <f>CB249*$AS249</f>
        <v>0</v>
      </c>
      <c r="AL249" s="1">
        <f>CC249*$AS249</f>
        <v>0</v>
      </c>
      <c r="AM249" s="1">
        <f>CD249*$AS249</f>
        <v>0</v>
      </c>
      <c r="AN249" s="1">
        <f>CE249*$AS249</f>
        <v>0</v>
      </c>
      <c r="AQ249" s="14">
        <v>2010</v>
      </c>
      <c r="AR249" s="14" t="s">
        <v>91</v>
      </c>
      <c r="AS249" s="14">
        <v>0.001</v>
      </c>
      <c r="AT249" s="14" t="s">
        <v>506</v>
      </c>
      <c r="AU249" s="14" t="s">
        <v>531</v>
      </c>
      <c r="AV249" t="str">
        <f>AV228</f>
        <v>Tra_EV_Batt-NMC622_virgin_pack</v>
      </c>
      <c r="AW249">
        <f>AW228</f>
        <v>1.62028294107487</v>
      </c>
      <c r="AX249">
        <f>AX228</f>
        <v>0</v>
      </c>
      <c r="AY249">
        <f>AY228</f>
        <v>1.82047536720718</v>
      </c>
      <c r="AZ249">
        <f>AZ228</f>
        <v>0.286177642765099</v>
      </c>
      <c r="BA249">
        <f>BA228</f>
        <v>0.00245438984541387</v>
      </c>
      <c r="BB249">
        <f>BB228</f>
        <v>2.77806810463812</v>
      </c>
      <c r="BC249">
        <f>BC228</f>
        <v>1.14398025262639</v>
      </c>
      <c r="BD249">
        <f>BD228</f>
        <v>100.531498849296</v>
      </c>
      <c r="BE249">
        <f>BE228</f>
        <v>0.347667249224917</v>
      </c>
      <c r="BF249">
        <f>BF228</f>
        <v>1.58629251212944</v>
      </c>
      <c r="BG249">
        <f>BG228</f>
        <v>6.75232773332572</v>
      </c>
      <c r="BH249">
        <f>BH228</f>
        <v>3.9854143514463</v>
      </c>
      <c r="BI249">
        <f>BI228</f>
        <v>0.13486818602033</v>
      </c>
      <c r="BJ249">
        <f>BJ228</f>
        <v>1.81053443926338</v>
      </c>
      <c r="BK249">
        <f>BK228</f>
        <v>0.0504342170036979</v>
      </c>
      <c r="BL249">
        <f>BL228</f>
        <v>13.5998504657627</v>
      </c>
      <c r="BM249">
        <f>BM228</f>
        <v>0.0147924117071142</v>
      </c>
      <c r="BN249">
        <f>BN228</f>
        <v>4.25727630982957</v>
      </c>
      <c r="BO249">
        <f>BO228</f>
        <v>13.3076899473446</v>
      </c>
      <c r="BP249">
        <f>BP228</f>
        <v>1.11306211526004</v>
      </c>
      <c r="BQ249">
        <f>BQ228</f>
        <v>0.0883750036797145</v>
      </c>
      <c r="BR249">
        <f>BR228</f>
        <v>6.44204920931559</v>
      </c>
      <c r="BS249">
        <f>BS228</f>
        <v>1.39744137478287</v>
      </c>
      <c r="BT249">
        <f>BT228</f>
        <v>2.4212977345951</v>
      </c>
      <c r="BU249">
        <f>BU228</f>
        <v>9.98002251149592</v>
      </c>
      <c r="BV249">
        <f>BV228</f>
        <v>39.6285971256695</v>
      </c>
      <c r="BW249">
        <f>BW228</f>
        <v>0</v>
      </c>
      <c r="BX249">
        <f>BX228</f>
        <v>1.90413695915824</v>
      </c>
      <c r="BY249">
        <f>BY228</f>
        <v>4.6981984423752</v>
      </c>
      <c r="BZ249">
        <f>BZ228</f>
        <v>3.1584853052322</v>
      </c>
      <c r="CA249">
        <f>CA228</f>
        <v>0</v>
      </c>
      <c r="CB249">
        <f>CB228</f>
        <v>0</v>
      </c>
      <c r="CC249">
        <f>CC228</f>
        <v>0</v>
      </c>
      <c r="CD249">
        <f>CD228</f>
        <v>0</v>
      </c>
      <c r="CE249">
        <f>CE228</f>
        <v>0</v>
      </c>
      <c r="CG249" s="14">
        <v>2010</v>
      </c>
      <c r="CH249" s="14" t="s">
        <v>91</v>
      </c>
      <c r="CI249" s="14">
        <v>0.001</v>
      </c>
      <c r="CJ249" s="14">
        <v>0.001</v>
      </c>
      <c r="CK249" s="14" t="s">
        <v>532</v>
      </c>
      <c r="CL249" s="14" t="s">
        <v>533</v>
      </c>
      <c r="CM249" s="14" t="s">
        <v>534</v>
      </c>
    </row>
    <row r="250" spans="4:91">
      <c r="D250">
        <f t="shared" si="330"/>
        <v>2010</v>
      </c>
      <c r="E250" t="s">
        <v>95</v>
      </c>
      <c r="F250" s="1">
        <f>AW250*$AS250</f>
        <v>0.00162028294107487</v>
      </c>
      <c r="G250" s="1">
        <f>AX250*$AS250</f>
        <v>0</v>
      </c>
      <c r="H250" s="1">
        <f>AY250*$AS250</f>
        <v>0.00182047536720718</v>
      </c>
      <c r="I250" s="1">
        <f>AZ250*$AS250</f>
        <v>0.000286177642765099</v>
      </c>
      <c r="J250" s="1">
        <f>BA250*$AS250</f>
        <v>2.45438984541387e-6</v>
      </c>
      <c r="K250" s="1">
        <f>BB250*$AS250</f>
        <v>0.00277806810463812</v>
      </c>
      <c r="L250" s="1">
        <f>BC250*$AS250</f>
        <v>0.00114398025262639</v>
      </c>
      <c r="M250" s="1">
        <f>BD250*$CI250</f>
        <v>0.100531498849296</v>
      </c>
      <c r="N250" s="1">
        <f>BE250*$AS250</f>
        <v>0.000347667249224917</v>
      </c>
      <c r="O250" s="1">
        <f>BF250*$AS250</f>
        <v>0.00158629251212944</v>
      </c>
      <c r="P250" s="1">
        <f>BG250*$AS250</f>
        <v>0.00675232773332572</v>
      </c>
      <c r="Q250" s="1">
        <f>BH250*$AS250</f>
        <v>0.0039854143514463</v>
      </c>
      <c r="R250" s="1">
        <f>BI250*$AS250</f>
        <v>0.00013486818602033</v>
      </c>
      <c r="S250" s="1">
        <f>BJ250*$AS250</f>
        <v>0.00181053443926338</v>
      </c>
      <c r="T250" s="1">
        <f>BK250*$AS250</f>
        <v>5.04342170036979e-5</v>
      </c>
      <c r="U250" s="1">
        <f>BL250*$AS250</f>
        <v>0.0135998504657627</v>
      </c>
      <c r="V250" s="1">
        <f>BM250*$AS250</f>
        <v>1.47924117071142e-5</v>
      </c>
      <c r="W250" s="1">
        <f>BN250*$AS250</f>
        <v>0.00425727630982957</v>
      </c>
      <c r="X250" s="1">
        <f>BO250*$AS250</f>
        <v>0.0133076899473446</v>
      </c>
      <c r="Y250" s="1">
        <f>BP250*$AS250</f>
        <v>0.00111306211526004</v>
      </c>
      <c r="Z250" s="1">
        <f>BQ250*$AS250</f>
        <v>8.83750036797145e-5</v>
      </c>
      <c r="AA250" s="1">
        <f>BR250*$AS250</f>
        <v>0.00644204920931559</v>
      </c>
      <c r="AB250" s="1">
        <f>BS250*$AS250</f>
        <v>0.00139744137478287</v>
      </c>
      <c r="AC250" s="1">
        <f>BT250*$AS250</f>
        <v>0.0024212977345951</v>
      </c>
      <c r="AD250" s="1">
        <f>BU250*$AS250</f>
        <v>0.00998002251149592</v>
      </c>
      <c r="AE250" s="1">
        <f>BV250*$AS250</f>
        <v>0.0396285971256695</v>
      </c>
      <c r="AF250" s="1">
        <f>BW250*$AS250</f>
        <v>0</v>
      </c>
      <c r="AG250" s="1">
        <f>BX250*$AS250</f>
        <v>0.00190413695915824</v>
      </c>
      <c r="AH250" s="1">
        <f>BY250*$AS250</f>
        <v>0.0046981984423752</v>
      </c>
      <c r="AI250" s="1">
        <f>BZ250*$AS250</f>
        <v>0.0031584853052322</v>
      </c>
      <c r="AJ250" s="1">
        <f>CA250*$AS250</f>
        <v>0</v>
      </c>
      <c r="AK250" s="1">
        <f>CB250*$AS250</f>
        <v>0</v>
      </c>
      <c r="AL250" s="1">
        <f>CC250*$AS250</f>
        <v>0</v>
      </c>
      <c r="AM250" s="1">
        <f>CD250*$AS250</f>
        <v>0</v>
      </c>
      <c r="AN250" s="1">
        <f>CE250*$AS250</f>
        <v>0</v>
      </c>
      <c r="AQ250" s="14">
        <v>2010</v>
      </c>
      <c r="AR250" s="14" t="s">
        <v>95</v>
      </c>
      <c r="AS250" s="14">
        <v>0.001</v>
      </c>
      <c r="AT250" s="14" t="s">
        <v>506</v>
      </c>
      <c r="AU250" s="14" t="s">
        <v>531</v>
      </c>
      <c r="AV250" t="str">
        <f>AV229</f>
        <v>Tra_EV_Batt-NMC811_virgin_pack</v>
      </c>
      <c r="AW250">
        <f>AW229</f>
        <v>1.62028294107487</v>
      </c>
      <c r="AX250">
        <f>AX229</f>
        <v>0</v>
      </c>
      <c r="AY250">
        <f>AY229</f>
        <v>1.82047536720718</v>
      </c>
      <c r="AZ250">
        <f>AZ229</f>
        <v>0.286177642765099</v>
      </c>
      <c r="BA250">
        <f>BA229</f>
        <v>0.00245438984541387</v>
      </c>
      <c r="BB250">
        <f>BB229</f>
        <v>2.77806810463812</v>
      </c>
      <c r="BC250">
        <f>BC229</f>
        <v>1.14398025262639</v>
      </c>
      <c r="BD250">
        <f>BD229</f>
        <v>100.531498849296</v>
      </c>
      <c r="BE250">
        <f>BE229</f>
        <v>0.347667249224917</v>
      </c>
      <c r="BF250">
        <f>BF229</f>
        <v>1.58629251212944</v>
      </c>
      <c r="BG250">
        <f>BG229</f>
        <v>6.75232773332572</v>
      </c>
      <c r="BH250">
        <f>BH229</f>
        <v>3.9854143514463</v>
      </c>
      <c r="BI250">
        <f>BI229</f>
        <v>0.13486818602033</v>
      </c>
      <c r="BJ250">
        <f>BJ229</f>
        <v>1.81053443926338</v>
      </c>
      <c r="BK250">
        <f>BK229</f>
        <v>0.0504342170036979</v>
      </c>
      <c r="BL250">
        <f>BL229</f>
        <v>13.5998504657627</v>
      </c>
      <c r="BM250">
        <f>BM229</f>
        <v>0.0147924117071142</v>
      </c>
      <c r="BN250">
        <f>BN229</f>
        <v>4.25727630982957</v>
      </c>
      <c r="BO250">
        <f>BO229</f>
        <v>13.3076899473446</v>
      </c>
      <c r="BP250">
        <f>BP229</f>
        <v>1.11306211526004</v>
      </c>
      <c r="BQ250">
        <f>BQ229</f>
        <v>0.0883750036797145</v>
      </c>
      <c r="BR250">
        <f>BR229</f>
        <v>6.44204920931559</v>
      </c>
      <c r="BS250">
        <f>BS229</f>
        <v>1.39744137478287</v>
      </c>
      <c r="BT250">
        <f>BT229</f>
        <v>2.4212977345951</v>
      </c>
      <c r="BU250">
        <f>BU229</f>
        <v>9.98002251149592</v>
      </c>
      <c r="BV250">
        <f>BV229</f>
        <v>39.6285971256695</v>
      </c>
      <c r="BW250">
        <f>BW229</f>
        <v>0</v>
      </c>
      <c r="BX250">
        <f>BX229</f>
        <v>1.90413695915824</v>
      </c>
      <c r="BY250">
        <f>BY229</f>
        <v>4.6981984423752</v>
      </c>
      <c r="BZ250">
        <f>BZ229</f>
        <v>3.1584853052322</v>
      </c>
      <c r="CA250">
        <f>CA229</f>
        <v>0</v>
      </c>
      <c r="CB250">
        <f>CB229</f>
        <v>0</v>
      </c>
      <c r="CC250">
        <f>CC229</f>
        <v>0</v>
      </c>
      <c r="CD250">
        <f>CD229</f>
        <v>0</v>
      </c>
      <c r="CE250">
        <f>CE229</f>
        <v>0</v>
      </c>
      <c r="CG250" s="14">
        <v>2010</v>
      </c>
      <c r="CH250" s="14" t="s">
        <v>95</v>
      </c>
      <c r="CI250" s="14">
        <v>0.001</v>
      </c>
      <c r="CJ250" s="14">
        <v>0.001</v>
      </c>
      <c r="CK250" s="14" t="s">
        <v>532</v>
      </c>
      <c r="CL250" s="14" t="s">
        <v>533</v>
      </c>
      <c r="CM250" s="14" t="s">
        <v>534</v>
      </c>
    </row>
    <row r="251" spans="4:91">
      <c r="D251">
        <f t="shared" si="330"/>
        <v>2010</v>
      </c>
      <c r="E251" t="s">
        <v>87</v>
      </c>
      <c r="F251" s="1">
        <f>AW251*$AS251</f>
        <v>0.00162028294107487</v>
      </c>
      <c r="G251" s="1">
        <f>AX251*$AS251</f>
        <v>0</v>
      </c>
      <c r="H251" s="1">
        <f>AY251*$AS251</f>
        <v>0.00182047536720718</v>
      </c>
      <c r="I251" s="1">
        <f>AZ251*$AS251</f>
        <v>0.000286177642765099</v>
      </c>
      <c r="J251" s="1">
        <f>BA251*$AS251</f>
        <v>2.45438984541387e-6</v>
      </c>
      <c r="K251" s="1">
        <f>BB251*$AS251</f>
        <v>0.00277806810463812</v>
      </c>
      <c r="L251" s="1">
        <f>BC251*$AS251</f>
        <v>0.00114398025262639</v>
      </c>
      <c r="M251" s="1">
        <f>BD251*$CI251</f>
        <v>0.100531498849296</v>
      </c>
      <c r="N251" s="1">
        <f>BE251*$AS251</f>
        <v>0.000347667249224917</v>
      </c>
      <c r="O251" s="1">
        <f>BF251*$AS251</f>
        <v>0.00158629251212944</v>
      </c>
      <c r="P251" s="1">
        <f>BG251*$AS251</f>
        <v>0.00675232773332572</v>
      </c>
      <c r="Q251" s="1">
        <f>BH251*$AS251</f>
        <v>0.0039854143514463</v>
      </c>
      <c r="R251" s="1">
        <f>BI251*$AS251</f>
        <v>0.00013486818602033</v>
      </c>
      <c r="S251" s="1">
        <f>BJ251*$AS251</f>
        <v>0.00181053443926338</v>
      </c>
      <c r="T251" s="1">
        <f>BK251*$AS251</f>
        <v>5.04342170036979e-5</v>
      </c>
      <c r="U251" s="1">
        <f>BL251*$AS251</f>
        <v>0.0135998504657627</v>
      </c>
      <c r="V251" s="1">
        <f>BM251*$AS251</f>
        <v>1.47924117071142e-5</v>
      </c>
      <c r="W251" s="1">
        <f>BN251*$AS251</f>
        <v>0.00425727630982957</v>
      </c>
      <c r="X251" s="1">
        <f>BO251*$AS251</f>
        <v>0.0133076899473446</v>
      </c>
      <c r="Y251" s="1">
        <f>BP251*$AS251</f>
        <v>0.00111306211526004</v>
      </c>
      <c r="Z251" s="1">
        <f>BQ251*$AS251</f>
        <v>8.83750036797145e-5</v>
      </c>
      <c r="AA251" s="1">
        <f>BR251*$AS251</f>
        <v>0.00644204920931559</v>
      </c>
      <c r="AB251" s="1">
        <f>BS251*$AS251</f>
        <v>0.00139744137478287</v>
      </c>
      <c r="AC251" s="1">
        <f>BT251*$AS251</f>
        <v>0.0024212977345951</v>
      </c>
      <c r="AD251" s="1">
        <f>BU251*$AS251</f>
        <v>0.00998002251149592</v>
      </c>
      <c r="AE251" s="1">
        <f>BV251*$AS251</f>
        <v>0.0396285971256695</v>
      </c>
      <c r="AF251" s="1">
        <f>BW251*$AS251</f>
        <v>0</v>
      </c>
      <c r="AG251" s="1">
        <f>BX251*$AS251</f>
        <v>0.00190413695915824</v>
      </c>
      <c r="AH251" s="1">
        <f>BY251*$AS251</f>
        <v>0.0046981984423752</v>
      </c>
      <c r="AI251" s="1">
        <f>BZ251*$AS251</f>
        <v>0.0031584853052322</v>
      </c>
      <c r="AJ251" s="1">
        <f>CA251*$AS251</f>
        <v>0</v>
      </c>
      <c r="AK251" s="1">
        <f>CB251*$AS251</f>
        <v>0</v>
      </c>
      <c r="AL251" s="1">
        <f>CC251*$AS251</f>
        <v>0</v>
      </c>
      <c r="AM251" s="1">
        <f>CD251*$AS251</f>
        <v>0</v>
      </c>
      <c r="AN251" s="1">
        <f>CE251*$AS251</f>
        <v>0</v>
      </c>
      <c r="AQ251" s="14">
        <v>2010</v>
      </c>
      <c r="AR251" s="14" t="s">
        <v>87</v>
      </c>
      <c r="AS251" s="14">
        <v>0.001</v>
      </c>
      <c r="AT251" s="14" t="s">
        <v>506</v>
      </c>
      <c r="AU251" s="14" t="s">
        <v>531</v>
      </c>
      <c r="AV251" t="str">
        <f>AV230</f>
        <v> Tra_EV_Batt-NMC532_virgin_pack</v>
      </c>
      <c r="AW251">
        <f>AW230</f>
        <v>1.62028294107487</v>
      </c>
      <c r="AX251">
        <f>AX230</f>
        <v>0</v>
      </c>
      <c r="AY251">
        <f>AY230</f>
        <v>1.82047536720718</v>
      </c>
      <c r="AZ251">
        <f>AZ230</f>
        <v>0.286177642765099</v>
      </c>
      <c r="BA251">
        <f>BA230</f>
        <v>0.00245438984541387</v>
      </c>
      <c r="BB251">
        <f>BB230</f>
        <v>2.77806810463812</v>
      </c>
      <c r="BC251">
        <f>BC230</f>
        <v>1.14398025262639</v>
      </c>
      <c r="BD251">
        <f>BD230</f>
        <v>100.531498849296</v>
      </c>
      <c r="BE251">
        <f>BE230</f>
        <v>0.347667249224917</v>
      </c>
      <c r="BF251">
        <f>BF230</f>
        <v>1.58629251212944</v>
      </c>
      <c r="BG251">
        <f>BG230</f>
        <v>6.75232773332572</v>
      </c>
      <c r="BH251">
        <f>BH230</f>
        <v>3.9854143514463</v>
      </c>
      <c r="BI251">
        <f>BI230</f>
        <v>0.13486818602033</v>
      </c>
      <c r="BJ251">
        <f>BJ230</f>
        <v>1.81053443926338</v>
      </c>
      <c r="BK251">
        <f>BK230</f>
        <v>0.0504342170036979</v>
      </c>
      <c r="BL251">
        <f>BL230</f>
        <v>13.5998504657627</v>
      </c>
      <c r="BM251">
        <f>BM230</f>
        <v>0.0147924117071142</v>
      </c>
      <c r="BN251">
        <f>BN230</f>
        <v>4.25727630982957</v>
      </c>
      <c r="BO251">
        <f>BO230</f>
        <v>13.3076899473446</v>
      </c>
      <c r="BP251">
        <f>BP230</f>
        <v>1.11306211526004</v>
      </c>
      <c r="BQ251">
        <f>BQ230</f>
        <v>0.0883750036797145</v>
      </c>
      <c r="BR251">
        <f>BR230</f>
        <v>6.44204920931559</v>
      </c>
      <c r="BS251">
        <f>BS230</f>
        <v>1.39744137478287</v>
      </c>
      <c r="BT251">
        <f>BT230</f>
        <v>2.4212977345951</v>
      </c>
      <c r="BU251">
        <f>BU230</f>
        <v>9.98002251149592</v>
      </c>
      <c r="BV251">
        <f>BV230</f>
        <v>39.6285971256695</v>
      </c>
      <c r="BW251">
        <f>BW230</f>
        <v>0</v>
      </c>
      <c r="BX251">
        <f>BX230</f>
        <v>1.90413695915824</v>
      </c>
      <c r="BY251">
        <f>BY230</f>
        <v>4.6981984423752</v>
      </c>
      <c r="BZ251">
        <f>BZ230</f>
        <v>3.1584853052322</v>
      </c>
      <c r="CA251">
        <f>CA230</f>
        <v>0</v>
      </c>
      <c r="CB251">
        <f>CB230</f>
        <v>0</v>
      </c>
      <c r="CC251">
        <f>CC230</f>
        <v>0</v>
      </c>
      <c r="CD251">
        <f>CD230</f>
        <v>0</v>
      </c>
      <c r="CE251">
        <f>CE230</f>
        <v>0</v>
      </c>
      <c r="CG251" s="14">
        <v>2010</v>
      </c>
      <c r="CH251" s="14" t="s">
        <v>87</v>
      </c>
      <c r="CI251" s="14">
        <v>0.001</v>
      </c>
      <c r="CJ251" s="14">
        <v>0.001</v>
      </c>
      <c r="CK251" s="14" t="s">
        <v>532</v>
      </c>
      <c r="CL251" s="14" t="s">
        <v>533</v>
      </c>
      <c r="CM251" s="14" t="s">
        <v>534</v>
      </c>
    </row>
    <row r="252" spans="4:91">
      <c r="D252">
        <f t="shared" si="330"/>
        <v>2010</v>
      </c>
      <c r="E252" t="s">
        <v>78</v>
      </c>
      <c r="F252" s="1">
        <f>AW252*$AS252</f>
        <v>0.00162028294107487</v>
      </c>
      <c r="G252" s="1">
        <f>AX252*$AS252</f>
        <v>0</v>
      </c>
      <c r="H252" s="1">
        <f>AY252*$AS252</f>
        <v>0.00182047536720718</v>
      </c>
      <c r="I252" s="1">
        <f>AZ252*$AS252</f>
        <v>0.000286177642765099</v>
      </c>
      <c r="J252" s="1">
        <f>BA252*$AS252</f>
        <v>2.45438984541387e-6</v>
      </c>
      <c r="K252" s="1">
        <f>BB252*$AS252</f>
        <v>0.00277806810463812</v>
      </c>
      <c r="L252" s="1">
        <f>BC252*$AS252</f>
        <v>0.00114398025262639</v>
      </c>
      <c r="M252" s="1">
        <f>BD252*$CI252</f>
        <v>0.100531498849296</v>
      </c>
      <c r="N252" s="1">
        <f>BE252*$AS252</f>
        <v>0.000347667249224917</v>
      </c>
      <c r="O252" s="1">
        <f>BF252*$AS252</f>
        <v>0.00158629251212944</v>
      </c>
      <c r="P252" s="1">
        <f>BG252*$AS252</f>
        <v>0.00675232773332572</v>
      </c>
      <c r="Q252" s="1">
        <f>BH252*$AS252</f>
        <v>0.0039854143514463</v>
      </c>
      <c r="R252" s="1">
        <f>BI252*$AS252</f>
        <v>0.00013486818602033</v>
      </c>
      <c r="S252" s="1">
        <f>BJ252*$AS252</f>
        <v>0.00181053443926338</v>
      </c>
      <c r="T252" s="1">
        <f>BK252*$AS252</f>
        <v>5.04342170036979e-5</v>
      </c>
      <c r="U252" s="1">
        <f>BL252*$AS252</f>
        <v>0.0135998504657627</v>
      </c>
      <c r="V252" s="1">
        <f>BM252*$AS252</f>
        <v>1.47924117071142e-5</v>
      </c>
      <c r="W252" s="1">
        <f>BN252*$AS252</f>
        <v>0.00425727630982957</v>
      </c>
      <c r="X252" s="1">
        <f>BO252*$AS252</f>
        <v>0.0133076899473446</v>
      </c>
      <c r="Y252" s="1">
        <f>BP252*$AS252</f>
        <v>0.00111306211526004</v>
      </c>
      <c r="Z252" s="1">
        <f>BQ252*$AS252</f>
        <v>8.83750036797145e-5</v>
      </c>
      <c r="AA252" s="1">
        <f>BR252*$AS252</f>
        <v>0.00644204920931559</v>
      </c>
      <c r="AB252" s="1">
        <f>BS252*$AS252</f>
        <v>0.00139744137478287</v>
      </c>
      <c r="AC252" s="1">
        <f>BT252*$AS252</f>
        <v>0.0024212977345951</v>
      </c>
      <c r="AD252" s="1">
        <f>BU252*$AS252</f>
        <v>0.00998002251149592</v>
      </c>
      <c r="AE252" s="1">
        <f>BV252*$AS252</f>
        <v>0.0396285971256695</v>
      </c>
      <c r="AF252" s="1">
        <f>BW252*$AS252</f>
        <v>0</v>
      </c>
      <c r="AG252" s="1">
        <f>BX252*$AS252</f>
        <v>0.00190413695915824</v>
      </c>
      <c r="AH252" s="1">
        <f>BY252*$AS252</f>
        <v>0.0046981984423752</v>
      </c>
      <c r="AI252" s="1">
        <f>BZ252*$AS252</f>
        <v>0.0031584853052322</v>
      </c>
      <c r="AJ252" s="1">
        <f>CA252*$AS252</f>
        <v>0</v>
      </c>
      <c r="AK252" s="1">
        <f>CB252*$AS252</f>
        <v>0</v>
      </c>
      <c r="AL252" s="1">
        <f>CC252*$AS252</f>
        <v>0</v>
      </c>
      <c r="AM252" s="1">
        <f>CD252*$AS252</f>
        <v>0</v>
      </c>
      <c r="AN252" s="1">
        <f>CE252*$AS252</f>
        <v>0</v>
      </c>
      <c r="AQ252" s="14">
        <v>2010</v>
      </c>
      <c r="AR252" s="14" t="s">
        <v>78</v>
      </c>
      <c r="AS252" s="14">
        <v>0.001</v>
      </c>
      <c r="AT252" s="14" t="s">
        <v>506</v>
      </c>
      <c r="AU252" s="14" t="s">
        <v>531</v>
      </c>
      <c r="AV252" t="str">
        <f>AV231</f>
        <v>Tra_EV_Batt-NCA_virgin_pack</v>
      </c>
      <c r="AW252">
        <f>AW231</f>
        <v>1.62028294107487</v>
      </c>
      <c r="AX252">
        <f>AX231</f>
        <v>0</v>
      </c>
      <c r="AY252">
        <f>AY231</f>
        <v>1.82047536720718</v>
      </c>
      <c r="AZ252">
        <f>AZ231</f>
        <v>0.286177642765099</v>
      </c>
      <c r="BA252">
        <f>BA231</f>
        <v>0.00245438984541387</v>
      </c>
      <c r="BB252">
        <f>BB231</f>
        <v>2.77806810463812</v>
      </c>
      <c r="BC252">
        <f>BC231</f>
        <v>1.14398025262639</v>
      </c>
      <c r="BD252">
        <f>BD231</f>
        <v>100.531498849296</v>
      </c>
      <c r="BE252">
        <f>BE231</f>
        <v>0.347667249224917</v>
      </c>
      <c r="BF252">
        <f>BF231</f>
        <v>1.58629251212944</v>
      </c>
      <c r="BG252">
        <f>BG231</f>
        <v>6.75232773332572</v>
      </c>
      <c r="BH252">
        <f>BH231</f>
        <v>3.9854143514463</v>
      </c>
      <c r="BI252">
        <f>BI231</f>
        <v>0.13486818602033</v>
      </c>
      <c r="BJ252">
        <f>BJ231</f>
        <v>1.81053443926338</v>
      </c>
      <c r="BK252">
        <f>BK231</f>
        <v>0.0504342170036979</v>
      </c>
      <c r="BL252">
        <f>BL231</f>
        <v>13.5998504657627</v>
      </c>
      <c r="BM252">
        <f>BM231</f>
        <v>0.0147924117071142</v>
      </c>
      <c r="BN252">
        <f>BN231</f>
        <v>4.25727630982957</v>
      </c>
      <c r="BO252">
        <f>BO231</f>
        <v>13.3076899473446</v>
      </c>
      <c r="BP252">
        <f>BP231</f>
        <v>1.11306211526004</v>
      </c>
      <c r="BQ252">
        <f>BQ231</f>
        <v>0.0883750036797145</v>
      </c>
      <c r="BR252">
        <f>BR231</f>
        <v>6.44204920931559</v>
      </c>
      <c r="BS252">
        <f>BS231</f>
        <v>1.39744137478287</v>
      </c>
      <c r="BT252">
        <f>BT231</f>
        <v>2.4212977345951</v>
      </c>
      <c r="BU252">
        <f>BU231</f>
        <v>9.98002251149592</v>
      </c>
      <c r="BV252">
        <f>BV231</f>
        <v>39.6285971256695</v>
      </c>
      <c r="BW252">
        <f>BW231</f>
        <v>0</v>
      </c>
      <c r="BX252">
        <f>BX231</f>
        <v>1.90413695915824</v>
      </c>
      <c r="BY252">
        <f>BY231</f>
        <v>4.6981984423752</v>
      </c>
      <c r="BZ252">
        <f>BZ231</f>
        <v>3.1584853052322</v>
      </c>
      <c r="CA252">
        <f>CA231</f>
        <v>0</v>
      </c>
      <c r="CB252">
        <f>CB231</f>
        <v>0</v>
      </c>
      <c r="CC252">
        <f>CC231</f>
        <v>0</v>
      </c>
      <c r="CD252">
        <f>CD231</f>
        <v>0</v>
      </c>
      <c r="CE252">
        <f>CE231</f>
        <v>0</v>
      </c>
      <c r="CG252" s="14">
        <v>2010</v>
      </c>
      <c r="CH252" s="14" t="s">
        <v>78</v>
      </c>
      <c r="CI252" s="14">
        <v>0.001</v>
      </c>
      <c r="CJ252" s="14">
        <v>0.001</v>
      </c>
      <c r="CK252" s="14" t="s">
        <v>532</v>
      </c>
      <c r="CL252" s="14" t="s">
        <v>533</v>
      </c>
      <c r="CM252" s="14" t="s">
        <v>534</v>
      </c>
    </row>
    <row r="253" spans="4:91">
      <c r="D253">
        <f t="shared" si="330"/>
        <v>2010</v>
      </c>
      <c r="E253" t="s">
        <v>74</v>
      </c>
      <c r="F253" s="1">
        <f>AW253*$AS253</f>
        <v>0</v>
      </c>
      <c r="G253" s="1">
        <f>AX253*$AS253</f>
        <v>0</v>
      </c>
      <c r="H253" s="1">
        <f>AY253*$AS253</f>
        <v>0</v>
      </c>
      <c r="I253" s="1">
        <f>AZ253*$AS253</f>
        <v>0</v>
      </c>
      <c r="J253" s="1">
        <f>BA253*$AS253</f>
        <v>0</v>
      </c>
      <c r="K253" s="1">
        <f>BB253*$AS253</f>
        <v>0</v>
      </c>
      <c r="L253" s="1">
        <f>BC253*$AS253</f>
        <v>0</v>
      </c>
      <c r="M253" s="1">
        <f>BD253*$CI253</f>
        <v>0</v>
      </c>
      <c r="N253" s="1">
        <f>BE253*$AS253</f>
        <v>0</v>
      </c>
      <c r="O253" s="1">
        <f>BF253*$AS253</f>
        <v>0</v>
      </c>
      <c r="P253" s="1">
        <f>BG253*$AS253</f>
        <v>0</v>
      </c>
      <c r="Q253" s="1">
        <f>BH253*$AS253</f>
        <v>0</v>
      </c>
      <c r="R253" s="1">
        <f>BI253*$AS253</f>
        <v>0</v>
      </c>
      <c r="S253" s="1">
        <f>BJ253*$AS253</f>
        <v>0</v>
      </c>
      <c r="T253" s="1">
        <f>BK253*$AS253</f>
        <v>0</v>
      </c>
      <c r="U253" s="1">
        <f>BL253*$AS253</f>
        <v>0</v>
      </c>
      <c r="V253" s="1">
        <f>BM253*$AS253</f>
        <v>0</v>
      </c>
      <c r="W253" s="1">
        <f>BN253*$AS253</f>
        <v>0</v>
      </c>
      <c r="X253" s="1">
        <f>BO253*$AS253</f>
        <v>0</v>
      </c>
      <c r="Y253" s="1">
        <f>BP253*$AS253</f>
        <v>0</v>
      </c>
      <c r="Z253" s="1">
        <f>BQ253*$AS253</f>
        <v>0</v>
      </c>
      <c r="AA253" s="1">
        <f>BR253*$AS253</f>
        <v>0</v>
      </c>
      <c r="AB253" s="1">
        <f>BS253*$AS253</f>
        <v>0</v>
      </c>
      <c r="AC253" s="1">
        <f>BT253*$AS253</f>
        <v>0</v>
      </c>
      <c r="AD253" s="1">
        <f>BU253*$AS253</f>
        <v>0</v>
      </c>
      <c r="AE253" s="1">
        <f>BV253*$AS253</f>
        <v>0</v>
      </c>
      <c r="AF253" s="1">
        <f>BW253*$AS253</f>
        <v>0</v>
      </c>
      <c r="AG253" s="1">
        <f>BX253*$AS253</f>
        <v>0</v>
      </c>
      <c r="AH253" s="1">
        <f>BY253*$AS253</f>
        <v>0</v>
      </c>
      <c r="AI253" s="1">
        <f>BZ253*$AS253</f>
        <v>0</v>
      </c>
      <c r="AJ253" s="1">
        <f>CA253*$AS253</f>
        <v>0</v>
      </c>
      <c r="AK253" s="1">
        <f>CB253*$AS253</f>
        <v>0</v>
      </c>
      <c r="AL253" s="1">
        <f>CC253*$AS253</f>
        <v>0</v>
      </c>
      <c r="AM253" s="1">
        <f>CD253*$AS253</f>
        <v>0</v>
      </c>
      <c r="AN253" s="1">
        <f>CE253*$AS253</f>
        <v>0</v>
      </c>
      <c r="AQ253" s="14">
        <v>2010</v>
      </c>
      <c r="AR253" s="14" t="s">
        <v>74</v>
      </c>
      <c r="AS253" s="14">
        <v>0.001</v>
      </c>
      <c r="AT253" s="14" t="s">
        <v>506</v>
      </c>
      <c r="AU253" s="14" t="s">
        <v>531</v>
      </c>
      <c r="AV253" t="str">
        <f>AV232</f>
        <v> Tra_EV_Batt-LMO_virgin_pack</v>
      </c>
      <c r="AW253">
        <f>AW232</f>
        <v>0</v>
      </c>
      <c r="AX253">
        <f>AX232</f>
        <v>0</v>
      </c>
      <c r="AY253">
        <f>AY232</f>
        <v>0</v>
      </c>
      <c r="AZ253">
        <f>AZ232</f>
        <v>0</v>
      </c>
      <c r="BA253">
        <f>BA232</f>
        <v>0</v>
      </c>
      <c r="BB253">
        <f>BB232</f>
        <v>0</v>
      </c>
      <c r="BC253">
        <f>BC232</f>
        <v>0</v>
      </c>
      <c r="BD253">
        <f>BD232</f>
        <v>0</v>
      </c>
      <c r="BE253">
        <f>BE232</f>
        <v>0</v>
      </c>
      <c r="BF253">
        <f>BF232</f>
        <v>0</v>
      </c>
      <c r="BG253">
        <f>BG232</f>
        <v>0</v>
      </c>
      <c r="BH253">
        <f>BH232</f>
        <v>0</v>
      </c>
      <c r="BI253">
        <f>BI232</f>
        <v>0</v>
      </c>
      <c r="BJ253">
        <f>BJ232</f>
        <v>0</v>
      </c>
      <c r="BK253">
        <f>BK232</f>
        <v>0</v>
      </c>
      <c r="BL253">
        <f>BL232</f>
        <v>0</v>
      </c>
      <c r="BM253">
        <f>BM232</f>
        <v>0</v>
      </c>
      <c r="BN253">
        <f>BN232</f>
        <v>0</v>
      </c>
      <c r="BO253">
        <f>BO232</f>
        <v>0</v>
      </c>
      <c r="BP253">
        <f>BP232</f>
        <v>0</v>
      </c>
      <c r="BQ253">
        <f>BQ232</f>
        <v>0</v>
      </c>
      <c r="BR253">
        <f>BR232</f>
        <v>0</v>
      </c>
      <c r="BS253">
        <f>BS232</f>
        <v>0</v>
      </c>
      <c r="BT253">
        <f>BT232</f>
        <v>0</v>
      </c>
      <c r="BU253">
        <f>BU232</f>
        <v>0</v>
      </c>
      <c r="BV253">
        <f>BV232</f>
        <v>0</v>
      </c>
      <c r="BW253">
        <f>BW232</f>
        <v>0</v>
      </c>
      <c r="BX253">
        <f>BX232</f>
        <v>0</v>
      </c>
      <c r="BY253">
        <f>BY232</f>
        <v>0</v>
      </c>
      <c r="BZ253">
        <f>BZ232</f>
        <v>0</v>
      </c>
      <c r="CA253">
        <f>CA232</f>
        <v>0</v>
      </c>
      <c r="CB253">
        <f>CB232</f>
        <v>0</v>
      </c>
      <c r="CC253">
        <f>CC232</f>
        <v>0</v>
      </c>
      <c r="CD253">
        <f>CD232</f>
        <v>0</v>
      </c>
      <c r="CE253">
        <f>CE232</f>
        <v>0</v>
      </c>
      <c r="CG253" s="14">
        <v>2010</v>
      </c>
      <c r="CH253" s="14" t="s">
        <v>74</v>
      </c>
      <c r="CI253" s="14">
        <v>0.001</v>
      </c>
      <c r="CJ253" s="14">
        <v>0.001</v>
      </c>
      <c r="CK253" s="14" t="s">
        <v>532</v>
      </c>
      <c r="CL253" s="14" t="s">
        <v>533</v>
      </c>
      <c r="CM253" s="14" t="s">
        <v>534</v>
      </c>
    </row>
    <row r="254" spans="4:91">
      <c r="D254">
        <f t="shared" si="330"/>
        <v>2010</v>
      </c>
      <c r="E254" t="s">
        <v>82</v>
      </c>
      <c r="F254" s="1">
        <f>AW254*$AS254</f>
        <v>0.00162028294107487</v>
      </c>
      <c r="G254" s="1">
        <f>AX254*$AS254</f>
        <v>0</v>
      </c>
      <c r="H254" s="1">
        <f>AY254*$AS254</f>
        <v>0.00182047536720718</v>
      </c>
      <c r="I254" s="1">
        <f>AZ254*$AS254</f>
        <v>0.000286177642765099</v>
      </c>
      <c r="J254" s="1">
        <f>BA254*$AS254</f>
        <v>2.45438984541387e-6</v>
      </c>
      <c r="K254" s="1">
        <f>BB254*$AS254</f>
        <v>0.00277806810463812</v>
      </c>
      <c r="L254" s="1">
        <f>BC254*$AS254</f>
        <v>0.00114398025262639</v>
      </c>
      <c r="M254" s="1">
        <f>BD254*$CI254</f>
        <v>0.100531498849296</v>
      </c>
      <c r="N254" s="1">
        <f>BE254*$AS254</f>
        <v>0.000347667249224917</v>
      </c>
      <c r="O254" s="1">
        <f>BF254*$AS254</f>
        <v>0.00158629251212944</v>
      </c>
      <c r="P254" s="1">
        <f>BG254*$AS254</f>
        <v>0.00675232773332572</v>
      </c>
      <c r="Q254" s="1">
        <f>BH254*$AS254</f>
        <v>0.0039854143514463</v>
      </c>
      <c r="R254" s="1">
        <f>BI254*$AS254</f>
        <v>0.00013486818602033</v>
      </c>
      <c r="S254" s="1">
        <f>BJ254*$AS254</f>
        <v>0.00181053443926338</v>
      </c>
      <c r="T254" s="1">
        <f>BK254*$AS254</f>
        <v>5.04342170036979e-5</v>
      </c>
      <c r="U254" s="1">
        <f>BL254*$AS254</f>
        <v>0.0135998504657627</v>
      </c>
      <c r="V254" s="1">
        <f>BM254*$AS254</f>
        <v>1.47924117071142e-5</v>
      </c>
      <c r="W254" s="1">
        <f>BN254*$AS254</f>
        <v>0.00425727630982957</v>
      </c>
      <c r="X254" s="1">
        <f>BO254*$AS254</f>
        <v>0.0133076899473446</v>
      </c>
      <c r="Y254" s="1">
        <f>BP254*$AS254</f>
        <v>0.00111306211526004</v>
      </c>
      <c r="Z254" s="1">
        <f>BQ254*$AS254</f>
        <v>8.83750036797145e-5</v>
      </c>
      <c r="AA254" s="1">
        <f>BR254*$AS254</f>
        <v>0.00644204920931559</v>
      </c>
      <c r="AB254" s="1">
        <f>BS254*$AS254</f>
        <v>0.00139744137478287</v>
      </c>
      <c r="AC254" s="1">
        <f>BT254*$AS254</f>
        <v>0.0024212977345951</v>
      </c>
      <c r="AD254" s="1">
        <f>BU254*$AS254</f>
        <v>0.00998002251149592</v>
      </c>
      <c r="AE254" s="1">
        <f>BV254*$AS254</f>
        <v>0.0396285971256695</v>
      </c>
      <c r="AF254" s="1">
        <f>BW254*$AS254</f>
        <v>0</v>
      </c>
      <c r="AG254" s="1">
        <f>BX254*$AS254</f>
        <v>0.00190413695915824</v>
      </c>
      <c r="AH254" s="1">
        <f>BY254*$AS254</f>
        <v>0.0046981984423752</v>
      </c>
      <c r="AI254" s="1">
        <f>BZ254*$AS254</f>
        <v>0.0031584853052322</v>
      </c>
      <c r="AJ254" s="1">
        <f>CA254*$AS254</f>
        <v>0</v>
      </c>
      <c r="AK254" s="1">
        <f>CB254*$AS254</f>
        <v>0</v>
      </c>
      <c r="AL254" s="1">
        <f>CC254*$AS254</f>
        <v>0</v>
      </c>
      <c r="AM254" s="1">
        <f>CD254*$AS254</f>
        <v>0</v>
      </c>
      <c r="AN254" s="1">
        <f>CE254*$AS254</f>
        <v>0</v>
      </c>
      <c r="AQ254" s="14">
        <v>2010</v>
      </c>
      <c r="AR254" s="14" t="s">
        <v>82</v>
      </c>
      <c r="AS254" s="14">
        <v>0.001</v>
      </c>
      <c r="AT254" s="14" t="s">
        <v>506</v>
      </c>
      <c r="AU254" s="14" t="s">
        <v>531</v>
      </c>
      <c r="AV254" t="str">
        <f>AV233</f>
        <v>Tra_EV_Batt-NMC111_virgin_pack</v>
      </c>
      <c r="AW254">
        <f>AW233</f>
        <v>1.62028294107487</v>
      </c>
      <c r="AX254">
        <f>AX233</f>
        <v>0</v>
      </c>
      <c r="AY254">
        <f>AY233</f>
        <v>1.82047536720718</v>
      </c>
      <c r="AZ254">
        <f>AZ233</f>
        <v>0.286177642765099</v>
      </c>
      <c r="BA254">
        <f>BA233</f>
        <v>0.00245438984541387</v>
      </c>
      <c r="BB254">
        <f>BB233</f>
        <v>2.77806810463812</v>
      </c>
      <c r="BC254">
        <f>BC233</f>
        <v>1.14398025262639</v>
      </c>
      <c r="BD254">
        <f>BD233</f>
        <v>100.531498849296</v>
      </c>
      <c r="BE254">
        <f>BE233</f>
        <v>0.347667249224917</v>
      </c>
      <c r="BF254">
        <f>BF233</f>
        <v>1.58629251212944</v>
      </c>
      <c r="BG254">
        <f>BG233</f>
        <v>6.75232773332572</v>
      </c>
      <c r="BH254">
        <f>BH233</f>
        <v>3.9854143514463</v>
      </c>
      <c r="BI254">
        <f>BI233</f>
        <v>0.13486818602033</v>
      </c>
      <c r="BJ254">
        <f>BJ233</f>
        <v>1.81053443926338</v>
      </c>
      <c r="BK254">
        <f>BK233</f>
        <v>0.0504342170036979</v>
      </c>
      <c r="BL254">
        <f>BL233</f>
        <v>13.5998504657627</v>
      </c>
      <c r="BM254">
        <f>BM233</f>
        <v>0.0147924117071142</v>
      </c>
      <c r="BN254">
        <f>BN233</f>
        <v>4.25727630982957</v>
      </c>
      <c r="BO254">
        <f>BO233</f>
        <v>13.3076899473446</v>
      </c>
      <c r="BP254">
        <f>BP233</f>
        <v>1.11306211526004</v>
      </c>
      <c r="BQ254">
        <f>BQ233</f>
        <v>0.0883750036797145</v>
      </c>
      <c r="BR254">
        <f>BR233</f>
        <v>6.44204920931559</v>
      </c>
      <c r="BS254">
        <f>BS233</f>
        <v>1.39744137478287</v>
      </c>
      <c r="BT254">
        <f>BT233</f>
        <v>2.4212977345951</v>
      </c>
      <c r="BU254">
        <f>BU233</f>
        <v>9.98002251149592</v>
      </c>
      <c r="BV254">
        <f>BV233</f>
        <v>39.6285971256695</v>
      </c>
      <c r="BW254">
        <f>BW233</f>
        <v>0</v>
      </c>
      <c r="BX254">
        <f>BX233</f>
        <v>1.90413695915824</v>
      </c>
      <c r="BY254">
        <f>BY233</f>
        <v>4.6981984423752</v>
      </c>
      <c r="BZ254">
        <f>BZ233</f>
        <v>3.1584853052322</v>
      </c>
      <c r="CA254">
        <f>CA233</f>
        <v>0</v>
      </c>
      <c r="CB254">
        <f>CB233</f>
        <v>0</v>
      </c>
      <c r="CC254">
        <f>CC233</f>
        <v>0</v>
      </c>
      <c r="CD254">
        <f>CD233</f>
        <v>0</v>
      </c>
      <c r="CE254">
        <f>CE233</f>
        <v>0</v>
      </c>
      <c r="CG254" s="14">
        <v>2010</v>
      </c>
      <c r="CH254" s="14" t="s">
        <v>82</v>
      </c>
      <c r="CI254" s="14">
        <v>0.001</v>
      </c>
      <c r="CJ254" s="14">
        <v>0.001</v>
      </c>
      <c r="CK254" s="14" t="s">
        <v>532</v>
      </c>
      <c r="CL254" s="14" t="s">
        <v>533</v>
      </c>
      <c r="CM254" s="14"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G35" sqref="AG35"/>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3" width="12.8181818181818"/>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537</v>
      </c>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2026-08-10T15:55:32Z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