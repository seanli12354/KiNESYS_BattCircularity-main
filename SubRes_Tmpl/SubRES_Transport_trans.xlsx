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updateLinks="never"/>
  <bookViews>
    <workbookView windowWidth="18350" windowHeight="8710" firstSheet="1" activeTab="1"/>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s>
  <externalReferences>
    <externalReference r:id="rId8"/>
    <externalReference r:id="rId9"/>
    <externalReference r:id="rId10"/>
  </externalReferences>
  <definedNames>
    <definedName name="FID_1">[1]AGR_Fuels!$A$2</definedName>
    <definedName name="GROWTH">'[2]TechRep-Doc'!#REF!</definedName>
    <definedName name="DISCRATE">'[2]TechRep-Doc'!#REF!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0"/>
          </rPr>
          <t>xli9:</t>
        </r>
        <r>
          <rPr>
            <sz val="9"/>
            <rFont val="Times New Roman"/>
            <charset val="0"/>
          </rPr>
          <t xml:space="preserve">
at the factory (conversion) level</t>
        </r>
      </text>
    </comment>
    <comment ref="AX24" authorId="0">
      <text>
        <r>
          <rPr>
            <b/>
            <sz val="9"/>
            <rFont val="Times New Roman"/>
            <charset val="0"/>
          </rPr>
          <t>xli9:</t>
        </r>
        <r>
          <rPr>
            <sz val="9"/>
            <rFont val="Times New Roman"/>
            <charset val="0"/>
          </rPr>
          <t xml:space="preserve">
at the factory (conversion) level</t>
        </r>
      </text>
    </comment>
    <comment ref="B33" authorId="0">
      <text>
        <r>
          <rPr>
            <b/>
            <sz val="9"/>
            <rFont val="Times New Roman"/>
            <charset val="0"/>
          </rPr>
          <t>xli9:</t>
        </r>
        <r>
          <rPr>
            <sz val="9"/>
            <rFont val="Times New Roman"/>
            <charset val="0"/>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0"/>
          </rPr>
          <t>xli9:</t>
        </r>
        <r>
          <rPr>
            <sz val="9"/>
            <rFont val="Times New Roman"/>
            <charset val="0"/>
          </rPr>
          <t xml:space="preserve">
at the factory (conversion) level</t>
        </r>
      </text>
    </comment>
    <comment ref="AX53" authorId="0">
      <text>
        <r>
          <rPr>
            <b/>
            <sz val="9"/>
            <rFont val="Times New Roman"/>
            <charset val="0"/>
          </rPr>
          <t>xli9:</t>
        </r>
        <r>
          <rPr>
            <sz val="9"/>
            <rFont val="Times New Roman"/>
            <charset val="0"/>
          </rPr>
          <t xml:space="preserve">
at the factory (conversion) level</t>
        </r>
      </text>
    </comment>
    <comment ref="B55" authorId="0">
      <text>
        <r>
          <rPr>
            <b/>
            <sz val="9"/>
            <rFont val="Times New Roman"/>
            <charset val="0"/>
          </rPr>
          <t>xli9:</t>
        </r>
        <r>
          <rPr>
            <sz val="9"/>
            <rFont val="Times New Roman"/>
            <charset val="0"/>
          </rPr>
          <t xml:space="preserve">
at the factory (conversion) level</t>
        </r>
      </text>
    </comment>
    <comment ref="AX67" authorId="0">
      <text>
        <r>
          <rPr>
            <b/>
            <sz val="9"/>
            <rFont val="Times New Roman"/>
            <charset val="0"/>
          </rPr>
          <t>xli9:</t>
        </r>
        <r>
          <rPr>
            <sz val="9"/>
            <rFont val="Times New Roman"/>
            <charset val="0"/>
          </rPr>
          <t xml:space="preserve">
at the factory (conversion) level</t>
        </r>
      </text>
    </comment>
    <comment ref="AX83" authorId="0">
      <text>
        <r>
          <rPr>
            <b/>
            <sz val="9"/>
            <rFont val="Times New Roman"/>
            <charset val="0"/>
          </rPr>
          <t>xli9:</t>
        </r>
        <r>
          <rPr>
            <sz val="9"/>
            <rFont val="Times New Roman"/>
            <charset val="0"/>
          </rPr>
          <t xml:space="preserve">
at the factory (conversion) level</t>
        </r>
      </text>
    </comment>
    <comment ref="AX96" authorId="0">
      <text>
        <r>
          <rPr>
            <b/>
            <sz val="9"/>
            <rFont val="Times New Roman"/>
            <charset val="0"/>
          </rPr>
          <t>xli9:</t>
        </r>
        <r>
          <rPr>
            <sz val="9"/>
            <rFont val="Times New Roman"/>
            <charset val="0"/>
          </rPr>
          <t xml:space="preserve">
at the factory (conversion) level</t>
        </r>
      </text>
    </comment>
    <comment ref="AX113" authorId="0">
      <text>
        <r>
          <rPr>
            <b/>
            <sz val="9"/>
            <rFont val="Times New Roman"/>
            <charset val="0"/>
          </rPr>
          <t>xli9:</t>
        </r>
        <r>
          <rPr>
            <sz val="9"/>
            <rFont val="Times New Roman"/>
            <charset val="0"/>
          </rPr>
          <t xml:space="preserve">
at the factory (conversion) level</t>
        </r>
      </text>
    </comment>
    <comment ref="AX127" authorId="0">
      <text>
        <r>
          <rPr>
            <b/>
            <sz val="9"/>
            <rFont val="Times New Roman"/>
            <charset val="0"/>
          </rPr>
          <t>xli9:</t>
        </r>
        <r>
          <rPr>
            <sz val="9"/>
            <rFont val="Times New Roman"/>
            <charset val="0"/>
          </rPr>
          <t xml:space="preserve">
at the factory (conversion) level</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0"/>
          </rPr>
          <t>xli9:</t>
        </r>
        <r>
          <rPr>
            <sz val="9"/>
            <rFont val="Times New Roman"/>
            <charset val="0"/>
          </rPr>
          <t xml:space="preserve">
Because we considered V2G in another independent process, so we ignore this tag</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List>
</comments>
</file>

<file path=xl/sharedStrings.xml><?xml version="1.0" encoding="utf-8"?>
<sst xmlns="http://schemas.openxmlformats.org/spreadsheetml/2006/main" count="2303" uniqueCount="259">
  <si>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</si>
  <si>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</si>
  <si>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</si>
  <si>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</si>
  <si>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</si>
  <si>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</si>
  <si>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</si>
  <si>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</si>
  <si>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</si>
  <si>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</si>
  <si>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</si>
  <si>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</si>
  <si>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</si>
  <si>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</si>
  <si>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</si>
  <si>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</si>
  <si>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</si>
  <si>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</si>
  <si>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</si>
  <si>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</si>
  <si>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</si>
  <si>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</si>
  <si>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</si>
  <si>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</si>
  <si>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</si>
  <si>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</si>
  <si>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</si>
  <si>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</si>
  <si>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</si>
  <si>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</si>
  <si>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</si>
  <si>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</si>
  <si>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</si>
  <si>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</si>
  <si>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</si>
  <si>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</si>
  <si>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</si>
  <si>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</si>
  <si>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</si>
  <si>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</si>
  <si>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</si>
  <si>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</si>
  <si>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</si>
  <si>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</si>
  <si>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</si>
  <si>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</si>
  <si>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</si>
  <si>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</si>
  <si>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</si>
  <si>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</si>
  <si>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</si>
  <si>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</si>
  <si>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</si>
  <si>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</si>
  <si>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</si>
  <si>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</si>
  <si>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</si>
  <si>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</si>
  <si>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</si>
  <si>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</si>
  <si>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</si>
  <si>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</si>
  <si>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</si>
  <si>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Sourced from before calculations</t>
  </si>
  <si>
    <t>process</t>
  </si>
  <si>
    <t>AllRegions</t>
  </si>
  <si>
    <t>Tra_EV_Batt-LFP_virgin_pack, Tra_EV_Batt-LFP_fromrecy</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</si>
  <si>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</si>
  <si>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</si>
  <si>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Tra_EV_Batt-LMO_virgin_pack, Tra_EV_Batt-LMO_fromrecy</t>
  </si>
  <si>
    <t>Tra_EV_Batt-LMO</t>
  </si>
  <si>
    <t>Tra_EV_Batt-NCA_virgin_pack, Tra_EV_Batt-NCA_fromrecy</t>
  </si>
  <si>
    <t>Tra_EV_Batt-NCA</t>
  </si>
  <si>
    <t>Tra_EV_Batt-NMC 111_virgin_pack, Tra_EV_Batt-NMC 111_fromrecy</t>
  </si>
  <si>
    <t>So we use Argonne baseline cost → deduct material cost → get conversion CAPEX →
apply NREL learning rate to conversion component.</t>
  </si>
  <si>
    <t>Tra_EV_Batt-NMC 111</t>
  </si>
  <si>
    <t>Tra_EV_Batt-NMC532_virgin_pack, Tra_EV_Batt-NMC532_fromrecy</t>
  </si>
  <si>
    <t>Tra_EV_Batt-NMC532</t>
  </si>
  <si>
    <t>Tra_EV_Batt-NMC 622_virgin_pack, Tra_EV_Batt-NMC 622_fromrecy</t>
  </si>
  <si>
    <t>Tra_EV_Batt-NMC 622</t>
  </si>
  <si>
    <t>Tra_EV_Batt-NMC 811_virgin_pack, Tra_EV_Batt-NMC 811_fromrecy</t>
  </si>
  <si>
    <t>Tra_EV_Batt-NMC 811</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</si>
  <si>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</si>
  <si>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</si>
  <si>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</si>
  <si>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</si>
  <si>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</si>
  <si>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</si>
  <si>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</si>
  <si>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</si>
  <si>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</si>
  <si>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</si>
  <si>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</si>
  <si>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</si>
  <si>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</si>
  <si>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</si>
  <si>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</si>
  <si>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</si>
  <si>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</si>
  <si>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</si>
  <si>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</si>
  <si>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</si>
  <si>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</si>
  <si>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</si>
  <si>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</si>
  <si>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</si>
  <si>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</si>
  <si>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</si>
  <si>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</si>
  <si>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</si>
  <si>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</si>
  <si>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</si>
  <si>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</si>
  <si>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</si>
  <si>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</si>
  <si>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</si>
  <si>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</si>
  <si>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</si>
  <si>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</si>
  <si>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</si>
  <si>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</si>
  <si>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</si>
  <si>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</si>
  <si>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</si>
  <si>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</si>
  <si>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CEFF</t>
  </si>
  <si>
    <t>TRAGSL</t>
  </si>
  <si>
    <t>TRABGS</t>
  </si>
  <si>
    <t>~TFM_MIG</t>
  </si>
  <si>
    <t>LIFE</t>
  </si>
  <si>
    <t>attribute2</t>
  </si>
  <si>
    <t>pset_pn</t>
  </si>
  <si>
    <t>*START</t>
  </si>
  <si>
    <t>-TRDELC</t>
  </si>
  <si>
    <t>INVCOST</t>
  </si>
  <si>
    <t>*.03</t>
  </si>
  <si>
    <t>FIXOM</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</si>
  <si>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</si>
  <si>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</si>
  <si>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</si>
  <si>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</si>
  <si>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</si>
  <si>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</si>
  <si>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</si>
  <si>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</si>
  <si>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</si>
  <si>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</si>
  <si>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</si>
  <si>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</si>
  <si>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</si>
  <si>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</si>
  <si>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</si>
  <si>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</si>
  <si>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</si>
  <si>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</si>
  <si>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</si>
  <si>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</si>
  <si>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</si>
  <si>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</si>
  <si>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</si>
  <si>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</si>
  <si>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</si>
  <si>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</si>
  <si>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</si>
  <si>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</si>
  <si>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Pset_CO</t>
  </si>
  <si>
    <t>FLO_BND</t>
  </si>
  <si>
    <t>UP</t>
  </si>
  <si>
    <t>MINBatMaterials</t>
  </si>
  <si>
    <t>m_lithium</t>
  </si>
  <si>
    <t>m_nickel</t>
  </si>
  <si>
    <t>m_cobalt</t>
  </si>
  <si>
    <t>m_manganese</t>
  </si>
  <si>
    <t>m_aluminum</t>
  </si>
  <si>
    <t>m_copper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</si>
  <si>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</si>
  <si>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</si>
  <si>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</si>
  <si>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ACT_COST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</si>
  <si>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</si>
  <si>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</si>
  <si>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</si>
  <si>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</si>
  <si>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</si>
  <si>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</si>
  <si>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</si>
  <si>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</si>
  <si>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</si>
  <si>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</si>
  <si>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</si>
  <si>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</si>
  <si>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</si>
  <si>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</si>
  <si>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</si>
  <si>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</si>
  <si>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</si>
  <si>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</si>
  <si>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</si>
  <si>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</si>
  <si>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</si>
  <si>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NCAP_COST</t>
  </si>
  <si>
    <t>lim_type</t>
  </si>
  <si>
    <t>time_slice</t>
  </si>
  <si>
    <t>commodity_group</t>
  </si>
  <si>
    <t>currency</t>
  </si>
  <si>
    <t>stage</t>
  </si>
  <si>
    <t>sow</t>
  </si>
  <si>
    <t>valfield</t>
  </si>
  <si>
    <t>~TFM_UPD: attribute= INPUT</t>
  </si>
  <si>
    <t>Tra_EV_Batt-NMC 111_virgin</t>
  </si>
  <si>
    <t>INDELC</t>
  </si>
  <si>
    <t>Tra_EV_Batt-NMC532_virgin</t>
  </si>
  <si>
    <t>Tra_EV_Batt-NMC 622_virgin</t>
  </si>
  <si>
    <t>Tra_EV_Batt-NMC 811_virgin</t>
  </si>
  <si>
    <t>Tra_EV_Batt-NCA_virgin</t>
  </si>
  <si>
    <t>Tra_EV_Batt-LMO_virgin</t>
  </si>
  <si>
    <t>Tra_EV_Batt-LFP_virgin</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</si>
  <si>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</si>
  <si>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</si>
  <si>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</si>
  <si>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</si>
  <si>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</si>
  <si>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</si>
  <si>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</si>
  <si>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</si>
  <si>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</si>
  <si>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</si>
  <si>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</si>
  <si>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</si>
  <si>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</si>
  <si>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</si>
  <si>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</si>
  <si>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</si>
  <si>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</si>
  <si>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</si>
  <si>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</si>
  <si>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</si>
  <si>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</si>
  <si>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Korea</t>
  </si>
  <si>
    <r>
      <rPr>
        <sz val="12"/>
        <color rgb="FF000000"/>
        <rFont val="Aptos Narrow"/>
        <charset val="134"/>
      </rPr>
      <t>** Assumed to be cell manufacturing</t>
    </r>
    <r>
      <rPr>
        <sz val="12"/>
        <color rgb="FF000000"/>
        <rFont val="Aptos Narrow"/>
        <charset val="134"/>
      </rPr>
      <t xml:space="preserve"> </t>
    </r>
  </si>
  <si>
    <t>Other countries</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</si>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</sst>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0"/>
  </numFmts>
  <fonts count="45">
    <font>
      <sz val="10"/>
      <name val="Arial"/>
      <charset val="134"/>
    </font>
    <font>
      <sz val="11"/>
      <color theme="1"/>
      <name val="Calibri"/>
      <charset val="134"/>
      <scheme val="minor"/>
    </font>
    <font>
      <sz val="12"/>
      <color rgb="FF000000"/>
      <name val="Aptos Narrow"/>
      <charset val="134"/>
    </font>
    <font>
      <i/>
      <u/>
      <sz val="10"/>
      <name val="Arial"/>
      <charset val="134"/>
    </font>
    <font>
      <b/>
      <i/>
      <u/>
      <sz val="24"/>
      <color rgb="FF000000"/>
      <name val="Aptos Narrow"/>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b/>
      <sz val="10"/>
      <color rgb="FFFF0000"/>
      <name val="Arial"/>
      <charset val="134"/>
    </font>
    <font>
      <b/>
      <sz val="10"/>
      <name val="Arial"/>
      <charset val="134"/>
    </font>
    <font>
      <sz val="10"/>
      <color rgb="FFFF0000"/>
      <name val="Arial"/>
      <charset val="134"/>
    </font>
    <font>
      <sz val="11"/>
      <color rgb="FFFF0000"/>
      <name val="Calibri"/>
      <charset val="134"/>
      <scheme val="minor"/>
    </font>
    <font>
      <sz val="11"/>
      <color theme="5"/>
      <name val="Calibri"/>
      <charset val="134"/>
      <scheme val="minor"/>
    </font>
    <font>
      <sz val="10"/>
      <color theme="5"/>
      <name val="Arial"/>
      <charset val="134"/>
    </font>
    <font>
      <i/>
      <u/>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9"/>
      <name val="Times New Roman"/>
      <charset val="0"/>
    </font>
    <font>
      <b/>
      <sz val="9"/>
      <name val="Times New Roman"/>
      <charset val="134"/>
    </font>
    <font>
      <sz val="9"/>
      <name val="Times New Roman"/>
      <charset val="134"/>
    </font>
    <font>
      <sz val="9"/>
      <name val="Times New Roman"/>
      <charset val="0"/>
    </font>
    <font>
      <b/>
      <sz val="9"/>
      <name val="Tahoma"/>
      <charset val="1"/>
    </font>
    <font>
      <sz val="9"/>
      <name val="Tahoma"/>
      <charset val="1"/>
    </font>
  </fonts>
  <fills count="49">
    <fill>
      <patternFill patternType="none"/>
    </fill>
    <fill>
      <patternFill patternType="gray125"/>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799981688894314"/>
        <bgColor indexed="64"/>
      </patternFill>
    </fill>
    <fill>
      <patternFill patternType="solid">
        <fgColor theme="4"/>
        <bgColor indexed="64"/>
      </patternFill>
    </fill>
    <fill>
      <patternFill patternType="solid">
        <fgColor theme="8" tint="0.799981688894314"/>
        <bgColor indexed="64"/>
      </patternFill>
    </fill>
    <fill>
      <patternFill patternType="solid">
        <fgColor theme="3" tint="0.8"/>
        <bgColor indexed="64"/>
      </patternFill>
    </fill>
    <fill>
      <patternFill patternType="solid">
        <fgColor theme="4" tint="0.799981688894314"/>
        <bgColor indexed="64"/>
      </patternFill>
    </fill>
    <fill>
      <patternFill patternType="solid">
        <fgColor theme="0" tint="-0.149998474074526"/>
        <bgColor indexed="64"/>
      </patternFill>
    </fill>
    <fill>
      <patternFill patternType="solid">
        <fgColor rgb="FFFFC000"/>
        <bgColor indexed="64"/>
      </patternFill>
    </fill>
    <fill>
      <patternFill patternType="solid">
        <fgColor theme="2"/>
        <bgColor indexed="64"/>
      </patternFill>
    </fill>
    <fill>
      <patternFill patternType="solid">
        <fgColor theme="0" tint="-0.25"/>
        <bgColor indexed="64"/>
      </patternFill>
    </fill>
    <fill>
      <patternFill patternType="solid">
        <fgColor rgb="FFFFFF00"/>
        <bgColor indexed="64"/>
      </patternFill>
    </fill>
    <fill>
      <patternFill patternType="solid">
        <fgColor theme="3" tint="0.599963377788629"/>
        <bgColor indexed="64"/>
      </patternFill>
    </fill>
    <fill>
      <patternFill patternType="solid">
        <fgColor theme="3" tint="0.79985961485641"/>
        <bgColor indexed="64"/>
      </patternFill>
    </fill>
    <fill>
      <patternFill patternType="solid">
        <fgColor theme="9"/>
        <bgColor indexed="64"/>
      </patternFill>
    </fill>
    <fill>
      <patternFill patternType="solid">
        <fgColor theme="0" tint="-0.15"/>
        <bgColor indexed="64"/>
      </patternFill>
    </fill>
    <fill>
      <patternFill patternType="solid">
        <fgColor theme="3"/>
        <bgColor indexed="64"/>
      </patternFill>
    </fill>
    <fill>
      <patternFill patternType="solid">
        <fgColor theme="4"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Alignment="0" applyProtection="0">
      <alignment vertical="center"/>
    </xf>
    <xf numFmtId="176" fontId="1" fillId="0" borderId="0" applyFont="0" applyFill="0" applyBorder="0" applyAlignment="0" applyProtection="0">
      <alignment vertical="center"/>
    </xf>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177" fontId="1" fillId="0" borderId="0" applyFont="0" applyFill="0" applyBorder="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1" fillId="23" borderId="3" applyNumberFormat="0" applyFont="0" applyAlignment="0" applyProtection="0">
      <alignment vertical="center"/>
    </xf>
    <xf numFmtId="0" fontId="22"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24" fillId="0" borderId="0" applyNumberFormat="0" applyFill="0" applyBorder="0" applyAlignment="0" applyProtection="0">
      <alignment vertical="center"/>
    </xf>
    <xf numFmtId="0" fontId="25" fillId="0" borderId="4" applyNumberFormat="0" applyFill="0" applyAlignment="0" applyProtection="0">
      <alignment vertical="center"/>
    </xf>
    <xf numFmtId="0" fontId="26" fillId="0" borderId="4" applyNumberFormat="0" applyFill="0" applyAlignment="0" applyProtection="0">
      <alignment vertical="center"/>
    </xf>
    <xf numFmtId="0" fontId="27" fillId="0" borderId="5" applyNumberFormat="0" applyFill="0" applyAlignment="0" applyProtection="0">
      <alignment vertical="center"/>
    </xf>
    <xf numFmtId="0" fontId="27" fillId="0" borderId="0" applyNumberFormat="0" applyFill="0" applyBorder="0" applyAlignment="0" applyProtection="0">
      <alignment vertical="center"/>
    </xf>
    <xf numFmtId="0" fontId="28" fillId="24" borderId="6" applyNumberFormat="0" applyAlignment="0" applyProtection="0">
      <alignment vertical="center"/>
    </xf>
    <xf numFmtId="0" fontId="29" fillId="25" borderId="7" applyNumberFormat="0" applyAlignment="0" applyProtection="0">
      <alignment vertical="center"/>
    </xf>
    <xf numFmtId="0" fontId="30" fillId="25" borderId="6" applyNumberFormat="0" applyAlignment="0" applyProtection="0">
      <alignment vertical="center"/>
    </xf>
    <xf numFmtId="0" fontId="31" fillId="26" borderId="8" applyNumberFormat="0" applyAlignment="0" applyProtection="0">
      <alignment vertical="center"/>
    </xf>
    <xf numFmtId="0" fontId="32" fillId="0" borderId="9" applyNumberFormat="0" applyFill="0" applyAlignment="0" applyProtection="0">
      <alignment vertical="center"/>
    </xf>
    <xf numFmtId="0" fontId="33" fillId="0" borderId="10" applyNumberFormat="0" applyFill="0" applyAlignment="0" applyProtection="0">
      <alignment vertical="center"/>
    </xf>
    <xf numFmtId="0" fontId="34" fillId="27" borderId="0" applyNumberFormat="0" applyBorder="0" applyAlignment="0" applyProtection="0">
      <alignment vertical="center"/>
    </xf>
    <xf numFmtId="0" fontId="35" fillId="28" borderId="0" applyNumberFormat="0" applyBorder="0" applyAlignment="0" applyProtection="0">
      <alignment vertical="center"/>
    </xf>
    <xf numFmtId="0" fontId="36" fillId="29" borderId="0" applyNumberFormat="0" applyBorder="0" applyAlignment="0" applyProtection="0">
      <alignment vertical="center"/>
    </xf>
    <xf numFmtId="0" fontId="37" fillId="8" borderId="0" applyNumberFormat="0" applyBorder="0" applyAlignment="0" applyProtection="0">
      <alignment vertical="center"/>
    </xf>
    <xf numFmtId="0" fontId="38" fillId="11" borderId="0" applyNumberFormat="0" applyBorder="0" applyAlignment="0" applyProtection="0">
      <alignment vertical="center"/>
    </xf>
    <xf numFmtId="0" fontId="38" fillId="30" borderId="0" applyNumberFormat="0" applyBorder="0" applyAlignment="0" applyProtection="0">
      <alignment vertical="center"/>
    </xf>
    <xf numFmtId="0" fontId="37" fillId="31" borderId="0" applyNumberFormat="0" applyBorder="0" applyAlignment="0" applyProtection="0">
      <alignment vertical="center"/>
    </xf>
    <xf numFmtId="0" fontId="37" fillId="32" borderId="0" applyNumberFormat="0" applyBorder="0" applyAlignment="0" applyProtection="0">
      <alignment vertical="center"/>
    </xf>
    <xf numFmtId="0" fontId="38" fillId="33" borderId="0" applyNumberFormat="0" applyBorder="0" applyAlignment="0" applyProtection="0">
      <alignment vertical="center"/>
    </xf>
    <xf numFmtId="0" fontId="38" fillId="34" borderId="0" applyNumberFormat="0" applyBorder="0" applyAlignment="0" applyProtection="0">
      <alignment vertical="center"/>
    </xf>
    <xf numFmtId="0" fontId="37" fillId="35" borderId="0" applyNumberFormat="0" applyBorder="0" applyAlignment="0" applyProtection="0">
      <alignment vertical="center"/>
    </xf>
    <xf numFmtId="0" fontId="37" fillId="36" borderId="0" applyNumberFormat="0" applyBorder="0" applyAlignment="0" applyProtection="0">
      <alignment vertical="center"/>
    </xf>
    <xf numFmtId="0" fontId="38" fillId="37" borderId="0" applyNumberFormat="0" applyBorder="0" applyAlignment="0" applyProtection="0">
      <alignment vertical="center"/>
    </xf>
    <xf numFmtId="0" fontId="38" fillId="38" borderId="0" applyNumberFormat="0" applyBorder="0" applyAlignment="0" applyProtection="0">
      <alignment vertical="center"/>
    </xf>
    <xf numFmtId="0" fontId="37" fillId="39" borderId="0" applyNumberFormat="0" applyBorder="0" applyAlignment="0" applyProtection="0">
      <alignment vertical="center"/>
    </xf>
    <xf numFmtId="0" fontId="37" fillId="40" borderId="0" applyNumberFormat="0" applyBorder="0" applyAlignment="0" applyProtection="0">
      <alignment vertical="center"/>
    </xf>
    <xf numFmtId="0" fontId="38" fillId="41" borderId="0" applyNumberFormat="0" applyBorder="0" applyAlignment="0" applyProtection="0">
      <alignment vertical="center"/>
    </xf>
    <xf numFmtId="0" fontId="38" fillId="42" borderId="0" applyNumberFormat="0" applyBorder="0" applyAlignment="0" applyProtection="0">
      <alignment vertical="center"/>
    </xf>
    <xf numFmtId="0" fontId="37" fillId="43" borderId="0" applyNumberFormat="0" applyBorder="0" applyAlignment="0" applyProtection="0">
      <alignment vertical="center"/>
    </xf>
    <xf numFmtId="0" fontId="37" fillId="44" borderId="0" applyNumberFormat="0" applyBorder="0" applyAlignment="0" applyProtection="0">
      <alignment vertical="center"/>
    </xf>
    <xf numFmtId="0" fontId="38" fillId="9" borderId="0" applyNumberFormat="0" applyBorder="0" applyAlignment="0" applyProtection="0">
      <alignment vertical="center"/>
    </xf>
    <xf numFmtId="0" fontId="38" fillId="45" borderId="0" applyNumberFormat="0" applyBorder="0" applyAlignment="0" applyProtection="0">
      <alignment vertical="center"/>
    </xf>
    <xf numFmtId="0" fontId="37" fillId="46" borderId="0" applyNumberFormat="0" applyBorder="0" applyAlignment="0" applyProtection="0">
      <alignment vertical="center"/>
    </xf>
    <xf numFmtId="0" fontId="37" fillId="19" borderId="0" applyNumberFormat="0" applyBorder="0" applyAlignment="0" applyProtection="0">
      <alignment vertical="center"/>
    </xf>
    <xf numFmtId="0" fontId="38" fillId="7" borderId="0" applyNumberFormat="0" applyBorder="0" applyAlignment="0" applyProtection="0">
      <alignment vertical="center"/>
    </xf>
    <xf numFmtId="0" fontId="38" fillId="47" borderId="0" applyNumberFormat="0" applyBorder="0" applyAlignment="0" applyProtection="0">
      <alignment vertical="center"/>
    </xf>
    <xf numFmtId="0" fontId="37" fillId="48" borderId="0" applyNumberFormat="0" applyBorder="0" applyAlignment="0" applyProtection="0">
      <alignment vertical="center"/>
    </xf>
    <xf numFmtId="0" fontId="0" fillId="0" borderId="0"/>
    <xf numFmtId="0" fontId="0" fillId="0" borderId="0"/>
    <xf numFmtId="0" fontId="0" fillId="0" borderId="0"/>
  </cellStyleXfs>
  <cellXfs count="96">
    <xf numFmtId="0" fontId="0" fillId="0" borderId="0" xfId="0"/>
    <xf numFmtId="0" fontId="1" fillId="0" borderId="0" xfId="0" applyFont="1" applyFill="1" applyAlignment="1"/>
    <xf numFmtId="0" fontId="0" fillId="0" borderId="0" xfId="0" applyFont="1" applyFill="1" applyAlignment="1"/>
    <xf numFmtId="0" fontId="2" fillId="0" borderId="0" xfId="0" applyFont="1" applyFill="1" applyAlignment="1">
      <alignment horizontal="center"/>
    </xf>
    <xf numFmtId="0" fontId="2" fillId="2" borderId="0" xfId="0" applyFont="1" applyFill="1" applyAlignment="1"/>
    <xf numFmtId="0" fontId="2" fillId="0" borderId="0" xfId="0" applyFont="1" applyFill="1" applyAlignment="1"/>
    <xf numFmtId="0" fontId="2" fillId="3" borderId="0" xfId="0" applyFont="1" applyFill="1" applyAlignment="1"/>
    <xf numFmtId="0" fontId="2" fillId="0" borderId="0" xfId="0" applyFont="1" applyFill="1" applyAlignment="1" applyProtection="1">
      <protection locked="0"/>
    </xf>
    <xf numFmtId="178" fontId="2" fillId="2" borderId="0" xfId="0" applyNumberFormat="1" applyFont="1" applyFill="1" applyAlignment="1"/>
    <xf numFmtId="0" fontId="2" fillId="4" borderId="0" xfId="0" applyFont="1" applyFill="1" applyAlignment="1"/>
    <xf numFmtId="0" fontId="3" fillId="5" borderId="0" xfId="0" applyFont="1" applyFill="1" applyAlignment="1">
      <alignment horizontal="center"/>
    </xf>
    <xf numFmtId="0" fontId="3" fillId="0" borderId="0" xfId="0" applyFont="1" applyFill="1" applyAlignment="1">
      <alignment horizontal="center"/>
    </xf>
    <xf numFmtId="0" fontId="4" fillId="0" borderId="0" xfId="0" applyFont="1" applyFill="1" applyAlignment="1"/>
    <xf numFmtId="178" fontId="2" fillId="0" borderId="0" xfId="0" applyNumberFormat="1" applyFont="1" applyFill="1" applyAlignment="1"/>
    <xf numFmtId="0" fontId="2" fillId="6" borderId="0" xfId="0" applyFont="1" applyFill="1" applyAlignment="1">
      <alignment horizontal="center" wrapText="1"/>
    </xf>
    <xf numFmtId="0" fontId="2" fillId="6" borderId="0" xfId="0" applyFont="1" applyFill="1" applyAlignment="1"/>
    <xf numFmtId="178" fontId="2" fillId="7" borderId="0" xfId="0" applyNumberFormat="1" applyFont="1" applyFill="1" applyAlignment="1"/>
    <xf numFmtId="178" fontId="2" fillId="6" borderId="0" xfId="0" applyNumberFormat="1" applyFont="1" applyFill="1" applyAlignment="1"/>
    <xf numFmtId="0" fontId="5" fillId="0" borderId="0" xfId="0" applyFont="1" applyFill="1" applyAlignment="1"/>
    <xf numFmtId="2" fontId="6" fillId="0" borderId="1" xfId="0" applyNumberFormat="1" applyFont="1" applyFill="1" applyBorder="1" applyAlignment="1" applyProtection="1"/>
    <xf numFmtId="0" fontId="2" fillId="8" borderId="0" xfId="0" applyFont="1" applyFill="1" applyAlignment="1"/>
    <xf numFmtId="0" fontId="7" fillId="9" borderId="0" xfId="0" applyFont="1" applyFill="1" applyAlignment="1"/>
    <xf numFmtId="0" fontId="0" fillId="8" borderId="0" xfId="0" applyFont="1" applyFill="1" applyAlignment="1"/>
    <xf numFmtId="0" fontId="8" fillId="9" borderId="0" xfId="0" applyFont="1" applyFill="1" applyAlignment="1"/>
    <xf numFmtId="2" fontId="6" fillId="10" borderId="1" xfId="0" applyNumberFormat="1" applyFont="1" applyFill="1" applyBorder="1" applyAlignment="1" applyProtection="1"/>
    <xf numFmtId="0" fontId="2" fillId="9" borderId="0" xfId="0" applyFont="1" applyFill="1" applyAlignment="1"/>
    <xf numFmtId="0" fontId="2" fillId="8" borderId="0" xfId="0" applyFont="1" applyFill="1" applyAlignment="1">
      <alignment horizontal="center"/>
    </xf>
    <xf numFmtId="0" fontId="1" fillId="8" borderId="0" xfId="0" applyFont="1" applyFill="1" applyAlignment="1"/>
    <xf numFmtId="0" fontId="0" fillId="0" borderId="0" xfId="0" applyFont="1" applyFill="1" applyBorder="1" applyAlignment="1"/>
    <xf numFmtId="0" fontId="6" fillId="8" borderId="1" xfId="0" applyNumberFormat="1" applyFont="1" applyFill="1" applyBorder="1" applyAlignment="1" applyProtection="1"/>
    <xf numFmtId="0" fontId="1" fillId="8" borderId="1" xfId="0" applyFont="1" applyFill="1" applyBorder="1" applyAlignment="1"/>
    <xf numFmtId="2" fontId="6" fillId="8" borderId="1" xfId="0" applyNumberFormat="1" applyFont="1" applyFill="1" applyBorder="1" applyAlignment="1" applyProtection="1"/>
    <xf numFmtId="0" fontId="9" fillId="8" borderId="0" xfId="0" applyFont="1" applyFill="1" applyAlignment="1"/>
    <xf numFmtId="179" fontId="6" fillId="8" borderId="1" xfId="0" applyNumberFormat="1" applyFont="1" applyFill="1" applyBorder="1" applyAlignment="1" applyProtection="1"/>
    <xf numFmtId="0" fontId="6" fillId="0" borderId="1" xfId="0" applyNumberFormat="1" applyFont="1" applyFill="1" applyBorder="1" applyAlignment="1" applyProtection="1"/>
    <xf numFmtId="0" fontId="1" fillId="0" borderId="1" xfId="0" applyFont="1" applyFill="1" applyBorder="1" applyAlignment="1"/>
    <xf numFmtId="179" fontId="1" fillId="8" borderId="0" xfId="0" applyNumberFormat="1" applyFont="1" applyFill="1" applyAlignment="1"/>
    <xf numFmtId="0" fontId="9" fillId="0" borderId="0" xfId="0" applyFont="1" applyFill="1" applyAlignment="1"/>
    <xf numFmtId="180" fontId="1" fillId="8" borderId="1" xfId="0" applyNumberFormat="1" applyFont="1" applyFill="1" applyBorder="1" applyAlignment="1"/>
    <xf numFmtId="180" fontId="0" fillId="0" borderId="0" xfId="0" applyNumberFormat="1" applyFont="1" applyFill="1" applyAlignment="1"/>
    <xf numFmtId="0" fontId="2" fillId="11" borderId="0" xfId="0" applyFont="1" applyFill="1" applyAlignment="1">
      <alignment horizontal="center"/>
    </xf>
    <xf numFmtId="0" fontId="2" fillId="11" borderId="0" xfId="0" applyFont="1" applyFill="1" applyAlignment="1"/>
    <xf numFmtId="0" fontId="2" fillId="11" borderId="0" xfId="0" applyFont="1" applyFill="1" applyAlignment="1" applyProtection="1">
      <protection locked="0"/>
    </xf>
    <xf numFmtId="178" fontId="2" fillId="11" borderId="0" xfId="0" applyNumberFormat="1" applyFont="1" applyFill="1" applyAlignment="1"/>
    <xf numFmtId="0" fontId="1" fillId="0" borderId="0" xfId="0" applyFont="1" applyFill="1" applyAlignment="1">
      <alignment horizontal="center"/>
    </xf>
    <xf numFmtId="178" fontId="1" fillId="12" borderId="0" xfId="0" applyNumberFormat="1" applyFont="1" applyFill="1" applyAlignment="1">
      <alignment horizontal="center"/>
    </xf>
    <xf numFmtId="178" fontId="1" fillId="0" borderId="0" xfId="0" applyNumberFormat="1" applyFont="1" applyFill="1" applyAlignment="1">
      <alignment horizontal="center"/>
    </xf>
    <xf numFmtId="0" fontId="2" fillId="0" borderId="0" xfId="0" applyFont="1" applyFill="1" applyAlignment="1" applyProtection="1">
      <alignment horizontal="center"/>
      <protection locked="0"/>
    </xf>
    <xf numFmtId="0" fontId="1" fillId="12" borderId="0" xfId="0" applyFont="1" applyFill="1" applyAlignment="1"/>
    <xf numFmtId="0" fontId="0" fillId="13" borderId="0" xfId="49" applyFill="1"/>
    <xf numFmtId="0" fontId="0" fillId="13" borderId="0" xfId="0" applyFill="1"/>
    <xf numFmtId="0" fontId="0" fillId="14" borderId="0" xfId="0" applyFill="1"/>
    <xf numFmtId="0" fontId="0" fillId="0" borderId="0" xfId="49"/>
    <xf numFmtId="0" fontId="10" fillId="0" borderId="0" xfId="0" applyFont="1"/>
    <xf numFmtId="0" fontId="11" fillId="0" borderId="0" xfId="0" applyFont="1"/>
    <xf numFmtId="178" fontId="0" fillId="0" borderId="0" xfId="0" applyNumberFormat="1"/>
    <xf numFmtId="3" fontId="0" fillId="0" borderId="0" xfId="0" applyNumberFormat="1"/>
    <xf numFmtId="0" fontId="0" fillId="15" borderId="0" xfId="0" applyFill="1"/>
    <xf numFmtId="0" fontId="0" fillId="16" borderId="0" xfId="0" applyFill="1"/>
    <xf numFmtId="0" fontId="0" fillId="16" borderId="0" xfId="49" applyFill="1"/>
    <xf numFmtId="0" fontId="12" fillId="16" borderId="0" xfId="0" applyFont="1" applyFill="1"/>
    <xf numFmtId="0" fontId="12" fillId="14" borderId="0" xfId="0" applyFont="1" applyFill="1"/>
    <xf numFmtId="0" fontId="0" fillId="14" borderId="0" xfId="49" applyFill="1"/>
    <xf numFmtId="0" fontId="13" fillId="14" borderId="0" xfId="0" applyFont="1" applyFill="1"/>
    <xf numFmtId="0" fontId="14" fillId="16" borderId="0" xfId="49" applyFont="1" applyFill="1"/>
    <xf numFmtId="0" fontId="14" fillId="13" borderId="0" xfId="0" applyFont="1" applyFill="1"/>
    <xf numFmtId="0" fontId="0" fillId="17" borderId="0" xfId="0" applyFill="1"/>
    <xf numFmtId="0" fontId="0" fillId="18" borderId="1" xfId="49" applyFill="1" applyBorder="1"/>
    <xf numFmtId="181" fontId="0" fillId="18" borderId="1" xfId="49" applyNumberFormat="1" applyFill="1" applyBorder="1"/>
    <xf numFmtId="0" fontId="0" fillId="18" borderId="2" xfId="49" applyFill="1" applyBorder="1"/>
    <xf numFmtId="0" fontId="15" fillId="13" borderId="0" xfId="0" applyFont="1" applyFill="1"/>
    <xf numFmtId="0" fontId="13" fillId="13" borderId="0" xfId="0" applyFont="1" applyFill="1"/>
    <xf numFmtId="0" fontId="0" fillId="13" borderId="1" xfId="49" applyFill="1" applyBorder="1"/>
    <xf numFmtId="0" fontId="0" fillId="13" borderId="1" xfId="0" applyFill="1" applyBorder="1"/>
    <xf numFmtId="0" fontId="0" fillId="14" borderId="1" xfId="0" applyFill="1" applyBorder="1"/>
    <xf numFmtId="0" fontId="0" fillId="0" borderId="1" xfId="49" applyBorder="1"/>
    <xf numFmtId="0" fontId="12" fillId="0" borderId="0" xfId="0" applyFont="1"/>
    <xf numFmtId="0" fontId="14" fillId="0" borderId="0" xfId="49" applyFont="1"/>
    <xf numFmtId="0" fontId="0" fillId="0" borderId="1" xfId="0" applyBorder="1"/>
    <xf numFmtId="0" fontId="16" fillId="19" borderId="0" xfId="0" applyFont="1" applyFill="1" applyAlignment="1"/>
    <xf numFmtId="0" fontId="17" fillId="0" borderId="0" xfId="0" applyFont="1" applyFill="1" applyAlignment="1"/>
    <xf numFmtId="0" fontId="0" fillId="20" borderId="1" xfId="49" applyFill="1" applyBorder="1"/>
    <xf numFmtId="0" fontId="0" fillId="20" borderId="0" xfId="49" applyFill="1"/>
    <xf numFmtId="0" fontId="1" fillId="0" borderId="0" xfId="0" applyFont="1" applyFill="1" applyAlignment="1">
      <alignment wrapText="1"/>
    </xf>
    <xf numFmtId="0" fontId="0" fillId="0" borderId="0" xfId="49" applyAlignment="1">
      <alignment horizontal="center"/>
    </xf>
    <xf numFmtId="0" fontId="0" fillId="0" borderId="1" xfId="49" applyFill="1" applyBorder="1"/>
    <xf numFmtId="0" fontId="0" fillId="21" borderId="0" xfId="49" applyFill="1" applyAlignment="1">
      <alignment horizontal="center"/>
    </xf>
    <xf numFmtId="0" fontId="18" fillId="0" borderId="0" xfId="49" applyFont="1" applyAlignment="1">
      <alignment horizontal="center"/>
    </xf>
    <xf numFmtId="0" fontId="1" fillId="0" borderId="0" xfId="0" applyFont="1" applyFill="1" applyAlignment="1">
      <alignment vertical="center"/>
    </xf>
    <xf numFmtId="0" fontId="1" fillId="22" borderId="0" xfId="0" applyFont="1" applyFill="1" applyAlignment="1">
      <alignment vertical="center"/>
    </xf>
    <xf numFmtId="0" fontId="1" fillId="22" borderId="0" xfId="0" applyNumberFormat="1" applyFont="1" applyFill="1" applyAlignment="1">
      <alignment vertical="center"/>
    </xf>
    <xf numFmtId="0" fontId="19" fillId="0" borderId="0" xfId="0" applyFont="1" applyFill="1" applyAlignment="1">
      <alignment vertical="center"/>
    </xf>
    <xf numFmtId="0" fontId="19" fillId="0" borderId="0" xfId="0" applyNumberFormat="1" applyFont="1" applyFill="1" applyAlignment="1">
      <alignment vertical="center"/>
    </xf>
    <xf numFmtId="0" fontId="15" fillId="19" borderId="0" xfId="49" applyFont="1" applyFill="1" applyAlignment="1">
      <alignment horizontal="center"/>
    </xf>
    <xf numFmtId="0" fontId="1" fillId="0" borderId="0" xfId="49" applyFont="1" applyAlignment="1">
      <alignment horizontal="center" vertical="center"/>
    </xf>
    <xf numFmtId="0" fontId="10" fillId="0" borderId="0" xfId="50" applyFont="1"/>
    <xf numFmtId="0" fontId="0" fillId="0" borderId="0" xfId="0"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externalLink" Target="externalLinks/externalLink2.xml"/><Relationship Id="rId8" Type="http://schemas.openxmlformats.org/officeDocument/2006/relationships/externalLink" Target="externalLinks/externalLink1.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externalLink" Target="externalLinks/externalLink3.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54800" y="76200"/>
          <a:ext cx="12077700" cy="47625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695"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1350" y="22428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V25" sqref="V25"/>
    </sheetView>
  </sheetViews>
  <sheetFormatPr defaultColWidth="9.09090909090909" defaultRowHeight="11.5"/>
  <cols>
    <col min="1" max="1" width="15" style="95" customWidth="1"/>
    <col min="2" max="2" width="8.81818181818182" style="95" customWidth="1"/>
    <col min="3" max="3" width="4.72727272727273" style="95" customWidth="1"/>
    <col min="4" max="4" width="8.81818181818182" style="95" customWidth="1"/>
    <col min="5" max="5" width="4.36363636363636" style="95" customWidth="1"/>
    <col min="6" max="6" width="4.27272727272727" style="95" customWidth="1"/>
    <col min="7" max="7" width="4.36363636363636" style="95" customWidth="1"/>
    <col min="8" max="8" width="4.63636363636364" style="95" customWidth="1"/>
    <col min="9" max="9" width="4" style="95" customWidth="1"/>
    <col min="10" max="10" width="4.36363636363636" style="95" customWidth="1"/>
    <col min="11" max="11" width="4.63636363636364" style="95" customWidth="1"/>
    <col min="12" max="12" width="4.36363636363636" style="95" customWidth="1"/>
    <col min="13" max="13" width="4" style="95" customWidth="1"/>
    <col min="14" max="14" width="4.27272727272727" style="95" customWidth="1"/>
    <col min="15" max="16" width="4.36363636363636" style="95" customWidth="1"/>
    <col min="17" max="18" width="4.63636363636364" style="95" customWidth="1"/>
    <col min="19" max="19" width="4.36363636363636" style="95" customWidth="1"/>
    <col min="20" max="20" width="5" style="95" customWidth="1"/>
    <col min="21" max="21" width="11.7272727272727" style="95" customWidth="1"/>
    <col min="22" max="22" width="10.7272727272727" style="95" customWidth="1"/>
    <col min="23" max="23" width="13.0909090909091" style="95" customWidth="1"/>
    <col min="24" max="259" width="11.3636363636364" style="95" customWidth="1"/>
    <col min="260" max="16384" width="9.09090909090909" style="95"/>
  </cols>
  <sheetData>
    <row r="1" ht="12.5" spans="1:21">
      <c r="A1"/>
      <c r="B1"/>
      <c r="C1"/>
      <c r="D1"/>
      <c r="E1"/>
      <c r="F1"/>
      <c r="G1"/>
      <c r="H1"/>
      <c r="I1"/>
      <c r="J1"/>
      <c r="K1"/>
      <c r="L1"/>
      <c r="M1"/>
      <c r="N1"/>
      <c r="O1"/>
      <c r="P1"/>
      <c r="Q1"/>
      <c r="R1"/>
      <c r="S1"/>
      <c r="T1"/>
      <c r="U1"/>
    </row>
    <row r="2" ht="12.5" spans="1:21">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53"/>
      <c r="W3" s="53"/>
      <c r="X3" s="53"/>
      <c r="Y3" s="53"/>
      <c r="Z3" s="53"/>
      <c r="AA3" s="53"/>
    </row>
    <row r="4" ht="12.5" spans="1:27">
      <c r="A4" t="s">
        <v>1</v>
      </c>
      <c r="B4" t="s">
        <v>2</v>
      </c>
      <c r="C4"/>
      <c r="D4"/>
      <c r="E4"/>
      <c r="F4"/>
      <c r="G4"/>
      <c r="H4"/>
      <c r="I4"/>
      <c r="J4"/>
      <c r="K4"/>
      <c r="L4"/>
      <c r="M4"/>
      <c r="N4"/>
      <c r="O4"/>
      <c r="P4"/>
      <c r="Q4"/>
      <c r="R4"/>
      <c r="S4"/>
      <c r="T4"/>
      <c r="U4"/>
      <c r="V4" s="53"/>
      <c r="W4" s="53"/>
      <c r="X4" s="53"/>
      <c r="Y4" s="53"/>
      <c r="Z4" s="53"/>
      <c r="AA4" s="53"/>
    </row>
    <row r="5" ht="12.5" spans="1:27">
      <c r="A5" t="s">
        <v>3</v>
      </c>
      <c r="B5" t="s">
        <v>4</v>
      </c>
      <c r="C5"/>
      <c r="D5"/>
      <c r="E5"/>
      <c r="F5"/>
      <c r="G5"/>
      <c r="H5"/>
      <c r="I5"/>
      <c r="J5"/>
      <c r="K5"/>
      <c r="L5"/>
      <c r="M5"/>
      <c r="N5"/>
      <c r="O5"/>
      <c r="P5"/>
      <c r="Q5"/>
      <c r="R5"/>
      <c r="S5"/>
      <c r="T5"/>
      <c r="U5"/>
      <c r="V5" s="53"/>
      <c r="W5" s="53"/>
      <c r="X5" s="53"/>
      <c r="Y5" s="53"/>
      <c r="Z5" s="53"/>
      <c r="AA5" s="53"/>
    </row>
    <row r="6" ht="12.5" spans="1:27">
      <c r="A6" t="s">
        <v>5</v>
      </c>
      <c r="B6" t="s">
        <v>4</v>
      </c>
      <c r="C6"/>
      <c r="D6"/>
      <c r="E6"/>
      <c r="F6"/>
      <c r="G6"/>
      <c r="H6"/>
      <c r="I6"/>
      <c r="J6"/>
      <c r="K6"/>
      <c r="L6"/>
      <c r="M6"/>
      <c r="N6"/>
      <c r="O6"/>
      <c r="P6"/>
      <c r="Q6"/>
      <c r="R6"/>
      <c r="S6"/>
      <c r="T6"/>
      <c r="U6"/>
      <c r="V6" s="53"/>
      <c r="W6" s="53"/>
      <c r="X6" s="53"/>
      <c r="Y6" s="53"/>
      <c r="Z6" s="53"/>
      <c r="AA6" s="53"/>
    </row>
    <row r="7" ht="12.5" spans="1:27">
      <c r="A7" t="s">
        <v>6</v>
      </c>
      <c r="B7" t="s">
        <v>4</v>
      </c>
      <c r="C7"/>
      <c r="D7"/>
      <c r="E7"/>
      <c r="F7"/>
      <c r="G7"/>
      <c r="H7"/>
      <c r="I7"/>
      <c r="J7"/>
      <c r="K7"/>
      <c r="L7"/>
      <c r="M7"/>
      <c r="N7"/>
      <c r="O7"/>
      <c r="P7"/>
      <c r="Q7"/>
      <c r="R7"/>
      <c r="S7"/>
      <c r="T7"/>
      <c r="U7"/>
      <c r="V7" s="53"/>
      <c r="W7" s="53"/>
      <c r="X7" s="53"/>
      <c r="Y7" s="53"/>
      <c r="Z7" s="53"/>
      <c r="AA7" s="53"/>
    </row>
    <row r="8" ht="12.5" spans="1:27">
      <c r="A8" t="s">
        <v>7</v>
      </c>
      <c r="B8" t="s">
        <v>4</v>
      </c>
      <c r="C8"/>
      <c r="D8"/>
      <c r="E8"/>
      <c r="F8"/>
      <c r="G8"/>
      <c r="H8"/>
      <c r="I8"/>
      <c r="J8"/>
      <c r="K8"/>
      <c r="L8"/>
      <c r="M8"/>
      <c r="N8"/>
      <c r="O8"/>
      <c r="P8"/>
      <c r="Q8"/>
      <c r="R8"/>
      <c r="S8"/>
      <c r="T8"/>
      <c r="U8"/>
      <c r="V8" s="53"/>
      <c r="W8" s="53"/>
      <c r="X8" s="53"/>
      <c r="Y8" s="53"/>
      <c r="Z8" s="53"/>
      <c r="AA8" s="53"/>
    </row>
    <row r="9" ht="12.5" spans="1:27">
      <c r="A9" t="s">
        <v>8</v>
      </c>
      <c r="B9" t="s">
        <v>4</v>
      </c>
      <c r="C9"/>
      <c r="D9"/>
      <c r="E9"/>
      <c r="F9"/>
      <c r="G9"/>
      <c r="H9"/>
      <c r="I9"/>
      <c r="J9"/>
      <c r="K9"/>
      <c r="L9"/>
      <c r="M9"/>
      <c r="N9"/>
      <c r="O9"/>
      <c r="P9"/>
      <c r="Q9"/>
      <c r="R9"/>
      <c r="S9"/>
      <c r="T9"/>
      <c r="U9"/>
      <c r="V9" s="53"/>
      <c r="W9" s="53"/>
      <c r="X9" s="53"/>
      <c r="Y9" s="53"/>
      <c r="Z9" s="53"/>
      <c r="AA9" s="53"/>
    </row>
    <row r="10" ht="12.5" spans="1:27">
      <c r="A10" t="s">
        <v>9</v>
      </c>
      <c r="B10" t="s">
        <v>4</v>
      </c>
      <c r="C10"/>
      <c r="D10"/>
      <c r="E10"/>
      <c r="F10"/>
      <c r="G10"/>
      <c r="H10"/>
      <c r="I10"/>
      <c r="J10"/>
      <c r="K10"/>
      <c r="L10"/>
      <c r="M10"/>
      <c r="N10"/>
      <c r="O10"/>
      <c r="P10"/>
      <c r="Q10"/>
      <c r="R10"/>
      <c r="S10"/>
      <c r="T10"/>
      <c r="U10"/>
      <c r="V10" s="53"/>
      <c r="W10" s="53"/>
      <c r="X10" s="53"/>
      <c r="Y10" s="53"/>
      <c r="Z10" s="53"/>
      <c r="AA10" s="53"/>
    </row>
    <row r="11" ht="12.5" spans="1:27">
      <c r="A11" t="s">
        <v>10</v>
      </c>
      <c r="B11" t="s">
        <v>4</v>
      </c>
      <c r="C11"/>
      <c r="D11"/>
      <c r="E11"/>
      <c r="F11"/>
      <c r="G11"/>
      <c r="H11"/>
      <c r="I11"/>
      <c r="J11"/>
      <c r="K11"/>
      <c r="L11"/>
      <c r="M11"/>
      <c r="N11"/>
      <c r="O11"/>
      <c r="P11"/>
      <c r="Q11"/>
      <c r="R11"/>
      <c r="S11"/>
      <c r="T11"/>
      <c r="U11"/>
      <c r="V11" s="53"/>
      <c r="W11" s="53"/>
      <c r="X11" s="53"/>
      <c r="Y11" s="53"/>
      <c r="Z11" s="53"/>
      <c r="AA11" s="53"/>
    </row>
    <row r="12" ht="12.5" spans="1:27">
      <c r="A12" t="s">
        <v>11</v>
      </c>
      <c r="B12" t="s">
        <v>4</v>
      </c>
      <c r="C12"/>
      <c r="D12"/>
      <c r="E12"/>
      <c r="F12"/>
      <c r="G12"/>
      <c r="H12"/>
      <c r="I12"/>
      <c r="J12"/>
      <c r="K12"/>
      <c r="L12"/>
      <c r="M12"/>
      <c r="N12"/>
      <c r="O12"/>
      <c r="P12"/>
      <c r="Q12"/>
      <c r="R12"/>
      <c r="S12"/>
      <c r="T12"/>
      <c r="U12"/>
      <c r="V12" s="53"/>
      <c r="W12" s="53"/>
      <c r="X12" s="53"/>
      <c r="Y12" s="53"/>
      <c r="Z12" s="53"/>
      <c r="AA12" s="53"/>
    </row>
    <row r="13" ht="12.5" spans="1:27">
      <c r="A13" t="s">
        <v>12</v>
      </c>
      <c r="B13" t="s">
        <v>4</v>
      </c>
      <c r="C13"/>
      <c r="D13"/>
      <c r="E13"/>
      <c r="F13"/>
      <c r="G13"/>
      <c r="H13"/>
      <c r="I13"/>
      <c r="J13"/>
      <c r="K13"/>
      <c r="L13"/>
      <c r="M13"/>
      <c r="N13"/>
      <c r="O13"/>
      <c r="P13"/>
      <c r="Q13"/>
      <c r="R13"/>
      <c r="S13"/>
      <c r="T13"/>
      <c r="U13"/>
      <c r="V13" s="53"/>
      <c r="W13" s="53"/>
      <c r="X13" s="53"/>
      <c r="Y13" s="53"/>
      <c r="Z13" s="53"/>
      <c r="AA13" s="53"/>
    </row>
    <row r="14" ht="12.5" spans="1:27">
      <c r="A14" t="s">
        <v>13</v>
      </c>
      <c r="B14" t="s">
        <v>4</v>
      </c>
      <c r="C14"/>
      <c r="D14"/>
      <c r="E14"/>
      <c r="F14"/>
      <c r="G14"/>
      <c r="H14"/>
      <c r="I14"/>
      <c r="J14"/>
      <c r="K14"/>
      <c r="L14"/>
      <c r="M14"/>
      <c r="N14"/>
      <c r="O14"/>
      <c r="P14"/>
      <c r="Q14"/>
      <c r="R14"/>
      <c r="S14"/>
      <c r="T14"/>
      <c r="U14"/>
      <c r="V14" s="53"/>
      <c r="W14" s="53"/>
      <c r="X14" s="53"/>
      <c r="Y14" s="53"/>
      <c r="Z14" s="53"/>
      <c r="AA14" s="53"/>
    </row>
    <row r="15" ht="12.5" spans="1:27">
      <c r="A15" t="s">
        <v>14</v>
      </c>
      <c r="B15" t="s">
        <v>4</v>
      </c>
      <c r="C15"/>
      <c r="D15"/>
      <c r="E15"/>
      <c r="F15"/>
      <c r="G15"/>
      <c r="H15"/>
      <c r="I15"/>
      <c r="J15"/>
      <c r="K15"/>
      <c r="L15"/>
      <c r="M15"/>
      <c r="N15"/>
      <c r="O15"/>
      <c r="P15"/>
      <c r="Q15"/>
      <c r="R15"/>
      <c r="S15"/>
      <c r="T15"/>
      <c r="U15"/>
      <c r="V15" s="53"/>
      <c r="W15" s="53"/>
      <c r="X15" s="53"/>
      <c r="Y15" s="53"/>
      <c r="Z15" s="53"/>
      <c r="AA15" s="53"/>
    </row>
    <row r="16" ht="12.5" spans="1:27">
      <c r="A16" t="s">
        <v>15</v>
      </c>
      <c r="B16" t="s">
        <v>4</v>
      </c>
      <c r="C16"/>
      <c r="D16"/>
      <c r="E16"/>
      <c r="F16"/>
      <c r="G16"/>
      <c r="H16"/>
      <c r="I16"/>
      <c r="J16"/>
      <c r="K16"/>
      <c r="L16"/>
      <c r="M16"/>
      <c r="N16"/>
      <c r="O16"/>
      <c r="P16"/>
      <c r="Q16"/>
      <c r="R16"/>
      <c r="S16"/>
      <c r="T16"/>
      <c r="U16"/>
      <c r="V16" s="53"/>
      <c r="W16" s="53"/>
      <c r="X16" s="53"/>
      <c r="Y16" s="53"/>
      <c r="Z16" s="53"/>
      <c r="AA16" s="53"/>
    </row>
    <row r="17" ht="12.5" spans="1:27">
      <c r="A17" t="s">
        <v>16</v>
      </c>
      <c r="B17" t="s">
        <v>4</v>
      </c>
      <c r="C17"/>
      <c r="D17"/>
      <c r="E17"/>
      <c r="F17"/>
      <c r="G17"/>
      <c r="H17"/>
      <c r="I17"/>
      <c r="J17"/>
      <c r="K17"/>
      <c r="L17"/>
      <c r="M17"/>
      <c r="N17"/>
      <c r="O17"/>
      <c r="P17"/>
      <c r="Q17"/>
      <c r="R17"/>
      <c r="S17"/>
      <c r="T17"/>
      <c r="U17"/>
      <c r="V17" s="53"/>
      <c r="W17" s="53"/>
      <c r="X17" s="53"/>
      <c r="Y17" s="53"/>
      <c r="Z17" s="53"/>
      <c r="AA17" s="53"/>
    </row>
    <row r="18" ht="12.5" spans="1:27">
      <c r="A18" t="s">
        <v>17</v>
      </c>
      <c r="B18" t="s">
        <v>4</v>
      </c>
      <c r="C18"/>
      <c r="D18"/>
      <c r="E18"/>
      <c r="F18"/>
      <c r="G18"/>
      <c r="H18"/>
      <c r="I18"/>
      <c r="J18"/>
      <c r="K18"/>
      <c r="L18"/>
      <c r="M18"/>
      <c r="N18"/>
      <c r="O18"/>
      <c r="P18"/>
      <c r="Q18"/>
      <c r="R18"/>
      <c r="S18"/>
      <c r="T18"/>
      <c r="U18"/>
      <c r="V18" s="53"/>
      <c r="W18" s="53"/>
      <c r="X18" s="53"/>
      <c r="Y18" s="53"/>
      <c r="Z18" s="53"/>
      <c r="AA18" s="53"/>
    </row>
    <row r="19" ht="12.5" spans="1:27">
      <c r="A19" t="s">
        <v>18</v>
      </c>
      <c r="B19" t="s">
        <v>4</v>
      </c>
      <c r="C19"/>
      <c r="D19"/>
      <c r="E19"/>
      <c r="F19"/>
      <c r="G19"/>
      <c r="H19"/>
      <c r="I19"/>
      <c r="J19"/>
      <c r="K19"/>
      <c r="L19"/>
      <c r="M19"/>
      <c r="N19"/>
      <c r="O19"/>
      <c r="P19"/>
      <c r="Q19"/>
      <c r="R19"/>
      <c r="S19"/>
      <c r="T19"/>
      <c r="U19"/>
      <c r="V19" s="53"/>
      <c r="W19" s="53"/>
      <c r="X19" s="53"/>
      <c r="Y19" s="53"/>
      <c r="Z19" s="53"/>
      <c r="AA19" s="53"/>
    </row>
    <row r="20" ht="12.5" spans="1:27">
      <c r="A20" t="s">
        <v>19</v>
      </c>
      <c r="B20" t="s">
        <v>4</v>
      </c>
      <c r="C20"/>
      <c r="D20"/>
      <c r="E20"/>
      <c r="F20"/>
      <c r="G20"/>
      <c r="H20"/>
      <c r="I20"/>
      <c r="J20"/>
      <c r="K20"/>
      <c r="L20"/>
      <c r="M20"/>
      <c r="N20"/>
      <c r="O20"/>
      <c r="P20"/>
      <c r="Q20"/>
      <c r="R20"/>
      <c r="S20"/>
      <c r="T20"/>
      <c r="U20"/>
      <c r="V20" s="53"/>
      <c r="W20" s="53"/>
      <c r="X20" s="53"/>
      <c r="Y20" s="53"/>
      <c r="Z20" s="53"/>
      <c r="AA20" s="53"/>
    </row>
    <row r="21" ht="12.5" spans="1:27">
      <c r="A21" t="s">
        <v>20</v>
      </c>
      <c r="B21" t="s">
        <v>4</v>
      </c>
      <c r="C21"/>
      <c r="D21"/>
      <c r="E21"/>
      <c r="F21"/>
      <c r="G21"/>
      <c r="H21"/>
      <c r="I21"/>
      <c r="J21"/>
      <c r="K21"/>
      <c r="L21"/>
      <c r="M21"/>
      <c r="N21"/>
      <c r="O21"/>
      <c r="P21"/>
      <c r="Q21"/>
      <c r="R21"/>
      <c r="S21"/>
      <c r="T21"/>
      <c r="U21"/>
      <c r="V21" s="53"/>
      <c r="W21" s="53"/>
      <c r="X21" s="53"/>
      <c r="Y21" s="53"/>
      <c r="Z21" s="53"/>
      <c r="AA21" s="53"/>
    </row>
    <row r="22" ht="12.5" spans="1:27">
      <c r="A22" t="s">
        <v>21</v>
      </c>
      <c r="B22" t="s">
        <v>4</v>
      </c>
      <c r="C22"/>
      <c r="D22"/>
      <c r="E22"/>
      <c r="F22"/>
      <c r="G22"/>
      <c r="H22"/>
      <c r="I22"/>
      <c r="J22"/>
      <c r="K22"/>
      <c r="L22"/>
      <c r="M22"/>
      <c r="N22"/>
      <c r="O22"/>
      <c r="P22"/>
      <c r="Q22"/>
      <c r="R22"/>
      <c r="S22"/>
      <c r="T22"/>
      <c r="U22"/>
      <c r="V22" s="53"/>
      <c r="W22" s="53"/>
      <c r="X22" s="53"/>
      <c r="Y22" s="53"/>
      <c r="Z22" s="53"/>
      <c r="AA22" s="53"/>
    </row>
    <row r="23" ht="12.5" spans="1:27">
      <c r="A23" t="s">
        <v>22</v>
      </c>
      <c r="B23" t="s">
        <v>4</v>
      </c>
      <c r="C23"/>
      <c r="D23"/>
      <c r="E23"/>
      <c r="F23"/>
      <c r="G23"/>
      <c r="H23"/>
      <c r="I23"/>
      <c r="J23"/>
      <c r="K23"/>
      <c r="L23"/>
      <c r="M23"/>
      <c r="N23"/>
      <c r="O23"/>
      <c r="P23"/>
      <c r="Q23"/>
      <c r="R23"/>
      <c r="S23"/>
      <c r="T23"/>
      <c r="U23"/>
      <c r="V23" s="53"/>
      <c r="W23" s="53"/>
      <c r="X23" s="53"/>
      <c r="Y23" s="53"/>
      <c r="Z23" s="53"/>
      <c r="AA23" s="53"/>
    </row>
    <row r="24" ht="12.5" spans="1:27">
      <c r="A24" t="s">
        <v>23</v>
      </c>
      <c r="B24" t="s">
        <v>4</v>
      </c>
      <c r="C24"/>
      <c r="D24"/>
      <c r="E24"/>
      <c r="F24"/>
      <c r="G24"/>
      <c r="H24"/>
      <c r="I24"/>
      <c r="J24"/>
      <c r="K24"/>
      <c r="L24"/>
      <c r="M24"/>
      <c r="N24"/>
      <c r="O24"/>
      <c r="P24"/>
      <c r="Q24"/>
      <c r="R24"/>
      <c r="S24"/>
      <c r="T24"/>
      <c r="U24"/>
      <c r="V24" s="53"/>
      <c r="W24" s="53"/>
      <c r="X24" s="53"/>
      <c r="Y24" s="53"/>
      <c r="Z24" s="53"/>
      <c r="AA24" s="53"/>
    </row>
    <row r="25" ht="12.5" spans="1:27">
      <c r="A25" t="s">
        <v>24</v>
      </c>
      <c r="B25" t="s">
        <v>4</v>
      </c>
      <c r="C25"/>
      <c r="D25"/>
      <c r="E25"/>
      <c r="F25"/>
      <c r="G25"/>
      <c r="H25"/>
      <c r="I25"/>
      <c r="J25"/>
      <c r="K25"/>
      <c r="L25"/>
      <c r="M25"/>
      <c r="N25"/>
      <c r="O25"/>
      <c r="P25"/>
      <c r="Q25"/>
      <c r="R25"/>
      <c r="S25"/>
      <c r="T25"/>
      <c r="U25"/>
      <c r="V25" s="53"/>
      <c r="W25" s="53"/>
      <c r="X25" s="53"/>
      <c r="Y25" s="53"/>
      <c r="Z25" s="53"/>
      <c r="AA25" s="53"/>
    </row>
    <row r="26" ht="12.5" spans="1:27">
      <c r="A26" t="s">
        <v>25</v>
      </c>
      <c r="B26" t="s">
        <v>4</v>
      </c>
      <c r="C26"/>
      <c r="D26"/>
      <c r="E26"/>
      <c r="F26"/>
      <c r="G26"/>
      <c r="H26"/>
      <c r="I26"/>
      <c r="J26"/>
      <c r="K26"/>
      <c r="L26"/>
      <c r="M26"/>
      <c r="N26"/>
      <c r="O26"/>
      <c r="P26"/>
      <c r="Q26"/>
      <c r="R26"/>
      <c r="S26"/>
      <c r="T26"/>
      <c r="U26"/>
      <c r="V26" s="53"/>
      <c r="W26" s="53"/>
      <c r="X26" s="53"/>
      <c r="Y26" s="53"/>
      <c r="Z26" s="53"/>
      <c r="AA26" s="53"/>
    </row>
    <row r="27" ht="12.5" spans="1:27">
      <c r="A27" t="s">
        <v>26</v>
      </c>
      <c r="B27" t="s">
        <v>4</v>
      </c>
      <c r="C27"/>
      <c r="D27"/>
      <c r="E27"/>
      <c r="F27"/>
      <c r="G27"/>
      <c r="H27"/>
      <c r="I27"/>
      <c r="J27"/>
      <c r="K27"/>
      <c r="L27"/>
      <c r="M27"/>
      <c r="N27"/>
      <c r="O27"/>
      <c r="P27"/>
      <c r="Q27"/>
      <c r="R27"/>
      <c r="S27"/>
      <c r="T27"/>
      <c r="U27"/>
      <c r="V27" s="53"/>
      <c r="W27" s="53"/>
      <c r="X27" s="53"/>
      <c r="Y27" s="53"/>
      <c r="Z27" s="53"/>
      <c r="AA27" s="53"/>
    </row>
    <row r="28" ht="12.5" spans="1:27">
      <c r="A28" t="s">
        <v>27</v>
      </c>
      <c r="B28" t="s">
        <v>4</v>
      </c>
      <c r="C28"/>
      <c r="D28"/>
      <c r="E28"/>
      <c r="F28"/>
      <c r="G28"/>
      <c r="H28"/>
      <c r="I28"/>
      <c r="J28"/>
      <c r="K28"/>
      <c r="L28"/>
      <c r="M28"/>
      <c r="N28"/>
      <c r="O28"/>
      <c r="P28"/>
      <c r="Q28"/>
      <c r="R28"/>
      <c r="S28"/>
      <c r="T28"/>
      <c r="U28"/>
      <c r="V28" s="53"/>
      <c r="W28" s="53"/>
      <c r="X28" s="53"/>
      <c r="Y28" s="53"/>
      <c r="Z28" s="53"/>
      <c r="AA28" s="53"/>
    </row>
    <row r="29" ht="12.5" spans="1:27">
      <c r="A29" t="s">
        <v>28</v>
      </c>
      <c r="B29" t="s">
        <v>4</v>
      </c>
      <c r="C29"/>
      <c r="D29"/>
      <c r="E29"/>
      <c r="F29"/>
      <c r="G29"/>
      <c r="H29"/>
      <c r="I29"/>
      <c r="J29"/>
      <c r="K29"/>
      <c r="L29"/>
      <c r="M29"/>
      <c r="N29"/>
      <c r="O29"/>
      <c r="P29"/>
      <c r="Q29"/>
      <c r="R29"/>
      <c r="S29"/>
      <c r="T29"/>
      <c r="U29"/>
      <c r="V29" s="53"/>
      <c r="W29" s="53"/>
      <c r="X29" s="53"/>
      <c r="Y29" s="53"/>
      <c r="Z29" s="53"/>
      <c r="AA29" s="53"/>
    </row>
    <row r="30" ht="12.5" spans="1:27">
      <c r="A30" t="s">
        <v>29</v>
      </c>
      <c r="B30" t="s">
        <v>4</v>
      </c>
      <c r="H30" s="53"/>
      <c r="I30" s="53"/>
      <c r="J30" s="53"/>
      <c r="K30" s="53"/>
      <c r="L30" s="53"/>
      <c r="M30" s="53"/>
      <c r="N30" s="53"/>
      <c r="O30" s="53"/>
      <c r="P30" s="53"/>
      <c r="Q30" s="53"/>
      <c r="R30" s="53"/>
      <c r="S30" s="53"/>
      <c r="T30" s="53"/>
      <c r="U30" s="53"/>
      <c r="V30" s="53"/>
      <c r="W30" s="53"/>
      <c r="X30" s="53"/>
      <c r="Y30" s="53"/>
      <c r="Z30" s="53"/>
      <c r="AA30" s="53"/>
    </row>
    <row r="31" ht="12.5" spans="1:27">
      <c r="A31" t="s">
        <v>30</v>
      </c>
      <c r="B31" t="s">
        <v>4</v>
      </c>
      <c r="H31" s="53"/>
      <c r="I31" s="53"/>
      <c r="J31" s="53"/>
      <c r="K31" s="53"/>
      <c r="L31" s="53"/>
      <c r="M31" s="53"/>
      <c r="N31" s="53"/>
      <c r="O31" s="53"/>
      <c r="P31" s="53"/>
      <c r="Q31" s="53"/>
      <c r="R31" s="53"/>
      <c r="S31" s="53"/>
      <c r="T31" s="53"/>
      <c r="U31" s="53"/>
      <c r="V31" s="53"/>
      <c r="W31" s="53"/>
      <c r="X31" s="53"/>
      <c r="Y31" s="53"/>
      <c r="Z31" s="53"/>
      <c r="AA31" s="53"/>
    </row>
    <row r="32" ht="12.5" spans="1:27">
      <c r="A32" t="s">
        <v>31</v>
      </c>
      <c r="B32" t="s">
        <v>4</v>
      </c>
      <c r="H32" s="53"/>
      <c r="I32" s="53"/>
      <c r="J32" s="53"/>
      <c r="K32" s="53"/>
      <c r="L32" s="53"/>
      <c r="M32" s="53"/>
      <c r="N32" s="53"/>
      <c r="O32" s="53"/>
      <c r="P32" s="53"/>
      <c r="Q32" s="53"/>
      <c r="R32" s="53"/>
      <c r="S32" s="53"/>
      <c r="T32" s="53"/>
      <c r="U32" s="53"/>
      <c r="V32" s="53"/>
      <c r="W32" s="53"/>
      <c r="X32" s="53"/>
      <c r="Y32" s="53"/>
      <c r="Z32" s="53"/>
      <c r="AA32" s="53"/>
    </row>
    <row r="33" ht="12.5" spans="1:27">
      <c r="A33" t="s">
        <v>32</v>
      </c>
      <c r="B33" t="s">
        <v>4</v>
      </c>
      <c r="H33" s="53"/>
      <c r="I33" s="53"/>
      <c r="J33" s="53"/>
      <c r="K33" s="53"/>
      <c r="L33" s="53"/>
      <c r="M33" s="53"/>
      <c r="N33" s="53"/>
      <c r="O33" s="53"/>
      <c r="P33" s="53"/>
      <c r="Q33" s="53"/>
      <c r="R33" s="53"/>
      <c r="S33" s="53"/>
      <c r="T33" s="53"/>
      <c r="U33" s="53"/>
      <c r="V33" s="53"/>
      <c r="W33" s="53"/>
      <c r="X33" s="53"/>
      <c r="Y33" s="53"/>
      <c r="Z33" s="53"/>
      <c r="AA33" s="53"/>
    </row>
    <row r="34" ht="12.5" spans="1:27">
      <c r="A34" t="s">
        <v>33</v>
      </c>
      <c r="B34" t="s">
        <v>4</v>
      </c>
      <c r="H34" s="53"/>
      <c r="I34" s="53"/>
      <c r="J34" s="53"/>
      <c r="K34" s="53"/>
      <c r="L34" s="53"/>
      <c r="M34" s="53"/>
      <c r="N34" s="53"/>
      <c r="O34" s="53"/>
      <c r="P34" s="53"/>
      <c r="Q34" s="53"/>
      <c r="R34" s="53"/>
      <c r="S34" s="53"/>
      <c r="T34" s="53"/>
      <c r="U34" s="53"/>
      <c r="V34" s="53"/>
      <c r="W34" s="53"/>
      <c r="X34" s="53"/>
      <c r="Y34" s="53"/>
      <c r="Z34" s="53"/>
      <c r="AA34" s="53"/>
    </row>
    <row r="35" ht="12.5" spans="1:27">
      <c r="A35" s="95" t="s">
        <v>34</v>
      </c>
      <c r="B35" t="s">
        <v>4</v>
      </c>
      <c r="H35" s="53"/>
      <c r="I35" s="53"/>
      <c r="J35" s="53"/>
      <c r="K35" s="53"/>
      <c r="L35" s="53"/>
      <c r="M35" s="53"/>
      <c r="N35" s="53"/>
      <c r="O35" s="53"/>
      <c r="P35" s="53"/>
      <c r="Q35" s="53"/>
      <c r="R35" s="53"/>
      <c r="S35" s="53"/>
      <c r="T35" s="53"/>
      <c r="U35" s="53"/>
      <c r="V35" s="53"/>
      <c r="W35" s="53"/>
      <c r="X35" s="53"/>
      <c r="Y35" s="53"/>
      <c r="Z35" s="53"/>
      <c r="AA35" s="53"/>
    </row>
    <row r="36" ht="12.5" spans="1:27">
      <c r="A36" s="95" t="s">
        <v>35</v>
      </c>
      <c r="B36" t="s">
        <v>4</v>
      </c>
      <c r="H36" s="53"/>
      <c r="I36" s="53"/>
      <c r="J36" s="53"/>
      <c r="K36" s="53"/>
      <c r="L36" s="53"/>
      <c r="M36" s="53"/>
      <c r="N36" s="53"/>
      <c r="O36" s="53"/>
      <c r="P36" s="53"/>
      <c r="Q36" s="53"/>
      <c r="R36" s="53"/>
      <c r="S36" s="53"/>
      <c r="T36" s="53"/>
      <c r="U36" s="53"/>
      <c r="V36" s="53"/>
      <c r="W36" s="53"/>
      <c r="X36" s="53"/>
      <c r="Y36" s="53"/>
      <c r="Z36" s="53"/>
      <c r="AA36" s="53"/>
    </row>
    <row r="37" ht="12.5" spans="1:27">
      <c r="A37" s="95" t="s">
        <v>36</v>
      </c>
      <c r="B37" t="s">
        <v>4</v>
      </c>
      <c r="H37" s="53"/>
      <c r="I37" s="53"/>
      <c r="J37" s="53"/>
      <c r="K37" s="53"/>
      <c r="L37" s="53"/>
      <c r="M37" s="53"/>
      <c r="N37" s="53"/>
      <c r="O37" s="53"/>
      <c r="P37" s="53"/>
      <c r="Q37" s="53"/>
      <c r="R37" s="53"/>
      <c r="S37" s="53"/>
      <c r="T37" s="53"/>
      <c r="U37" s="53"/>
      <c r="V37" s="53"/>
      <c r="W37" s="53"/>
      <c r="X37" s="53"/>
      <c r="Y37" s="53"/>
      <c r="Z37" s="53"/>
      <c r="AA37" s="53"/>
    </row>
    <row r="38" ht="12.5" spans="1:27">
      <c r="A38" s="95" t="s">
        <v>37</v>
      </c>
      <c r="B38" t="s">
        <v>4</v>
      </c>
      <c r="H38" s="53"/>
      <c r="I38" s="53"/>
      <c r="J38" s="53"/>
      <c r="K38" s="53"/>
      <c r="L38" s="53"/>
      <c r="M38" s="53"/>
      <c r="N38" s="53"/>
      <c r="O38" s="53"/>
      <c r="P38" s="53"/>
      <c r="Q38" s="53"/>
      <c r="R38" s="53"/>
      <c r="S38" s="53"/>
      <c r="T38" s="53"/>
      <c r="U38" s="53"/>
      <c r="V38" s="53"/>
      <c r="W38" s="53"/>
      <c r="X38" s="53"/>
      <c r="Y38" s="53"/>
      <c r="Z38" s="53"/>
      <c r="AA38" s="53"/>
    </row>
    <row r="39" ht="12.5" spans="1:27">
      <c r="A39" s="95" t="s">
        <v>38</v>
      </c>
      <c r="B39" t="s">
        <v>4</v>
      </c>
      <c r="H39" s="53"/>
      <c r="I39" s="53"/>
      <c r="J39" s="53"/>
      <c r="K39" s="53"/>
      <c r="L39" s="53"/>
      <c r="M39" s="53"/>
      <c r="N39" s="53"/>
      <c r="O39" s="53"/>
      <c r="P39" s="53"/>
      <c r="Q39" s="53"/>
      <c r="R39" s="53"/>
      <c r="S39" s="53"/>
      <c r="T39" s="53"/>
      <c r="U39" s="53"/>
      <c r="V39" s="53"/>
      <c r="W39" s="53"/>
      <c r="X39" s="53"/>
      <c r="Y39" s="53"/>
      <c r="Z39" s="53"/>
      <c r="AA39" s="53"/>
    </row>
    <row r="40" spans="8:27">
      <c r="H40" s="53"/>
      <c r="I40" s="53"/>
      <c r="J40" s="53"/>
      <c r="K40" s="53"/>
      <c r="L40" s="53"/>
      <c r="M40" s="53"/>
      <c r="N40" s="53"/>
      <c r="O40" s="53"/>
      <c r="P40" s="53"/>
      <c r="Q40" s="53"/>
      <c r="R40" s="53"/>
      <c r="S40" s="53"/>
      <c r="T40" s="53"/>
      <c r="U40" s="53"/>
      <c r="V40" s="53"/>
      <c r="W40" s="53"/>
      <c r="X40" s="53"/>
      <c r="Y40" s="53"/>
      <c r="Z40" s="53"/>
      <c r="AA40" s="53"/>
    </row>
    <row r="41" spans="8:27">
      <c r="H41" s="53"/>
      <c r="I41" s="53"/>
      <c r="J41" s="53"/>
      <c r="K41" s="53"/>
      <c r="L41" s="53"/>
      <c r="M41" s="53"/>
      <c r="N41" s="53"/>
      <c r="O41" s="53"/>
      <c r="P41" s="53"/>
      <c r="Q41" s="53"/>
      <c r="R41" s="53"/>
      <c r="S41" s="53"/>
      <c r="T41" s="53"/>
      <c r="U41" s="53"/>
      <c r="V41" s="53"/>
      <c r="W41" s="53"/>
      <c r="X41" s="53"/>
      <c r="Y41" s="53"/>
      <c r="Z41" s="53"/>
      <c r="AA41" s="53"/>
    </row>
    <row r="42" spans="8:27">
      <c r="H42" s="53"/>
      <c r="I42" s="53"/>
      <c r="J42" s="53"/>
      <c r="K42" s="53"/>
      <c r="L42" s="53"/>
      <c r="M42" s="53"/>
      <c r="N42" s="53"/>
      <c r="O42" s="53"/>
      <c r="P42" s="53"/>
      <c r="Q42" s="53"/>
      <c r="R42" s="53"/>
      <c r="S42" s="53"/>
      <c r="T42" s="53"/>
      <c r="U42" s="53"/>
      <c r="V42" s="53"/>
      <c r="W42" s="53"/>
      <c r="X42" s="53"/>
      <c r="Y42" s="53"/>
      <c r="Z42" s="53"/>
      <c r="AA42" s="53"/>
    </row>
    <row r="43" spans="8:27">
      <c r="H43" s="53"/>
      <c r="I43" s="53"/>
      <c r="J43" s="53"/>
      <c r="K43" s="53"/>
      <c r="L43" s="53"/>
      <c r="M43" s="53"/>
      <c r="N43" s="53"/>
      <c r="O43" s="53"/>
      <c r="P43" s="53"/>
      <c r="Q43" s="53"/>
      <c r="R43" s="53"/>
      <c r="S43" s="53"/>
      <c r="T43" s="53"/>
      <c r="U43" s="53"/>
      <c r="V43" s="53"/>
      <c r="W43" s="53"/>
      <c r="X43" s="53"/>
      <c r="Y43" s="53"/>
      <c r="Z43" s="53"/>
      <c r="AA43" s="53"/>
    </row>
    <row r="44" spans="8:27">
      <c r="H44" s="53"/>
      <c r="I44" s="53"/>
      <c r="J44" s="53"/>
      <c r="K44" s="53"/>
      <c r="L44" s="53"/>
      <c r="M44" s="53"/>
      <c r="N44" s="53"/>
      <c r="O44" s="53"/>
      <c r="P44" s="53"/>
      <c r="Q44" s="53"/>
      <c r="R44" s="53"/>
      <c r="S44" s="53"/>
      <c r="T44" s="53"/>
      <c r="U44" s="53"/>
      <c r="V44" s="53"/>
      <c r="W44" s="53"/>
      <c r="X44" s="53"/>
      <c r="Y44" s="53"/>
      <c r="Z44" s="53"/>
      <c r="AA44" s="53"/>
    </row>
    <row r="45" spans="8:27">
      <c r="H45" s="53"/>
      <c r="I45" s="53"/>
      <c r="J45" s="53"/>
      <c r="K45" s="53"/>
      <c r="L45" s="53"/>
      <c r="M45" s="53"/>
      <c r="N45" s="53"/>
      <c r="O45" s="53"/>
      <c r="P45" s="53"/>
      <c r="Q45" s="53"/>
      <c r="R45" s="53"/>
      <c r="S45" s="53"/>
      <c r="T45" s="53"/>
      <c r="U45" s="53"/>
      <c r="V45" s="53"/>
      <c r="W45" s="53"/>
      <c r="X45" s="53"/>
      <c r="Y45" s="53"/>
      <c r="Z45" s="53"/>
      <c r="AA45" s="53"/>
    </row>
    <row r="46" spans="8:27">
      <c r="H46" s="53"/>
      <c r="I46" s="53"/>
      <c r="J46" s="53"/>
      <c r="K46" s="53"/>
      <c r="L46" s="53"/>
      <c r="M46" s="53"/>
      <c r="N46" s="53"/>
      <c r="O46" s="53"/>
      <c r="P46" s="53"/>
      <c r="Q46" s="53"/>
      <c r="R46" s="53"/>
      <c r="S46" s="53"/>
      <c r="T46" s="53"/>
      <c r="U46" s="53"/>
      <c r="V46" s="53"/>
      <c r="W46" s="53"/>
      <c r="X46" s="53"/>
      <c r="Y46" s="53"/>
      <c r="Z46" s="53"/>
      <c r="AA46" s="53"/>
    </row>
    <row r="47" spans="8:27">
      <c r="H47" s="53"/>
      <c r="I47" s="53"/>
      <c r="J47" s="53"/>
      <c r="K47" s="53"/>
      <c r="L47" s="53"/>
      <c r="M47" s="53"/>
      <c r="N47" s="53"/>
      <c r="O47" s="53"/>
      <c r="P47" s="53"/>
      <c r="Q47" s="53"/>
      <c r="R47" s="53"/>
      <c r="S47" s="53"/>
      <c r="T47" s="53"/>
      <c r="U47" s="53"/>
      <c r="V47" s="53"/>
      <c r="W47" s="53"/>
      <c r="X47" s="53"/>
      <c r="Y47" s="53"/>
      <c r="Z47" s="53"/>
      <c r="AA47" s="53"/>
    </row>
    <row r="48" spans="8:27">
      <c r="H48" s="53"/>
      <c r="I48" s="53"/>
      <c r="J48" s="53"/>
      <c r="K48" s="53"/>
      <c r="L48" s="53"/>
      <c r="M48" s="53"/>
      <c r="N48" s="53"/>
      <c r="O48" s="53"/>
      <c r="P48" s="53"/>
      <c r="Q48" s="53"/>
      <c r="R48" s="53"/>
      <c r="S48" s="53"/>
      <c r="T48" s="53"/>
      <c r="U48" s="53"/>
      <c r="V48" s="53"/>
      <c r="W48" s="53"/>
      <c r="X48" s="53"/>
      <c r="Y48" s="53"/>
      <c r="Z48" s="53"/>
      <c r="AA48" s="53"/>
    </row>
    <row r="49" spans="8:27">
      <c r="H49" s="53"/>
      <c r="I49" s="53"/>
      <c r="J49" s="53"/>
      <c r="K49" s="53"/>
      <c r="L49" s="53"/>
      <c r="M49" s="53"/>
      <c r="N49" s="53"/>
      <c r="O49" s="53"/>
      <c r="P49" s="53"/>
      <c r="Q49" s="53"/>
      <c r="R49" s="53"/>
      <c r="S49" s="53"/>
      <c r="T49" s="53"/>
      <c r="U49" s="53"/>
      <c r="V49" s="53"/>
      <c r="W49" s="53"/>
      <c r="X49" s="53"/>
      <c r="Y49" s="53"/>
      <c r="Z49" s="53"/>
      <c r="AA49" s="53"/>
    </row>
    <row r="50" spans="8:27">
      <c r="H50" s="53"/>
      <c r="I50" s="53"/>
      <c r="J50" s="53"/>
      <c r="K50" s="53"/>
      <c r="L50" s="53"/>
      <c r="M50" s="53"/>
      <c r="N50" s="53"/>
      <c r="O50" s="53"/>
      <c r="P50" s="53"/>
      <c r="Q50" s="53"/>
      <c r="R50" s="53"/>
      <c r="S50" s="53"/>
      <c r="T50" s="53"/>
      <c r="U50" s="53"/>
      <c r="V50" s="53"/>
      <c r="W50" s="53"/>
      <c r="X50" s="53"/>
      <c r="Y50" s="53"/>
      <c r="Z50" s="53"/>
      <c r="AA50" s="53"/>
    </row>
    <row r="51" spans="8:27">
      <c r="H51" s="53"/>
      <c r="I51" s="53"/>
      <c r="J51" s="53"/>
      <c r="K51" s="53"/>
      <c r="L51" s="53"/>
      <c r="M51" s="53"/>
      <c r="N51" s="53"/>
      <c r="O51" s="53"/>
      <c r="P51" s="53"/>
      <c r="Q51" s="53"/>
      <c r="R51" s="53"/>
      <c r="S51" s="53"/>
      <c r="T51" s="53"/>
      <c r="U51" s="53"/>
      <c r="V51" s="53"/>
      <c r="W51" s="53"/>
      <c r="X51" s="53"/>
      <c r="Y51" s="53"/>
      <c r="Z51" s="53"/>
      <c r="AA51" s="53"/>
    </row>
    <row r="52" spans="8:27">
      <c r="H52" s="53"/>
      <c r="I52" s="53"/>
      <c r="J52" s="53"/>
      <c r="K52" s="53"/>
      <c r="L52" s="53"/>
      <c r="M52" s="53"/>
      <c r="N52" s="53"/>
      <c r="O52" s="53"/>
      <c r="P52" s="53"/>
      <c r="Q52" s="53"/>
      <c r="R52" s="53"/>
      <c r="S52" s="53"/>
      <c r="T52" s="53"/>
      <c r="U52" s="53"/>
      <c r="V52" s="53"/>
      <c r="W52" s="53"/>
      <c r="X52" s="53"/>
      <c r="Y52" s="53"/>
      <c r="Z52" s="53"/>
      <c r="AA52" s="53"/>
    </row>
    <row r="53" spans="8:27">
      <c r="H53" s="53"/>
      <c r="I53" s="53"/>
      <c r="J53" s="53"/>
      <c r="K53" s="53"/>
      <c r="L53" s="53"/>
      <c r="M53" s="53"/>
      <c r="N53" s="53"/>
      <c r="O53" s="53"/>
      <c r="P53" s="53"/>
      <c r="Q53" s="53"/>
      <c r="R53" s="53"/>
      <c r="S53" s="53"/>
      <c r="T53" s="53"/>
      <c r="U53" s="53"/>
      <c r="V53" s="53"/>
      <c r="W53" s="53"/>
      <c r="X53" s="53"/>
      <c r="Y53" s="53"/>
      <c r="Z53" s="53"/>
      <c r="AA53" s="53"/>
    </row>
    <row r="54" spans="8:27">
      <c r="H54" s="53"/>
      <c r="I54" s="53"/>
      <c r="J54" s="53"/>
      <c r="K54" s="53"/>
      <c r="L54" s="53"/>
      <c r="M54" s="53"/>
      <c r="N54" s="53"/>
      <c r="O54" s="53"/>
      <c r="P54" s="53"/>
      <c r="Q54" s="53"/>
      <c r="R54" s="53"/>
      <c r="S54" s="53"/>
      <c r="T54" s="53"/>
      <c r="U54" s="53"/>
      <c r="V54" s="53"/>
      <c r="W54" s="53"/>
      <c r="X54" s="53"/>
      <c r="Y54" s="53"/>
      <c r="Z54" s="53"/>
      <c r="AA54" s="53"/>
    </row>
    <row r="55" spans="8:27">
      <c r="H55" s="53"/>
      <c r="I55" s="53"/>
      <c r="J55" s="53"/>
      <c r="K55" s="53"/>
      <c r="L55" s="53"/>
      <c r="M55" s="53"/>
      <c r="N55" s="53"/>
      <c r="O55" s="53"/>
      <c r="P55" s="53"/>
      <c r="Q55" s="53"/>
      <c r="R55" s="53"/>
      <c r="S55" s="53"/>
      <c r="T55" s="53"/>
      <c r="U55" s="53"/>
      <c r="V55" s="53"/>
      <c r="W55" s="53"/>
      <c r="X55" s="53"/>
      <c r="Y55" s="53"/>
      <c r="Z55" s="53"/>
      <c r="AA55" s="53"/>
    </row>
    <row r="56" spans="8:27">
      <c r="H56" s="53"/>
      <c r="I56" s="53"/>
      <c r="J56" s="53"/>
      <c r="K56" s="53"/>
      <c r="L56" s="53"/>
      <c r="M56" s="53"/>
      <c r="N56" s="53"/>
      <c r="O56" s="53"/>
      <c r="P56" s="53"/>
      <c r="Q56" s="53"/>
      <c r="R56" s="53"/>
      <c r="S56" s="53"/>
      <c r="T56" s="53"/>
      <c r="U56" s="53"/>
      <c r="V56" s="53"/>
      <c r="W56" s="53"/>
      <c r="X56" s="53"/>
      <c r="Y56" s="53"/>
      <c r="Z56" s="53"/>
      <c r="AA56" s="53"/>
    </row>
    <row r="57" spans="8:27">
      <c r="H57" s="53"/>
      <c r="I57" s="53"/>
      <c r="J57" s="53"/>
      <c r="K57" s="53"/>
      <c r="L57" s="53"/>
      <c r="M57" s="53"/>
      <c r="N57" s="53"/>
      <c r="O57" s="53"/>
      <c r="P57" s="53"/>
      <c r="Q57" s="53"/>
      <c r="R57" s="53"/>
      <c r="S57" s="53"/>
      <c r="T57" s="53"/>
      <c r="U57" s="53"/>
      <c r="V57" s="53"/>
      <c r="W57" s="53"/>
      <c r="X57" s="53"/>
      <c r="Y57" s="53"/>
      <c r="Z57" s="53"/>
      <c r="AA57" s="53"/>
    </row>
    <row r="58" spans="8:27">
      <c r="H58" s="53"/>
      <c r="I58" s="53"/>
      <c r="J58" s="53"/>
      <c r="K58" s="53"/>
      <c r="L58" s="53"/>
      <c r="M58" s="53"/>
      <c r="N58" s="53"/>
      <c r="O58" s="53"/>
      <c r="P58" s="53"/>
      <c r="Q58" s="53"/>
      <c r="R58" s="53"/>
      <c r="S58" s="53"/>
      <c r="T58" s="53"/>
      <c r="U58" s="53"/>
      <c r="V58" s="53"/>
      <c r="W58" s="53"/>
      <c r="X58" s="53"/>
      <c r="Y58" s="53"/>
      <c r="Z58" s="53"/>
      <c r="AA58" s="53"/>
    </row>
    <row r="59" spans="8:27">
      <c r="H59" s="53"/>
      <c r="I59" s="53"/>
      <c r="J59" s="53"/>
      <c r="K59" s="53"/>
      <c r="L59" s="53"/>
      <c r="M59" s="53"/>
      <c r="N59" s="53"/>
      <c r="O59" s="53"/>
      <c r="P59" s="53"/>
      <c r="Q59" s="53"/>
      <c r="R59" s="53"/>
      <c r="S59" s="53"/>
      <c r="T59" s="53"/>
      <c r="U59" s="53"/>
      <c r="V59" s="53"/>
      <c r="W59" s="53"/>
      <c r="X59" s="53"/>
      <c r="Y59" s="53"/>
      <c r="Z59" s="53"/>
      <c r="AA59" s="53"/>
    </row>
    <row r="60" spans="8:27">
      <c r="H60" s="53"/>
      <c r="I60" s="53"/>
      <c r="J60" s="53"/>
      <c r="K60" s="53"/>
      <c r="L60" s="53"/>
      <c r="M60" s="53"/>
      <c r="N60" s="53"/>
      <c r="O60" s="53"/>
      <c r="P60" s="53"/>
      <c r="Q60" s="53"/>
      <c r="R60" s="53"/>
      <c r="S60" s="53"/>
      <c r="T60" s="53"/>
      <c r="U60" s="53"/>
      <c r="V60" s="53"/>
      <c r="W60" s="53"/>
      <c r="X60" s="53"/>
      <c r="Y60" s="53"/>
      <c r="Z60" s="53"/>
      <c r="AA60" s="53"/>
    </row>
    <row r="61" spans="8:27">
      <c r="H61" s="53"/>
      <c r="I61" s="53"/>
      <c r="J61" s="53"/>
      <c r="K61" s="53"/>
      <c r="L61" s="53"/>
      <c r="M61" s="53"/>
      <c r="N61" s="53"/>
      <c r="O61" s="53"/>
      <c r="P61" s="53"/>
      <c r="Q61" s="53"/>
      <c r="R61" s="53"/>
      <c r="S61" s="53"/>
      <c r="T61" s="53"/>
      <c r="U61" s="53"/>
      <c r="V61" s="53"/>
      <c r="W61" s="53"/>
      <c r="X61" s="53"/>
      <c r="Y61" s="53"/>
      <c r="Z61" s="53"/>
      <c r="AA61" s="53"/>
    </row>
    <row r="62" spans="8:27">
      <c r="H62" s="53"/>
      <c r="I62" s="53"/>
      <c r="J62" s="53"/>
      <c r="K62" s="53"/>
      <c r="L62" s="53"/>
      <c r="M62" s="53"/>
      <c r="N62" s="53"/>
      <c r="O62" s="53"/>
      <c r="P62" s="53"/>
      <c r="Q62" s="53"/>
      <c r="R62" s="53"/>
      <c r="S62" s="53"/>
      <c r="T62" s="53"/>
      <c r="U62" s="53"/>
      <c r="V62" s="53"/>
      <c r="W62" s="53"/>
      <c r="X62" s="53"/>
      <c r="Y62" s="53"/>
      <c r="Z62" s="53"/>
      <c r="AA62" s="53"/>
    </row>
    <row r="63" spans="8:27">
      <c r="H63" s="53"/>
      <c r="I63" s="53"/>
      <c r="J63" s="53"/>
      <c r="K63" s="53"/>
      <c r="L63" s="53"/>
      <c r="M63" s="53"/>
      <c r="N63" s="53"/>
      <c r="O63" s="53"/>
      <c r="P63" s="53"/>
      <c r="Q63" s="53"/>
      <c r="R63" s="53"/>
      <c r="S63" s="53"/>
      <c r="T63" s="53"/>
      <c r="U63" s="53"/>
      <c r="V63" s="53"/>
      <c r="W63" s="53"/>
      <c r="X63" s="53"/>
      <c r="Y63" s="53"/>
      <c r="Z63" s="53"/>
      <c r="AA63" s="53"/>
    </row>
    <row r="64" spans="8:27">
      <c r="H64" s="53"/>
      <c r="I64" s="53"/>
      <c r="J64" s="53"/>
      <c r="K64" s="53"/>
      <c r="L64" s="53"/>
      <c r="M64" s="53"/>
      <c r="N64" s="53"/>
      <c r="O64" s="53"/>
      <c r="P64" s="53"/>
      <c r="Q64" s="53"/>
      <c r="R64" s="53"/>
      <c r="S64" s="53"/>
      <c r="T64" s="53"/>
      <c r="U64" s="53"/>
      <c r="V64" s="53"/>
      <c r="W64" s="53"/>
      <c r="X64" s="53"/>
      <c r="Y64" s="53"/>
      <c r="Z64" s="53"/>
      <c r="AA64" s="53"/>
    </row>
    <row r="65" spans="8:27">
      <c r="H65" s="53"/>
      <c r="I65" s="53"/>
      <c r="J65" s="53"/>
      <c r="K65" s="53"/>
      <c r="L65" s="53"/>
      <c r="M65" s="53"/>
      <c r="N65" s="53"/>
      <c r="O65" s="53"/>
      <c r="P65" s="53"/>
      <c r="Q65" s="53"/>
      <c r="R65" s="53"/>
      <c r="S65" s="53"/>
      <c r="T65" s="53"/>
      <c r="U65" s="53"/>
      <c r="V65" s="53"/>
      <c r="W65" s="53"/>
      <c r="X65" s="53"/>
      <c r="Y65" s="53"/>
      <c r="Z65" s="53"/>
      <c r="AA65" s="53"/>
    </row>
    <row r="66" spans="8:27">
      <c r="H66" s="53"/>
      <c r="I66" s="53"/>
      <c r="J66" s="53"/>
      <c r="K66" s="53"/>
      <c r="L66" s="53"/>
      <c r="M66" s="53"/>
      <c r="N66" s="53"/>
      <c r="O66" s="53"/>
      <c r="P66" s="53"/>
      <c r="Q66" s="53"/>
      <c r="R66" s="53"/>
      <c r="S66" s="53"/>
      <c r="T66" s="53"/>
      <c r="U66" s="53"/>
      <c r="V66" s="53"/>
      <c r="W66" s="53"/>
      <c r="X66" s="53"/>
      <c r="Y66" s="53"/>
      <c r="Z66" s="53"/>
      <c r="AA66" s="53"/>
    </row>
    <row r="67" spans="8:27">
      <c r="H67" s="53"/>
      <c r="I67" s="53"/>
      <c r="J67" s="53"/>
      <c r="K67" s="53"/>
      <c r="L67" s="53"/>
      <c r="M67" s="53"/>
      <c r="N67" s="53"/>
      <c r="O67" s="53"/>
      <c r="P67" s="53"/>
      <c r="Q67" s="53"/>
      <c r="R67" s="53"/>
      <c r="S67" s="53"/>
      <c r="T67" s="53"/>
      <c r="U67" s="53"/>
      <c r="V67" s="53"/>
      <c r="W67" s="53"/>
      <c r="X67" s="53"/>
      <c r="Y67" s="53"/>
      <c r="Z67" s="53"/>
      <c r="AA67" s="53"/>
    </row>
    <row r="68" spans="8:27">
      <c r="H68" s="53"/>
      <c r="I68" s="53"/>
      <c r="J68" s="53"/>
      <c r="K68" s="53"/>
      <c r="L68" s="53"/>
      <c r="M68" s="53"/>
      <c r="N68" s="53"/>
      <c r="O68" s="53"/>
      <c r="P68" s="53"/>
      <c r="Q68" s="53"/>
      <c r="R68" s="53"/>
      <c r="S68" s="53"/>
      <c r="T68" s="53"/>
      <c r="U68" s="53"/>
      <c r="V68" s="53"/>
      <c r="W68" s="53"/>
      <c r="X68" s="53"/>
      <c r="Y68" s="53"/>
      <c r="Z68" s="53"/>
      <c r="AA68" s="53"/>
    </row>
    <row r="69" spans="8:27">
      <c r="H69" s="53"/>
      <c r="I69" s="53"/>
      <c r="J69" s="53"/>
      <c r="K69" s="53"/>
      <c r="L69" s="53"/>
      <c r="M69" s="53"/>
      <c r="N69" s="53"/>
      <c r="O69" s="53"/>
      <c r="P69" s="53"/>
      <c r="Q69" s="53"/>
      <c r="R69" s="53"/>
      <c r="S69" s="53"/>
      <c r="T69" s="53"/>
      <c r="U69" s="53"/>
      <c r="V69" s="53"/>
      <c r="W69" s="53"/>
      <c r="X69" s="53"/>
      <c r="Y69" s="53"/>
      <c r="Z69" s="53"/>
      <c r="AA69" s="53"/>
    </row>
    <row r="70" spans="8:27">
      <c r="H70" s="53"/>
      <c r="I70" s="53"/>
      <c r="J70" s="53"/>
      <c r="K70" s="53"/>
      <c r="L70" s="53"/>
      <c r="M70" s="53"/>
      <c r="N70" s="53"/>
      <c r="O70" s="53"/>
      <c r="P70" s="53"/>
      <c r="Q70" s="53"/>
      <c r="R70" s="53"/>
      <c r="S70" s="53"/>
      <c r="T70" s="53"/>
      <c r="U70" s="53"/>
      <c r="V70" s="53"/>
      <c r="W70" s="53"/>
      <c r="X70" s="53"/>
      <c r="Y70" s="53"/>
      <c r="Z70" s="53"/>
      <c r="AA70" s="53"/>
    </row>
    <row r="71" spans="8:27">
      <c r="H71" s="53"/>
      <c r="I71" s="53"/>
      <c r="J71" s="53"/>
      <c r="K71" s="53"/>
      <c r="L71" s="53"/>
      <c r="M71" s="53"/>
      <c r="N71" s="53"/>
      <c r="O71" s="53"/>
      <c r="P71" s="53"/>
      <c r="Q71" s="53"/>
      <c r="R71" s="53"/>
      <c r="S71" s="53"/>
      <c r="T71" s="53"/>
      <c r="U71" s="53"/>
      <c r="V71" s="53"/>
      <c r="W71" s="53"/>
      <c r="X71" s="53"/>
      <c r="Y71" s="53"/>
      <c r="Z71" s="53"/>
      <c r="AA71" s="53"/>
    </row>
    <row r="72" spans="8:27">
      <c r="H72" s="53"/>
      <c r="I72" s="53"/>
      <c r="J72" s="53"/>
      <c r="K72" s="53"/>
      <c r="L72" s="53"/>
      <c r="M72" s="53"/>
      <c r="N72" s="53"/>
      <c r="O72" s="53"/>
      <c r="P72" s="53"/>
      <c r="Q72" s="53"/>
      <c r="R72" s="53"/>
      <c r="S72" s="53"/>
      <c r="T72" s="53"/>
      <c r="U72" s="53"/>
      <c r="V72" s="53"/>
      <c r="W72" s="53"/>
      <c r="X72" s="53"/>
      <c r="Y72" s="53"/>
      <c r="Z72" s="53"/>
      <c r="AA72" s="53"/>
    </row>
    <row r="73" spans="8:27">
      <c r="H73" s="53"/>
      <c r="I73" s="53"/>
      <c r="J73" s="53"/>
      <c r="K73" s="53"/>
      <c r="L73" s="53"/>
      <c r="M73" s="53"/>
      <c r="N73" s="53"/>
      <c r="O73" s="53"/>
      <c r="P73" s="53"/>
      <c r="Q73" s="53"/>
      <c r="R73" s="53"/>
      <c r="S73" s="53"/>
      <c r="T73" s="53"/>
      <c r="U73" s="53"/>
      <c r="V73" s="53"/>
      <c r="W73" s="53"/>
      <c r="X73" s="53"/>
      <c r="Y73" s="53"/>
      <c r="Z73" s="53"/>
      <c r="AA73" s="53"/>
    </row>
    <row r="74" spans="8:27">
      <c r="H74" s="53"/>
      <c r="I74" s="53"/>
      <c r="J74" s="53"/>
      <c r="K74" s="53"/>
      <c r="L74" s="53"/>
      <c r="M74" s="53"/>
      <c r="N74" s="53"/>
      <c r="O74" s="53"/>
      <c r="P74" s="53"/>
      <c r="Q74" s="53"/>
      <c r="R74" s="53"/>
      <c r="S74" s="53"/>
      <c r="T74" s="53"/>
      <c r="U74" s="53"/>
      <c r="V74" s="53"/>
      <c r="W74" s="53"/>
      <c r="X74" s="53"/>
      <c r="Y74" s="53"/>
      <c r="Z74" s="53"/>
      <c r="AA74" s="53"/>
    </row>
    <row r="75" spans="8:27">
      <c r="H75" s="53"/>
      <c r="I75" s="53"/>
      <c r="J75" s="53"/>
      <c r="K75" s="53"/>
      <c r="L75" s="53"/>
      <c r="M75" s="53"/>
      <c r="N75" s="53"/>
      <c r="O75" s="53"/>
      <c r="P75" s="53"/>
      <c r="Q75" s="53"/>
      <c r="R75" s="53"/>
      <c r="S75" s="53"/>
      <c r="T75" s="53"/>
      <c r="U75" s="53"/>
      <c r="V75" s="53"/>
      <c r="W75" s="53"/>
      <c r="X75" s="53"/>
      <c r="Y75" s="53"/>
      <c r="Z75" s="53"/>
      <c r="AA75" s="53"/>
    </row>
    <row r="76" spans="8:27">
      <c r="H76" s="53"/>
      <c r="I76" s="53"/>
      <c r="J76" s="53"/>
      <c r="K76" s="53"/>
      <c r="L76" s="53"/>
      <c r="M76" s="53"/>
      <c r="N76" s="53"/>
      <c r="O76" s="53"/>
      <c r="P76" s="53"/>
      <c r="Q76" s="53"/>
      <c r="R76" s="53"/>
      <c r="S76" s="53"/>
      <c r="T76" s="53"/>
      <c r="U76" s="53"/>
      <c r="V76" s="53"/>
      <c r="W76" s="53"/>
      <c r="X76" s="53"/>
      <c r="Y76" s="53"/>
      <c r="Z76" s="53"/>
      <c r="AA76" s="53"/>
    </row>
    <row r="77" spans="8:27">
      <c r="H77" s="53"/>
      <c r="I77" s="53"/>
      <c r="J77" s="53"/>
      <c r="K77" s="53"/>
      <c r="L77" s="53"/>
      <c r="M77" s="53"/>
      <c r="N77" s="53"/>
      <c r="O77" s="53"/>
      <c r="P77" s="53"/>
      <c r="Q77" s="53"/>
      <c r="R77" s="53"/>
      <c r="S77" s="53"/>
      <c r="T77" s="53"/>
      <c r="U77" s="53"/>
      <c r="V77" s="53"/>
      <c r="W77" s="53"/>
      <c r="X77" s="53"/>
      <c r="Y77" s="53"/>
      <c r="Z77" s="53"/>
      <c r="AA77" s="53"/>
    </row>
    <row r="78" spans="8:27">
      <c r="H78" s="53"/>
      <c r="I78" s="53"/>
      <c r="J78" s="53"/>
      <c r="K78" s="53"/>
      <c r="L78" s="53"/>
      <c r="M78" s="53"/>
      <c r="N78" s="53"/>
      <c r="O78" s="53"/>
      <c r="P78" s="53"/>
      <c r="Q78" s="53"/>
      <c r="R78" s="53"/>
      <c r="S78" s="53"/>
      <c r="T78" s="53"/>
      <c r="U78" s="53"/>
      <c r="V78" s="53"/>
      <c r="W78" s="53"/>
      <c r="X78" s="53"/>
      <c r="Y78" s="53"/>
      <c r="Z78" s="53"/>
      <c r="AA78" s="53"/>
    </row>
    <row r="79" spans="8:27">
      <c r="H79" s="53"/>
      <c r="I79" s="53"/>
      <c r="J79" s="53"/>
      <c r="K79" s="53"/>
      <c r="L79" s="53"/>
      <c r="M79" s="53"/>
      <c r="N79" s="53"/>
      <c r="O79" s="53"/>
      <c r="P79" s="53"/>
      <c r="Q79" s="53"/>
      <c r="R79" s="53"/>
      <c r="S79" s="53"/>
      <c r="T79" s="53"/>
      <c r="U79" s="53"/>
      <c r="V79" s="53"/>
      <c r="W79" s="53"/>
      <c r="X79" s="53"/>
      <c r="Y79" s="53"/>
      <c r="Z79" s="53"/>
      <c r="AA79" s="53"/>
    </row>
    <row r="80" spans="8:27">
      <c r="H80" s="53"/>
      <c r="I80" s="53"/>
      <c r="J80" s="53"/>
      <c r="K80" s="53"/>
      <c r="L80" s="53"/>
      <c r="M80" s="53"/>
      <c r="N80" s="53"/>
      <c r="O80" s="53"/>
      <c r="P80" s="53"/>
      <c r="Q80" s="53"/>
      <c r="R80" s="53"/>
      <c r="S80" s="53"/>
      <c r="T80" s="53"/>
      <c r="U80" s="53"/>
      <c r="V80" s="53"/>
      <c r="W80" s="53"/>
      <c r="X80" s="53"/>
      <c r="Y80" s="53"/>
      <c r="Z80" s="53"/>
      <c r="AA80" s="53"/>
    </row>
    <row r="81" spans="8:27">
      <c r="H81" s="53"/>
      <c r="I81" s="53"/>
      <c r="J81" s="53"/>
      <c r="K81" s="53"/>
      <c r="L81" s="53"/>
      <c r="M81" s="53"/>
      <c r="N81" s="53"/>
      <c r="O81" s="53"/>
      <c r="P81" s="53"/>
      <c r="Q81" s="53"/>
      <c r="R81" s="53"/>
      <c r="S81" s="53"/>
      <c r="T81" s="53"/>
      <c r="U81" s="53"/>
      <c r="V81" s="53"/>
      <c r="W81" s="53"/>
      <c r="X81" s="53"/>
      <c r="Y81" s="53"/>
      <c r="Z81" s="53"/>
      <c r="AA81" s="53"/>
    </row>
    <row r="82" spans="8:27">
      <c r="H82" s="53"/>
      <c r="I82" s="53"/>
      <c r="J82" s="53"/>
      <c r="K82" s="53"/>
      <c r="L82" s="53"/>
      <c r="M82" s="53"/>
      <c r="N82" s="53"/>
      <c r="O82" s="53"/>
      <c r="P82" s="53"/>
      <c r="Q82" s="53"/>
      <c r="R82" s="53"/>
      <c r="S82" s="53"/>
      <c r="T82" s="53"/>
      <c r="U82" s="53"/>
      <c r="V82" s="53"/>
      <c r="W82" s="53"/>
      <c r="X82" s="53"/>
      <c r="Y82" s="53"/>
      <c r="Z82" s="53"/>
      <c r="AA82" s="53"/>
    </row>
    <row r="83" spans="8:27">
      <c r="H83" s="53"/>
      <c r="I83" s="53"/>
      <c r="J83" s="53"/>
      <c r="K83" s="53"/>
      <c r="L83" s="53"/>
      <c r="M83" s="53"/>
      <c r="N83" s="53"/>
      <c r="O83" s="53"/>
      <c r="P83" s="53"/>
      <c r="Q83" s="53"/>
      <c r="R83" s="53"/>
      <c r="S83" s="53"/>
      <c r="T83" s="53"/>
      <c r="U83" s="53"/>
      <c r="V83" s="53"/>
      <c r="W83" s="53"/>
      <c r="X83" s="53"/>
      <c r="Y83" s="53"/>
      <c r="Z83" s="53"/>
      <c r="AA83" s="53"/>
    </row>
    <row r="84" spans="8:27">
      <c r="H84" s="53"/>
      <c r="I84" s="53"/>
      <c r="J84" s="53"/>
      <c r="K84" s="53"/>
      <c r="L84" s="53"/>
      <c r="M84" s="53"/>
      <c r="N84" s="53"/>
      <c r="O84" s="53"/>
      <c r="P84" s="53"/>
      <c r="Q84" s="53"/>
      <c r="R84" s="53"/>
      <c r="S84" s="53"/>
      <c r="T84" s="53"/>
      <c r="U84" s="53"/>
      <c r="V84" s="53"/>
      <c r="W84" s="53"/>
      <c r="X84" s="53"/>
      <c r="Y84" s="53"/>
      <c r="Z84" s="53"/>
      <c r="AA84" s="53"/>
    </row>
    <row r="85" spans="8:27">
      <c r="H85" s="53"/>
      <c r="I85" s="53"/>
      <c r="J85" s="53"/>
      <c r="K85" s="53"/>
      <c r="L85" s="53"/>
      <c r="M85" s="53"/>
      <c r="N85" s="53"/>
      <c r="O85" s="53"/>
      <c r="P85" s="53"/>
      <c r="Q85" s="53"/>
      <c r="R85" s="53"/>
      <c r="S85" s="53"/>
      <c r="T85" s="53"/>
      <c r="U85" s="53"/>
      <c r="V85" s="53"/>
      <c r="W85" s="53"/>
      <c r="X85" s="53"/>
      <c r="Y85" s="53"/>
      <c r="Z85" s="53"/>
      <c r="AA85" s="53"/>
    </row>
    <row r="86" spans="8:27">
      <c r="H86" s="53"/>
      <c r="I86" s="53"/>
      <c r="J86" s="53"/>
      <c r="K86" s="53"/>
      <c r="L86" s="53"/>
      <c r="M86" s="53"/>
      <c r="N86" s="53"/>
      <c r="O86" s="53"/>
      <c r="P86" s="53"/>
      <c r="Q86" s="53"/>
      <c r="R86" s="53"/>
      <c r="S86" s="53"/>
      <c r="T86" s="53"/>
      <c r="U86" s="53"/>
      <c r="V86" s="53"/>
      <c r="W86" s="53"/>
      <c r="X86" s="53"/>
      <c r="Y86" s="53"/>
      <c r="Z86" s="53"/>
      <c r="AA86" s="53"/>
    </row>
    <row r="87" spans="8:27">
      <c r="H87" s="53"/>
      <c r="I87" s="53"/>
      <c r="J87" s="53"/>
      <c r="K87" s="53"/>
      <c r="L87" s="53"/>
      <c r="M87" s="53"/>
      <c r="N87" s="53"/>
      <c r="O87" s="53"/>
      <c r="P87" s="53"/>
      <c r="Q87" s="53"/>
      <c r="R87" s="53"/>
      <c r="S87" s="53"/>
      <c r="T87" s="53"/>
      <c r="U87" s="53"/>
      <c r="V87" s="53"/>
      <c r="W87" s="53"/>
      <c r="X87" s="53"/>
      <c r="Y87" s="53"/>
      <c r="Z87" s="53"/>
      <c r="AA87" s="53"/>
    </row>
    <row r="88" spans="8:27">
      <c r="H88" s="53"/>
      <c r="I88" s="53"/>
      <c r="J88" s="53"/>
      <c r="K88" s="53"/>
      <c r="L88" s="53"/>
      <c r="M88" s="53"/>
      <c r="N88" s="53"/>
      <c r="O88" s="53"/>
      <c r="P88" s="53"/>
      <c r="Q88" s="53"/>
      <c r="R88" s="53"/>
      <c r="S88" s="53"/>
      <c r="T88" s="53"/>
      <c r="U88" s="53"/>
      <c r="V88" s="53"/>
      <c r="W88" s="53"/>
      <c r="X88" s="53"/>
      <c r="Y88" s="53"/>
      <c r="Z88" s="53"/>
      <c r="AA88" s="53"/>
    </row>
    <row r="89" spans="8:27">
      <c r="H89" s="53"/>
      <c r="I89" s="53"/>
      <c r="J89" s="53"/>
      <c r="K89" s="53"/>
      <c r="L89" s="53"/>
      <c r="M89" s="53"/>
      <c r="N89" s="53"/>
      <c r="O89" s="53"/>
      <c r="P89" s="53"/>
      <c r="Q89" s="53"/>
      <c r="R89" s="53"/>
      <c r="S89" s="53"/>
      <c r="T89" s="53"/>
      <c r="U89" s="53"/>
      <c r="V89" s="53"/>
      <c r="W89" s="53"/>
      <c r="X89" s="53"/>
      <c r="Y89" s="53"/>
      <c r="Z89" s="53"/>
      <c r="AA89" s="53"/>
    </row>
    <row r="90" spans="8:27">
      <c r="H90" s="53"/>
      <c r="I90" s="53"/>
      <c r="J90" s="53"/>
      <c r="K90" s="53"/>
      <c r="L90" s="53"/>
      <c r="M90" s="53"/>
      <c r="N90" s="53"/>
      <c r="O90" s="53"/>
      <c r="P90" s="53"/>
      <c r="Q90" s="53"/>
      <c r="R90" s="53"/>
      <c r="S90" s="53"/>
      <c r="T90" s="53"/>
      <c r="U90" s="53"/>
      <c r="V90" s="53"/>
      <c r="W90" s="53"/>
      <c r="X90" s="53"/>
      <c r="Y90" s="53"/>
      <c r="Z90" s="53"/>
      <c r="AA90" s="53"/>
    </row>
    <row r="91" spans="8:27">
      <c r="H91" s="53"/>
      <c r="I91" s="53"/>
      <c r="J91" s="53"/>
      <c r="K91" s="53"/>
      <c r="L91" s="53"/>
      <c r="M91" s="53"/>
      <c r="N91" s="53"/>
      <c r="O91" s="53"/>
      <c r="P91" s="53"/>
      <c r="Q91" s="53"/>
      <c r="R91" s="53"/>
      <c r="S91" s="53"/>
      <c r="T91" s="53"/>
      <c r="U91" s="53"/>
      <c r="V91" s="53"/>
      <c r="W91" s="53"/>
      <c r="X91" s="53"/>
      <c r="Y91" s="53"/>
      <c r="Z91" s="53"/>
      <c r="AA91" s="53"/>
    </row>
    <row r="92" spans="8:27">
      <c r="H92" s="53"/>
      <c r="I92" s="53"/>
      <c r="J92" s="53"/>
      <c r="K92" s="53"/>
      <c r="L92" s="53"/>
      <c r="M92" s="53"/>
      <c r="N92" s="53"/>
      <c r="O92" s="53"/>
      <c r="P92" s="53"/>
      <c r="Q92" s="53"/>
      <c r="R92" s="53"/>
      <c r="S92" s="53"/>
      <c r="T92" s="53"/>
      <c r="U92" s="53"/>
      <c r="V92" s="53"/>
      <c r="W92" s="53"/>
      <c r="X92" s="53"/>
      <c r="Y92" s="53"/>
      <c r="Z92" s="53"/>
      <c r="AA92" s="53"/>
    </row>
    <row r="93" spans="8:27">
      <c r="H93" s="53"/>
      <c r="I93" s="53"/>
      <c r="J93" s="53"/>
      <c r="K93" s="53"/>
      <c r="L93" s="53"/>
      <c r="M93" s="53"/>
      <c r="N93" s="53"/>
      <c r="O93" s="53"/>
      <c r="P93" s="53"/>
      <c r="Q93" s="53"/>
      <c r="R93" s="53"/>
      <c r="S93" s="53"/>
      <c r="T93" s="53"/>
      <c r="U93" s="53"/>
      <c r="V93" s="53"/>
      <c r="W93" s="53"/>
      <c r="X93" s="53"/>
      <c r="Y93" s="53"/>
      <c r="Z93" s="53"/>
      <c r="AA93" s="53"/>
    </row>
    <row r="94" spans="8:27">
      <c r="H94" s="53"/>
      <c r="I94" s="53"/>
      <c r="J94" s="53"/>
      <c r="K94" s="53"/>
      <c r="L94" s="53"/>
      <c r="M94" s="53"/>
      <c r="N94" s="53"/>
      <c r="O94" s="53"/>
      <c r="P94" s="53"/>
      <c r="Q94" s="53"/>
      <c r="R94" s="53"/>
      <c r="S94" s="53"/>
      <c r="T94" s="53"/>
      <c r="U94" s="53"/>
      <c r="V94" s="53"/>
      <c r="W94" s="53"/>
      <c r="X94" s="53"/>
      <c r="Y94" s="53"/>
      <c r="Z94" s="53"/>
      <c r="AA94" s="53"/>
    </row>
    <row r="95" spans="8:27">
      <c r="H95" s="53"/>
      <c r="I95" s="53"/>
      <c r="J95" s="53"/>
      <c r="K95" s="53"/>
      <c r="L95" s="53"/>
      <c r="M95" s="53"/>
      <c r="N95" s="53"/>
      <c r="O95" s="53"/>
      <c r="P95" s="53"/>
      <c r="Q95" s="53"/>
      <c r="R95" s="53"/>
      <c r="S95" s="53"/>
      <c r="T95" s="53"/>
      <c r="U95" s="53"/>
      <c r="V95" s="53"/>
      <c r="W95" s="53"/>
      <c r="X95" s="53"/>
      <c r="Y95" s="53"/>
      <c r="Z95" s="53"/>
      <c r="AA95" s="53"/>
    </row>
    <row r="96" spans="8:27">
      <c r="H96" s="53"/>
      <c r="I96" s="53"/>
      <c r="J96" s="53"/>
      <c r="K96" s="53"/>
      <c r="L96" s="53"/>
      <c r="M96" s="53"/>
      <c r="N96" s="53"/>
      <c r="O96" s="53"/>
      <c r="P96" s="53"/>
      <c r="Q96" s="53"/>
      <c r="R96" s="53"/>
      <c r="S96" s="53"/>
      <c r="T96" s="53"/>
      <c r="U96" s="53"/>
      <c r="V96" s="53"/>
      <c r="W96" s="53"/>
      <c r="X96" s="53"/>
      <c r="Y96" s="53"/>
      <c r="Z96" s="53"/>
      <c r="AA96" s="53"/>
    </row>
    <row r="97" spans="8:27">
      <c r="H97" s="53"/>
      <c r="I97" s="53"/>
      <c r="J97" s="53"/>
      <c r="K97" s="53"/>
      <c r="L97" s="53"/>
      <c r="M97" s="53"/>
      <c r="N97" s="53"/>
      <c r="O97" s="53"/>
      <c r="P97" s="53"/>
      <c r="Q97" s="53"/>
      <c r="R97" s="53"/>
      <c r="S97" s="53"/>
      <c r="T97" s="53"/>
      <c r="U97" s="53"/>
      <c r="V97" s="53"/>
      <c r="W97" s="53"/>
      <c r="X97" s="53"/>
      <c r="Y97" s="53"/>
      <c r="Z97" s="53"/>
      <c r="AA97" s="53"/>
    </row>
    <row r="98" spans="8:27">
      <c r="H98" s="53"/>
      <c r="I98" s="53"/>
      <c r="J98" s="53"/>
      <c r="K98" s="53"/>
      <c r="L98" s="53"/>
      <c r="M98" s="53"/>
      <c r="N98" s="53"/>
      <c r="O98" s="53"/>
      <c r="P98" s="53"/>
      <c r="Q98" s="53"/>
      <c r="R98" s="53"/>
      <c r="S98" s="53"/>
      <c r="T98" s="53"/>
      <c r="U98" s="53"/>
      <c r="V98" s="53"/>
      <c r="W98" s="53"/>
      <c r="X98" s="53"/>
      <c r="Y98" s="53"/>
      <c r="Z98" s="53"/>
      <c r="AA98" s="53"/>
    </row>
    <row r="99" spans="8:27">
      <c r="H99" s="53"/>
      <c r="I99" s="53"/>
      <c r="J99" s="53"/>
      <c r="K99" s="53"/>
      <c r="L99" s="53"/>
      <c r="M99" s="53"/>
      <c r="N99" s="53"/>
      <c r="O99" s="53"/>
      <c r="P99" s="53"/>
      <c r="Q99" s="53"/>
      <c r="R99" s="53"/>
      <c r="S99" s="53"/>
      <c r="T99" s="53"/>
      <c r="U99" s="53"/>
      <c r="V99" s="53"/>
      <c r="W99" s="53"/>
      <c r="X99" s="53"/>
      <c r="Y99" s="53"/>
      <c r="Z99" s="53"/>
      <c r="AA99" s="53"/>
    </row>
    <row r="100" spans="8:27">
      <c r="H100" s="53"/>
      <c r="I100" s="53"/>
      <c r="J100" s="53"/>
      <c r="K100" s="53"/>
      <c r="L100" s="53"/>
      <c r="M100" s="53"/>
      <c r="N100" s="53"/>
      <c r="O100" s="53"/>
      <c r="P100" s="53"/>
      <c r="Q100" s="53"/>
      <c r="R100" s="53"/>
      <c r="S100" s="53"/>
      <c r="T100" s="53"/>
      <c r="U100" s="53"/>
      <c r="V100" s="53"/>
      <c r="W100" s="53"/>
      <c r="X100" s="53"/>
      <c r="Y100" s="53"/>
      <c r="Z100" s="53"/>
      <c r="AA100" s="53"/>
    </row>
    <row r="101" spans="8:27">
      <c r="H101" s="53"/>
      <c r="I101" s="53"/>
      <c r="J101" s="53"/>
      <c r="K101" s="53"/>
      <c r="L101" s="53"/>
      <c r="M101" s="53"/>
      <c r="N101" s="53"/>
      <c r="O101" s="53"/>
      <c r="P101" s="53"/>
      <c r="Q101" s="53"/>
      <c r="R101" s="53"/>
      <c r="S101" s="53"/>
      <c r="T101" s="53"/>
      <c r="U101" s="53"/>
      <c r="V101" s="53"/>
      <c r="W101" s="53"/>
      <c r="X101" s="53"/>
      <c r="Y101" s="53"/>
      <c r="Z101" s="53"/>
      <c r="AA101" s="53"/>
    </row>
    <row r="102" spans="8:27">
      <c r="H102" s="53"/>
      <c r="I102" s="53"/>
      <c r="J102" s="53"/>
      <c r="K102" s="53"/>
      <c r="L102" s="53"/>
      <c r="M102" s="53"/>
      <c r="N102" s="53"/>
      <c r="O102" s="53"/>
      <c r="P102" s="53"/>
      <c r="Q102" s="53"/>
      <c r="R102" s="53"/>
      <c r="S102" s="53"/>
      <c r="T102" s="53"/>
      <c r="U102" s="53"/>
      <c r="V102" s="53"/>
      <c r="W102" s="53"/>
      <c r="X102" s="53"/>
      <c r="Y102" s="53"/>
      <c r="Z102" s="53"/>
      <c r="AA102" s="53"/>
    </row>
    <row r="103" spans="8:27">
      <c r="H103" s="53"/>
      <c r="I103" s="53"/>
      <c r="J103" s="53"/>
      <c r="K103" s="53"/>
      <c r="L103" s="53"/>
      <c r="M103" s="53"/>
      <c r="N103" s="53"/>
      <c r="O103" s="53"/>
      <c r="P103" s="53"/>
      <c r="Q103" s="53"/>
      <c r="R103" s="53"/>
      <c r="S103" s="53"/>
      <c r="T103" s="53"/>
      <c r="U103" s="53"/>
      <c r="V103" s="53"/>
      <c r="W103" s="53"/>
      <c r="X103" s="53"/>
      <c r="Y103" s="53"/>
      <c r="Z103" s="53"/>
      <c r="AA103" s="53"/>
    </row>
    <row r="104" spans="8:27">
      <c r="H104" s="53"/>
      <c r="I104" s="53"/>
      <c r="J104" s="53"/>
      <c r="K104" s="53"/>
      <c r="L104" s="53"/>
      <c r="M104" s="53"/>
      <c r="N104" s="53"/>
      <c r="O104" s="53"/>
      <c r="P104" s="53"/>
      <c r="Q104" s="53"/>
      <c r="R104" s="53"/>
      <c r="S104" s="53"/>
      <c r="T104" s="53"/>
      <c r="U104" s="53"/>
      <c r="V104" s="53"/>
      <c r="W104" s="53"/>
      <c r="X104" s="53"/>
      <c r="Y104" s="53"/>
      <c r="Z104" s="53"/>
      <c r="AA104" s="53"/>
    </row>
    <row r="105" spans="8:27">
      <c r="H105" s="53"/>
      <c r="I105" s="53"/>
      <c r="J105" s="53"/>
      <c r="K105" s="53"/>
      <c r="L105" s="53"/>
      <c r="M105" s="53"/>
      <c r="N105" s="53"/>
      <c r="O105" s="53"/>
      <c r="P105" s="53"/>
      <c r="Q105" s="53"/>
      <c r="R105" s="53"/>
      <c r="S105" s="53"/>
      <c r="T105" s="53"/>
      <c r="U105" s="53"/>
      <c r="V105" s="53"/>
      <c r="W105" s="53"/>
      <c r="X105" s="53"/>
      <c r="Y105" s="53"/>
      <c r="Z105" s="53"/>
      <c r="AA105" s="53"/>
    </row>
    <row r="106" spans="8:27">
      <c r="H106" s="53"/>
      <c r="I106" s="53"/>
      <c r="J106" s="53"/>
      <c r="K106" s="53"/>
      <c r="L106" s="53"/>
      <c r="M106" s="53"/>
      <c r="N106" s="53"/>
      <c r="O106" s="53"/>
      <c r="P106" s="53"/>
      <c r="Q106" s="53"/>
      <c r="R106" s="53"/>
      <c r="S106" s="53"/>
      <c r="T106" s="53"/>
      <c r="U106" s="53"/>
      <c r="V106" s="53"/>
      <c r="W106" s="53"/>
      <c r="X106" s="53"/>
      <c r="Y106" s="53"/>
      <c r="Z106" s="53"/>
      <c r="AA106" s="53"/>
    </row>
    <row r="107" spans="8:27">
      <c r="H107" s="53"/>
      <c r="I107" s="53"/>
      <c r="J107" s="53"/>
      <c r="K107" s="53"/>
      <c r="L107" s="53"/>
      <c r="M107" s="53"/>
      <c r="N107" s="53"/>
      <c r="O107" s="53"/>
      <c r="P107" s="53"/>
      <c r="Q107" s="53"/>
      <c r="R107" s="53"/>
      <c r="S107" s="53"/>
      <c r="T107" s="53"/>
      <c r="U107" s="53"/>
      <c r="V107" s="53"/>
      <c r="W107" s="53"/>
      <c r="X107" s="53"/>
      <c r="Y107" s="53"/>
      <c r="Z107" s="53"/>
      <c r="AA107" s="53"/>
    </row>
    <row r="108" spans="8:27">
      <c r="H108" s="53"/>
      <c r="I108" s="53"/>
      <c r="J108" s="53"/>
      <c r="K108" s="53"/>
      <c r="L108" s="53"/>
      <c r="M108" s="53"/>
      <c r="N108" s="53"/>
      <c r="O108" s="53"/>
      <c r="P108" s="53"/>
      <c r="Q108" s="53"/>
      <c r="R108" s="53"/>
      <c r="S108" s="53"/>
      <c r="T108" s="53"/>
      <c r="U108" s="53"/>
      <c r="V108" s="53"/>
      <c r="W108" s="53"/>
      <c r="X108" s="53"/>
      <c r="Y108" s="53"/>
      <c r="Z108" s="53"/>
      <c r="AA108" s="53"/>
    </row>
    <row r="109" spans="8:27">
      <c r="H109" s="53"/>
      <c r="I109" s="53"/>
      <c r="J109" s="53"/>
      <c r="K109" s="53"/>
      <c r="L109" s="53"/>
      <c r="M109" s="53"/>
      <c r="N109" s="53"/>
      <c r="O109" s="53"/>
      <c r="P109" s="53"/>
      <c r="Q109" s="53"/>
      <c r="R109" s="53"/>
      <c r="S109" s="53"/>
      <c r="T109" s="53"/>
      <c r="U109" s="53"/>
      <c r="V109" s="53"/>
      <c r="W109" s="53"/>
      <c r="X109" s="53"/>
      <c r="Y109" s="53"/>
      <c r="Z109" s="53"/>
      <c r="AA109" s="53"/>
    </row>
    <row r="110" spans="8:27">
      <c r="H110" s="53"/>
      <c r="I110" s="53"/>
      <c r="J110" s="53"/>
      <c r="K110" s="53"/>
      <c r="L110" s="53"/>
      <c r="M110" s="53"/>
      <c r="N110" s="53"/>
      <c r="O110" s="53"/>
      <c r="P110" s="53"/>
      <c r="Q110" s="53"/>
      <c r="R110" s="53"/>
      <c r="S110" s="53"/>
      <c r="T110" s="53"/>
      <c r="U110" s="53"/>
      <c r="V110" s="53"/>
      <c r="W110" s="53"/>
      <c r="X110" s="53"/>
      <c r="Y110" s="53"/>
      <c r="Z110" s="53"/>
      <c r="AA110" s="53"/>
    </row>
    <row r="111" spans="8:27">
      <c r="H111" s="53"/>
      <c r="I111" s="53"/>
      <c r="J111" s="53"/>
      <c r="K111" s="53"/>
      <c r="L111" s="53"/>
      <c r="M111" s="53"/>
      <c r="N111" s="53"/>
      <c r="O111" s="53"/>
      <c r="P111" s="53"/>
      <c r="Q111" s="53"/>
      <c r="R111" s="53"/>
      <c r="S111" s="53"/>
      <c r="T111" s="53"/>
      <c r="U111" s="53"/>
      <c r="V111" s="53"/>
      <c r="W111" s="53"/>
      <c r="X111" s="53"/>
      <c r="Y111" s="53"/>
      <c r="Z111" s="53"/>
      <c r="AA111" s="53"/>
    </row>
    <row r="112" spans="8:27">
      <c r="H112" s="53"/>
      <c r="I112" s="53"/>
      <c r="J112" s="53"/>
      <c r="K112" s="53"/>
      <c r="L112" s="53"/>
      <c r="M112" s="53"/>
      <c r="N112" s="53"/>
      <c r="O112" s="53"/>
      <c r="P112" s="53"/>
      <c r="Q112" s="53"/>
      <c r="R112" s="53"/>
      <c r="S112" s="53"/>
      <c r="T112" s="53"/>
      <c r="U112" s="53"/>
      <c r="V112" s="53"/>
      <c r="W112" s="53"/>
      <c r="X112" s="53"/>
      <c r="Y112" s="53"/>
      <c r="Z112" s="53"/>
      <c r="AA112" s="53"/>
    </row>
    <row r="113" spans="8:27">
      <c r="H113" s="53"/>
      <c r="I113" s="53"/>
      <c r="J113" s="53"/>
      <c r="K113" s="53"/>
      <c r="L113" s="53"/>
      <c r="M113" s="53"/>
      <c r="N113" s="53"/>
      <c r="O113" s="53"/>
      <c r="P113" s="53"/>
      <c r="Q113" s="53"/>
      <c r="R113" s="53"/>
      <c r="S113" s="53"/>
      <c r="T113" s="53"/>
      <c r="U113" s="53"/>
      <c r="V113" s="53"/>
      <c r="W113" s="53"/>
      <c r="X113" s="53"/>
      <c r="Y113" s="53"/>
      <c r="Z113" s="53"/>
      <c r="AA113" s="53"/>
    </row>
    <row r="114" spans="8:27">
      <c r="H114" s="53"/>
      <c r="I114" s="53"/>
      <c r="J114" s="53"/>
      <c r="K114" s="53"/>
      <c r="L114" s="53"/>
      <c r="M114" s="53"/>
      <c r="N114" s="53"/>
      <c r="O114" s="53"/>
      <c r="P114" s="53"/>
      <c r="Q114" s="53"/>
      <c r="R114" s="53"/>
      <c r="S114" s="53"/>
      <c r="T114" s="53"/>
      <c r="U114" s="53"/>
      <c r="V114" s="53"/>
      <c r="W114" s="53"/>
      <c r="X114" s="53"/>
      <c r="Y114" s="53"/>
      <c r="Z114" s="53"/>
      <c r="AA114" s="53"/>
    </row>
    <row r="115" spans="8:27">
      <c r="H115" s="53"/>
      <c r="I115" s="53"/>
      <c r="J115" s="53"/>
      <c r="K115" s="53"/>
      <c r="L115" s="53"/>
      <c r="M115" s="53"/>
      <c r="N115" s="53"/>
      <c r="O115" s="53"/>
      <c r="P115" s="53"/>
      <c r="Q115" s="53"/>
      <c r="R115" s="53"/>
      <c r="S115" s="53"/>
      <c r="T115" s="53"/>
      <c r="U115" s="53"/>
      <c r="V115" s="53"/>
      <c r="W115" s="53"/>
      <c r="X115" s="53"/>
      <c r="Y115" s="53"/>
      <c r="Z115" s="53"/>
      <c r="AA115" s="53"/>
    </row>
    <row r="116" spans="8:27">
      <c r="H116" s="53"/>
      <c r="I116" s="53"/>
      <c r="J116" s="53"/>
      <c r="K116" s="53"/>
      <c r="L116" s="53"/>
      <c r="M116" s="53"/>
      <c r="N116" s="53"/>
      <c r="O116" s="53"/>
      <c r="P116" s="53"/>
      <c r="Q116" s="53"/>
      <c r="R116" s="53"/>
      <c r="S116" s="53"/>
      <c r="T116" s="53"/>
      <c r="U116" s="53"/>
      <c r="V116" s="53"/>
      <c r="W116" s="53"/>
      <c r="X116" s="53"/>
      <c r="Y116" s="53"/>
      <c r="Z116" s="53"/>
      <c r="AA116" s="53"/>
    </row>
    <row r="117" spans="8:27">
      <c r="H117" s="53"/>
      <c r="I117" s="53"/>
      <c r="J117" s="53"/>
      <c r="K117" s="53"/>
      <c r="L117" s="53"/>
      <c r="M117" s="53"/>
      <c r="N117" s="53"/>
      <c r="O117" s="53"/>
      <c r="P117" s="53"/>
      <c r="Q117" s="53"/>
      <c r="R117" s="53"/>
      <c r="S117" s="53"/>
      <c r="T117" s="53"/>
      <c r="U117" s="53"/>
      <c r="V117" s="53"/>
      <c r="W117" s="53"/>
      <c r="X117" s="53"/>
      <c r="Y117" s="53"/>
      <c r="Z117" s="53"/>
      <c r="AA117" s="53"/>
    </row>
    <row r="118" spans="8:27">
      <c r="H118" s="53"/>
      <c r="I118" s="53"/>
      <c r="J118" s="53"/>
      <c r="K118" s="53"/>
      <c r="L118" s="53"/>
      <c r="M118" s="53"/>
      <c r="N118" s="53"/>
      <c r="O118" s="53"/>
      <c r="P118" s="53"/>
      <c r="Q118" s="53"/>
      <c r="R118" s="53"/>
      <c r="S118" s="53"/>
      <c r="T118" s="53"/>
      <c r="U118" s="53"/>
      <c r="V118" s="53"/>
      <c r="W118" s="53"/>
      <c r="X118" s="53"/>
      <c r="Y118" s="53"/>
      <c r="Z118" s="53"/>
      <c r="AA118" s="53"/>
    </row>
    <row r="119" spans="8:27">
      <c r="H119" s="53"/>
      <c r="I119" s="53"/>
      <c r="J119" s="53"/>
      <c r="K119" s="53"/>
      <c r="L119" s="53"/>
      <c r="M119" s="53"/>
      <c r="N119" s="53"/>
      <c r="O119" s="53"/>
      <c r="P119" s="53"/>
      <c r="Q119" s="53"/>
      <c r="R119" s="53"/>
      <c r="S119" s="53"/>
      <c r="T119" s="53"/>
      <c r="U119" s="53"/>
      <c r="V119" s="53"/>
      <c r="W119" s="53"/>
      <c r="X119" s="53"/>
      <c r="Y119" s="53"/>
      <c r="Z119" s="53"/>
      <c r="AA119" s="53"/>
    </row>
    <row r="120" spans="8:27">
      <c r="H120" s="53"/>
      <c r="I120" s="53"/>
      <c r="J120" s="53"/>
      <c r="K120" s="53"/>
      <c r="L120" s="53"/>
      <c r="M120" s="53"/>
      <c r="N120" s="53"/>
      <c r="O120" s="53"/>
      <c r="P120" s="53"/>
      <c r="Q120" s="53"/>
      <c r="R120" s="53"/>
      <c r="S120" s="53"/>
      <c r="T120" s="53"/>
      <c r="U120" s="53"/>
      <c r="V120" s="53"/>
      <c r="W120" s="53"/>
      <c r="X120" s="53"/>
      <c r="Y120" s="53"/>
      <c r="Z120" s="53"/>
      <c r="AA120" s="53"/>
    </row>
    <row r="121" spans="8:27">
      <c r="H121" s="53"/>
      <c r="I121" s="53"/>
      <c r="J121" s="53"/>
      <c r="K121" s="53"/>
      <c r="L121" s="53"/>
      <c r="M121" s="53"/>
      <c r="N121" s="53"/>
      <c r="O121" s="53"/>
      <c r="P121" s="53"/>
      <c r="Q121" s="53"/>
      <c r="R121" s="53"/>
      <c r="S121" s="53"/>
      <c r="T121" s="53"/>
      <c r="U121" s="53"/>
      <c r="V121" s="53"/>
      <c r="W121" s="53"/>
      <c r="X121" s="53"/>
      <c r="Y121" s="53"/>
      <c r="Z121" s="53"/>
      <c r="AA121" s="53"/>
    </row>
    <row r="122" spans="8:27">
      <c r="H122" s="53"/>
      <c r="I122" s="53"/>
      <c r="J122" s="53"/>
      <c r="K122" s="53"/>
      <c r="L122" s="53"/>
      <c r="M122" s="53"/>
      <c r="N122" s="53"/>
      <c r="O122" s="53"/>
      <c r="P122" s="53"/>
      <c r="Q122" s="53"/>
      <c r="R122" s="53"/>
      <c r="S122" s="53"/>
      <c r="T122" s="53"/>
      <c r="U122" s="53"/>
      <c r="V122" s="53"/>
      <c r="W122" s="53"/>
      <c r="X122" s="53"/>
      <c r="Y122" s="53"/>
      <c r="Z122" s="53"/>
      <c r="AA122" s="53"/>
    </row>
    <row r="123" spans="8:27">
      <c r="H123" s="53"/>
      <c r="I123" s="53"/>
      <c r="J123" s="53"/>
      <c r="K123" s="53"/>
      <c r="L123" s="53"/>
      <c r="M123" s="53"/>
      <c r="N123" s="53"/>
      <c r="O123" s="53"/>
      <c r="P123" s="53"/>
      <c r="Q123" s="53"/>
      <c r="R123" s="53"/>
      <c r="S123" s="53"/>
      <c r="T123" s="53"/>
      <c r="U123" s="53"/>
      <c r="V123" s="53"/>
      <c r="W123" s="53"/>
      <c r="X123" s="53"/>
      <c r="Y123" s="53"/>
      <c r="Z123" s="53"/>
      <c r="AA123" s="53"/>
    </row>
    <row r="124" spans="8:27">
      <c r="H124" s="53"/>
      <c r="I124" s="53"/>
      <c r="J124" s="53"/>
      <c r="K124" s="53"/>
      <c r="L124" s="53"/>
      <c r="M124" s="53"/>
      <c r="N124" s="53"/>
      <c r="O124" s="53"/>
      <c r="P124" s="53"/>
      <c r="Q124" s="53"/>
      <c r="R124" s="53"/>
      <c r="S124" s="53"/>
      <c r="T124" s="53"/>
      <c r="U124" s="53"/>
      <c r="V124" s="53"/>
      <c r="W124" s="53"/>
      <c r="X124" s="53"/>
      <c r="Y124" s="53"/>
      <c r="Z124" s="53"/>
      <c r="AA124" s="53"/>
    </row>
    <row r="125" spans="8:27">
      <c r="H125" s="53"/>
      <c r="I125" s="53"/>
      <c r="J125" s="53"/>
      <c r="K125" s="53"/>
      <c r="L125" s="53"/>
      <c r="M125" s="53"/>
      <c r="N125" s="53"/>
      <c r="O125" s="53"/>
      <c r="P125" s="53"/>
      <c r="Q125" s="53"/>
      <c r="R125" s="53"/>
      <c r="S125" s="53"/>
      <c r="T125" s="53"/>
      <c r="U125" s="53"/>
      <c r="V125" s="53"/>
      <c r="W125" s="53"/>
      <c r="X125" s="53"/>
      <c r="Y125" s="53"/>
      <c r="Z125" s="53"/>
      <c r="AA125" s="53"/>
    </row>
    <row r="126" spans="8:27">
      <c r="H126" s="53"/>
      <c r="I126" s="53"/>
      <c r="J126" s="53"/>
      <c r="K126" s="53"/>
      <c r="L126" s="53"/>
      <c r="M126" s="53"/>
      <c r="N126" s="53"/>
      <c r="O126" s="53"/>
      <c r="P126" s="53"/>
      <c r="Q126" s="53"/>
      <c r="R126" s="53"/>
      <c r="S126" s="53"/>
      <c r="T126" s="53"/>
      <c r="U126" s="53"/>
      <c r="V126" s="53"/>
      <c r="W126" s="53"/>
      <c r="X126" s="53"/>
      <c r="Y126" s="53"/>
      <c r="Z126" s="53"/>
      <c r="AA126" s="53"/>
    </row>
    <row r="127" spans="8:27">
      <c r="H127" s="53"/>
      <c r="I127" s="53"/>
      <c r="J127" s="53"/>
      <c r="K127" s="53"/>
      <c r="L127" s="53"/>
      <c r="M127" s="53"/>
      <c r="N127" s="53"/>
      <c r="O127" s="53"/>
      <c r="P127" s="53"/>
      <c r="Q127" s="53"/>
      <c r="R127" s="53"/>
      <c r="S127" s="53"/>
      <c r="T127" s="53"/>
      <c r="U127" s="53"/>
      <c r="V127" s="53"/>
      <c r="W127" s="53"/>
      <c r="X127" s="53"/>
      <c r="Y127" s="53"/>
      <c r="Z127" s="53"/>
      <c r="AA127" s="53"/>
    </row>
    <row r="128" spans="8:27">
      <c r="H128" s="53"/>
      <c r="I128" s="53"/>
      <c r="J128" s="53"/>
      <c r="K128" s="53"/>
      <c r="L128" s="53"/>
      <c r="M128" s="53"/>
      <c r="N128" s="53"/>
      <c r="O128" s="53"/>
      <c r="P128" s="53"/>
      <c r="Q128" s="53"/>
      <c r="R128" s="53"/>
      <c r="S128" s="53"/>
      <c r="T128" s="53"/>
      <c r="U128" s="53"/>
      <c r="V128" s="53"/>
      <c r="W128" s="53"/>
      <c r="X128" s="53"/>
      <c r="Y128" s="53"/>
      <c r="Z128" s="53"/>
      <c r="AA128" s="53"/>
    </row>
    <row r="129" spans="8:27">
      <c r="H129" s="53"/>
      <c r="I129" s="53"/>
      <c r="J129" s="53"/>
      <c r="K129" s="53"/>
      <c r="L129" s="53"/>
      <c r="M129" s="53"/>
      <c r="N129" s="53"/>
      <c r="O129" s="53"/>
      <c r="P129" s="53"/>
      <c r="Q129" s="53"/>
      <c r="R129" s="53"/>
      <c r="S129" s="53"/>
      <c r="T129" s="53"/>
      <c r="U129" s="53"/>
      <c r="V129" s="53"/>
      <c r="W129" s="53"/>
      <c r="X129" s="53"/>
      <c r="Y129" s="53"/>
      <c r="Z129" s="53"/>
      <c r="AA129" s="53"/>
    </row>
    <row r="130" spans="8:27">
      <c r="H130" s="53"/>
      <c r="I130" s="53"/>
      <c r="J130" s="53"/>
      <c r="K130" s="53"/>
      <c r="L130" s="53"/>
      <c r="M130" s="53"/>
      <c r="N130" s="53"/>
      <c r="O130" s="53"/>
      <c r="P130" s="53"/>
      <c r="Q130" s="53"/>
      <c r="R130" s="53"/>
      <c r="S130" s="53"/>
      <c r="T130" s="53"/>
      <c r="U130" s="53"/>
      <c r="V130" s="53"/>
      <c r="W130" s="53"/>
      <c r="X130" s="53"/>
      <c r="Y130" s="53"/>
      <c r="Z130" s="53"/>
      <c r="AA130" s="53"/>
    </row>
    <row r="131" spans="8:27">
      <c r="H131" s="53"/>
      <c r="I131" s="53"/>
      <c r="J131" s="53"/>
      <c r="K131" s="53"/>
      <c r="L131" s="53"/>
      <c r="M131" s="53"/>
      <c r="N131" s="53"/>
      <c r="O131" s="53"/>
      <c r="P131" s="53"/>
      <c r="Q131" s="53"/>
      <c r="R131" s="53"/>
      <c r="S131" s="53"/>
      <c r="T131" s="53"/>
      <c r="U131" s="53"/>
      <c r="V131" s="53"/>
      <c r="W131" s="53"/>
      <c r="X131" s="53"/>
      <c r="Y131" s="53"/>
      <c r="Z131" s="53"/>
      <c r="AA131" s="53"/>
    </row>
    <row r="132" spans="8:27">
      <c r="H132" s="53"/>
      <c r="I132" s="53"/>
      <c r="J132" s="53"/>
      <c r="K132" s="53"/>
      <c r="L132" s="53"/>
      <c r="M132" s="53"/>
      <c r="N132" s="53"/>
      <c r="O132" s="53"/>
      <c r="P132" s="53"/>
      <c r="Q132" s="53"/>
      <c r="R132" s="53"/>
      <c r="S132" s="53"/>
      <c r="T132" s="53"/>
      <c r="U132" s="53"/>
      <c r="V132" s="53"/>
      <c r="W132" s="53"/>
      <c r="X132" s="53"/>
      <c r="Y132" s="53"/>
      <c r="Z132" s="53"/>
      <c r="AA132" s="53"/>
    </row>
    <row r="133" spans="8:27">
      <c r="H133" s="53"/>
      <c r="I133" s="53"/>
      <c r="J133" s="53"/>
      <c r="K133" s="53"/>
      <c r="L133" s="53"/>
      <c r="M133" s="53"/>
      <c r="N133" s="53"/>
      <c r="O133" s="53"/>
      <c r="P133" s="53"/>
      <c r="Q133" s="53"/>
      <c r="R133" s="53"/>
      <c r="S133" s="53"/>
      <c r="T133" s="53"/>
      <c r="U133" s="53"/>
      <c r="V133" s="53"/>
      <c r="W133" s="53"/>
      <c r="X133" s="53"/>
      <c r="Y133" s="53"/>
      <c r="Z133" s="53"/>
      <c r="AA133" s="53"/>
    </row>
    <row r="134" spans="8:27">
      <c r="H134" s="53"/>
      <c r="I134" s="53"/>
      <c r="J134" s="53"/>
      <c r="K134" s="53"/>
      <c r="L134" s="53"/>
      <c r="M134" s="53"/>
      <c r="N134" s="53"/>
      <c r="O134" s="53"/>
      <c r="P134" s="53"/>
      <c r="Q134" s="53"/>
      <c r="R134" s="53"/>
      <c r="S134" s="53"/>
      <c r="T134" s="53"/>
      <c r="U134" s="53"/>
      <c r="V134" s="53"/>
      <c r="W134" s="53"/>
      <c r="X134" s="53"/>
      <c r="Y134" s="53"/>
      <c r="Z134" s="53"/>
      <c r="AA134" s="53"/>
    </row>
    <row r="135" spans="8:27">
      <c r="H135" s="53"/>
      <c r="I135" s="53"/>
      <c r="J135" s="53"/>
      <c r="K135" s="53"/>
      <c r="L135" s="53"/>
      <c r="M135" s="53"/>
      <c r="N135" s="53"/>
      <c r="O135" s="53"/>
      <c r="P135" s="53"/>
      <c r="Q135" s="53"/>
      <c r="R135" s="53"/>
      <c r="S135" s="53"/>
      <c r="T135" s="53"/>
      <c r="U135" s="53"/>
      <c r="V135" s="53"/>
      <c r="W135" s="53"/>
      <c r="X135" s="53"/>
      <c r="Y135" s="53"/>
      <c r="Z135" s="53"/>
      <c r="AA135" s="53"/>
    </row>
    <row r="136" spans="8:27">
      <c r="H136" s="53"/>
      <c r="I136" s="53"/>
      <c r="J136" s="53"/>
      <c r="K136" s="53"/>
      <c r="L136" s="53"/>
      <c r="M136" s="53"/>
      <c r="N136" s="53"/>
      <c r="O136" s="53"/>
      <c r="P136" s="53"/>
      <c r="Q136" s="53"/>
      <c r="R136" s="53"/>
      <c r="S136" s="53"/>
      <c r="T136" s="53"/>
      <c r="U136" s="53"/>
      <c r="V136" s="53"/>
      <c r="W136" s="53"/>
      <c r="X136" s="53"/>
      <c r="Y136" s="53"/>
      <c r="Z136" s="53"/>
      <c r="AA136" s="53"/>
    </row>
    <row r="137" spans="8:27">
      <c r="H137" s="53"/>
      <c r="I137" s="53"/>
      <c r="J137" s="53"/>
      <c r="K137" s="53"/>
      <c r="L137" s="53"/>
      <c r="M137" s="53"/>
      <c r="N137" s="53"/>
      <c r="O137" s="53"/>
      <c r="P137" s="53"/>
      <c r="Q137" s="53"/>
      <c r="R137" s="53"/>
      <c r="S137" s="53"/>
      <c r="T137" s="53"/>
      <c r="U137" s="53"/>
      <c r="V137" s="53"/>
      <c r="W137" s="53"/>
      <c r="X137" s="53"/>
      <c r="Y137" s="53"/>
      <c r="Z137" s="53"/>
      <c r="AA137" s="53"/>
    </row>
    <row r="138" spans="8:27">
      <c r="H138" s="53"/>
      <c r="I138" s="53"/>
      <c r="J138" s="53"/>
      <c r="K138" s="53"/>
      <c r="L138" s="53"/>
      <c r="M138" s="53"/>
      <c r="N138" s="53"/>
      <c r="O138" s="53"/>
      <c r="P138" s="53"/>
      <c r="Q138" s="53"/>
      <c r="R138" s="53"/>
      <c r="S138" s="53"/>
      <c r="T138" s="53"/>
      <c r="U138" s="53"/>
      <c r="V138" s="53"/>
      <c r="W138" s="53"/>
      <c r="X138" s="53"/>
      <c r="Y138" s="53"/>
      <c r="Z138" s="53"/>
      <c r="AA138" s="53"/>
    </row>
    <row r="139" spans="8:27">
      <c r="H139" s="53"/>
      <c r="I139" s="53"/>
      <c r="J139" s="53"/>
      <c r="K139" s="53"/>
      <c r="L139" s="53"/>
      <c r="M139" s="53"/>
      <c r="N139" s="53"/>
      <c r="O139" s="53"/>
      <c r="P139" s="53"/>
      <c r="Q139" s="53"/>
      <c r="R139" s="53"/>
      <c r="S139" s="53"/>
      <c r="T139" s="53"/>
      <c r="U139" s="53"/>
      <c r="V139" s="53"/>
      <c r="W139" s="53"/>
      <c r="X139" s="53"/>
      <c r="Y139" s="53"/>
      <c r="Z139" s="53"/>
      <c r="AA139" s="53"/>
    </row>
    <row r="140" spans="8:27">
      <c r="H140" s="53"/>
      <c r="I140" s="53"/>
      <c r="J140" s="53"/>
      <c r="K140" s="53"/>
      <c r="L140" s="53"/>
      <c r="M140" s="53"/>
      <c r="N140" s="53"/>
      <c r="O140" s="53"/>
      <c r="P140" s="53"/>
      <c r="Q140" s="53"/>
      <c r="R140" s="53"/>
      <c r="S140" s="53"/>
      <c r="T140" s="53"/>
      <c r="U140" s="53"/>
      <c r="V140" s="53"/>
      <c r="W140" s="53"/>
      <c r="X140" s="53"/>
      <c r="Y140" s="53"/>
      <c r="Z140" s="53"/>
      <c r="AA140" s="53"/>
    </row>
    <row r="141" spans="8:27">
      <c r="H141" s="53"/>
      <c r="I141" s="53"/>
      <c r="J141" s="53"/>
      <c r="K141" s="53"/>
      <c r="L141" s="53"/>
      <c r="M141" s="53"/>
      <c r="N141" s="53"/>
      <c r="O141" s="53"/>
      <c r="P141" s="53"/>
      <c r="Q141" s="53"/>
      <c r="R141" s="53"/>
      <c r="S141" s="53"/>
      <c r="T141" s="53"/>
      <c r="U141" s="53"/>
      <c r="V141" s="53"/>
      <c r="W141" s="53"/>
      <c r="X141" s="53"/>
      <c r="Y141" s="53"/>
      <c r="Z141" s="53"/>
      <c r="AA141" s="53"/>
    </row>
    <row r="142" spans="8:27">
      <c r="H142" s="53"/>
      <c r="I142" s="53"/>
      <c r="J142" s="53"/>
      <c r="K142" s="53"/>
      <c r="L142" s="53"/>
      <c r="M142" s="53"/>
      <c r="N142" s="53"/>
      <c r="O142" s="53"/>
      <c r="P142" s="53"/>
      <c r="Q142" s="53"/>
      <c r="R142" s="53"/>
      <c r="S142" s="53"/>
      <c r="T142" s="53"/>
      <c r="U142" s="53"/>
      <c r="V142" s="53"/>
      <c r="W142" s="53"/>
      <c r="X142" s="53"/>
      <c r="Y142" s="53"/>
      <c r="Z142" s="53"/>
      <c r="AA142" s="53"/>
    </row>
    <row r="143" spans="8:27">
      <c r="H143" s="53"/>
      <c r="I143" s="53"/>
      <c r="J143" s="53"/>
      <c r="K143" s="53"/>
      <c r="L143" s="53"/>
      <c r="M143" s="53"/>
      <c r="N143" s="53"/>
      <c r="O143" s="53"/>
      <c r="P143" s="53"/>
      <c r="Q143" s="53"/>
      <c r="R143" s="53"/>
      <c r="S143" s="53"/>
      <c r="T143" s="53"/>
      <c r="U143" s="53"/>
      <c r="V143" s="53"/>
      <c r="W143" s="53"/>
      <c r="X143" s="53"/>
      <c r="Y143" s="53"/>
      <c r="Z143" s="53"/>
      <c r="AA143" s="53"/>
    </row>
    <row r="144" spans="8:27">
      <c r="H144" s="53"/>
      <c r="I144" s="53"/>
      <c r="J144" s="53"/>
      <c r="K144" s="53"/>
      <c r="L144" s="53"/>
      <c r="M144" s="53"/>
      <c r="N144" s="53"/>
      <c r="O144" s="53"/>
      <c r="P144" s="53"/>
      <c r="Q144" s="53"/>
      <c r="R144" s="53"/>
      <c r="S144" s="53"/>
      <c r="T144" s="53"/>
      <c r="U144" s="53"/>
      <c r="V144" s="53"/>
      <c r="W144" s="53"/>
      <c r="X144" s="53"/>
      <c r="Y144" s="53"/>
      <c r="Z144" s="53"/>
      <c r="AA144" s="53"/>
    </row>
    <row r="145" spans="8:27">
      <c r="H145" s="53"/>
      <c r="I145" s="53"/>
      <c r="J145" s="53"/>
      <c r="K145" s="53"/>
      <c r="L145" s="53"/>
      <c r="M145" s="53"/>
      <c r="N145" s="53"/>
      <c r="O145" s="53"/>
      <c r="P145" s="53"/>
      <c r="Q145" s="53"/>
      <c r="R145" s="53"/>
      <c r="S145" s="53"/>
      <c r="T145" s="53"/>
      <c r="U145" s="53"/>
      <c r="V145" s="53"/>
      <c r="W145" s="53"/>
      <c r="X145" s="53"/>
      <c r="Y145" s="53"/>
      <c r="Z145" s="53"/>
      <c r="AA145" s="53"/>
    </row>
    <row r="146" spans="8:27">
      <c r="H146" s="53"/>
      <c r="I146" s="53"/>
      <c r="J146" s="53"/>
      <c r="K146" s="53"/>
      <c r="L146" s="53"/>
      <c r="M146" s="53"/>
      <c r="N146" s="53"/>
      <c r="O146" s="53"/>
      <c r="P146" s="53"/>
      <c r="Q146" s="53"/>
      <c r="R146" s="53"/>
      <c r="S146" s="53"/>
      <c r="T146" s="53"/>
      <c r="U146" s="53"/>
      <c r="V146" s="53"/>
      <c r="W146" s="53"/>
      <c r="X146" s="53"/>
      <c r="Y146" s="53"/>
      <c r="Z146" s="53"/>
      <c r="AA146" s="53"/>
    </row>
    <row r="147" spans="8:27">
      <c r="H147" s="53"/>
      <c r="I147" s="53"/>
      <c r="J147" s="53"/>
      <c r="K147" s="53"/>
      <c r="L147" s="53"/>
      <c r="M147" s="53"/>
      <c r="N147" s="53"/>
      <c r="O147" s="53"/>
      <c r="P147" s="53"/>
      <c r="Q147" s="53"/>
      <c r="R147" s="53"/>
      <c r="S147" s="53"/>
      <c r="T147" s="53"/>
      <c r="U147" s="53"/>
      <c r="V147" s="53"/>
      <c r="W147" s="53"/>
      <c r="X147" s="53"/>
      <c r="Y147" s="53"/>
      <c r="Z147" s="53"/>
      <c r="AA147" s="53"/>
    </row>
    <row r="148" spans="8:27">
      <c r="H148" s="53"/>
      <c r="I148" s="53"/>
      <c r="J148" s="53"/>
      <c r="K148" s="53"/>
      <c r="L148" s="53"/>
      <c r="M148" s="53"/>
      <c r="N148" s="53"/>
      <c r="O148" s="53"/>
      <c r="P148" s="53"/>
      <c r="Q148" s="53"/>
      <c r="R148" s="53"/>
      <c r="S148" s="53"/>
      <c r="T148" s="53"/>
      <c r="U148" s="53"/>
      <c r="V148" s="53"/>
      <c r="W148" s="53"/>
      <c r="X148" s="53"/>
      <c r="Y148" s="53"/>
      <c r="Z148" s="53"/>
      <c r="AA148" s="53"/>
    </row>
    <row r="149" spans="8:27">
      <c r="H149" s="53"/>
      <c r="I149" s="53"/>
      <c r="J149" s="53"/>
      <c r="K149" s="53"/>
      <c r="L149" s="53"/>
      <c r="M149" s="53"/>
      <c r="N149" s="53"/>
      <c r="O149" s="53"/>
      <c r="P149" s="53"/>
      <c r="Q149" s="53"/>
      <c r="R149" s="53"/>
      <c r="S149" s="53"/>
      <c r="T149" s="53"/>
      <c r="U149" s="53"/>
      <c r="V149" s="53"/>
      <c r="W149" s="53"/>
      <c r="X149" s="53"/>
      <c r="Y149" s="53"/>
      <c r="Z149" s="53"/>
      <c r="AA149" s="53"/>
    </row>
    <row r="150" spans="8:27">
      <c r="H150" s="53"/>
      <c r="I150" s="53"/>
      <c r="J150" s="53"/>
      <c r="K150" s="53"/>
      <c r="L150" s="53"/>
      <c r="M150" s="53"/>
      <c r="N150" s="53"/>
      <c r="O150" s="53"/>
      <c r="P150" s="53"/>
      <c r="Q150" s="53"/>
      <c r="R150" s="53"/>
      <c r="S150" s="53"/>
      <c r="T150" s="53"/>
      <c r="U150" s="53"/>
      <c r="V150" s="53"/>
      <c r="W150" s="53"/>
      <c r="X150" s="53"/>
      <c r="Y150" s="53"/>
      <c r="Z150" s="53"/>
      <c r="AA150" s="53"/>
    </row>
    <row r="151" spans="8:27">
      <c r="H151" s="53"/>
      <c r="I151" s="53"/>
      <c r="J151" s="53"/>
      <c r="K151" s="53"/>
      <c r="L151" s="53"/>
      <c r="M151" s="53"/>
      <c r="N151" s="53"/>
      <c r="O151" s="53"/>
      <c r="P151" s="53"/>
      <c r="Q151" s="53"/>
      <c r="R151" s="53"/>
      <c r="S151" s="53"/>
      <c r="T151" s="53"/>
      <c r="U151" s="53"/>
      <c r="V151" s="53"/>
      <c r="W151" s="53"/>
      <c r="X151" s="53"/>
      <c r="Y151" s="53"/>
      <c r="Z151" s="53"/>
      <c r="AA151" s="53"/>
    </row>
    <row r="152" spans="8:27">
      <c r="H152" s="53"/>
      <c r="I152" s="53"/>
      <c r="J152" s="53"/>
      <c r="K152" s="53"/>
      <c r="L152" s="53"/>
      <c r="M152" s="53"/>
      <c r="N152" s="53"/>
      <c r="O152" s="53"/>
      <c r="P152" s="53"/>
      <c r="Q152" s="53"/>
      <c r="R152" s="53"/>
      <c r="S152" s="53"/>
      <c r="T152" s="53"/>
      <c r="U152" s="53"/>
      <c r="V152" s="53"/>
      <c r="W152" s="53"/>
      <c r="X152" s="53"/>
      <c r="Y152" s="53"/>
      <c r="Z152" s="53"/>
      <c r="AA152" s="53"/>
    </row>
    <row r="153" spans="8:27">
      <c r="H153" s="53"/>
      <c r="I153" s="53"/>
      <c r="J153" s="53"/>
      <c r="K153" s="53"/>
      <c r="L153" s="53"/>
      <c r="M153" s="53"/>
      <c r="N153" s="53"/>
      <c r="O153" s="53"/>
      <c r="P153" s="53"/>
      <c r="Q153" s="53"/>
      <c r="R153" s="53"/>
      <c r="S153" s="53"/>
      <c r="T153" s="53"/>
      <c r="U153" s="53"/>
      <c r="V153" s="53"/>
      <c r="W153" s="53"/>
      <c r="X153" s="53"/>
      <c r="Y153" s="53"/>
      <c r="Z153" s="53"/>
      <c r="AA153" s="53"/>
    </row>
    <row r="154" spans="8:27">
      <c r="H154" s="53"/>
      <c r="I154" s="53"/>
      <c r="J154" s="53"/>
      <c r="K154" s="53"/>
      <c r="L154" s="53"/>
      <c r="M154" s="53"/>
      <c r="N154" s="53"/>
      <c r="O154" s="53"/>
      <c r="P154" s="53"/>
      <c r="Q154" s="53"/>
      <c r="R154" s="53"/>
      <c r="S154" s="53"/>
      <c r="T154" s="53"/>
      <c r="U154" s="53"/>
      <c r="V154" s="53"/>
      <c r="W154" s="53"/>
      <c r="X154" s="53"/>
      <c r="Y154" s="53"/>
      <c r="Z154" s="53"/>
      <c r="AA154" s="53"/>
    </row>
    <row r="155" spans="8:27">
      <c r="H155" s="53"/>
      <c r="I155" s="53"/>
      <c r="J155" s="53"/>
      <c r="K155" s="53"/>
      <c r="L155" s="53"/>
      <c r="M155" s="53"/>
      <c r="N155" s="53"/>
      <c r="O155" s="53"/>
      <c r="P155" s="53"/>
      <c r="Q155" s="53"/>
      <c r="R155" s="53"/>
      <c r="S155" s="53"/>
      <c r="T155" s="53"/>
      <c r="U155" s="53"/>
      <c r="V155" s="53"/>
      <c r="W155" s="53"/>
      <c r="X155" s="53"/>
      <c r="Y155" s="53"/>
      <c r="Z155" s="53"/>
      <c r="AA155" s="53"/>
    </row>
    <row r="156" spans="8:27">
      <c r="H156" s="53"/>
      <c r="I156" s="53"/>
      <c r="J156" s="53"/>
      <c r="K156" s="53"/>
      <c r="L156" s="53"/>
      <c r="M156" s="53"/>
      <c r="N156" s="53"/>
      <c r="O156" s="53"/>
      <c r="P156" s="53"/>
      <c r="Q156" s="53"/>
      <c r="R156" s="53"/>
      <c r="S156" s="53"/>
      <c r="T156" s="53"/>
      <c r="U156" s="53"/>
      <c r="V156" s="53"/>
      <c r="W156" s="53"/>
      <c r="X156" s="53"/>
      <c r="Y156" s="53"/>
      <c r="Z156" s="53"/>
      <c r="AA156" s="53"/>
    </row>
    <row r="157" spans="8:27">
      <c r="H157" s="53"/>
      <c r="I157" s="53"/>
      <c r="J157" s="53"/>
      <c r="K157" s="53"/>
      <c r="L157" s="53"/>
      <c r="M157" s="53"/>
      <c r="N157" s="53"/>
      <c r="O157" s="53"/>
      <c r="P157" s="53"/>
      <c r="Q157" s="53"/>
      <c r="R157" s="53"/>
      <c r="S157" s="53"/>
      <c r="T157" s="53"/>
      <c r="U157" s="53"/>
      <c r="V157" s="53"/>
      <c r="W157" s="53"/>
      <c r="X157" s="53"/>
      <c r="Y157" s="53"/>
      <c r="Z157" s="53"/>
      <c r="AA157" s="53"/>
    </row>
    <row r="158" spans="8:27">
      <c r="H158" s="53"/>
      <c r="I158" s="53"/>
      <c r="J158" s="53"/>
      <c r="K158" s="53"/>
      <c r="L158" s="53"/>
      <c r="M158" s="53"/>
      <c r="N158" s="53"/>
      <c r="O158" s="53"/>
      <c r="P158" s="53"/>
      <c r="Q158" s="53"/>
      <c r="R158" s="53"/>
      <c r="S158" s="53"/>
      <c r="T158" s="53"/>
      <c r="U158" s="53"/>
      <c r="V158" s="53"/>
      <c r="W158" s="53"/>
      <c r="X158" s="53"/>
      <c r="Y158" s="53"/>
      <c r="Z158" s="53"/>
      <c r="AA158" s="53"/>
    </row>
    <row r="159" spans="8:27">
      <c r="H159" s="53"/>
      <c r="I159" s="53"/>
      <c r="J159" s="53"/>
      <c r="K159" s="53"/>
      <c r="L159" s="53"/>
      <c r="M159" s="53"/>
      <c r="N159" s="53"/>
      <c r="O159" s="53"/>
      <c r="P159" s="53"/>
      <c r="Q159" s="53"/>
      <c r="R159" s="53"/>
      <c r="S159" s="53"/>
      <c r="T159" s="53"/>
      <c r="U159" s="53"/>
      <c r="V159" s="53"/>
      <c r="W159" s="53"/>
      <c r="X159" s="53"/>
      <c r="Y159" s="53"/>
      <c r="Z159" s="53"/>
      <c r="AA159" s="53"/>
    </row>
    <row r="160" spans="8:27">
      <c r="H160" s="53"/>
      <c r="I160" s="53"/>
      <c r="J160" s="53"/>
      <c r="K160" s="53"/>
      <c r="L160" s="53"/>
      <c r="M160" s="53"/>
      <c r="N160" s="53"/>
      <c r="O160" s="53"/>
      <c r="P160" s="53"/>
      <c r="Q160" s="53"/>
      <c r="R160" s="53"/>
      <c r="S160" s="53"/>
      <c r="T160" s="53"/>
      <c r="U160" s="53"/>
      <c r="V160" s="53"/>
      <c r="W160" s="53"/>
      <c r="X160" s="53"/>
      <c r="Y160" s="53"/>
      <c r="Z160" s="53"/>
      <c r="AA160" s="53"/>
    </row>
    <row r="161" spans="8:27">
      <c r="H161" s="53"/>
      <c r="I161" s="53"/>
      <c r="J161" s="53"/>
      <c r="K161" s="53"/>
      <c r="L161" s="53"/>
      <c r="M161" s="53"/>
      <c r="N161" s="53"/>
      <c r="O161" s="53"/>
      <c r="P161" s="53"/>
      <c r="Q161" s="53"/>
      <c r="R161" s="53"/>
      <c r="S161" s="53"/>
      <c r="T161" s="53"/>
      <c r="U161" s="53"/>
      <c r="V161" s="53"/>
      <c r="W161" s="53"/>
      <c r="X161" s="53"/>
      <c r="Y161" s="53"/>
      <c r="Z161" s="53"/>
      <c r="AA161" s="53"/>
    </row>
    <row r="162" spans="8:27">
      <c r="H162" s="53"/>
      <c r="I162" s="53"/>
      <c r="J162" s="53"/>
      <c r="K162" s="53"/>
      <c r="L162" s="53"/>
      <c r="M162" s="53"/>
      <c r="N162" s="53"/>
      <c r="O162" s="53"/>
      <c r="P162" s="53"/>
      <c r="Q162" s="53"/>
      <c r="R162" s="53"/>
      <c r="S162" s="53"/>
      <c r="T162" s="53"/>
      <c r="U162" s="53"/>
      <c r="V162" s="53"/>
      <c r="W162" s="53"/>
      <c r="X162" s="53"/>
      <c r="Y162" s="53"/>
      <c r="Z162" s="53"/>
      <c r="AA162" s="53"/>
    </row>
    <row r="163" spans="8:27">
      <c r="H163" s="53"/>
      <c r="I163" s="53"/>
      <c r="J163" s="53"/>
      <c r="K163" s="53"/>
      <c r="L163" s="53"/>
      <c r="M163" s="53"/>
      <c r="N163" s="53"/>
      <c r="O163" s="53"/>
      <c r="P163" s="53"/>
      <c r="Q163" s="53"/>
      <c r="R163" s="53"/>
      <c r="S163" s="53"/>
      <c r="T163" s="53"/>
      <c r="U163" s="53"/>
      <c r="V163" s="53"/>
      <c r="W163" s="53"/>
      <c r="X163" s="53"/>
      <c r="Y163" s="53"/>
      <c r="Z163" s="53"/>
      <c r="AA163" s="53"/>
    </row>
    <row r="164" spans="8:27">
      <c r="H164" s="53"/>
      <c r="I164" s="53"/>
      <c r="J164" s="53"/>
      <c r="K164" s="53"/>
      <c r="L164" s="53"/>
      <c r="M164" s="53"/>
      <c r="N164" s="53"/>
      <c r="O164" s="53"/>
      <c r="P164" s="53"/>
      <c r="Q164" s="53"/>
      <c r="R164" s="53"/>
      <c r="S164" s="53"/>
      <c r="T164" s="53"/>
      <c r="U164" s="53"/>
      <c r="V164" s="53"/>
      <c r="W164" s="53"/>
      <c r="X164" s="53"/>
      <c r="Y164" s="53"/>
      <c r="Z164" s="53"/>
      <c r="AA164" s="53"/>
    </row>
    <row r="165" spans="8:27">
      <c r="H165" s="53"/>
      <c r="I165" s="53"/>
      <c r="J165" s="53"/>
      <c r="K165" s="53"/>
      <c r="L165" s="53"/>
      <c r="M165" s="53"/>
      <c r="N165" s="53"/>
      <c r="O165" s="53"/>
      <c r="P165" s="53"/>
      <c r="Q165" s="53"/>
      <c r="R165" s="53"/>
      <c r="S165" s="53"/>
      <c r="T165" s="53"/>
      <c r="U165" s="53"/>
      <c r="V165" s="53"/>
      <c r="W165" s="53"/>
      <c r="X165" s="53"/>
      <c r="Y165" s="53"/>
      <c r="Z165" s="53"/>
      <c r="AA165" s="53"/>
    </row>
    <row r="166" spans="8:27">
      <c r="H166" s="53"/>
      <c r="I166" s="53"/>
      <c r="J166" s="53"/>
      <c r="K166" s="53"/>
      <c r="L166" s="53"/>
      <c r="M166" s="53"/>
      <c r="N166" s="53"/>
      <c r="O166" s="53"/>
      <c r="P166" s="53"/>
      <c r="Q166" s="53"/>
      <c r="R166" s="53"/>
      <c r="S166" s="53"/>
      <c r="T166" s="53"/>
      <c r="U166" s="53"/>
      <c r="V166" s="53"/>
      <c r="W166" s="53"/>
      <c r="X166" s="53"/>
      <c r="Y166" s="53"/>
      <c r="Z166" s="53"/>
      <c r="AA166" s="53"/>
    </row>
    <row r="167" spans="8:27">
      <c r="H167" s="53"/>
      <c r="I167" s="53"/>
      <c r="J167" s="53"/>
      <c r="K167" s="53"/>
      <c r="L167" s="53"/>
      <c r="M167" s="53"/>
      <c r="N167" s="53"/>
      <c r="O167" s="53"/>
      <c r="P167" s="53"/>
      <c r="Q167" s="53"/>
      <c r="R167" s="53"/>
      <c r="S167" s="53"/>
      <c r="T167" s="53"/>
      <c r="U167" s="53"/>
      <c r="V167" s="53"/>
      <c r="W167" s="53"/>
      <c r="X167" s="53"/>
      <c r="Y167" s="53"/>
      <c r="Z167" s="53"/>
      <c r="AA167" s="53"/>
    </row>
    <row r="168" spans="8:27">
      <c r="H168" s="53"/>
      <c r="I168" s="53"/>
      <c r="J168" s="53"/>
      <c r="K168" s="53"/>
      <c r="L168" s="53"/>
      <c r="M168" s="53"/>
      <c r="N168" s="53"/>
      <c r="O168" s="53"/>
      <c r="P168" s="53"/>
      <c r="Q168" s="53"/>
      <c r="R168" s="53"/>
      <c r="S168" s="53"/>
      <c r="T168" s="53"/>
      <c r="U168" s="53"/>
      <c r="V168" s="53"/>
      <c r="W168" s="53"/>
      <c r="X168" s="53"/>
      <c r="Y168" s="53"/>
      <c r="Z168" s="53"/>
      <c r="AA168" s="53"/>
    </row>
    <row r="169" spans="8:27">
      <c r="H169" s="53"/>
      <c r="I169" s="53"/>
      <c r="J169" s="53"/>
      <c r="K169" s="53"/>
      <c r="L169" s="53"/>
      <c r="M169" s="53"/>
      <c r="N169" s="53"/>
      <c r="O169" s="53"/>
      <c r="P169" s="53"/>
      <c r="Q169" s="53"/>
      <c r="R169" s="53"/>
      <c r="S169" s="53"/>
      <c r="T169" s="53"/>
      <c r="U169" s="53"/>
      <c r="V169" s="53"/>
      <c r="W169" s="53"/>
      <c r="X169" s="53"/>
      <c r="Y169" s="53"/>
      <c r="Z169" s="53"/>
      <c r="AA169" s="53"/>
    </row>
    <row r="170" spans="8:27">
      <c r="H170" s="53"/>
      <c r="I170" s="53"/>
      <c r="J170" s="53"/>
      <c r="K170" s="53"/>
      <c r="L170" s="53"/>
      <c r="M170" s="53"/>
      <c r="N170" s="53"/>
      <c r="O170" s="53"/>
      <c r="P170" s="53"/>
      <c r="Q170" s="53"/>
      <c r="R170" s="53"/>
      <c r="S170" s="53"/>
      <c r="T170" s="53"/>
      <c r="U170" s="53"/>
      <c r="V170" s="53"/>
      <c r="W170" s="53"/>
      <c r="X170" s="53"/>
      <c r="Y170" s="53"/>
      <c r="Z170" s="53"/>
      <c r="AA170" s="53"/>
    </row>
    <row r="171" spans="8:27">
      <c r="H171" s="53"/>
      <c r="I171" s="53"/>
      <c r="J171" s="53"/>
      <c r="K171" s="53"/>
      <c r="L171" s="53"/>
      <c r="M171" s="53"/>
      <c r="N171" s="53"/>
      <c r="O171" s="53"/>
      <c r="P171" s="53"/>
      <c r="Q171" s="53"/>
      <c r="R171" s="53"/>
      <c r="S171" s="53"/>
      <c r="T171" s="53"/>
      <c r="U171" s="53"/>
      <c r="V171" s="53"/>
      <c r="W171" s="53"/>
      <c r="X171" s="53"/>
      <c r="Y171" s="53"/>
      <c r="Z171" s="53"/>
      <c r="AA171" s="53"/>
    </row>
    <row r="172" spans="8:27">
      <c r="H172" s="53"/>
      <c r="I172" s="53"/>
      <c r="J172" s="53"/>
      <c r="K172" s="53"/>
      <c r="L172" s="53"/>
      <c r="M172" s="53"/>
      <c r="N172" s="53"/>
      <c r="O172" s="53"/>
      <c r="P172" s="53"/>
      <c r="Q172" s="53"/>
      <c r="R172" s="53"/>
      <c r="S172" s="53"/>
      <c r="T172" s="53"/>
      <c r="U172" s="53"/>
      <c r="V172" s="53"/>
      <c r="W172" s="53"/>
      <c r="X172" s="53"/>
      <c r="Y172" s="53"/>
      <c r="Z172" s="53"/>
      <c r="AA172" s="53"/>
    </row>
    <row r="173" spans="8:27">
      <c r="H173" s="53"/>
      <c r="I173" s="53"/>
      <c r="J173" s="53"/>
      <c r="K173" s="53"/>
      <c r="L173" s="53"/>
      <c r="M173" s="53"/>
      <c r="N173" s="53"/>
      <c r="O173" s="53"/>
      <c r="P173" s="53"/>
      <c r="Q173" s="53"/>
      <c r="R173" s="53"/>
      <c r="S173" s="53"/>
      <c r="T173" s="53"/>
      <c r="U173" s="53"/>
      <c r="V173" s="53"/>
      <c r="W173" s="53"/>
      <c r="X173" s="53"/>
      <c r="Y173" s="53"/>
      <c r="Z173" s="53"/>
      <c r="AA173" s="53"/>
    </row>
    <row r="174" spans="8:27">
      <c r="H174" s="53"/>
      <c r="I174" s="53"/>
      <c r="J174" s="53"/>
      <c r="K174" s="53"/>
      <c r="L174" s="53"/>
      <c r="M174" s="53"/>
      <c r="N174" s="53"/>
      <c r="O174" s="53"/>
      <c r="P174" s="53"/>
      <c r="Q174" s="53"/>
      <c r="R174" s="53"/>
      <c r="S174" s="53"/>
      <c r="T174" s="53"/>
      <c r="U174" s="53"/>
      <c r="V174" s="53"/>
      <c r="W174" s="53"/>
      <c r="X174" s="53"/>
      <c r="Y174" s="53"/>
      <c r="Z174" s="53"/>
      <c r="AA174" s="53"/>
    </row>
    <row r="175" spans="8:27">
      <c r="H175" s="53"/>
      <c r="I175" s="53"/>
      <c r="J175" s="53"/>
      <c r="K175" s="53"/>
      <c r="L175" s="53"/>
      <c r="M175" s="53"/>
      <c r="N175" s="53"/>
      <c r="O175" s="53"/>
      <c r="P175" s="53"/>
      <c r="Q175" s="53"/>
      <c r="R175" s="53"/>
      <c r="S175" s="53"/>
      <c r="T175" s="53"/>
      <c r="U175" s="53"/>
      <c r="V175" s="53"/>
      <c r="W175" s="53"/>
      <c r="X175" s="53"/>
      <c r="Y175" s="53"/>
      <c r="Z175" s="53"/>
      <c r="AA175" s="53"/>
    </row>
    <row r="176" spans="8:27">
      <c r="H176" s="53"/>
      <c r="I176" s="53"/>
      <c r="J176" s="53"/>
      <c r="K176" s="53"/>
      <c r="L176" s="53"/>
      <c r="M176" s="53"/>
      <c r="N176" s="53"/>
      <c r="O176" s="53"/>
      <c r="P176" s="53"/>
      <c r="Q176" s="53"/>
      <c r="R176" s="53"/>
      <c r="S176" s="53"/>
      <c r="T176" s="53"/>
      <c r="U176" s="53"/>
      <c r="V176" s="53"/>
      <c r="W176" s="53"/>
      <c r="X176" s="53"/>
      <c r="Y176" s="53"/>
      <c r="Z176" s="53"/>
      <c r="AA176" s="53"/>
    </row>
    <row r="177" spans="8:27">
      <c r="H177" s="53"/>
      <c r="I177" s="53"/>
      <c r="J177" s="53"/>
      <c r="K177" s="53"/>
      <c r="L177" s="53"/>
      <c r="M177" s="53"/>
      <c r="N177" s="53"/>
      <c r="O177" s="53"/>
      <c r="P177" s="53"/>
      <c r="Q177" s="53"/>
      <c r="R177" s="53"/>
      <c r="S177" s="53"/>
      <c r="T177" s="53"/>
      <c r="U177" s="53"/>
      <c r="V177" s="53"/>
      <c r="W177" s="53"/>
      <c r="X177" s="53"/>
      <c r="Y177" s="53"/>
      <c r="Z177" s="53"/>
      <c r="AA177" s="53"/>
    </row>
    <row r="178" spans="8:27">
      <c r="H178" s="53"/>
      <c r="I178" s="53"/>
      <c r="J178" s="53"/>
      <c r="K178" s="53"/>
      <c r="L178" s="53"/>
      <c r="M178" s="53"/>
      <c r="N178" s="53"/>
      <c r="O178" s="53"/>
      <c r="P178" s="53"/>
      <c r="Q178" s="53"/>
      <c r="R178" s="53"/>
      <c r="S178" s="53"/>
      <c r="T178" s="53"/>
      <c r="U178" s="53"/>
      <c r="V178" s="53"/>
      <c r="W178" s="53"/>
      <c r="X178" s="53"/>
      <c r="Y178" s="53"/>
      <c r="Z178" s="53"/>
      <c r="AA178" s="53"/>
    </row>
    <row r="179" spans="8:27">
      <c r="H179" s="53"/>
      <c r="I179" s="53"/>
      <c r="J179" s="53"/>
      <c r="K179" s="53"/>
      <c r="L179" s="53"/>
      <c r="M179" s="53"/>
      <c r="N179" s="53"/>
      <c r="O179" s="53"/>
      <c r="P179" s="53"/>
      <c r="Q179" s="53"/>
      <c r="R179" s="53"/>
      <c r="S179" s="53"/>
      <c r="T179" s="53"/>
      <c r="U179" s="53"/>
      <c r="V179" s="53"/>
      <c r="W179" s="53"/>
      <c r="X179" s="53"/>
      <c r="Y179" s="53"/>
      <c r="Z179" s="53"/>
      <c r="AA179" s="53"/>
    </row>
    <row r="180" spans="8:27">
      <c r="H180" s="53"/>
      <c r="I180" s="53"/>
      <c r="J180" s="53"/>
      <c r="K180" s="53"/>
      <c r="L180" s="53"/>
      <c r="M180" s="53"/>
      <c r="N180" s="53"/>
      <c r="O180" s="53"/>
      <c r="P180" s="53"/>
      <c r="Q180" s="53"/>
      <c r="R180" s="53"/>
      <c r="S180" s="53"/>
      <c r="T180" s="53"/>
      <c r="U180" s="53"/>
      <c r="V180" s="53"/>
      <c r="W180" s="53"/>
      <c r="X180" s="53"/>
      <c r="Y180" s="53"/>
      <c r="Z180" s="53"/>
      <c r="AA180" s="53"/>
    </row>
    <row r="181" spans="8:27">
      <c r="H181" s="53"/>
      <c r="I181" s="53"/>
      <c r="J181" s="53"/>
      <c r="K181" s="53"/>
      <c r="L181" s="53"/>
      <c r="M181" s="53"/>
      <c r="N181" s="53"/>
      <c r="O181" s="53"/>
      <c r="P181" s="53"/>
      <c r="Q181" s="53"/>
      <c r="R181" s="53"/>
      <c r="S181" s="53"/>
      <c r="T181" s="53"/>
      <c r="U181" s="53"/>
      <c r="V181" s="53"/>
      <c r="W181" s="53"/>
      <c r="X181" s="53"/>
      <c r="Y181" s="53"/>
      <c r="Z181" s="53"/>
      <c r="AA181" s="53"/>
    </row>
    <row r="182" spans="8:27">
      <c r="H182" s="53"/>
      <c r="I182" s="53"/>
      <c r="J182" s="53"/>
      <c r="K182" s="53"/>
      <c r="L182" s="53"/>
      <c r="M182" s="53"/>
      <c r="N182" s="53"/>
      <c r="O182" s="53"/>
      <c r="P182" s="53"/>
      <c r="Q182" s="53"/>
      <c r="R182" s="53"/>
      <c r="S182" s="53"/>
      <c r="T182" s="53"/>
      <c r="U182" s="53"/>
      <c r="V182" s="53"/>
      <c r="W182" s="53"/>
      <c r="X182" s="53"/>
      <c r="Y182" s="53"/>
      <c r="Z182" s="53"/>
      <c r="AA182" s="53"/>
    </row>
    <row r="183" spans="8:27">
      <c r="H183" s="53"/>
      <c r="I183" s="53"/>
      <c r="J183" s="53"/>
      <c r="K183" s="53"/>
      <c r="L183" s="53"/>
      <c r="M183" s="53"/>
      <c r="N183" s="53"/>
      <c r="O183" s="53"/>
      <c r="P183" s="53"/>
      <c r="Q183" s="53"/>
      <c r="R183" s="53"/>
      <c r="S183" s="53"/>
      <c r="T183" s="53"/>
      <c r="U183" s="53"/>
      <c r="V183" s="53"/>
      <c r="W183" s="53"/>
      <c r="X183" s="53"/>
      <c r="Y183" s="53"/>
      <c r="Z183" s="53"/>
      <c r="AA183" s="53"/>
    </row>
    <row r="184" spans="8:27">
      <c r="H184" s="53"/>
      <c r="I184" s="53"/>
      <c r="J184" s="53"/>
      <c r="K184" s="53"/>
      <c r="L184" s="53"/>
      <c r="M184" s="53"/>
      <c r="N184" s="53"/>
      <c r="O184" s="53"/>
      <c r="P184" s="53"/>
      <c r="Q184" s="53"/>
      <c r="R184" s="53"/>
      <c r="S184" s="53"/>
      <c r="T184" s="53"/>
      <c r="U184" s="53"/>
      <c r="V184" s="53"/>
      <c r="W184" s="53"/>
      <c r="X184" s="53"/>
      <c r="Y184" s="53"/>
      <c r="Z184" s="53"/>
      <c r="AA184" s="53"/>
    </row>
    <row r="185" spans="8:27">
      <c r="H185" s="53"/>
      <c r="I185" s="53"/>
      <c r="J185" s="53"/>
      <c r="K185" s="53"/>
      <c r="L185" s="53"/>
      <c r="M185" s="53"/>
      <c r="N185" s="53"/>
      <c r="O185" s="53"/>
      <c r="P185" s="53"/>
      <c r="Q185" s="53"/>
      <c r="R185" s="53"/>
      <c r="S185" s="53"/>
      <c r="T185" s="53"/>
      <c r="U185" s="53"/>
      <c r="V185" s="53"/>
      <c r="W185" s="53"/>
      <c r="X185" s="53"/>
      <c r="Y185" s="53"/>
      <c r="Z185" s="53"/>
      <c r="AA185" s="53"/>
    </row>
    <row r="186" spans="8:27">
      <c r="H186" s="53"/>
      <c r="I186" s="53"/>
      <c r="J186" s="53"/>
      <c r="K186" s="53"/>
      <c r="L186" s="53"/>
      <c r="M186" s="53"/>
      <c r="N186" s="53"/>
      <c r="O186" s="53"/>
      <c r="P186" s="53"/>
      <c r="Q186" s="53"/>
      <c r="R186" s="53"/>
      <c r="S186" s="53"/>
      <c r="T186" s="53"/>
      <c r="U186" s="53"/>
      <c r="V186" s="53"/>
      <c r="W186" s="53"/>
      <c r="X186" s="53"/>
      <c r="Y186" s="53"/>
      <c r="Z186" s="53"/>
      <c r="AA186" s="53"/>
    </row>
    <row r="187" spans="8:27">
      <c r="H187" s="53"/>
      <c r="I187" s="53"/>
      <c r="J187" s="53"/>
      <c r="K187" s="53"/>
      <c r="L187" s="53"/>
      <c r="M187" s="53"/>
      <c r="N187" s="53"/>
      <c r="O187" s="53"/>
      <c r="P187" s="53"/>
      <c r="Q187" s="53"/>
      <c r="R187" s="53"/>
      <c r="S187" s="53"/>
      <c r="T187" s="53"/>
      <c r="U187" s="53"/>
      <c r="V187" s="53"/>
      <c r="W187" s="53"/>
      <c r="X187" s="53"/>
      <c r="Y187" s="53"/>
      <c r="Z187" s="53"/>
      <c r="AA187" s="53"/>
    </row>
    <row r="188" spans="8:27">
      <c r="H188" s="53"/>
      <c r="I188" s="53"/>
      <c r="J188" s="53"/>
      <c r="K188" s="53"/>
      <c r="L188" s="53"/>
      <c r="M188" s="53"/>
      <c r="N188" s="53"/>
      <c r="O188" s="53"/>
      <c r="P188" s="53"/>
      <c r="Q188" s="53"/>
      <c r="R188" s="53"/>
      <c r="S188" s="53"/>
      <c r="T188" s="53"/>
      <c r="U188" s="53"/>
      <c r="V188" s="53"/>
      <c r="W188" s="53"/>
      <c r="X188" s="53"/>
      <c r="Y188" s="53"/>
      <c r="Z188" s="53"/>
      <c r="AA188" s="53"/>
    </row>
    <row r="189" spans="8:27">
      <c r="H189" s="53"/>
      <c r="I189" s="53"/>
      <c r="J189" s="53"/>
      <c r="K189" s="53"/>
      <c r="L189" s="53"/>
      <c r="M189" s="53"/>
      <c r="N189" s="53"/>
      <c r="O189" s="53"/>
      <c r="P189" s="53"/>
      <c r="Q189" s="53"/>
      <c r="R189" s="53"/>
      <c r="S189" s="53"/>
      <c r="T189" s="53"/>
      <c r="U189" s="53"/>
      <c r="V189" s="53"/>
      <c r="W189" s="53"/>
      <c r="X189" s="53"/>
      <c r="Y189" s="53"/>
      <c r="Z189" s="53"/>
      <c r="AA189" s="53"/>
    </row>
    <row r="190" spans="8:27">
      <c r="H190" s="53"/>
      <c r="I190" s="53"/>
      <c r="J190" s="53"/>
      <c r="K190" s="53"/>
      <c r="L190" s="53"/>
      <c r="M190" s="53"/>
      <c r="N190" s="53"/>
      <c r="O190" s="53"/>
      <c r="P190" s="53"/>
      <c r="Q190" s="53"/>
      <c r="R190" s="53"/>
      <c r="S190" s="53"/>
      <c r="T190" s="53"/>
      <c r="U190" s="53"/>
      <c r="V190" s="53"/>
      <c r="W190" s="53"/>
      <c r="X190" s="53"/>
      <c r="Y190" s="53"/>
      <c r="Z190" s="53"/>
      <c r="AA190" s="53"/>
    </row>
    <row r="191" spans="8:27">
      <c r="H191" s="53"/>
      <c r="I191" s="53"/>
      <c r="J191" s="53"/>
      <c r="K191" s="53"/>
      <c r="L191" s="53"/>
      <c r="M191" s="53"/>
      <c r="N191" s="53"/>
      <c r="O191" s="53"/>
      <c r="P191" s="53"/>
      <c r="Q191" s="53"/>
      <c r="R191" s="53"/>
      <c r="S191" s="53"/>
      <c r="T191" s="53"/>
      <c r="U191" s="53"/>
      <c r="V191" s="53"/>
      <c r="W191" s="53"/>
      <c r="X191" s="53"/>
      <c r="Y191" s="53"/>
      <c r="Z191" s="53"/>
      <c r="AA191" s="53"/>
    </row>
    <row r="192" spans="8:27">
      <c r="H192" s="53"/>
      <c r="I192" s="53"/>
      <c r="J192" s="53"/>
      <c r="K192" s="53"/>
      <c r="L192" s="53"/>
      <c r="M192" s="53"/>
      <c r="N192" s="53"/>
      <c r="O192" s="53"/>
      <c r="P192" s="53"/>
      <c r="Q192" s="53"/>
      <c r="R192" s="53"/>
      <c r="S192" s="53"/>
      <c r="T192" s="53"/>
      <c r="U192" s="53"/>
      <c r="V192" s="53"/>
      <c r="W192" s="53"/>
      <c r="X192" s="53"/>
      <c r="Y192" s="53"/>
      <c r="Z192" s="53"/>
      <c r="AA192" s="53"/>
    </row>
    <row r="193" spans="8:27">
      <c r="H193" s="53"/>
      <c r="I193" s="53"/>
      <c r="J193" s="53"/>
      <c r="K193" s="53"/>
      <c r="L193" s="53"/>
      <c r="M193" s="53"/>
      <c r="N193" s="53"/>
      <c r="O193" s="53"/>
      <c r="P193" s="53"/>
      <c r="Q193" s="53"/>
      <c r="R193" s="53"/>
      <c r="S193" s="53"/>
      <c r="T193" s="53"/>
      <c r="U193" s="53"/>
      <c r="V193" s="53"/>
      <c r="W193" s="53"/>
      <c r="X193" s="53"/>
      <c r="Y193" s="53"/>
      <c r="Z193" s="53"/>
      <c r="AA193" s="53"/>
    </row>
    <row r="194" spans="8:27">
      <c r="H194" s="53"/>
      <c r="I194" s="53"/>
      <c r="J194" s="53"/>
      <c r="K194" s="53"/>
      <c r="L194" s="53"/>
      <c r="M194" s="53"/>
      <c r="N194" s="53"/>
      <c r="O194" s="53"/>
      <c r="P194" s="53"/>
      <c r="Q194" s="53"/>
      <c r="R194" s="53"/>
      <c r="S194" s="53"/>
      <c r="T194" s="53"/>
      <c r="U194" s="53"/>
      <c r="V194" s="53"/>
      <c r="W194" s="53"/>
      <c r="X194" s="53"/>
      <c r="Y194" s="53"/>
      <c r="Z194" s="53"/>
      <c r="AA194" s="53"/>
    </row>
    <row r="195" spans="8:27">
      <c r="H195" s="53"/>
      <c r="I195" s="53"/>
      <c r="J195" s="53"/>
      <c r="K195" s="53"/>
      <c r="L195" s="53"/>
      <c r="M195" s="53"/>
      <c r="N195" s="53"/>
      <c r="O195" s="53"/>
      <c r="P195" s="53"/>
      <c r="Q195" s="53"/>
      <c r="R195" s="53"/>
      <c r="S195" s="53"/>
      <c r="T195" s="53"/>
      <c r="U195" s="53"/>
      <c r="V195" s="53"/>
      <c r="W195" s="53"/>
      <c r="X195" s="53"/>
      <c r="Y195" s="53"/>
      <c r="Z195" s="53"/>
      <c r="AA195" s="53"/>
    </row>
    <row r="196" spans="8:27">
      <c r="H196" s="53"/>
      <c r="I196" s="53"/>
      <c r="J196" s="53"/>
      <c r="K196" s="53"/>
      <c r="L196" s="53"/>
      <c r="M196" s="53"/>
      <c r="N196" s="53"/>
      <c r="O196" s="53"/>
      <c r="P196" s="53"/>
      <c r="Q196" s="53"/>
      <c r="R196" s="53"/>
      <c r="S196" s="53"/>
      <c r="T196" s="53"/>
      <c r="U196" s="53"/>
      <c r="V196" s="53"/>
      <c r="W196" s="53"/>
      <c r="X196" s="53"/>
      <c r="Y196" s="53"/>
      <c r="Z196" s="53"/>
      <c r="AA196" s="53"/>
    </row>
    <row r="197" spans="8:27">
      <c r="H197" s="53"/>
      <c r="I197" s="53"/>
      <c r="J197" s="53"/>
      <c r="K197" s="53"/>
      <c r="L197" s="53"/>
      <c r="M197" s="53"/>
      <c r="N197" s="53"/>
      <c r="O197" s="53"/>
      <c r="P197" s="53"/>
      <c r="Q197" s="53"/>
      <c r="R197" s="53"/>
      <c r="S197" s="53"/>
      <c r="T197" s="53"/>
      <c r="U197" s="53"/>
      <c r="V197" s="53"/>
      <c r="W197" s="53"/>
      <c r="X197" s="53"/>
      <c r="Y197" s="53"/>
      <c r="Z197" s="53"/>
      <c r="AA197" s="53"/>
    </row>
    <row r="198" spans="8:27">
      <c r="H198" s="53"/>
      <c r="I198" s="53"/>
      <c r="J198" s="53"/>
      <c r="K198" s="53"/>
      <c r="L198" s="53"/>
      <c r="M198" s="53"/>
      <c r="N198" s="53"/>
      <c r="O198" s="53"/>
      <c r="P198" s="53"/>
      <c r="Q198" s="53"/>
      <c r="R198" s="53"/>
      <c r="S198" s="53"/>
      <c r="T198" s="53"/>
      <c r="U198" s="53"/>
      <c r="V198" s="53"/>
      <c r="W198" s="53"/>
      <c r="X198" s="53"/>
      <c r="Y198" s="53"/>
      <c r="Z198" s="53"/>
      <c r="AA198" s="53"/>
    </row>
    <row r="199" spans="8:27">
      <c r="H199" s="53"/>
      <c r="I199" s="53"/>
      <c r="J199" s="53"/>
      <c r="K199" s="53"/>
      <c r="L199" s="53"/>
      <c r="M199" s="53"/>
      <c r="N199" s="53"/>
      <c r="O199" s="53"/>
      <c r="P199" s="53"/>
      <c r="Q199" s="53"/>
      <c r="R199" s="53"/>
      <c r="S199" s="53"/>
      <c r="T199" s="53"/>
      <c r="U199" s="53"/>
      <c r="V199" s="53"/>
      <c r="W199" s="53"/>
      <c r="X199" s="53"/>
      <c r="Y199" s="53"/>
      <c r="Z199" s="53"/>
      <c r="AA199" s="53"/>
    </row>
    <row r="200" spans="8:27">
      <c r="H200" s="53"/>
      <c r="I200" s="53"/>
      <c r="J200" s="53"/>
      <c r="K200" s="53"/>
      <c r="L200" s="53"/>
      <c r="M200" s="53"/>
      <c r="N200" s="53"/>
      <c r="O200" s="53"/>
      <c r="P200" s="53"/>
      <c r="Q200" s="53"/>
      <c r="R200" s="53"/>
      <c r="S200" s="53"/>
      <c r="T200" s="53"/>
      <c r="U200" s="53"/>
      <c r="V200" s="53"/>
      <c r="W200" s="53"/>
      <c r="X200" s="53"/>
      <c r="Y200" s="53"/>
      <c r="Z200" s="53"/>
      <c r="AA200" s="53"/>
    </row>
    <row r="201" spans="8:27">
      <c r="H201" s="53"/>
      <c r="I201" s="53"/>
      <c r="J201" s="53"/>
      <c r="K201" s="53"/>
      <c r="L201" s="53"/>
      <c r="M201" s="53"/>
      <c r="N201" s="53"/>
      <c r="O201" s="53"/>
      <c r="P201" s="53"/>
      <c r="Q201" s="53"/>
      <c r="R201" s="53"/>
      <c r="S201" s="53"/>
      <c r="T201" s="53"/>
      <c r="U201" s="53"/>
      <c r="V201" s="53"/>
      <c r="W201" s="53"/>
      <c r="X201" s="53"/>
      <c r="Y201" s="53"/>
      <c r="Z201" s="53"/>
      <c r="AA201" s="53"/>
    </row>
    <row r="202" spans="8:27">
      <c r="H202" s="53"/>
      <c r="I202" s="53"/>
      <c r="J202" s="53"/>
      <c r="K202" s="53"/>
      <c r="L202" s="53"/>
      <c r="M202" s="53"/>
      <c r="N202" s="53"/>
      <c r="O202" s="53"/>
      <c r="P202" s="53"/>
      <c r="Q202" s="53"/>
      <c r="R202" s="53"/>
      <c r="S202" s="53"/>
      <c r="T202" s="53"/>
      <c r="U202" s="53"/>
      <c r="V202" s="53"/>
      <c r="W202" s="53"/>
      <c r="X202" s="53"/>
      <c r="Y202" s="53"/>
      <c r="Z202" s="53"/>
      <c r="AA202" s="53"/>
    </row>
    <row r="203" spans="8:27">
      <c r="H203" s="53"/>
      <c r="I203" s="53"/>
      <c r="J203" s="53"/>
      <c r="K203" s="53"/>
      <c r="L203" s="53"/>
      <c r="M203" s="53"/>
      <c r="N203" s="53"/>
      <c r="O203" s="53"/>
      <c r="P203" s="53"/>
      <c r="Q203" s="53"/>
      <c r="R203" s="53"/>
      <c r="S203" s="53"/>
      <c r="T203" s="53"/>
      <c r="U203" s="53"/>
      <c r="V203" s="53"/>
      <c r="W203" s="53"/>
      <c r="X203" s="53"/>
      <c r="Y203" s="53"/>
      <c r="Z203" s="53"/>
      <c r="AA203" s="53"/>
    </row>
    <row r="204" spans="8:27">
      <c r="H204" s="53"/>
      <c r="I204" s="53"/>
      <c r="J204" s="53"/>
      <c r="K204" s="53"/>
      <c r="L204" s="53"/>
      <c r="M204" s="53"/>
      <c r="N204" s="53"/>
      <c r="O204" s="53"/>
      <c r="P204" s="53"/>
      <c r="Q204" s="53"/>
      <c r="R204" s="53"/>
      <c r="S204" s="53"/>
      <c r="T204" s="53"/>
      <c r="U204" s="53"/>
      <c r="V204" s="53"/>
      <c r="W204" s="53"/>
      <c r="X204" s="53"/>
      <c r="Y204" s="53"/>
      <c r="Z204" s="53"/>
      <c r="AA204" s="53"/>
    </row>
    <row r="205" spans="8:27">
      <c r="H205" s="53"/>
      <c r="I205" s="53"/>
      <c r="J205" s="53"/>
      <c r="K205" s="53"/>
      <c r="L205" s="53"/>
      <c r="M205" s="53"/>
      <c r="N205" s="53"/>
      <c r="O205" s="53"/>
      <c r="P205" s="53"/>
      <c r="Q205" s="53"/>
      <c r="R205" s="53"/>
      <c r="S205" s="53"/>
      <c r="T205" s="53"/>
      <c r="U205" s="53"/>
      <c r="V205" s="53"/>
      <c r="W205" s="53"/>
      <c r="X205" s="53"/>
      <c r="Y205" s="53"/>
      <c r="Z205" s="53"/>
      <c r="AA205" s="53"/>
    </row>
    <row r="206" spans="8:27">
      <c r="H206" s="53"/>
      <c r="I206" s="53"/>
      <c r="J206" s="53"/>
      <c r="K206" s="53"/>
      <c r="L206" s="53"/>
      <c r="M206" s="53"/>
      <c r="N206" s="53"/>
      <c r="O206" s="53"/>
      <c r="P206" s="53"/>
      <c r="Q206" s="53"/>
      <c r="R206" s="53"/>
      <c r="S206" s="53"/>
      <c r="T206" s="53"/>
      <c r="U206" s="53"/>
      <c r="V206" s="53"/>
      <c r="W206" s="53"/>
      <c r="X206" s="53"/>
      <c r="Y206" s="53"/>
      <c r="Z206" s="53"/>
      <c r="AA206" s="53"/>
    </row>
    <row r="207" spans="8:27">
      <c r="H207" s="53"/>
      <c r="I207" s="53"/>
      <c r="J207" s="53"/>
      <c r="K207" s="53"/>
      <c r="L207" s="53"/>
      <c r="M207" s="53"/>
      <c r="N207" s="53"/>
      <c r="O207" s="53"/>
      <c r="P207" s="53"/>
      <c r="Q207" s="53"/>
      <c r="R207" s="53"/>
      <c r="S207" s="53"/>
      <c r="T207" s="53"/>
      <c r="U207" s="53"/>
      <c r="V207" s="53"/>
      <c r="W207" s="53"/>
      <c r="X207" s="53"/>
      <c r="Y207" s="53"/>
      <c r="Z207" s="53"/>
      <c r="AA207" s="53"/>
    </row>
    <row r="208" spans="8:27">
      <c r="H208" s="53"/>
      <c r="I208" s="53"/>
      <c r="J208" s="53"/>
      <c r="K208" s="53"/>
      <c r="L208" s="53"/>
      <c r="M208" s="53"/>
      <c r="N208" s="53"/>
      <c r="O208" s="53"/>
      <c r="P208" s="53"/>
      <c r="Q208" s="53"/>
      <c r="R208" s="53"/>
      <c r="S208" s="53"/>
      <c r="T208" s="53"/>
      <c r="U208" s="53"/>
      <c r="V208" s="53"/>
      <c r="W208" s="53"/>
      <c r="X208" s="53"/>
      <c r="Y208" s="53"/>
      <c r="Z208" s="53"/>
      <c r="AA208" s="53"/>
    </row>
    <row r="209" spans="8:27">
      <c r="H209" s="53"/>
      <c r="I209" s="53"/>
      <c r="J209" s="53"/>
      <c r="K209" s="53"/>
      <c r="L209" s="53"/>
      <c r="M209" s="53"/>
      <c r="N209" s="53"/>
      <c r="O209" s="53"/>
      <c r="P209" s="53"/>
      <c r="Q209" s="53"/>
      <c r="R209" s="53"/>
      <c r="S209" s="53"/>
      <c r="T209" s="53"/>
      <c r="U209" s="53"/>
      <c r="V209" s="53"/>
      <c r="W209" s="53"/>
      <c r="X209" s="53"/>
      <c r="Y209" s="53"/>
      <c r="Z209" s="53"/>
      <c r="AA209" s="53"/>
    </row>
    <row r="210" spans="8:27">
      <c r="H210" s="53"/>
      <c r="I210" s="53"/>
      <c r="J210" s="53"/>
      <c r="K210" s="53"/>
      <c r="L210" s="53"/>
      <c r="M210" s="53"/>
      <c r="N210" s="53"/>
      <c r="O210" s="53"/>
      <c r="P210" s="53"/>
      <c r="Q210" s="53"/>
      <c r="R210" s="53"/>
      <c r="S210" s="53"/>
      <c r="T210" s="53"/>
      <c r="U210" s="53"/>
      <c r="V210" s="53"/>
      <c r="W210" s="53"/>
      <c r="X210" s="53"/>
      <c r="Y210" s="53"/>
      <c r="Z210" s="53"/>
      <c r="AA210" s="53"/>
    </row>
    <row r="211" spans="8:27">
      <c r="H211" s="53"/>
      <c r="I211" s="53"/>
      <c r="J211" s="53"/>
      <c r="K211" s="53"/>
      <c r="L211" s="53"/>
      <c r="M211" s="53"/>
      <c r="N211" s="53"/>
      <c r="O211" s="53"/>
      <c r="P211" s="53"/>
      <c r="Q211" s="53"/>
      <c r="R211" s="53"/>
      <c r="S211" s="53"/>
      <c r="T211" s="53"/>
      <c r="U211" s="53"/>
      <c r="V211" s="53"/>
      <c r="W211" s="53"/>
      <c r="X211" s="53"/>
      <c r="Y211" s="53"/>
      <c r="Z211" s="53"/>
      <c r="AA211" s="53"/>
    </row>
    <row r="212" spans="8:27">
      <c r="H212" s="53"/>
      <c r="I212" s="53"/>
      <c r="J212" s="53"/>
      <c r="K212" s="53"/>
      <c r="L212" s="53"/>
      <c r="M212" s="53"/>
      <c r="N212" s="53"/>
      <c r="O212" s="53"/>
      <c r="P212" s="53"/>
      <c r="Q212" s="53"/>
      <c r="R212" s="53"/>
      <c r="S212" s="53"/>
      <c r="T212" s="53"/>
      <c r="U212" s="53"/>
      <c r="V212" s="53"/>
      <c r="W212" s="53"/>
      <c r="X212" s="53"/>
      <c r="Y212" s="53"/>
      <c r="Z212" s="53"/>
      <c r="AA212" s="53"/>
    </row>
    <row r="213" spans="8:27">
      <c r="H213" s="53"/>
      <c r="I213" s="53"/>
      <c r="J213" s="53"/>
      <c r="K213" s="53"/>
      <c r="L213" s="53"/>
      <c r="M213" s="53"/>
      <c r="N213" s="53"/>
      <c r="O213" s="53"/>
      <c r="P213" s="53"/>
      <c r="Q213" s="53"/>
      <c r="R213" s="53"/>
      <c r="S213" s="53"/>
      <c r="T213" s="53"/>
      <c r="U213" s="53"/>
      <c r="V213" s="53"/>
      <c r="W213" s="53"/>
      <c r="X213" s="53"/>
      <c r="Y213" s="53"/>
      <c r="Z213" s="53"/>
      <c r="AA213" s="53"/>
    </row>
    <row r="214" spans="8:27">
      <c r="H214" s="53"/>
      <c r="I214" s="53"/>
      <c r="J214" s="53"/>
      <c r="K214" s="53"/>
      <c r="L214" s="53"/>
      <c r="M214" s="53"/>
      <c r="N214" s="53"/>
      <c r="O214" s="53"/>
      <c r="P214" s="53"/>
      <c r="Q214" s="53"/>
      <c r="R214" s="53"/>
      <c r="S214" s="53"/>
      <c r="T214" s="53"/>
      <c r="U214" s="53"/>
      <c r="V214" s="53"/>
      <c r="W214" s="53"/>
      <c r="X214" s="53"/>
      <c r="Y214" s="53"/>
      <c r="Z214" s="53"/>
      <c r="AA214" s="53"/>
    </row>
    <row r="215" spans="8:27">
      <c r="H215" s="53"/>
      <c r="I215" s="53"/>
      <c r="J215" s="53"/>
      <c r="K215" s="53"/>
      <c r="L215" s="53"/>
      <c r="M215" s="53"/>
      <c r="N215" s="53"/>
      <c r="O215" s="53"/>
      <c r="P215" s="53"/>
      <c r="Q215" s="53"/>
      <c r="R215" s="53"/>
      <c r="S215" s="53"/>
      <c r="T215" s="53"/>
      <c r="U215" s="53"/>
      <c r="V215" s="53"/>
      <c r="W215" s="53"/>
      <c r="X215" s="53"/>
      <c r="Y215" s="53"/>
      <c r="Z215" s="53"/>
      <c r="AA215" s="53"/>
    </row>
    <row r="216" spans="8:27">
      <c r="H216" s="53"/>
      <c r="I216" s="53"/>
      <c r="J216" s="53"/>
      <c r="K216" s="53"/>
      <c r="L216" s="53"/>
      <c r="M216" s="53"/>
      <c r="N216" s="53"/>
      <c r="O216" s="53"/>
      <c r="P216" s="53"/>
      <c r="Q216" s="53"/>
      <c r="R216" s="53"/>
      <c r="S216" s="53"/>
      <c r="T216" s="53"/>
      <c r="U216" s="53"/>
      <c r="V216" s="53"/>
      <c r="W216" s="53"/>
      <c r="X216" s="53"/>
      <c r="Y216" s="53"/>
      <c r="Z216" s="53"/>
      <c r="AA216" s="53"/>
    </row>
    <row r="217" spans="8:27">
      <c r="H217" s="53"/>
      <c r="I217" s="53"/>
      <c r="J217" s="53"/>
      <c r="K217" s="53"/>
      <c r="L217" s="53"/>
      <c r="M217" s="53"/>
      <c r="N217" s="53"/>
      <c r="O217" s="53"/>
      <c r="P217" s="53"/>
      <c r="Q217" s="53"/>
      <c r="R217" s="53"/>
      <c r="S217" s="53"/>
      <c r="T217" s="53"/>
      <c r="U217" s="53"/>
      <c r="V217" s="53"/>
      <c r="W217" s="53"/>
      <c r="X217" s="53"/>
      <c r="Y217" s="53"/>
      <c r="Z217" s="53"/>
      <c r="AA217" s="53"/>
    </row>
    <row r="218" spans="8:27">
      <c r="H218" s="53"/>
      <c r="I218" s="53"/>
      <c r="J218" s="53"/>
      <c r="K218" s="53"/>
      <c r="L218" s="53"/>
      <c r="M218" s="53"/>
      <c r="N218" s="53"/>
      <c r="O218" s="53"/>
      <c r="P218" s="53"/>
      <c r="Q218" s="53"/>
      <c r="R218" s="53"/>
      <c r="S218" s="53"/>
      <c r="T218" s="53"/>
      <c r="U218" s="53"/>
      <c r="V218" s="53"/>
      <c r="W218" s="53"/>
      <c r="X218" s="53"/>
      <c r="Y218" s="53"/>
      <c r="Z218" s="53"/>
      <c r="AA218" s="53"/>
    </row>
    <row r="219" spans="8:27">
      <c r="H219" s="53"/>
      <c r="I219" s="53"/>
      <c r="J219" s="53"/>
      <c r="K219" s="53"/>
      <c r="L219" s="53"/>
      <c r="M219" s="53"/>
      <c r="N219" s="53"/>
      <c r="O219" s="53"/>
      <c r="P219" s="53"/>
      <c r="Q219" s="53"/>
      <c r="R219" s="53"/>
      <c r="S219" s="53"/>
      <c r="T219" s="53"/>
      <c r="U219" s="53"/>
      <c r="V219" s="53"/>
      <c r="W219" s="53"/>
      <c r="X219" s="53"/>
      <c r="Y219" s="53"/>
      <c r="Z219" s="53"/>
      <c r="AA219" s="53"/>
    </row>
    <row r="220" spans="8:27">
      <c r="H220" s="53"/>
      <c r="I220" s="53"/>
      <c r="J220" s="53"/>
      <c r="K220" s="53"/>
      <c r="L220" s="53"/>
      <c r="M220" s="53"/>
      <c r="N220" s="53"/>
      <c r="O220" s="53"/>
      <c r="P220" s="53"/>
      <c r="Q220" s="53"/>
      <c r="R220" s="53"/>
      <c r="S220" s="53"/>
      <c r="T220" s="53"/>
      <c r="U220" s="53"/>
      <c r="V220" s="53"/>
      <c r="W220" s="53"/>
      <c r="X220" s="53"/>
      <c r="Y220" s="53"/>
      <c r="Z220" s="53"/>
      <c r="AA220" s="53"/>
    </row>
    <row r="221" spans="8:27">
      <c r="H221" s="53"/>
      <c r="I221" s="53"/>
      <c r="J221" s="53"/>
      <c r="K221" s="53"/>
      <c r="L221" s="53"/>
      <c r="M221" s="53"/>
      <c r="N221" s="53"/>
      <c r="O221" s="53"/>
      <c r="P221" s="53"/>
      <c r="Q221" s="53"/>
      <c r="R221" s="53"/>
      <c r="S221" s="53"/>
      <c r="T221" s="53"/>
      <c r="U221" s="53"/>
      <c r="V221" s="53"/>
      <c r="W221" s="53"/>
      <c r="X221" s="53"/>
      <c r="Y221" s="53"/>
      <c r="Z221" s="53"/>
      <c r="AA221" s="53"/>
    </row>
    <row r="222" spans="8:27">
      <c r="H222" s="53"/>
      <c r="I222" s="53"/>
      <c r="J222" s="53"/>
      <c r="K222" s="53"/>
      <c r="L222" s="53"/>
      <c r="M222" s="53"/>
      <c r="N222" s="53"/>
      <c r="O222" s="53"/>
      <c r="P222" s="53"/>
      <c r="Q222" s="53"/>
      <c r="R222" s="53"/>
      <c r="S222" s="53"/>
      <c r="T222" s="53"/>
      <c r="U222" s="53"/>
      <c r="V222" s="53"/>
      <c r="W222" s="53"/>
      <c r="X222" s="53"/>
      <c r="Y222" s="53"/>
      <c r="Z222" s="53"/>
      <c r="AA222" s="53"/>
    </row>
    <row r="223" spans="8:27">
      <c r="H223" s="53"/>
      <c r="I223" s="53"/>
      <c r="J223" s="53"/>
      <c r="K223" s="53"/>
      <c r="L223" s="53"/>
      <c r="M223" s="53"/>
      <c r="N223" s="53"/>
      <c r="O223" s="53"/>
      <c r="P223" s="53"/>
      <c r="Q223" s="53"/>
      <c r="R223" s="53"/>
      <c r="S223" s="53"/>
      <c r="T223" s="53"/>
      <c r="U223" s="53"/>
      <c r="V223" s="53"/>
      <c r="W223" s="53"/>
      <c r="X223" s="53"/>
      <c r="Y223" s="53"/>
      <c r="Z223" s="53"/>
      <c r="AA223" s="53"/>
    </row>
    <row r="224" spans="8:27">
      <c r="H224" s="53"/>
      <c r="I224" s="53"/>
      <c r="J224" s="53"/>
      <c r="K224" s="53"/>
      <c r="L224" s="53"/>
      <c r="M224" s="53"/>
      <c r="N224" s="53"/>
      <c r="O224" s="53"/>
      <c r="P224" s="53"/>
      <c r="Q224" s="53"/>
      <c r="R224" s="53"/>
      <c r="S224" s="53"/>
      <c r="T224" s="53"/>
      <c r="U224" s="53"/>
      <c r="V224" s="53"/>
      <c r="W224" s="53"/>
      <c r="X224" s="53"/>
      <c r="Y224" s="53"/>
      <c r="Z224" s="53"/>
      <c r="AA224" s="53"/>
    </row>
    <row r="225" spans="8:27">
      <c r="H225" s="53"/>
      <c r="I225" s="53"/>
      <c r="J225" s="53"/>
      <c r="K225" s="53"/>
      <c r="L225" s="53"/>
      <c r="M225" s="53"/>
      <c r="N225" s="53"/>
      <c r="O225" s="53"/>
      <c r="P225" s="53"/>
      <c r="Q225" s="53"/>
      <c r="R225" s="53"/>
      <c r="S225" s="53"/>
      <c r="T225" s="53"/>
      <c r="U225" s="53"/>
      <c r="V225" s="53"/>
      <c r="W225" s="53"/>
      <c r="X225" s="53"/>
      <c r="Y225" s="53"/>
      <c r="Z225" s="53"/>
      <c r="AA225" s="53"/>
    </row>
    <row r="226" spans="8:27">
      <c r="H226" s="53"/>
      <c r="I226" s="53"/>
      <c r="J226" s="53"/>
      <c r="K226" s="53"/>
      <c r="L226" s="53"/>
      <c r="M226" s="53"/>
      <c r="N226" s="53"/>
      <c r="O226" s="53"/>
      <c r="P226" s="53"/>
      <c r="Q226" s="53"/>
      <c r="R226" s="53"/>
      <c r="S226" s="53"/>
      <c r="T226" s="53"/>
      <c r="U226" s="53"/>
      <c r="V226" s="53"/>
      <c r="W226" s="53"/>
      <c r="X226" s="53"/>
      <c r="Y226" s="53"/>
      <c r="Z226" s="53"/>
      <c r="AA226" s="53"/>
    </row>
    <row r="227" spans="8:27">
      <c r="H227" s="53"/>
      <c r="I227" s="53"/>
      <c r="J227" s="53"/>
      <c r="K227" s="53"/>
      <c r="L227" s="53"/>
      <c r="M227" s="53"/>
      <c r="N227" s="53"/>
      <c r="O227" s="53"/>
      <c r="P227" s="53"/>
      <c r="Q227" s="53"/>
      <c r="R227" s="53"/>
      <c r="S227" s="53"/>
      <c r="T227" s="53"/>
      <c r="U227" s="53"/>
      <c r="V227" s="53"/>
      <c r="W227" s="53"/>
      <c r="X227" s="53"/>
      <c r="Y227" s="53"/>
      <c r="Z227" s="53"/>
      <c r="AA227" s="53"/>
    </row>
    <row r="228" spans="8:27">
      <c r="H228" s="53"/>
      <c r="I228" s="53"/>
      <c r="J228" s="53"/>
      <c r="K228" s="53"/>
      <c r="L228" s="53"/>
      <c r="M228" s="53"/>
      <c r="N228" s="53"/>
      <c r="O228" s="53"/>
      <c r="P228" s="53"/>
      <c r="Q228" s="53"/>
      <c r="R228" s="53"/>
      <c r="S228" s="53"/>
      <c r="T228" s="53"/>
      <c r="U228" s="53"/>
      <c r="V228" s="53"/>
      <c r="W228" s="53"/>
      <c r="X228" s="53"/>
      <c r="Y228" s="53"/>
      <c r="Z228" s="53"/>
      <c r="AA228" s="53"/>
    </row>
    <row r="229" spans="8:27">
      <c r="H229" s="53"/>
      <c r="I229" s="53"/>
      <c r="J229" s="53"/>
      <c r="K229" s="53"/>
      <c r="L229" s="53"/>
      <c r="M229" s="53"/>
      <c r="N229" s="53"/>
      <c r="O229" s="53"/>
      <c r="P229" s="53"/>
      <c r="Q229" s="53"/>
      <c r="R229" s="53"/>
      <c r="S229" s="53"/>
      <c r="T229" s="53"/>
      <c r="U229" s="53"/>
      <c r="V229" s="53"/>
      <c r="W229" s="53"/>
      <c r="X229" s="53"/>
      <c r="Y229" s="53"/>
      <c r="Z229" s="53"/>
      <c r="AA229" s="53"/>
    </row>
    <row r="230" spans="8:27">
      <c r="H230" s="53"/>
      <c r="I230" s="53"/>
      <c r="J230" s="53"/>
      <c r="K230" s="53"/>
      <c r="L230" s="53"/>
      <c r="M230" s="53"/>
      <c r="N230" s="53"/>
      <c r="O230" s="53"/>
      <c r="P230" s="53"/>
      <c r="Q230" s="53"/>
      <c r="R230" s="53"/>
      <c r="S230" s="53"/>
      <c r="T230" s="53"/>
      <c r="U230" s="53"/>
      <c r="V230" s="53"/>
      <c r="W230" s="53"/>
      <c r="X230" s="53"/>
      <c r="Y230" s="53"/>
      <c r="Z230" s="53"/>
      <c r="AA230" s="53"/>
    </row>
    <row r="231" spans="8:27">
      <c r="H231" s="53"/>
      <c r="I231" s="53"/>
      <c r="J231" s="53"/>
      <c r="K231" s="53"/>
      <c r="L231" s="53"/>
      <c r="M231" s="53"/>
      <c r="N231" s="53"/>
      <c r="O231" s="53"/>
      <c r="P231" s="53"/>
      <c r="Q231" s="53"/>
      <c r="R231" s="53"/>
      <c r="S231" s="53"/>
      <c r="T231" s="53"/>
      <c r="U231" s="53"/>
      <c r="V231" s="53"/>
      <c r="W231" s="53"/>
      <c r="X231" s="53"/>
      <c r="Y231" s="53"/>
      <c r="Z231" s="53"/>
      <c r="AA231" s="53"/>
    </row>
    <row r="232" spans="8:27">
      <c r="H232" s="53"/>
      <c r="I232" s="53"/>
      <c r="J232" s="53"/>
      <c r="K232" s="53"/>
      <c r="L232" s="53"/>
      <c r="M232" s="53"/>
      <c r="N232" s="53"/>
      <c r="O232" s="53"/>
      <c r="P232" s="53"/>
      <c r="Q232" s="53"/>
      <c r="R232" s="53"/>
      <c r="S232" s="53"/>
      <c r="T232" s="53"/>
      <c r="U232" s="53"/>
      <c r="V232" s="53"/>
      <c r="W232" s="53"/>
      <c r="X232" s="53"/>
      <c r="Y232" s="53"/>
      <c r="Z232" s="53"/>
      <c r="AA232" s="53"/>
    </row>
    <row r="233" spans="8:27">
      <c r="H233" s="53"/>
      <c r="I233" s="53"/>
      <c r="J233" s="53"/>
      <c r="K233" s="53"/>
      <c r="L233" s="53"/>
      <c r="M233" s="53"/>
      <c r="N233" s="53"/>
      <c r="O233" s="53"/>
      <c r="P233" s="53"/>
      <c r="Q233" s="53"/>
      <c r="R233" s="53"/>
      <c r="S233" s="53"/>
      <c r="T233" s="53"/>
      <c r="U233" s="53"/>
      <c r="V233" s="53"/>
      <c r="W233" s="53"/>
      <c r="X233" s="53"/>
      <c r="Y233" s="53"/>
      <c r="Z233" s="53"/>
      <c r="AA233" s="53"/>
    </row>
    <row r="234" spans="8:27">
      <c r="H234" s="53"/>
      <c r="I234" s="53"/>
      <c r="J234" s="53"/>
      <c r="K234" s="53"/>
      <c r="L234" s="53"/>
      <c r="M234" s="53"/>
      <c r="N234" s="53"/>
      <c r="O234" s="53"/>
      <c r="P234" s="53"/>
      <c r="Q234" s="53"/>
      <c r="R234" s="53"/>
      <c r="S234" s="53"/>
      <c r="T234" s="53"/>
      <c r="U234" s="53"/>
      <c r="V234" s="53"/>
      <c r="W234" s="53"/>
      <c r="X234" s="53"/>
      <c r="Y234" s="53"/>
      <c r="Z234" s="53"/>
      <c r="AA234" s="53"/>
    </row>
    <row r="235" spans="8:27">
      <c r="H235" s="53"/>
      <c r="I235" s="53"/>
      <c r="J235" s="53"/>
      <c r="K235" s="53"/>
      <c r="L235" s="53"/>
      <c r="M235" s="53"/>
      <c r="N235" s="53"/>
      <c r="O235" s="53"/>
      <c r="P235" s="53"/>
      <c r="Q235" s="53"/>
      <c r="R235" s="53"/>
      <c r="S235" s="53"/>
      <c r="T235" s="53"/>
      <c r="U235" s="53"/>
      <c r="V235" s="53"/>
      <c r="W235" s="53"/>
      <c r="X235" s="53"/>
      <c r="Y235" s="53"/>
      <c r="Z235" s="53"/>
      <c r="AA235" s="53"/>
    </row>
    <row r="236" spans="8:27">
      <c r="H236" s="53"/>
      <c r="I236" s="53"/>
      <c r="J236" s="53"/>
      <c r="K236" s="53"/>
      <c r="L236" s="53"/>
      <c r="M236" s="53"/>
      <c r="N236" s="53"/>
      <c r="O236" s="53"/>
      <c r="P236" s="53"/>
      <c r="Q236" s="53"/>
      <c r="R236" s="53"/>
      <c r="S236" s="53"/>
      <c r="T236" s="53"/>
      <c r="U236" s="53"/>
      <c r="V236" s="53"/>
      <c r="W236" s="53"/>
      <c r="X236" s="53"/>
      <c r="Y236" s="53"/>
      <c r="Z236" s="53"/>
      <c r="AA236" s="53"/>
    </row>
    <row r="237" spans="8:27">
      <c r="H237" s="53"/>
      <c r="I237" s="53"/>
      <c r="J237" s="53"/>
      <c r="K237" s="53"/>
      <c r="L237" s="53"/>
      <c r="M237" s="53"/>
      <c r="N237" s="53"/>
      <c r="O237" s="53"/>
      <c r="P237" s="53"/>
      <c r="Q237" s="53"/>
      <c r="R237" s="53"/>
      <c r="S237" s="53"/>
      <c r="T237" s="53"/>
      <c r="U237" s="53"/>
      <c r="V237" s="53"/>
      <c r="W237" s="53"/>
      <c r="X237" s="53"/>
      <c r="Y237" s="53"/>
      <c r="Z237" s="53"/>
      <c r="AA237" s="53"/>
    </row>
    <row r="238" spans="8:27">
      <c r="H238" s="53"/>
      <c r="I238" s="53"/>
      <c r="J238" s="53"/>
      <c r="K238" s="53"/>
      <c r="L238" s="53"/>
      <c r="M238" s="53"/>
      <c r="N238" s="53"/>
      <c r="O238" s="53"/>
      <c r="P238" s="53"/>
      <c r="Q238" s="53"/>
      <c r="R238" s="53"/>
      <c r="S238" s="53"/>
      <c r="T238" s="53"/>
      <c r="U238" s="53"/>
      <c r="V238" s="53"/>
      <c r="W238" s="53"/>
      <c r="X238" s="53"/>
      <c r="Y238" s="53"/>
      <c r="Z238" s="53"/>
      <c r="AA238" s="53"/>
    </row>
    <row r="239" spans="8:27">
      <c r="H239" s="53"/>
      <c r="I239" s="53"/>
      <c r="J239" s="53"/>
      <c r="K239" s="53"/>
      <c r="L239" s="53"/>
      <c r="M239" s="53"/>
      <c r="N239" s="53"/>
      <c r="O239" s="53"/>
      <c r="P239" s="53"/>
      <c r="Q239" s="53"/>
      <c r="R239" s="53"/>
      <c r="S239" s="53"/>
      <c r="T239" s="53"/>
      <c r="U239" s="53"/>
      <c r="V239" s="53"/>
      <c r="W239" s="53"/>
      <c r="X239" s="53"/>
      <c r="Y239" s="53"/>
      <c r="Z239" s="53"/>
      <c r="AA239" s="53"/>
    </row>
    <row r="240" spans="8:27">
      <c r="H240" s="53"/>
      <c r="I240" s="53"/>
      <c r="J240" s="53"/>
      <c r="K240" s="53"/>
      <c r="L240" s="53"/>
      <c r="M240" s="53"/>
      <c r="N240" s="53"/>
      <c r="O240" s="53"/>
      <c r="P240" s="53"/>
      <c r="Q240" s="53"/>
      <c r="R240" s="53"/>
      <c r="S240" s="53"/>
      <c r="T240" s="53"/>
      <c r="U240" s="53"/>
      <c r="V240" s="53"/>
      <c r="W240" s="53"/>
      <c r="X240" s="53"/>
      <c r="Y240" s="53"/>
      <c r="Z240" s="53"/>
      <c r="AA240" s="53"/>
    </row>
    <row r="241" spans="8:27">
      <c r="H241" s="53"/>
      <c r="I241" s="53"/>
      <c r="J241" s="53"/>
      <c r="K241" s="53"/>
      <c r="L241" s="53"/>
      <c r="M241" s="53"/>
      <c r="N241" s="53"/>
      <c r="O241" s="53"/>
      <c r="P241" s="53"/>
      <c r="Q241" s="53"/>
      <c r="R241" s="53"/>
      <c r="S241" s="53"/>
      <c r="T241" s="53"/>
      <c r="U241" s="53"/>
      <c r="V241" s="53"/>
      <c r="W241" s="53"/>
      <c r="X241" s="53"/>
      <c r="Y241" s="53"/>
      <c r="Z241" s="53"/>
      <c r="AA241" s="53"/>
    </row>
    <row r="242" spans="8:27">
      <c r="H242" s="53"/>
      <c r="I242" s="53"/>
      <c r="J242" s="53"/>
      <c r="K242" s="53"/>
      <c r="L242" s="53"/>
      <c r="M242" s="53"/>
      <c r="N242" s="53"/>
      <c r="O242" s="53"/>
      <c r="P242" s="53"/>
      <c r="Q242" s="53"/>
      <c r="R242" s="53"/>
      <c r="S242" s="53"/>
      <c r="T242" s="53"/>
      <c r="U242" s="53"/>
      <c r="V242" s="53"/>
      <c r="W242" s="53"/>
      <c r="X242" s="53"/>
      <c r="Y242" s="53"/>
      <c r="Z242" s="53"/>
      <c r="AA242" s="53"/>
    </row>
    <row r="243" spans="8:27">
      <c r="H243" s="53"/>
      <c r="I243" s="53"/>
      <c r="J243" s="53"/>
      <c r="K243" s="53"/>
      <c r="L243" s="53"/>
      <c r="M243" s="53"/>
      <c r="N243" s="53"/>
      <c r="O243" s="53"/>
      <c r="P243" s="53"/>
      <c r="Q243" s="53"/>
      <c r="R243" s="53"/>
      <c r="S243" s="53"/>
      <c r="T243" s="53"/>
      <c r="U243" s="53"/>
      <c r="V243" s="53"/>
      <c r="W243" s="53"/>
      <c r="X243" s="53"/>
      <c r="Y243" s="53"/>
      <c r="Z243" s="53"/>
      <c r="AA243" s="53"/>
    </row>
    <row r="244" spans="8:27">
      <c r="H244" s="53"/>
      <c r="I244" s="53"/>
      <c r="J244" s="53"/>
      <c r="K244" s="53"/>
      <c r="L244" s="53"/>
      <c r="M244" s="53"/>
      <c r="N244" s="53"/>
      <c r="O244" s="53"/>
      <c r="P244" s="53"/>
      <c r="Q244" s="53"/>
      <c r="R244" s="53"/>
      <c r="S244" s="53"/>
      <c r="T244" s="53"/>
      <c r="U244" s="53"/>
      <c r="V244" s="53"/>
      <c r="W244" s="53"/>
      <c r="X244" s="53"/>
      <c r="Y244" s="53"/>
      <c r="Z244" s="53"/>
      <c r="AA244" s="53"/>
    </row>
    <row r="245" spans="8:27">
      <c r="H245" s="53"/>
      <c r="I245" s="53"/>
      <c r="J245" s="53"/>
      <c r="K245" s="53"/>
      <c r="L245" s="53"/>
      <c r="M245" s="53"/>
      <c r="N245" s="53"/>
      <c r="O245" s="53"/>
      <c r="P245" s="53"/>
      <c r="Q245" s="53"/>
      <c r="R245" s="53"/>
      <c r="S245" s="53"/>
      <c r="T245" s="53"/>
      <c r="U245" s="53"/>
      <c r="V245" s="53"/>
      <c r="W245" s="53"/>
      <c r="X245" s="53"/>
      <c r="Y245" s="53"/>
      <c r="Z245" s="53"/>
      <c r="AA245" s="53"/>
    </row>
    <row r="246" spans="8:27">
      <c r="H246" s="53"/>
      <c r="I246" s="53"/>
      <c r="J246" s="53"/>
      <c r="K246" s="53"/>
      <c r="L246" s="53"/>
      <c r="M246" s="53"/>
      <c r="N246" s="53"/>
      <c r="O246" s="53"/>
      <c r="P246" s="53"/>
      <c r="Q246" s="53"/>
      <c r="R246" s="53"/>
      <c r="S246" s="53"/>
      <c r="T246" s="53"/>
      <c r="U246" s="53"/>
      <c r="V246" s="53"/>
      <c r="W246" s="53"/>
      <c r="X246" s="53"/>
      <c r="Y246" s="53"/>
      <c r="Z246" s="53"/>
      <c r="AA246" s="53"/>
    </row>
    <row r="247" spans="8:27">
      <c r="H247" s="53"/>
      <c r="I247" s="53"/>
      <c r="J247" s="53"/>
      <c r="K247" s="53"/>
      <c r="L247" s="53"/>
      <c r="M247" s="53"/>
      <c r="N247" s="53"/>
      <c r="O247" s="53"/>
      <c r="P247" s="53"/>
      <c r="Q247" s="53"/>
      <c r="R247" s="53"/>
      <c r="S247" s="53"/>
      <c r="T247" s="53"/>
      <c r="U247" s="53"/>
      <c r="V247" s="53"/>
      <c r="W247" s="53"/>
      <c r="X247" s="53"/>
      <c r="Y247" s="53"/>
      <c r="Z247" s="53"/>
      <c r="AA247" s="53"/>
    </row>
    <row r="248" spans="8:27">
      <c r="H248" s="53"/>
      <c r="I248" s="53"/>
      <c r="J248" s="53"/>
      <c r="K248" s="53"/>
      <c r="L248" s="53"/>
      <c r="M248" s="53"/>
      <c r="N248" s="53"/>
      <c r="O248" s="53"/>
      <c r="P248" s="53"/>
      <c r="Q248" s="53"/>
      <c r="R248" s="53"/>
      <c r="S248" s="53"/>
      <c r="T248" s="53"/>
      <c r="U248" s="53"/>
      <c r="V248" s="53"/>
      <c r="W248" s="53"/>
      <c r="X248" s="53"/>
      <c r="Y248" s="53"/>
      <c r="Z248" s="53"/>
      <c r="AA248" s="53"/>
    </row>
    <row r="249" spans="8:27">
      <c r="H249" s="53"/>
      <c r="I249" s="53"/>
      <c r="J249" s="53"/>
      <c r="K249" s="53"/>
      <c r="L249" s="53"/>
      <c r="M249" s="53"/>
      <c r="N249" s="53"/>
      <c r="O249" s="53"/>
      <c r="P249" s="53"/>
      <c r="Q249" s="53"/>
      <c r="R249" s="53"/>
      <c r="S249" s="53"/>
      <c r="T249" s="53"/>
      <c r="U249" s="53"/>
      <c r="V249" s="53"/>
      <c r="W249" s="53"/>
      <c r="X249" s="53"/>
      <c r="Y249" s="53"/>
      <c r="Z249" s="53"/>
      <c r="AA249" s="53"/>
    </row>
    <row r="250" spans="8:27">
      <c r="H250" s="53"/>
      <c r="I250" s="53"/>
      <c r="J250" s="53"/>
      <c r="K250" s="53"/>
      <c r="L250" s="53"/>
      <c r="M250" s="53"/>
      <c r="N250" s="53"/>
      <c r="O250" s="53"/>
      <c r="P250" s="53"/>
      <c r="Q250" s="53"/>
      <c r="R250" s="53"/>
      <c r="S250" s="53"/>
      <c r="T250" s="53"/>
      <c r="U250" s="53"/>
      <c r="V250" s="53"/>
      <c r="W250" s="53"/>
      <c r="X250" s="53"/>
      <c r="Y250" s="53"/>
      <c r="Z250" s="53"/>
      <c r="AA250" s="53"/>
    </row>
    <row r="251" spans="8:27">
      <c r="H251" s="53"/>
      <c r="I251" s="53"/>
      <c r="J251" s="53"/>
      <c r="K251" s="53"/>
      <c r="L251" s="53"/>
      <c r="M251" s="53"/>
      <c r="N251" s="53"/>
      <c r="O251" s="53"/>
      <c r="P251" s="53"/>
      <c r="Q251" s="53"/>
      <c r="R251" s="53"/>
      <c r="S251" s="53"/>
      <c r="T251" s="53"/>
      <c r="U251" s="53"/>
      <c r="V251" s="53"/>
      <c r="W251" s="53"/>
      <c r="X251" s="53"/>
      <c r="Y251" s="53"/>
      <c r="Z251" s="53"/>
      <c r="AA251" s="53"/>
    </row>
    <row r="252" spans="8:27">
      <c r="H252" s="53"/>
      <c r="I252" s="53"/>
      <c r="J252" s="53"/>
      <c r="K252" s="53"/>
      <c r="L252" s="53"/>
      <c r="M252" s="53"/>
      <c r="N252" s="53"/>
      <c r="O252" s="53"/>
      <c r="P252" s="53"/>
      <c r="Q252" s="53"/>
      <c r="R252" s="53"/>
      <c r="S252" s="53"/>
      <c r="T252" s="53"/>
      <c r="U252" s="53"/>
      <c r="V252" s="53"/>
      <c r="W252" s="53"/>
      <c r="X252" s="53"/>
      <c r="Y252" s="53"/>
      <c r="Z252" s="53"/>
      <c r="AA252" s="53"/>
    </row>
    <row r="253" spans="8:27">
      <c r="H253" s="53"/>
      <c r="I253" s="53"/>
      <c r="J253" s="53"/>
      <c r="K253" s="53"/>
      <c r="L253" s="53"/>
      <c r="M253" s="53"/>
      <c r="N253" s="53"/>
      <c r="O253" s="53"/>
      <c r="P253" s="53"/>
      <c r="Q253" s="53"/>
      <c r="R253" s="53"/>
      <c r="S253" s="53"/>
      <c r="T253" s="53"/>
      <c r="U253" s="53"/>
      <c r="V253" s="53"/>
      <c r="W253" s="53"/>
      <c r="X253" s="53"/>
      <c r="Y253" s="53"/>
      <c r="Z253" s="53"/>
      <c r="AA253" s="53"/>
    </row>
    <row r="254" spans="8:27">
      <c r="H254" s="53"/>
      <c r="I254" s="53"/>
      <c r="J254" s="53"/>
      <c r="K254" s="53"/>
      <c r="L254" s="53"/>
      <c r="M254" s="53"/>
      <c r="N254" s="53"/>
      <c r="O254" s="53"/>
      <c r="P254" s="53"/>
      <c r="Q254" s="53"/>
      <c r="R254" s="53"/>
      <c r="S254" s="53"/>
      <c r="T254" s="53"/>
      <c r="U254" s="53"/>
      <c r="V254" s="53"/>
      <c r="W254" s="53"/>
      <c r="X254" s="53"/>
      <c r="Y254" s="53"/>
      <c r="Z254" s="53"/>
      <c r="AA254" s="53"/>
    </row>
    <row r="255" spans="8:27">
      <c r="H255" s="53"/>
      <c r="I255" s="53"/>
      <c r="J255" s="53"/>
      <c r="K255" s="53"/>
      <c r="L255" s="53"/>
      <c r="M255" s="53"/>
      <c r="N255" s="53"/>
      <c r="O255" s="53"/>
      <c r="P255" s="53"/>
      <c r="Q255" s="53"/>
      <c r="R255" s="53"/>
      <c r="S255" s="53"/>
      <c r="T255" s="53"/>
      <c r="U255" s="53"/>
      <c r="V255" s="53"/>
      <c r="W255" s="53"/>
      <c r="X255" s="53"/>
      <c r="Y255" s="53"/>
      <c r="Z255" s="53"/>
      <c r="AA255" s="53"/>
    </row>
    <row r="256" spans="8:27">
      <c r="H256" s="53"/>
      <c r="I256" s="53"/>
      <c r="J256" s="53"/>
      <c r="K256" s="53"/>
      <c r="L256" s="53"/>
      <c r="M256" s="53"/>
      <c r="N256" s="53"/>
      <c r="O256" s="53"/>
      <c r="P256" s="53"/>
      <c r="Q256" s="53"/>
      <c r="R256" s="53"/>
      <c r="S256" s="53"/>
      <c r="T256" s="53"/>
      <c r="U256" s="53"/>
      <c r="V256" s="53"/>
      <c r="W256" s="53"/>
      <c r="X256" s="53"/>
      <c r="Y256" s="53"/>
      <c r="Z256" s="53"/>
      <c r="AA256" s="53"/>
    </row>
    <row r="257" spans="8:27">
      <c r="H257" s="53"/>
      <c r="I257" s="53"/>
      <c r="J257" s="53"/>
      <c r="K257" s="53"/>
      <c r="L257" s="53"/>
      <c r="M257" s="53"/>
      <c r="N257" s="53"/>
      <c r="O257" s="53"/>
      <c r="P257" s="53"/>
      <c r="Q257" s="53"/>
      <c r="R257" s="53"/>
      <c r="S257" s="53"/>
      <c r="T257" s="53"/>
      <c r="U257" s="53"/>
      <c r="V257" s="53"/>
      <c r="W257" s="53"/>
      <c r="X257" s="53"/>
      <c r="Y257" s="53"/>
      <c r="Z257" s="53"/>
      <c r="AA257" s="53"/>
    </row>
    <row r="258" spans="8:27">
      <c r="H258" s="53"/>
      <c r="I258" s="53"/>
      <c r="J258" s="53"/>
      <c r="K258" s="53"/>
      <c r="L258" s="53"/>
      <c r="M258" s="53"/>
      <c r="N258" s="53"/>
      <c r="O258" s="53"/>
      <c r="P258" s="53"/>
      <c r="Q258" s="53"/>
      <c r="R258" s="53"/>
      <c r="S258" s="53"/>
      <c r="T258" s="53"/>
      <c r="U258" s="53"/>
      <c r="V258" s="53"/>
      <c r="W258" s="53"/>
      <c r="X258" s="53"/>
      <c r="Y258" s="53"/>
      <c r="Z258" s="53"/>
      <c r="AA258" s="53"/>
    </row>
    <row r="259" spans="8:27">
      <c r="H259" s="53"/>
      <c r="I259" s="53"/>
      <c r="J259" s="53"/>
      <c r="K259" s="53"/>
      <c r="L259" s="53"/>
      <c r="M259" s="53"/>
      <c r="N259" s="53"/>
      <c r="O259" s="53"/>
      <c r="P259" s="53"/>
      <c r="Q259" s="53"/>
      <c r="R259" s="53"/>
      <c r="S259" s="53"/>
      <c r="T259" s="53"/>
      <c r="U259" s="53"/>
      <c r="V259" s="53"/>
      <c r="W259" s="53"/>
      <c r="X259" s="53"/>
      <c r="Y259" s="53"/>
      <c r="Z259" s="53"/>
      <c r="AA259" s="53"/>
    </row>
    <row r="260" spans="8:27">
      <c r="H260" s="53"/>
      <c r="I260" s="53"/>
      <c r="J260" s="53"/>
      <c r="K260" s="53"/>
      <c r="L260" s="53"/>
      <c r="M260" s="53"/>
      <c r="N260" s="53"/>
      <c r="O260" s="53"/>
      <c r="P260" s="53"/>
      <c r="Q260" s="53"/>
      <c r="R260" s="53"/>
      <c r="S260" s="53"/>
      <c r="T260" s="53"/>
      <c r="U260" s="53"/>
      <c r="V260" s="53"/>
      <c r="W260" s="53"/>
      <c r="X260" s="53"/>
      <c r="Y260" s="53"/>
      <c r="Z260" s="53"/>
      <c r="AA260" s="53"/>
    </row>
    <row r="261" spans="8:27">
      <c r="H261" s="53"/>
      <c r="I261" s="53"/>
      <c r="J261" s="53"/>
      <c r="K261" s="53"/>
      <c r="L261" s="53"/>
      <c r="M261" s="53"/>
      <c r="N261" s="53"/>
      <c r="O261" s="53"/>
      <c r="P261" s="53"/>
      <c r="Q261" s="53"/>
      <c r="R261" s="53"/>
      <c r="S261" s="53"/>
      <c r="T261" s="53"/>
      <c r="U261" s="53"/>
      <c r="V261" s="53"/>
      <c r="W261" s="53"/>
      <c r="X261" s="53"/>
      <c r="Y261" s="53"/>
      <c r="Z261" s="53"/>
      <c r="AA261" s="53"/>
    </row>
    <row r="262" spans="8:27">
      <c r="H262" s="53"/>
      <c r="I262" s="53"/>
      <c r="J262" s="53"/>
      <c r="K262" s="53"/>
      <c r="L262" s="53"/>
      <c r="M262" s="53"/>
      <c r="N262" s="53"/>
      <c r="O262" s="53"/>
      <c r="P262" s="53"/>
      <c r="Q262" s="53"/>
      <c r="R262" s="53"/>
      <c r="S262" s="53"/>
      <c r="T262" s="53"/>
      <c r="U262" s="53"/>
      <c r="V262" s="53"/>
      <c r="W262" s="53"/>
      <c r="X262" s="53"/>
      <c r="Y262" s="53"/>
      <c r="Z262" s="53"/>
      <c r="AA262" s="53"/>
    </row>
    <row r="263" spans="8:27">
      <c r="H263" s="53"/>
      <c r="I263" s="53"/>
      <c r="J263" s="53"/>
      <c r="K263" s="53"/>
      <c r="L263" s="53"/>
      <c r="M263" s="53"/>
      <c r="N263" s="53"/>
      <c r="O263" s="53"/>
      <c r="P263" s="53"/>
      <c r="Q263" s="53"/>
      <c r="R263" s="53"/>
      <c r="S263" s="53"/>
      <c r="T263" s="53"/>
      <c r="U263" s="53"/>
      <c r="V263" s="53"/>
      <c r="W263" s="53"/>
      <c r="X263" s="53"/>
      <c r="Y263" s="53"/>
      <c r="Z263" s="53"/>
      <c r="AA263" s="53"/>
    </row>
    <row r="264" spans="8:27">
      <c r="H264" s="53"/>
      <c r="I264" s="53"/>
      <c r="J264" s="53"/>
      <c r="K264" s="53"/>
      <c r="L264" s="53"/>
      <c r="M264" s="53"/>
      <c r="N264" s="53"/>
      <c r="O264" s="53"/>
      <c r="P264" s="53"/>
      <c r="Q264" s="53"/>
      <c r="R264" s="53"/>
      <c r="S264" s="53"/>
      <c r="T264" s="53"/>
      <c r="U264" s="53"/>
      <c r="V264" s="53"/>
      <c r="W264" s="53"/>
      <c r="X264" s="53"/>
      <c r="Y264" s="53"/>
      <c r="Z264" s="53"/>
      <c r="AA264" s="53"/>
    </row>
    <row r="265" spans="8:27">
      <c r="H265" s="53"/>
      <c r="I265" s="53"/>
      <c r="J265" s="53"/>
      <c r="K265" s="53"/>
      <c r="L265" s="53"/>
      <c r="M265" s="53"/>
      <c r="N265" s="53"/>
      <c r="O265" s="53"/>
      <c r="P265" s="53"/>
      <c r="Q265" s="53"/>
      <c r="R265" s="53"/>
      <c r="S265" s="53"/>
      <c r="T265" s="53"/>
      <c r="U265" s="53"/>
      <c r="V265" s="53"/>
      <c r="W265" s="53"/>
      <c r="X265" s="53"/>
      <c r="Y265" s="53"/>
      <c r="Z265" s="53"/>
      <c r="AA265" s="53"/>
    </row>
    <row r="266" spans="8:27">
      <c r="H266" s="53"/>
      <c r="I266" s="53"/>
      <c r="J266" s="53"/>
      <c r="K266" s="53"/>
      <c r="L266" s="53"/>
      <c r="M266" s="53"/>
      <c r="N266" s="53"/>
      <c r="O266" s="53"/>
      <c r="P266" s="53"/>
      <c r="Q266" s="53"/>
      <c r="R266" s="53"/>
      <c r="S266" s="53"/>
      <c r="T266" s="53"/>
      <c r="U266" s="53"/>
      <c r="V266" s="53"/>
      <c r="W266" s="53"/>
      <c r="X266" s="53"/>
      <c r="Y266" s="53"/>
      <c r="Z266" s="53"/>
      <c r="AA266" s="53"/>
    </row>
    <row r="267" spans="8:27">
      <c r="H267" s="53"/>
      <c r="I267" s="53"/>
      <c r="J267" s="53"/>
      <c r="K267" s="53"/>
      <c r="L267" s="53"/>
      <c r="M267" s="53"/>
      <c r="N267" s="53"/>
      <c r="O267" s="53"/>
      <c r="P267" s="53"/>
      <c r="Q267" s="53"/>
      <c r="R267" s="53"/>
      <c r="S267" s="53"/>
      <c r="T267" s="53"/>
      <c r="U267" s="53"/>
      <c r="V267" s="53"/>
      <c r="W267" s="53"/>
      <c r="X267" s="53"/>
      <c r="Y267" s="53"/>
      <c r="Z267" s="53"/>
      <c r="AA267" s="53"/>
    </row>
    <row r="268" spans="8:27">
      <c r="H268" s="53"/>
      <c r="I268" s="53"/>
      <c r="J268" s="53"/>
      <c r="K268" s="53"/>
      <c r="L268" s="53"/>
      <c r="M268" s="53"/>
      <c r="N268" s="53"/>
      <c r="O268" s="53"/>
      <c r="P268" s="53"/>
      <c r="Q268" s="53"/>
      <c r="R268" s="53"/>
      <c r="S268" s="53"/>
      <c r="T268" s="53"/>
      <c r="U268" s="53"/>
      <c r="V268" s="53"/>
      <c r="W268" s="53"/>
      <c r="X268" s="53"/>
      <c r="Y268" s="53"/>
      <c r="Z268" s="53"/>
      <c r="AA268" s="53"/>
    </row>
    <row r="269" spans="8:27">
      <c r="H269" s="53"/>
      <c r="I269" s="53"/>
      <c r="J269" s="53"/>
      <c r="K269" s="53"/>
      <c r="L269" s="53"/>
      <c r="M269" s="53"/>
      <c r="N269" s="53"/>
      <c r="O269" s="53"/>
      <c r="P269" s="53"/>
      <c r="Q269" s="53"/>
      <c r="R269" s="53"/>
      <c r="S269" s="53"/>
      <c r="T269" s="53"/>
      <c r="U269" s="53"/>
      <c r="V269" s="53"/>
      <c r="W269" s="53"/>
      <c r="X269" s="53"/>
      <c r="Y269" s="53"/>
      <c r="Z269" s="53"/>
      <c r="AA269" s="53"/>
    </row>
    <row r="270" spans="8:27">
      <c r="H270" s="53"/>
      <c r="I270" s="53"/>
      <c r="J270" s="53"/>
      <c r="K270" s="53"/>
      <c r="L270" s="53"/>
      <c r="M270" s="53"/>
      <c r="N270" s="53"/>
      <c r="O270" s="53"/>
      <c r="P270" s="53"/>
      <c r="Q270" s="53"/>
      <c r="R270" s="53"/>
      <c r="S270" s="53"/>
      <c r="T270" s="53"/>
      <c r="U270" s="53"/>
      <c r="V270" s="53"/>
      <c r="W270" s="53"/>
      <c r="X270" s="53"/>
      <c r="Y270" s="53"/>
      <c r="Z270" s="53"/>
      <c r="AA270" s="53"/>
    </row>
    <row r="271" spans="8:27">
      <c r="H271" s="53"/>
      <c r="I271" s="53"/>
      <c r="J271" s="53"/>
      <c r="K271" s="53"/>
      <c r="L271" s="53"/>
      <c r="M271" s="53"/>
      <c r="N271" s="53"/>
      <c r="O271" s="53"/>
      <c r="P271" s="53"/>
      <c r="Q271" s="53"/>
      <c r="R271" s="53"/>
      <c r="S271" s="53"/>
      <c r="T271" s="53"/>
      <c r="U271" s="53"/>
      <c r="V271" s="53"/>
      <c r="W271" s="53"/>
      <c r="X271" s="53"/>
      <c r="Y271" s="53"/>
      <c r="Z271" s="53"/>
      <c r="AA271" s="53"/>
    </row>
    <row r="272" spans="8:27">
      <c r="H272" s="53"/>
      <c r="I272" s="53"/>
      <c r="J272" s="53"/>
      <c r="K272" s="53"/>
      <c r="L272" s="53"/>
      <c r="M272" s="53"/>
      <c r="N272" s="53"/>
      <c r="O272" s="53"/>
      <c r="P272" s="53"/>
      <c r="Q272" s="53"/>
      <c r="R272" s="53"/>
      <c r="S272" s="53"/>
      <c r="T272" s="53"/>
      <c r="U272" s="53"/>
      <c r="V272" s="53"/>
      <c r="W272" s="53"/>
      <c r="X272" s="53"/>
      <c r="Y272" s="53"/>
      <c r="Z272" s="53"/>
      <c r="AA272" s="53"/>
    </row>
    <row r="273" spans="8:27">
      <c r="H273" s="53"/>
      <c r="I273" s="53"/>
      <c r="J273" s="53"/>
      <c r="K273" s="53"/>
      <c r="L273" s="53"/>
      <c r="M273" s="53"/>
      <c r="N273" s="53"/>
      <c r="O273" s="53"/>
      <c r="P273" s="53"/>
      <c r="Q273" s="53"/>
      <c r="R273" s="53"/>
      <c r="S273" s="53"/>
      <c r="T273" s="53"/>
      <c r="U273" s="53"/>
      <c r="V273" s="53"/>
      <c r="W273" s="53"/>
      <c r="X273" s="53"/>
      <c r="Y273" s="53"/>
      <c r="Z273" s="53"/>
      <c r="AA273" s="53"/>
    </row>
    <row r="274" spans="8:27">
      <c r="H274" s="53"/>
      <c r="I274" s="53"/>
      <c r="J274" s="53"/>
      <c r="K274" s="53"/>
      <c r="L274" s="53"/>
      <c r="M274" s="53"/>
      <c r="N274" s="53"/>
      <c r="O274" s="53"/>
      <c r="P274" s="53"/>
      <c r="Q274" s="53"/>
      <c r="R274" s="53"/>
      <c r="S274" s="53"/>
      <c r="T274" s="53"/>
      <c r="U274" s="53"/>
      <c r="V274" s="53"/>
      <c r="W274" s="53"/>
      <c r="X274" s="53"/>
      <c r="Y274" s="53"/>
      <c r="Z274" s="53"/>
      <c r="AA274" s="53"/>
    </row>
    <row r="275" spans="8:27">
      <c r="H275" s="53"/>
      <c r="I275" s="53"/>
      <c r="J275" s="53"/>
      <c r="K275" s="53"/>
      <c r="L275" s="53"/>
      <c r="M275" s="53"/>
      <c r="N275" s="53"/>
      <c r="O275" s="53"/>
      <c r="P275" s="53"/>
      <c r="Q275" s="53"/>
      <c r="R275" s="53"/>
      <c r="S275" s="53"/>
      <c r="T275" s="53"/>
      <c r="U275" s="53"/>
      <c r="V275" s="53"/>
      <c r="W275" s="53"/>
      <c r="X275" s="53"/>
      <c r="Y275" s="53"/>
      <c r="Z275" s="53"/>
      <c r="AA275" s="53"/>
    </row>
    <row r="276" spans="8:27">
      <c r="H276" s="53"/>
      <c r="I276" s="53"/>
      <c r="J276" s="53"/>
      <c r="K276" s="53"/>
      <c r="L276" s="53"/>
      <c r="M276" s="53"/>
      <c r="N276" s="53"/>
      <c r="O276" s="53"/>
      <c r="P276" s="53"/>
      <c r="Q276" s="53"/>
      <c r="R276" s="53"/>
      <c r="S276" s="53"/>
      <c r="T276" s="53"/>
      <c r="U276" s="53"/>
      <c r="V276" s="53"/>
      <c r="W276" s="53"/>
      <c r="X276" s="53"/>
      <c r="Y276" s="53"/>
      <c r="Z276" s="53"/>
      <c r="AA276" s="53"/>
    </row>
    <row r="277" spans="8:27">
      <c r="H277" s="53"/>
      <c r="I277" s="53"/>
      <c r="J277" s="53"/>
      <c r="K277" s="53"/>
      <c r="L277" s="53"/>
      <c r="M277" s="53"/>
      <c r="N277" s="53"/>
      <c r="O277" s="53"/>
      <c r="P277" s="53"/>
      <c r="Q277" s="53"/>
      <c r="R277" s="53"/>
      <c r="S277" s="53"/>
      <c r="T277" s="53"/>
      <c r="U277" s="53"/>
      <c r="V277" s="53"/>
      <c r="W277" s="53"/>
      <c r="X277" s="53"/>
      <c r="Y277" s="53"/>
      <c r="Z277" s="53"/>
      <c r="AA277" s="53"/>
    </row>
    <row r="278" spans="8:27">
      <c r="H278" s="53"/>
      <c r="I278" s="53"/>
      <c r="J278" s="53"/>
      <c r="K278" s="53"/>
      <c r="L278" s="53"/>
      <c r="M278" s="53"/>
      <c r="N278" s="53"/>
      <c r="O278" s="53"/>
      <c r="P278" s="53"/>
      <c r="Q278" s="53"/>
      <c r="R278" s="53"/>
      <c r="S278" s="53"/>
      <c r="T278" s="53"/>
      <c r="U278" s="53"/>
      <c r="V278" s="53"/>
      <c r="W278" s="53"/>
      <c r="X278" s="53"/>
      <c r="Y278" s="53"/>
      <c r="Z278" s="53"/>
      <c r="AA278" s="53"/>
    </row>
    <row r="279" spans="8:27">
      <c r="H279" s="53"/>
      <c r="I279" s="53"/>
      <c r="J279" s="53"/>
      <c r="K279" s="53"/>
      <c r="L279" s="53"/>
      <c r="M279" s="53"/>
      <c r="N279" s="53"/>
      <c r="O279" s="53"/>
      <c r="P279" s="53"/>
      <c r="Q279" s="53"/>
      <c r="R279" s="53"/>
      <c r="S279" s="53"/>
      <c r="T279" s="53"/>
      <c r="U279" s="53"/>
      <c r="V279" s="53"/>
      <c r="W279" s="53"/>
      <c r="X279" s="53"/>
      <c r="Y279" s="53"/>
      <c r="Z279" s="53"/>
      <c r="AA279" s="53"/>
    </row>
    <row r="280" spans="8:27">
      <c r="H280" s="53"/>
      <c r="I280" s="53"/>
      <c r="J280" s="53"/>
      <c r="K280" s="53"/>
      <c r="L280" s="53"/>
      <c r="M280" s="53"/>
      <c r="N280" s="53"/>
      <c r="O280" s="53"/>
      <c r="P280" s="53"/>
      <c r="Q280" s="53"/>
      <c r="R280" s="53"/>
      <c r="S280" s="53"/>
      <c r="T280" s="53"/>
      <c r="U280" s="53"/>
      <c r="V280" s="53"/>
      <c r="W280" s="53"/>
      <c r="X280" s="53"/>
      <c r="Y280" s="53"/>
      <c r="Z280" s="53"/>
      <c r="AA280" s="53"/>
    </row>
    <row r="281" spans="8:27">
      <c r="H281" s="53"/>
      <c r="I281" s="53"/>
      <c r="J281" s="53"/>
      <c r="K281" s="53"/>
      <c r="L281" s="53"/>
      <c r="M281" s="53"/>
      <c r="N281" s="53"/>
      <c r="O281" s="53"/>
      <c r="P281" s="53"/>
      <c r="Q281" s="53"/>
      <c r="R281" s="53"/>
      <c r="S281" s="53"/>
      <c r="T281" s="53"/>
      <c r="U281" s="53"/>
      <c r="V281" s="53"/>
      <c r="W281" s="53"/>
      <c r="X281" s="53"/>
      <c r="Y281" s="53"/>
      <c r="Z281" s="53"/>
      <c r="AA281" s="53"/>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C127"/>
  <sheetViews>
    <sheetView tabSelected="1" zoomScale="59" zoomScaleNormal="59" topLeftCell="AN91" workbookViewId="0">
      <selection activeCell="AX131" sqref="AX131"/>
    </sheetView>
  </sheetViews>
  <sheetFormatPr defaultColWidth="8.72727272727273" defaultRowHeight="14.5"/>
  <cols>
    <col min="1" max="1" width="8.72727272727273" style="1"/>
    <col min="2" max="2" width="130.909090909091" style="1" customWidth="1"/>
    <col min="3" max="5" width="12.8181818181818" style="1"/>
    <col min="6" max="6" width="30.0909090909091" style="1" customWidth="1"/>
    <col min="7" max="7" width="34.8181818181818" style="1" customWidth="1"/>
    <col min="8" max="8" width="32.5454545454545" style="1" customWidth="1"/>
    <col min="9" max="9" width="30.7272727272727" style="1" customWidth="1"/>
    <col min="10" max="11" width="12.8181818181818" style="1"/>
    <col min="12" max="12" width="34.8181818181818" style="1" customWidth="1"/>
    <col min="13" max="15" width="12.8181818181818" style="1"/>
    <col min="16" max="16" width="8.72727272727273" style="1"/>
    <col min="17" max="17" width="34.8181818181818" style="1" customWidth="1"/>
    <col min="18" max="18" width="14.7454545454545" style="1" customWidth="1"/>
    <col min="19" max="20" width="12.8181818181818" style="1"/>
    <col min="21" max="21" width="23.4545454545455" style="1" customWidth="1"/>
    <col min="22" max="22" width="34.8181818181818" style="1" customWidth="1"/>
    <col min="23" max="26" width="12.8181818181818" style="1"/>
    <col min="27" max="27" width="50" style="1" customWidth="1"/>
    <col min="28" max="41" width="12.8181818181818" style="1"/>
    <col min="42" max="47" width="8.72727272727273" style="1"/>
    <col min="48" max="49" width="12.8181818181818" style="1"/>
    <col min="50" max="50" width="63.7272727272727" style="1" customWidth="1"/>
    <col min="51" max="56" width="12.8181818181818" style="1"/>
    <col min="57" max="57" width="8.72727272727273" style="1"/>
    <col min="58" max="62" width="12.8181818181818" style="1"/>
    <col min="63" max="63" width="8.72727272727273" style="1"/>
    <col min="64" max="66" width="12.8181818181818" style="1"/>
    <col min="67" max="68" width="8.72727272727273" style="1"/>
    <col min="69" max="71" width="12.8181818181818" style="1"/>
    <col min="72" max="73" width="8.72727272727273" style="1"/>
    <col min="74" max="76" width="12.8181818181818" style="1"/>
    <col min="77" max="78" width="8.72727272727273" style="1"/>
    <col min="79" max="81" width="12.8181818181818" style="1"/>
    <col min="82" max="83" width="8.72727272727273" style="1"/>
    <col min="84" max="86" width="12.8181818181818" style="1"/>
    <col min="87" max="16384" width="8.72727272727273" style="1"/>
  </cols>
  <sheetData>
    <row r="1" s="1" customFormat="1" spans="2:41">
      <c r="B1" s="1" t="s">
        <v>39</v>
      </c>
      <c r="R1" s="1" t="s">
        <v>40</v>
      </c>
      <c r="S1" s="88" t="s">
        <v>41</v>
      </c>
      <c r="T1" s="88" t="s">
        <v>42</v>
      </c>
      <c r="U1" s="88" t="s">
        <v>43</v>
      </c>
      <c r="V1" s="88" t="s">
        <v>44</v>
      </c>
      <c r="W1" s="88" t="s">
        <v>45</v>
      </c>
      <c r="X1" s="88" t="s">
        <v>46</v>
      </c>
      <c r="Y1" s="88" t="s">
        <v>47</v>
      </c>
      <c r="Z1" s="88" t="s">
        <v>48</v>
      </c>
      <c r="AA1" s="88" t="s">
        <v>49</v>
      </c>
      <c r="AB1" s="88" t="s">
        <v>50</v>
      </c>
      <c r="AC1" s="88" t="s">
        <v>51</v>
      </c>
      <c r="AI1" s="91">
        <v>2023</v>
      </c>
      <c r="AJ1" s="91">
        <v>2025</v>
      </c>
      <c r="AK1" s="91">
        <v>2030</v>
      </c>
      <c r="AL1" s="91">
        <v>2035</v>
      </c>
      <c r="AM1" s="91">
        <v>2040</v>
      </c>
      <c r="AN1" s="91">
        <v>2045</v>
      </c>
      <c r="AO1" s="91">
        <v>2050</v>
      </c>
    </row>
    <row r="2" s="1" customFormat="1" spans="2:52">
      <c r="B2" s="80" t="s">
        <v>52</v>
      </c>
      <c r="S2" s="89">
        <v>2023</v>
      </c>
      <c r="T2" s="89" t="s">
        <v>53</v>
      </c>
      <c r="U2" s="89" t="s">
        <v>54</v>
      </c>
      <c r="V2" s="89" t="s">
        <v>55</v>
      </c>
      <c r="W2" s="89" t="s">
        <v>56</v>
      </c>
      <c r="X2" s="89" t="s">
        <v>57</v>
      </c>
      <c r="Y2" s="89" t="s">
        <v>58</v>
      </c>
      <c r="Z2" s="89"/>
      <c r="AA2" s="89" t="s">
        <v>59</v>
      </c>
      <c r="AB2" s="90">
        <v>132.92732205738</v>
      </c>
      <c r="AC2" s="89" t="s">
        <v>60</v>
      </c>
      <c r="AH2" s="1" t="s">
        <v>61</v>
      </c>
      <c r="AI2" s="92">
        <v>132.92732205738</v>
      </c>
      <c r="AJ2" s="92">
        <v>120.58407072348</v>
      </c>
      <c r="AK2" s="92">
        <v>104.442895902227</v>
      </c>
      <c r="AL2" s="92">
        <v>94.9480871838431</v>
      </c>
      <c r="AM2" s="92">
        <v>92.1084750593323</v>
      </c>
      <c r="AN2" s="92">
        <v>88.9611647549709</v>
      </c>
      <c r="AO2" s="92">
        <v>85.4532784654588</v>
      </c>
      <c r="AX2" t="s">
        <v>62</v>
      </c>
      <c r="AY2"/>
      <c r="AZ2" s="84"/>
    </row>
    <row r="3" s="1" customFormat="1" spans="6:54">
      <c r="F3" s="81" t="s">
        <v>63</v>
      </c>
      <c r="G3" s="82"/>
      <c r="H3" s="82"/>
      <c r="I3" s="82"/>
      <c r="S3" s="89">
        <v>2025</v>
      </c>
      <c r="T3" s="89" t="s">
        <v>53</v>
      </c>
      <c r="U3" s="89" t="s">
        <v>54</v>
      </c>
      <c r="V3" s="89" t="s">
        <v>55</v>
      </c>
      <c r="W3" s="89" t="s">
        <v>56</v>
      </c>
      <c r="X3" s="89" t="s">
        <v>57</v>
      </c>
      <c r="Y3" s="89" t="s">
        <v>58</v>
      </c>
      <c r="Z3" s="89"/>
      <c r="AA3" s="89" t="s">
        <v>59</v>
      </c>
      <c r="AB3" s="90">
        <v>120.58407072348</v>
      </c>
      <c r="AC3" s="89" t="s">
        <v>60</v>
      </c>
      <c r="AI3" s="1">
        <f>AI2</f>
        <v>132.92732205738</v>
      </c>
      <c r="AJ3" s="1">
        <f t="shared" ref="AJ3:AO3" si="0">AJ2</f>
        <v>120.58407072348</v>
      </c>
      <c r="AK3" s="1">
        <f t="shared" si="0"/>
        <v>104.442895902227</v>
      </c>
      <c r="AL3" s="1">
        <f t="shared" si="0"/>
        <v>94.9480871838431</v>
      </c>
      <c r="AM3" s="1">
        <f t="shared" si="0"/>
        <v>92.1084750593323</v>
      </c>
      <c r="AN3" s="1">
        <f t="shared" si="0"/>
        <v>88.9611647549709</v>
      </c>
      <c r="AO3" s="1">
        <f t="shared" si="0"/>
        <v>85.4532784654588</v>
      </c>
      <c r="AX3" s="84" t="s">
        <v>64</v>
      </c>
      <c r="AY3" s="84" t="s">
        <v>41</v>
      </c>
      <c r="AZ3" s="85" t="s">
        <v>65</v>
      </c>
      <c r="BA3" s="85" t="s">
        <v>11</v>
      </c>
      <c r="BB3" s="85" t="s">
        <v>25</v>
      </c>
    </row>
    <row r="4" s="1" customFormat="1" spans="6:54">
      <c r="F4" s="81" t="s">
        <v>64</v>
      </c>
      <c r="G4" s="81" t="s">
        <v>65</v>
      </c>
      <c r="H4" s="81" t="s">
        <v>11</v>
      </c>
      <c r="I4" s="81" t="s">
        <v>25</v>
      </c>
      <c r="S4" s="89">
        <v>2030</v>
      </c>
      <c r="T4" s="89" t="s">
        <v>53</v>
      </c>
      <c r="U4" s="89" t="s">
        <v>54</v>
      </c>
      <c r="V4" s="89" t="s">
        <v>55</v>
      </c>
      <c r="W4" s="89" t="s">
        <v>56</v>
      </c>
      <c r="X4" s="89" t="s">
        <v>57</v>
      </c>
      <c r="Y4" s="89" t="s">
        <v>58</v>
      </c>
      <c r="Z4" s="89"/>
      <c r="AA4" s="89" t="s">
        <v>59</v>
      </c>
      <c r="AB4" s="90">
        <v>104.442895902227</v>
      </c>
      <c r="AC4" s="89" t="s">
        <v>60</v>
      </c>
      <c r="AI4" s="1">
        <f t="shared" ref="AI4:AI12" si="1">AI3</f>
        <v>132.92732205738</v>
      </c>
      <c r="AJ4" s="1">
        <f t="shared" ref="AJ4:AJ12" si="2">AJ3</f>
        <v>120.58407072348</v>
      </c>
      <c r="AK4" s="1">
        <f t="shared" ref="AK4:AK12" si="3">AK3</f>
        <v>104.442895902227</v>
      </c>
      <c r="AL4" s="1">
        <f t="shared" ref="AL4:AL12" si="4">AL3</f>
        <v>94.9480871838431</v>
      </c>
      <c r="AM4" s="1">
        <f t="shared" ref="AM4:AM12" si="5">AM3</f>
        <v>92.1084750593323</v>
      </c>
      <c r="AN4" s="1">
        <f t="shared" ref="AN4:AN12" si="6">AN3</f>
        <v>88.9611647549709</v>
      </c>
      <c r="AO4" s="1">
        <f t="shared" ref="AO4:AO12" si="7">AO3</f>
        <v>85.4532784654588</v>
      </c>
      <c r="AX4" s="84" t="s">
        <v>66</v>
      </c>
      <c r="AY4" s="84">
        <v>2023</v>
      </c>
      <c r="AZ4" s="84">
        <f>G5</f>
        <v>80.3831766666667</v>
      </c>
      <c r="BA4" s="84">
        <f>H5</f>
        <v>55.48673</v>
      </c>
      <c r="BB4" s="84">
        <f>I5</f>
        <v>106.82505</v>
      </c>
    </row>
    <row r="5" s="1" customFormat="1" ht="116" spans="2:54">
      <c r="B5" s="83" t="s">
        <v>67</v>
      </c>
      <c r="F5" s="81" t="s">
        <v>68</v>
      </c>
      <c r="G5" s="82">
        <f>[3]R_strategies_n_GridBattery!$D$131</f>
        <v>80.3831766666667</v>
      </c>
      <c r="H5" s="82">
        <f>[3]R_strategies_n_GridBattery!$E$131</f>
        <v>55.48673</v>
      </c>
      <c r="I5" s="82">
        <f>[3]R_strategies_n_GridBattery!$F$131</f>
        <v>106.82505</v>
      </c>
      <c r="S5" s="89">
        <v>2035</v>
      </c>
      <c r="T5" s="89" t="s">
        <v>53</v>
      </c>
      <c r="U5" s="89" t="s">
        <v>54</v>
      </c>
      <c r="V5" s="89" t="s">
        <v>55</v>
      </c>
      <c r="W5" s="89" t="s">
        <v>56</v>
      </c>
      <c r="X5" s="89" t="s">
        <v>57</v>
      </c>
      <c r="Y5" s="89" t="s">
        <v>58</v>
      </c>
      <c r="Z5" s="89"/>
      <c r="AA5" s="89" t="s">
        <v>59</v>
      </c>
      <c r="AB5" s="90">
        <v>94.9480871838431</v>
      </c>
      <c r="AC5" s="89" t="s">
        <v>60</v>
      </c>
      <c r="AI5" s="1">
        <f t="shared" si="1"/>
        <v>132.92732205738</v>
      </c>
      <c r="AJ5" s="1">
        <f t="shared" si="2"/>
        <v>120.58407072348</v>
      </c>
      <c r="AK5" s="1">
        <f t="shared" si="3"/>
        <v>104.442895902227</v>
      </c>
      <c r="AL5" s="1">
        <f t="shared" si="4"/>
        <v>94.9480871838431</v>
      </c>
      <c r="AM5" s="1">
        <f t="shared" si="5"/>
        <v>92.1084750593323</v>
      </c>
      <c r="AN5" s="1">
        <f t="shared" si="6"/>
        <v>88.9611647549709</v>
      </c>
      <c r="AO5" s="1">
        <f t="shared" si="7"/>
        <v>85.4532784654588</v>
      </c>
      <c r="AX5" s="84" t="s">
        <v>69</v>
      </c>
      <c r="AY5" s="84">
        <f>AY4</f>
        <v>2023</v>
      </c>
      <c r="AZ5" s="84">
        <f t="shared" ref="AZ5:AZ10" si="8">G6</f>
        <v>95.4086</v>
      </c>
      <c r="BA5" s="84">
        <f t="shared" ref="BA5:BA10" si="9">H6</f>
        <v>66.32565</v>
      </c>
      <c r="BB5" s="84">
        <f t="shared" ref="BB5:BB10" si="10">I6</f>
        <v>126.26355</v>
      </c>
    </row>
    <row r="6" s="1" customFormat="1" spans="6:54">
      <c r="F6" s="81" t="s">
        <v>70</v>
      </c>
      <c r="G6" s="82">
        <f>[3]R_strategies_n_GridBattery!$D$132</f>
        <v>95.4086</v>
      </c>
      <c r="H6" s="82">
        <f>[3]R_strategies_n_GridBattery!$E$132</f>
        <v>66.32565</v>
      </c>
      <c r="I6" s="82">
        <f>[3]R_strategies_n_GridBattery!$F$132</f>
        <v>126.26355</v>
      </c>
      <c r="S6" s="89">
        <v>2040</v>
      </c>
      <c r="T6" s="89" t="s">
        <v>53</v>
      </c>
      <c r="U6" s="89" t="s">
        <v>54</v>
      </c>
      <c r="V6" s="89" t="s">
        <v>55</v>
      </c>
      <c r="W6" s="89" t="s">
        <v>56</v>
      </c>
      <c r="X6" s="89" t="s">
        <v>57</v>
      </c>
      <c r="Y6" s="89" t="s">
        <v>58</v>
      </c>
      <c r="Z6" s="89"/>
      <c r="AA6" s="89" t="s">
        <v>59</v>
      </c>
      <c r="AB6" s="90">
        <v>92.1084750593323</v>
      </c>
      <c r="AC6" s="89" t="s">
        <v>60</v>
      </c>
      <c r="AI6" s="1">
        <f t="shared" si="1"/>
        <v>132.92732205738</v>
      </c>
      <c r="AJ6" s="1">
        <f t="shared" si="2"/>
        <v>120.58407072348</v>
      </c>
      <c r="AK6" s="1">
        <f t="shared" si="3"/>
        <v>104.442895902227</v>
      </c>
      <c r="AL6" s="1">
        <f t="shared" si="4"/>
        <v>94.9480871838431</v>
      </c>
      <c r="AM6" s="1">
        <f t="shared" si="5"/>
        <v>92.1084750593323</v>
      </c>
      <c r="AN6" s="1">
        <f t="shared" si="6"/>
        <v>88.9611647549709</v>
      </c>
      <c r="AO6" s="1">
        <f t="shared" si="7"/>
        <v>85.4532784654588</v>
      </c>
      <c r="AX6" s="84" t="s">
        <v>71</v>
      </c>
      <c r="AY6" s="84">
        <f t="shared" ref="AY6:AY11" si="11">AY5</f>
        <v>2023</v>
      </c>
      <c r="AZ6" s="84">
        <f t="shared" si="8"/>
        <v>85.3476966666666</v>
      </c>
      <c r="BA6" s="84">
        <f t="shared" si="9"/>
        <v>56.10147</v>
      </c>
      <c r="BB6" s="84">
        <f t="shared" si="10"/>
        <v>116.32796</v>
      </c>
    </row>
    <row r="7" s="1" customFormat="1" spans="6:54">
      <c r="F7" s="81" t="s">
        <v>72</v>
      </c>
      <c r="G7" s="82">
        <f>[3]R_strategies_n_GridBattery!$D$133</f>
        <v>85.3476966666666</v>
      </c>
      <c r="H7" s="82">
        <f>[3]R_strategies_n_GridBattery!$E$133</f>
        <v>56.10147</v>
      </c>
      <c r="I7" s="82">
        <f>[3]R_strategies_n_GridBattery!$F$133</f>
        <v>116.32796</v>
      </c>
      <c r="S7" s="89">
        <v>2045</v>
      </c>
      <c r="T7" s="89" t="s">
        <v>53</v>
      </c>
      <c r="U7" s="89" t="s">
        <v>54</v>
      </c>
      <c r="V7" s="89" t="s">
        <v>55</v>
      </c>
      <c r="W7" s="89" t="s">
        <v>56</v>
      </c>
      <c r="X7" s="89" t="s">
        <v>57</v>
      </c>
      <c r="Y7" s="89" t="s">
        <v>58</v>
      </c>
      <c r="Z7" s="89"/>
      <c r="AA7" s="89" t="s">
        <v>59</v>
      </c>
      <c r="AB7" s="90">
        <v>88.9611647549709</v>
      </c>
      <c r="AC7" s="89" t="s">
        <v>60</v>
      </c>
      <c r="AI7" s="1">
        <f t="shared" si="1"/>
        <v>132.92732205738</v>
      </c>
      <c r="AJ7" s="1">
        <f t="shared" si="2"/>
        <v>120.58407072348</v>
      </c>
      <c r="AK7" s="1">
        <f t="shared" si="3"/>
        <v>104.442895902227</v>
      </c>
      <c r="AL7" s="1">
        <f t="shared" si="4"/>
        <v>94.9480871838431</v>
      </c>
      <c r="AM7" s="1">
        <f t="shared" si="5"/>
        <v>92.1084750593323</v>
      </c>
      <c r="AN7" s="1">
        <f t="shared" si="6"/>
        <v>88.9611647549709</v>
      </c>
      <c r="AO7" s="1">
        <f t="shared" si="7"/>
        <v>85.4532784654588</v>
      </c>
      <c r="AX7" s="84" t="s">
        <v>73</v>
      </c>
      <c r="AY7" s="84">
        <f t="shared" si="11"/>
        <v>2023</v>
      </c>
      <c r="AZ7" s="84">
        <f t="shared" si="8"/>
        <v>85.52157</v>
      </c>
      <c r="BA7" s="84">
        <f t="shared" si="9"/>
        <v>55.55951</v>
      </c>
      <c r="BB7" s="84">
        <f t="shared" si="10"/>
        <v>117.30431</v>
      </c>
    </row>
    <row r="8" s="1" customFormat="1" ht="29" spans="2:54">
      <c r="B8" s="83" t="s">
        <v>74</v>
      </c>
      <c r="F8" s="81" t="s">
        <v>75</v>
      </c>
      <c r="G8" s="82">
        <f>[3]R_strategies_n_GridBattery!$D$134</f>
        <v>85.52157</v>
      </c>
      <c r="H8" s="82">
        <f>[3]R_strategies_n_GridBattery!$E$134</f>
        <v>55.55951</v>
      </c>
      <c r="I8" s="82">
        <f>[3]R_strategies_n_GridBattery!$F$134</f>
        <v>117.30431</v>
      </c>
      <c r="S8" s="89">
        <v>2050</v>
      </c>
      <c r="T8" s="89" t="s">
        <v>53</v>
      </c>
      <c r="U8" s="89" t="s">
        <v>54</v>
      </c>
      <c r="V8" s="89" t="s">
        <v>55</v>
      </c>
      <c r="W8" s="89" t="s">
        <v>56</v>
      </c>
      <c r="X8" s="89" t="s">
        <v>57</v>
      </c>
      <c r="Y8" s="89" t="s">
        <v>58</v>
      </c>
      <c r="Z8" s="89"/>
      <c r="AA8" s="89" t="s">
        <v>59</v>
      </c>
      <c r="AB8" s="90">
        <v>85.4532784654588</v>
      </c>
      <c r="AC8" s="89" t="s">
        <v>60</v>
      </c>
      <c r="AI8" s="1">
        <f t="shared" si="1"/>
        <v>132.92732205738</v>
      </c>
      <c r="AJ8" s="1">
        <f t="shared" si="2"/>
        <v>120.58407072348</v>
      </c>
      <c r="AK8" s="1">
        <f t="shared" si="3"/>
        <v>104.442895902227</v>
      </c>
      <c r="AL8" s="1">
        <f t="shared" si="4"/>
        <v>94.9480871838431</v>
      </c>
      <c r="AM8" s="1">
        <f t="shared" si="5"/>
        <v>92.1084750593323</v>
      </c>
      <c r="AN8" s="1">
        <f t="shared" si="6"/>
        <v>88.9611647549709</v>
      </c>
      <c r="AO8" s="1">
        <f t="shared" si="7"/>
        <v>85.4532784654588</v>
      </c>
      <c r="AX8" s="84" t="s">
        <v>76</v>
      </c>
      <c r="AY8" s="84">
        <f t="shared" si="11"/>
        <v>2023</v>
      </c>
      <c r="AZ8" s="84">
        <f t="shared" si="8"/>
        <v>90.0929166666666</v>
      </c>
      <c r="BA8" s="84">
        <f t="shared" si="9"/>
        <v>59.3677</v>
      </c>
      <c r="BB8" s="84">
        <f t="shared" si="10"/>
        <v>122.66905</v>
      </c>
    </row>
    <row r="9" s="1" customFormat="1" spans="6:54">
      <c r="F9" s="81" t="s">
        <v>77</v>
      </c>
      <c r="G9" s="82">
        <f>[3]R_strategies_n_GridBattery!$D$135</f>
        <v>90.0929166666666</v>
      </c>
      <c r="H9" s="82">
        <f>[3]R_strategies_n_GridBattery!$E$135</f>
        <v>59.3677</v>
      </c>
      <c r="I9" s="82">
        <f>[3]R_strategies_n_GridBattery!$F$135</f>
        <v>122.66905</v>
      </c>
      <c r="AI9" s="1">
        <f t="shared" si="1"/>
        <v>132.92732205738</v>
      </c>
      <c r="AJ9" s="1">
        <f t="shared" si="2"/>
        <v>120.58407072348</v>
      </c>
      <c r="AK9" s="1">
        <f t="shared" si="3"/>
        <v>104.442895902227</v>
      </c>
      <c r="AL9" s="1">
        <f t="shared" si="4"/>
        <v>94.9480871838431</v>
      </c>
      <c r="AM9" s="1">
        <f t="shared" si="5"/>
        <v>92.1084750593323</v>
      </c>
      <c r="AN9" s="1">
        <f t="shared" si="6"/>
        <v>88.9611647549709</v>
      </c>
      <c r="AO9" s="1">
        <f t="shared" si="7"/>
        <v>85.4532784654588</v>
      </c>
      <c r="AX9" s="84" t="s">
        <v>78</v>
      </c>
      <c r="AY9" s="84">
        <f t="shared" si="11"/>
        <v>2023</v>
      </c>
      <c r="AZ9" s="84">
        <f t="shared" si="8"/>
        <v>86.9222166666667</v>
      </c>
      <c r="BA9" s="84">
        <f t="shared" si="9"/>
        <v>57.33755</v>
      </c>
      <c r="BB9" s="84">
        <f t="shared" si="10"/>
        <v>118.2723</v>
      </c>
    </row>
    <row r="10" s="1" customFormat="1" spans="6:54">
      <c r="F10" s="81" t="s">
        <v>79</v>
      </c>
      <c r="G10" s="82">
        <f>[3]R_strategies_n_GridBattery!$D$136</f>
        <v>86.9222166666667</v>
      </c>
      <c r="H10" s="82">
        <f>[3]R_strategies_n_GridBattery!$E$136</f>
        <v>57.33755</v>
      </c>
      <c r="I10" s="82">
        <f>[3]R_strategies_n_GridBattery!$F$136</f>
        <v>118.2723</v>
      </c>
      <c r="AI10" s="1">
        <f t="shared" si="1"/>
        <v>132.92732205738</v>
      </c>
      <c r="AJ10" s="1">
        <f t="shared" si="2"/>
        <v>120.58407072348</v>
      </c>
      <c r="AK10" s="1">
        <f t="shared" si="3"/>
        <v>104.442895902227</v>
      </c>
      <c r="AL10" s="1">
        <f t="shared" si="4"/>
        <v>94.9480871838431</v>
      </c>
      <c r="AM10" s="1">
        <f t="shared" si="5"/>
        <v>92.1084750593323</v>
      </c>
      <c r="AN10" s="1">
        <f t="shared" si="6"/>
        <v>88.9611647549709</v>
      </c>
      <c r="AO10" s="1">
        <f t="shared" si="7"/>
        <v>85.4532784654588</v>
      </c>
      <c r="AX10" s="84" t="s">
        <v>80</v>
      </c>
      <c r="AY10" s="84">
        <f t="shared" si="11"/>
        <v>2023</v>
      </c>
      <c r="AZ10" s="84">
        <f t="shared" si="8"/>
        <v>89.5526666666667</v>
      </c>
      <c r="BA10" s="84">
        <f t="shared" si="9"/>
        <v>59.98948</v>
      </c>
      <c r="BB10" s="84">
        <f t="shared" si="10"/>
        <v>120.87452</v>
      </c>
    </row>
    <row r="11" s="1" customFormat="1" spans="6:55">
      <c r="F11" s="81" t="s">
        <v>81</v>
      </c>
      <c r="G11" s="82">
        <f>[3]R_strategies_n_GridBattery!$D$137</f>
        <v>89.5526666666667</v>
      </c>
      <c r="H11" s="82">
        <f>[3]R_strategies_n_GridBattery!$E$137</f>
        <v>59.98948</v>
      </c>
      <c r="I11" s="82">
        <f>[3]R_strategies_n_GridBattery!$F$137</f>
        <v>120.87452</v>
      </c>
      <c r="AI11" s="1">
        <f t="shared" si="1"/>
        <v>132.92732205738</v>
      </c>
      <c r="AJ11" s="1">
        <f t="shared" si="2"/>
        <v>120.58407072348</v>
      </c>
      <c r="AK11" s="1">
        <f t="shared" si="3"/>
        <v>104.442895902227</v>
      </c>
      <c r="AL11" s="1">
        <f t="shared" si="4"/>
        <v>94.9480871838431</v>
      </c>
      <c r="AM11" s="1">
        <f t="shared" si="5"/>
        <v>92.1084750593323</v>
      </c>
      <c r="AN11" s="1">
        <f t="shared" si="6"/>
        <v>88.9611647549709</v>
      </c>
      <c r="AO11" s="1">
        <f t="shared" si="7"/>
        <v>85.4532784654588</v>
      </c>
      <c r="AV11" s="79"/>
      <c r="AW11" s="79"/>
      <c r="AX11" s="93" t="s">
        <v>82</v>
      </c>
      <c r="AY11" s="84">
        <f t="shared" si="11"/>
        <v>2023</v>
      </c>
      <c r="AZ11" s="93">
        <f>C33</f>
        <v>162.093333333333</v>
      </c>
      <c r="BA11" s="93">
        <f>AZ11</f>
        <v>162.093333333333</v>
      </c>
      <c r="BB11" s="93">
        <f>BA11</f>
        <v>162.093333333333</v>
      </c>
      <c r="BC11" s="79"/>
    </row>
    <row r="12" s="1" customFormat="1" spans="35:41">
      <c r="AI12" s="1">
        <f t="shared" si="1"/>
        <v>132.92732205738</v>
      </c>
      <c r="AJ12" s="1">
        <f t="shared" si="2"/>
        <v>120.58407072348</v>
      </c>
      <c r="AK12" s="1">
        <f t="shared" si="3"/>
        <v>104.442895902227</v>
      </c>
      <c r="AL12" s="1">
        <f t="shared" si="4"/>
        <v>94.9480871838431</v>
      </c>
      <c r="AM12" s="1">
        <f t="shared" si="5"/>
        <v>92.1084750593323</v>
      </c>
      <c r="AN12" s="1">
        <f t="shared" si="6"/>
        <v>88.9611647549709</v>
      </c>
      <c r="AO12" s="1">
        <f t="shared" si="7"/>
        <v>85.4532784654588</v>
      </c>
    </row>
    <row r="14" s="1" customFormat="1" spans="39:41">
      <c r="AM14" s="1">
        <f>AM2/AL2</f>
        <v>0.97009300335864</v>
      </c>
      <c r="AN14" s="1">
        <f>AN2/AM2</f>
        <v>0.965830393974778</v>
      </c>
      <c r="AO14" s="1">
        <f>AO2/AN2</f>
        <v>0.96056834126246</v>
      </c>
    </row>
    <row r="15" spans="50:52">
      <c r="AX15" t="s">
        <v>62</v>
      </c>
      <c r="AY15"/>
      <c r="AZ15" s="84"/>
    </row>
    <row r="16" s="1" customFormat="1" spans="50:54">
      <c r="AX16" s="84" t="s">
        <v>64</v>
      </c>
      <c r="AY16" s="84" t="s">
        <v>41</v>
      </c>
      <c r="AZ16" s="85" t="s">
        <v>65</v>
      </c>
      <c r="BA16" s="85" t="s">
        <v>11</v>
      </c>
      <c r="BB16" s="85" t="s">
        <v>25</v>
      </c>
    </row>
    <row r="17" s="1" customFormat="1" spans="50:54">
      <c r="AX17" s="84" t="s">
        <v>66</v>
      </c>
      <c r="AY17" s="84">
        <v>2025</v>
      </c>
      <c r="AZ17" s="84">
        <f t="shared" ref="AZ17:AZ24" si="12">AZ4*AJ2/AI2</f>
        <v>72.9190245476188</v>
      </c>
      <c r="BA17" s="84">
        <f>BA4*AJ2/AI2</f>
        <v>50.3343907857141</v>
      </c>
      <c r="BB17" s="84">
        <f>BB4*AJ2/AI2</f>
        <v>96.9055810714282</v>
      </c>
    </row>
    <row r="18" s="1" customFormat="1" spans="50:54">
      <c r="AX18" s="84" t="s">
        <v>69</v>
      </c>
      <c r="AY18" s="84">
        <f t="shared" ref="AY18:AY24" si="13">AY17</f>
        <v>2025</v>
      </c>
      <c r="AZ18" s="84">
        <f t="shared" si="12"/>
        <v>86.5492299999997</v>
      </c>
      <c r="BA18" s="84">
        <f t="shared" ref="BA18:BA24" si="14">BA5*AJ3/AI3</f>
        <v>60.1668396428569</v>
      </c>
      <c r="BB18" s="84">
        <f t="shared" ref="BB18:BB24" si="15">BB5*AJ3/AI3</f>
        <v>114.5390775</v>
      </c>
    </row>
    <row r="19" s="1" customFormat="1" spans="50:54">
      <c r="AX19" s="84" t="s">
        <v>71</v>
      </c>
      <c r="AY19" s="84">
        <f t="shared" si="13"/>
        <v>2025</v>
      </c>
      <c r="AZ19" s="84">
        <f t="shared" si="12"/>
        <v>77.4225534047616</v>
      </c>
      <c r="BA19" s="84">
        <f t="shared" si="14"/>
        <v>50.8920477857141</v>
      </c>
      <c r="BB19" s="84">
        <f t="shared" si="15"/>
        <v>105.526078</v>
      </c>
    </row>
    <row r="20" s="1" customFormat="1" spans="50:54">
      <c r="AX20" s="84" t="s">
        <v>73</v>
      </c>
      <c r="AY20" s="84">
        <f t="shared" si="13"/>
        <v>2025</v>
      </c>
      <c r="AZ20" s="84">
        <f t="shared" si="12"/>
        <v>77.5802813571426</v>
      </c>
      <c r="BA20" s="84">
        <f t="shared" si="14"/>
        <v>50.400412642857</v>
      </c>
      <c r="BB20" s="84">
        <f t="shared" si="15"/>
        <v>106.411766928571</v>
      </c>
    </row>
    <row r="21" s="1" customFormat="1" spans="50:54">
      <c r="AX21" s="84" t="s">
        <v>76</v>
      </c>
      <c r="AY21" s="84">
        <f t="shared" si="13"/>
        <v>2025</v>
      </c>
      <c r="AZ21" s="84">
        <f t="shared" si="12"/>
        <v>81.727145833333</v>
      </c>
      <c r="BA21" s="84">
        <f t="shared" si="14"/>
        <v>53.8549849999998</v>
      </c>
      <c r="BB21" s="84">
        <f t="shared" si="15"/>
        <v>111.2783525</v>
      </c>
    </row>
    <row r="22" s="1" customFormat="1" spans="50:54">
      <c r="AX22" s="84" t="s">
        <v>78</v>
      </c>
      <c r="AY22" s="84">
        <f t="shared" si="13"/>
        <v>2025</v>
      </c>
      <c r="AZ22" s="84">
        <f t="shared" si="12"/>
        <v>78.8508679761902</v>
      </c>
      <c r="BA22" s="84">
        <f t="shared" si="14"/>
        <v>52.0133489285712</v>
      </c>
      <c r="BB22" s="84">
        <f t="shared" si="15"/>
        <v>107.289872142857</v>
      </c>
    </row>
    <row r="23" s="1" customFormat="1" spans="50:54">
      <c r="AX23" s="84" t="s">
        <v>80</v>
      </c>
      <c r="AY23" s="84">
        <f t="shared" si="13"/>
        <v>2025</v>
      </c>
      <c r="AZ23" s="84">
        <f t="shared" si="12"/>
        <v>81.2370619047616</v>
      </c>
      <c r="BA23" s="84">
        <f t="shared" si="14"/>
        <v>54.4190282857141</v>
      </c>
      <c r="BB23" s="84">
        <f t="shared" si="15"/>
        <v>109.650457428571</v>
      </c>
    </row>
    <row r="24" s="1" customFormat="1" spans="49:54">
      <c r="AW24" s="79"/>
      <c r="AX24" s="93" t="s">
        <v>82</v>
      </c>
      <c r="AY24" s="84">
        <f t="shared" si="13"/>
        <v>2025</v>
      </c>
      <c r="AZ24" s="84">
        <f t="shared" si="12"/>
        <v>147.041809523809</v>
      </c>
      <c r="BA24" s="84">
        <f t="shared" si="14"/>
        <v>147.041809523809</v>
      </c>
      <c r="BB24" s="84">
        <f t="shared" si="15"/>
        <v>147.041809523809</v>
      </c>
    </row>
    <row r="25" s="79" customFormat="1" spans="48:55">
      <c r="AV25" s="1"/>
      <c r="AW25" s="1"/>
      <c r="AX25" s="1"/>
      <c r="AY25" s="1"/>
      <c r="AZ25" s="1"/>
      <c r="BA25" s="1"/>
      <c r="BB25" s="1"/>
      <c r="BC25" s="1"/>
    </row>
    <row r="30" spans="50:52">
      <c r="AX30" t="s">
        <v>62</v>
      </c>
      <c r="AY30"/>
      <c r="AZ30" s="84"/>
    </row>
    <row r="31" spans="49:54">
      <c r="AW31" s="94"/>
      <c r="AX31" s="84" t="s">
        <v>64</v>
      </c>
      <c r="AY31" s="84" t="s">
        <v>41</v>
      </c>
      <c r="AZ31" s="85" t="s">
        <v>65</v>
      </c>
      <c r="BA31" s="85" t="s">
        <v>11</v>
      </c>
      <c r="BB31" s="85" t="s">
        <v>25</v>
      </c>
    </row>
    <row r="32" spans="2:54">
      <c r="B32" s="35" t="s">
        <v>83</v>
      </c>
      <c r="C32" s="35" t="s">
        <v>84</v>
      </c>
      <c r="AW32" s="84"/>
      <c r="AX32" s="84" t="s">
        <v>66</v>
      </c>
      <c r="AY32" s="84">
        <v>2030</v>
      </c>
      <c r="AZ32" s="84">
        <f>AZ17*AK2/AJ2</f>
        <v>63.1582102380952</v>
      </c>
      <c r="BA32" s="84">
        <f>BA17*AK2/AJ2</f>
        <v>43.5967164285714</v>
      </c>
      <c r="BB32" s="84">
        <f>BB17*AK2/AJ2</f>
        <v>83.9339678571427</v>
      </c>
    </row>
    <row r="33" spans="2:54">
      <c r="B33" s="35">
        <v>121.57</v>
      </c>
      <c r="C33" s="35">
        <f>B33/0.75</f>
        <v>162.093333333333</v>
      </c>
      <c r="AW33" s="84"/>
      <c r="AX33" s="84" t="s">
        <v>69</v>
      </c>
      <c r="AY33" s="84">
        <f t="shared" ref="AY33:AY39" si="16">AY32</f>
        <v>2030</v>
      </c>
      <c r="AZ33" s="84">
        <f t="shared" ref="AZ33:AZ39" si="17">AZ18*AK3/AJ3</f>
        <v>74.9638999999999</v>
      </c>
      <c r="BA33" s="84">
        <f t="shared" ref="BA33:BA39" si="18">BA18*AK3/AJ3</f>
        <v>52.1130107142856</v>
      </c>
      <c r="BB33" s="84">
        <f t="shared" ref="BB33:BB39" si="19">BB18*AK3/AJ3</f>
        <v>99.2070749999999</v>
      </c>
    </row>
    <row r="34" spans="49:54">
      <c r="AW34" s="84"/>
      <c r="AX34" s="84" t="s">
        <v>71</v>
      </c>
      <c r="AY34" s="84">
        <f t="shared" si="16"/>
        <v>2030</v>
      </c>
      <c r="AZ34" s="84">
        <f t="shared" si="17"/>
        <v>67.0589045238094</v>
      </c>
      <c r="BA34" s="84">
        <f t="shared" si="18"/>
        <v>44.0797264285714</v>
      </c>
      <c r="BB34" s="84">
        <f t="shared" si="19"/>
        <v>91.4005399999999</v>
      </c>
    </row>
    <row r="35" spans="49:54">
      <c r="AW35" s="84"/>
      <c r="AX35" s="84" t="s">
        <v>73</v>
      </c>
      <c r="AY35" s="84">
        <f t="shared" si="16"/>
        <v>2030</v>
      </c>
      <c r="AZ35" s="84">
        <f t="shared" si="17"/>
        <v>67.1955192857142</v>
      </c>
      <c r="BA35" s="84">
        <f t="shared" si="18"/>
        <v>43.6539007142857</v>
      </c>
      <c r="BB35" s="84">
        <f t="shared" si="19"/>
        <v>92.167672142857</v>
      </c>
    </row>
    <row r="36" spans="49:54">
      <c r="AW36" s="84"/>
      <c r="AX36" s="84" t="s">
        <v>76</v>
      </c>
      <c r="AY36" s="84">
        <f t="shared" si="16"/>
        <v>2030</v>
      </c>
      <c r="AZ36" s="84">
        <f t="shared" si="17"/>
        <v>70.7872916666665</v>
      </c>
      <c r="BA36" s="84">
        <f t="shared" si="18"/>
        <v>46.6460499999999</v>
      </c>
      <c r="BB36" s="84">
        <f t="shared" si="19"/>
        <v>96.3828249999999</v>
      </c>
    </row>
    <row r="37" spans="49:54">
      <c r="AW37" s="84"/>
      <c r="AX37" s="84" t="s">
        <v>78</v>
      </c>
      <c r="AY37" s="84">
        <f t="shared" si="16"/>
        <v>2030</v>
      </c>
      <c r="AZ37" s="84">
        <f t="shared" si="17"/>
        <v>68.2960273809523</v>
      </c>
      <c r="BA37" s="84">
        <f t="shared" si="18"/>
        <v>45.0509321428571</v>
      </c>
      <c r="BB37" s="84">
        <f t="shared" si="19"/>
        <v>92.9282357142856</v>
      </c>
    </row>
    <row r="38" spans="49:54">
      <c r="AW38" s="84"/>
      <c r="AX38" s="84" t="s">
        <v>80</v>
      </c>
      <c r="AY38" s="84">
        <f t="shared" si="16"/>
        <v>2030</v>
      </c>
      <c r="AZ38" s="84">
        <f t="shared" si="17"/>
        <v>70.3628095238094</v>
      </c>
      <c r="BA38" s="84">
        <f t="shared" si="18"/>
        <v>47.1345914285714</v>
      </c>
      <c r="BB38" s="84">
        <f t="shared" si="19"/>
        <v>94.972837142857</v>
      </c>
    </row>
    <row r="39" spans="49:54">
      <c r="AW39" s="93"/>
      <c r="AX39" s="93" t="s">
        <v>82</v>
      </c>
      <c r="AY39" s="84">
        <f t="shared" si="16"/>
        <v>2030</v>
      </c>
      <c r="AZ39" s="84">
        <f t="shared" si="17"/>
        <v>127.359047619047</v>
      </c>
      <c r="BA39" s="84">
        <f t="shared" si="18"/>
        <v>127.359047619047</v>
      </c>
      <c r="BB39" s="84">
        <f t="shared" si="19"/>
        <v>127.359047619047</v>
      </c>
    </row>
    <row r="44" spans="50:52">
      <c r="AX44" t="s">
        <v>62</v>
      </c>
      <c r="AY44"/>
      <c r="AZ44" s="84"/>
    </row>
    <row r="45" spans="50:54">
      <c r="AX45" s="84" t="s">
        <v>64</v>
      </c>
      <c r="AY45" s="84" t="s">
        <v>41</v>
      </c>
      <c r="AZ45" s="85" t="s">
        <v>65</v>
      </c>
      <c r="BA45" s="85" t="s">
        <v>11</v>
      </c>
      <c r="BB45" s="85" t="s">
        <v>25</v>
      </c>
    </row>
    <row r="46" spans="2:54">
      <c r="B46"/>
      <c r="C46" s="84"/>
      <c r="AX46" s="84" t="s">
        <v>66</v>
      </c>
      <c r="AY46" s="84">
        <v>2035</v>
      </c>
      <c r="AZ46" s="84">
        <f>AZ32*AL2/AK2</f>
        <v>57.4165547619049</v>
      </c>
      <c r="BA46" s="84">
        <f>BA32*AL2/AK2</f>
        <v>39.6333785714287</v>
      </c>
      <c r="BB46" s="84">
        <f>BB32*AL2/AK2</f>
        <v>76.3036071428573</v>
      </c>
    </row>
    <row r="47" spans="2:54">
      <c r="B47" s="84"/>
      <c r="C47" s="85"/>
      <c r="D47" s="85"/>
      <c r="E47" s="85"/>
      <c r="AX47" s="84" t="s">
        <v>69</v>
      </c>
      <c r="AY47" s="84">
        <f t="shared" ref="AY47:AY53" si="20">AY46</f>
        <v>2035</v>
      </c>
      <c r="AZ47" s="84">
        <f t="shared" ref="AZ47:AZ53" si="21">AZ33*AL3/AK3</f>
        <v>68.1490000000002</v>
      </c>
      <c r="BA47" s="84">
        <f t="shared" ref="BA47:BA53" si="22">BA33*AL3/AK3</f>
        <v>47.3754642857144</v>
      </c>
      <c r="BB47" s="84">
        <f t="shared" ref="BB47:BB53" si="23">BB33*AL3/AK3</f>
        <v>90.1882500000002</v>
      </c>
    </row>
    <row r="48" spans="2:54">
      <c r="B48" s="84"/>
      <c r="C48" s="84"/>
      <c r="D48" s="84"/>
      <c r="E48" s="84"/>
      <c r="AX48" s="84" t="s">
        <v>71</v>
      </c>
      <c r="AY48" s="84">
        <f t="shared" si="20"/>
        <v>2035</v>
      </c>
      <c r="AZ48" s="84">
        <f t="shared" si="21"/>
        <v>60.9626404761906</v>
      </c>
      <c r="BA48" s="84">
        <f t="shared" si="22"/>
        <v>40.0724785714287</v>
      </c>
      <c r="BB48" s="84">
        <f t="shared" si="23"/>
        <v>83.0914000000002</v>
      </c>
    </row>
    <row r="49" spans="2:54">
      <c r="B49" s="84"/>
      <c r="C49" s="84"/>
      <c r="D49" s="84"/>
      <c r="E49" s="84"/>
      <c r="AX49" s="84" t="s">
        <v>73</v>
      </c>
      <c r="AY49" s="84">
        <f t="shared" si="20"/>
        <v>2035</v>
      </c>
      <c r="AZ49" s="84">
        <f t="shared" si="21"/>
        <v>61.0868357142859</v>
      </c>
      <c r="BA49" s="84">
        <f t="shared" si="22"/>
        <v>39.6853642857144</v>
      </c>
      <c r="BB49" s="84">
        <f t="shared" si="23"/>
        <v>83.7887928571431</v>
      </c>
    </row>
    <row r="50" spans="2:54">
      <c r="B50" s="84"/>
      <c r="C50" s="84"/>
      <c r="D50" s="84"/>
      <c r="E50" s="84"/>
      <c r="AX50" s="84" t="s">
        <v>76</v>
      </c>
      <c r="AY50" s="84">
        <f t="shared" si="20"/>
        <v>2035</v>
      </c>
      <c r="AZ50" s="84">
        <f t="shared" si="21"/>
        <v>64.3520833333335</v>
      </c>
      <c r="BA50" s="84">
        <f t="shared" si="22"/>
        <v>42.4055000000001</v>
      </c>
      <c r="BB50" s="84">
        <f t="shared" si="23"/>
        <v>87.6207500000002</v>
      </c>
    </row>
    <row r="51" spans="2:54">
      <c r="B51" s="84"/>
      <c r="C51" s="84"/>
      <c r="D51" s="84"/>
      <c r="E51" s="84"/>
      <c r="AX51" s="84" t="s">
        <v>78</v>
      </c>
      <c r="AY51" s="84">
        <f t="shared" si="20"/>
        <v>2035</v>
      </c>
      <c r="AZ51" s="84">
        <f t="shared" si="21"/>
        <v>62.0872976190478</v>
      </c>
      <c r="BA51" s="84">
        <f t="shared" si="22"/>
        <v>40.955392857143</v>
      </c>
      <c r="BB51" s="84">
        <f t="shared" si="23"/>
        <v>84.4802142857145</v>
      </c>
    </row>
    <row r="52" spans="2:54">
      <c r="B52" s="84"/>
      <c r="C52" s="84"/>
      <c r="D52" s="84"/>
      <c r="E52" s="84"/>
      <c r="AX52" s="84" t="s">
        <v>80</v>
      </c>
      <c r="AY52" s="84">
        <f t="shared" si="20"/>
        <v>2035</v>
      </c>
      <c r="AZ52" s="84">
        <f t="shared" si="21"/>
        <v>63.9661904761907</v>
      </c>
      <c r="BA52" s="84">
        <f t="shared" si="22"/>
        <v>42.8496285714287</v>
      </c>
      <c r="BB52" s="84">
        <f t="shared" si="23"/>
        <v>86.3389428571431</v>
      </c>
    </row>
    <row r="53" spans="2:54">
      <c r="B53" s="84"/>
      <c r="C53" s="84"/>
      <c r="D53" s="84"/>
      <c r="E53" s="84"/>
      <c r="AW53" s="79"/>
      <c r="AX53" s="93" t="s">
        <v>82</v>
      </c>
      <c r="AY53" s="84">
        <f t="shared" si="20"/>
        <v>2035</v>
      </c>
      <c r="AZ53" s="84">
        <f t="shared" si="21"/>
        <v>115.780952380953</v>
      </c>
      <c r="BA53" s="84">
        <f t="shared" si="22"/>
        <v>115.780952380953</v>
      </c>
      <c r="BB53" s="84">
        <f t="shared" si="23"/>
        <v>115.780952380953</v>
      </c>
    </row>
    <row r="54" spans="2:5">
      <c r="B54" s="84"/>
      <c r="C54" s="84"/>
      <c r="D54" s="84"/>
      <c r="E54" s="84"/>
    </row>
    <row r="55" spans="2:5">
      <c r="B55" s="86"/>
      <c r="C55" s="87"/>
      <c r="D55" s="87"/>
      <c r="E55" s="87"/>
    </row>
    <row r="58" spans="50:52">
      <c r="AX58" t="s">
        <v>62</v>
      </c>
      <c r="AY58"/>
      <c r="AZ58" s="84"/>
    </row>
    <row r="59" spans="50:54">
      <c r="AX59" s="84" t="s">
        <v>64</v>
      </c>
      <c r="AY59" s="84" t="s">
        <v>41</v>
      </c>
      <c r="AZ59" s="85" t="s">
        <v>65</v>
      </c>
      <c r="BA59" s="85" t="s">
        <v>11</v>
      </c>
      <c r="BB59" s="85" t="s">
        <v>25</v>
      </c>
    </row>
    <row r="60" spans="50:54">
      <c r="AX60" s="84" t="s">
        <v>66</v>
      </c>
      <c r="AY60" s="84">
        <v>2040</v>
      </c>
      <c r="AZ60" s="84">
        <f>AZ46*0.97</f>
        <v>55.6940581190478</v>
      </c>
      <c r="BA60" s="84">
        <f>BA46*0.97</f>
        <v>38.4443772142858</v>
      </c>
      <c r="BB60" s="84">
        <f>BB46*0.97</f>
        <v>74.0144989285716</v>
      </c>
    </row>
    <row r="61" spans="50:54">
      <c r="AX61" s="84" t="s">
        <v>69</v>
      </c>
      <c r="AY61" s="84">
        <f t="shared" ref="AY61:AY67" si="24">AY60</f>
        <v>2040</v>
      </c>
      <c r="AZ61" s="84">
        <f t="shared" ref="AZ61:AZ67" si="25">AZ47*0.97</f>
        <v>66.1045300000002</v>
      </c>
      <c r="BA61" s="84">
        <f t="shared" ref="BA61:BA67" si="26">BA47*0.97</f>
        <v>45.954200357143</v>
      </c>
      <c r="BB61" s="84">
        <f t="shared" ref="BB61:BB67" si="27">BB47*0.97</f>
        <v>87.4826025000002</v>
      </c>
    </row>
    <row r="62" spans="50:54">
      <c r="AX62" s="84" t="s">
        <v>71</v>
      </c>
      <c r="AY62" s="84">
        <f t="shared" si="24"/>
        <v>2040</v>
      </c>
      <c r="AZ62" s="84">
        <f t="shared" si="25"/>
        <v>59.1337612619049</v>
      </c>
      <c r="BA62" s="84">
        <f t="shared" si="26"/>
        <v>38.8703042142858</v>
      </c>
      <c r="BB62" s="84">
        <f t="shared" si="27"/>
        <v>80.5986580000002</v>
      </c>
    </row>
    <row r="63" spans="50:54">
      <c r="AX63" s="84" t="s">
        <v>73</v>
      </c>
      <c r="AY63" s="84">
        <f t="shared" si="24"/>
        <v>2040</v>
      </c>
      <c r="AZ63" s="84">
        <f t="shared" si="25"/>
        <v>59.2542306428573</v>
      </c>
      <c r="BA63" s="84">
        <f t="shared" si="26"/>
        <v>38.494803357143</v>
      </c>
      <c r="BB63" s="84">
        <f t="shared" si="27"/>
        <v>81.2751290714288</v>
      </c>
    </row>
    <row r="64" spans="50:54">
      <c r="AX64" s="84" t="s">
        <v>76</v>
      </c>
      <c r="AY64" s="84">
        <f t="shared" si="24"/>
        <v>2040</v>
      </c>
      <c r="AZ64" s="84">
        <f t="shared" si="25"/>
        <v>62.4215208333334</v>
      </c>
      <c r="BA64" s="84">
        <f t="shared" si="26"/>
        <v>41.1333350000001</v>
      </c>
      <c r="BB64" s="84">
        <f t="shared" si="27"/>
        <v>84.9921275000002</v>
      </c>
    </row>
    <row r="65" spans="50:54">
      <c r="AX65" s="84" t="s">
        <v>78</v>
      </c>
      <c r="AY65" s="84">
        <f t="shared" si="24"/>
        <v>2040</v>
      </c>
      <c r="AZ65" s="84">
        <f t="shared" si="25"/>
        <v>60.2246786904764</v>
      </c>
      <c r="BA65" s="84">
        <f t="shared" si="26"/>
        <v>39.7267310714287</v>
      </c>
      <c r="BB65" s="84">
        <f t="shared" si="27"/>
        <v>81.9458078571431</v>
      </c>
    </row>
    <row r="66" spans="50:54">
      <c r="AX66" s="84" t="s">
        <v>80</v>
      </c>
      <c r="AY66" s="84">
        <f t="shared" si="24"/>
        <v>2040</v>
      </c>
      <c r="AZ66" s="84">
        <f t="shared" si="25"/>
        <v>62.0472047619049</v>
      </c>
      <c r="BA66" s="84">
        <f t="shared" si="26"/>
        <v>41.5641397142858</v>
      </c>
      <c r="BB66" s="84">
        <f t="shared" si="27"/>
        <v>83.7487745714288</v>
      </c>
    </row>
    <row r="67" spans="49:54">
      <c r="AW67" s="79"/>
      <c r="AX67" s="93" t="s">
        <v>82</v>
      </c>
      <c r="AY67" s="84">
        <f t="shared" si="24"/>
        <v>2040</v>
      </c>
      <c r="AZ67" s="84">
        <f t="shared" si="25"/>
        <v>112.307523809524</v>
      </c>
      <c r="BA67" s="84">
        <f t="shared" si="26"/>
        <v>112.307523809524</v>
      </c>
      <c r="BB67" s="84">
        <f t="shared" si="27"/>
        <v>112.307523809524</v>
      </c>
    </row>
    <row r="74" spans="50:52">
      <c r="AX74" t="s">
        <v>62</v>
      </c>
      <c r="AY74"/>
      <c r="AZ74" s="84"/>
    </row>
    <row r="75" spans="50:54">
      <c r="AX75" s="84" t="s">
        <v>64</v>
      </c>
      <c r="AY75" s="84" t="s">
        <v>41</v>
      </c>
      <c r="AZ75" s="85" t="s">
        <v>65</v>
      </c>
      <c r="BA75" s="85" t="s">
        <v>11</v>
      </c>
      <c r="BB75" s="85" t="s">
        <v>25</v>
      </c>
    </row>
    <row r="76" spans="50:54">
      <c r="AX76" s="84" t="s">
        <v>66</v>
      </c>
      <c r="AY76" s="84">
        <v>2045</v>
      </c>
      <c r="AZ76" s="84">
        <f>AZ60*0.96</f>
        <v>53.4662957942859</v>
      </c>
      <c r="BA76" s="84">
        <f>BA60*0.96</f>
        <v>36.9066021257144</v>
      </c>
      <c r="BB76" s="84">
        <f>BB60*0.96</f>
        <v>71.0539189714287</v>
      </c>
    </row>
    <row r="77" spans="50:54">
      <c r="AX77" s="84" t="s">
        <v>69</v>
      </c>
      <c r="AY77" s="84">
        <f t="shared" ref="AY77:AY83" si="28">AY76</f>
        <v>2045</v>
      </c>
      <c r="AZ77" s="84">
        <f t="shared" ref="AZ77:AZ83" si="29">AZ61*0.96</f>
        <v>63.4603488000002</v>
      </c>
      <c r="BA77" s="84">
        <f t="shared" ref="BA77:BA83" si="30">BA61*0.96</f>
        <v>44.1160323428573</v>
      </c>
      <c r="BB77" s="84">
        <f t="shared" ref="BB77:BB83" si="31">BB61*0.96</f>
        <v>83.9832984000002</v>
      </c>
    </row>
    <row r="78" spans="50:54">
      <c r="AX78" s="84" t="s">
        <v>71</v>
      </c>
      <c r="AY78" s="84">
        <f t="shared" si="28"/>
        <v>2045</v>
      </c>
      <c r="AZ78" s="84">
        <f t="shared" si="29"/>
        <v>56.7684108114287</v>
      </c>
      <c r="BA78" s="84">
        <f t="shared" si="30"/>
        <v>37.3154920457144</v>
      </c>
      <c r="BB78" s="84">
        <f t="shared" si="31"/>
        <v>77.3747116800002</v>
      </c>
    </row>
    <row r="79" spans="50:54">
      <c r="AX79" s="84" t="s">
        <v>73</v>
      </c>
      <c r="AY79" s="84">
        <f t="shared" si="28"/>
        <v>2045</v>
      </c>
      <c r="AZ79" s="84">
        <f t="shared" si="29"/>
        <v>56.884061417143</v>
      </c>
      <c r="BA79" s="84">
        <f t="shared" si="30"/>
        <v>36.9550112228572</v>
      </c>
      <c r="BB79" s="84">
        <f t="shared" si="31"/>
        <v>78.0241239085716</v>
      </c>
    </row>
    <row r="80" spans="50:54">
      <c r="AX80" s="84" t="s">
        <v>76</v>
      </c>
      <c r="AY80" s="84">
        <f t="shared" si="28"/>
        <v>2045</v>
      </c>
      <c r="AZ80" s="84">
        <f t="shared" si="29"/>
        <v>59.9246600000001</v>
      </c>
      <c r="BA80" s="84">
        <f t="shared" si="30"/>
        <v>39.4880016000001</v>
      </c>
      <c r="BB80" s="84">
        <f t="shared" si="31"/>
        <v>81.5924424000002</v>
      </c>
    </row>
    <row r="81" spans="50:54">
      <c r="AX81" s="84" t="s">
        <v>78</v>
      </c>
      <c r="AY81" s="84">
        <f t="shared" si="28"/>
        <v>2045</v>
      </c>
      <c r="AZ81" s="84">
        <f t="shared" si="29"/>
        <v>57.8156915428573</v>
      </c>
      <c r="BA81" s="84">
        <f t="shared" si="30"/>
        <v>38.1376618285715</v>
      </c>
      <c r="BB81" s="84">
        <f t="shared" si="31"/>
        <v>78.6679755428573</v>
      </c>
    </row>
    <row r="82" spans="50:54">
      <c r="AX82" s="84" t="s">
        <v>80</v>
      </c>
      <c r="AY82" s="84">
        <f t="shared" si="28"/>
        <v>2045</v>
      </c>
      <c r="AZ82" s="84">
        <f t="shared" si="29"/>
        <v>59.5653165714287</v>
      </c>
      <c r="BA82" s="84">
        <f t="shared" si="30"/>
        <v>39.9015741257144</v>
      </c>
      <c r="BB82" s="84">
        <f t="shared" si="31"/>
        <v>80.3988235885716</v>
      </c>
    </row>
    <row r="83" spans="49:54">
      <c r="AW83" s="79"/>
      <c r="AX83" s="93" t="s">
        <v>82</v>
      </c>
      <c r="AY83" s="84">
        <f t="shared" si="28"/>
        <v>2045</v>
      </c>
      <c r="AZ83" s="84">
        <f t="shared" si="29"/>
        <v>107.815222857143</v>
      </c>
      <c r="BA83" s="84">
        <f t="shared" si="30"/>
        <v>107.815222857143</v>
      </c>
      <c r="BB83" s="84">
        <f t="shared" si="31"/>
        <v>107.815222857143</v>
      </c>
    </row>
    <row r="87" spans="50:52">
      <c r="AX87" t="s">
        <v>62</v>
      </c>
      <c r="AY87"/>
      <c r="AZ87" s="84"/>
    </row>
    <row r="88" spans="50:54">
      <c r="AX88" s="84" t="s">
        <v>64</v>
      </c>
      <c r="AY88" s="84" t="s">
        <v>41</v>
      </c>
      <c r="AZ88" s="85" t="s">
        <v>65</v>
      </c>
      <c r="BA88" s="85" t="s">
        <v>11</v>
      </c>
      <c r="BB88" s="85" t="s">
        <v>25</v>
      </c>
    </row>
    <row r="89" spans="50:54">
      <c r="AX89" s="84" t="s">
        <v>66</v>
      </c>
      <c r="AY89" s="84">
        <v>2050</v>
      </c>
      <c r="AZ89" s="84">
        <f>AZ76*0.96</f>
        <v>51.3276439625144</v>
      </c>
      <c r="BA89" s="84">
        <f>BA76*0.96</f>
        <v>35.4303380406858</v>
      </c>
      <c r="BB89" s="84">
        <f>BB76*0.96</f>
        <v>68.2117622125716</v>
      </c>
    </row>
    <row r="90" spans="50:54">
      <c r="AX90" s="84" t="s">
        <v>69</v>
      </c>
      <c r="AY90" s="84">
        <f t="shared" ref="AY90:AY96" si="32">AY89</f>
        <v>2050</v>
      </c>
      <c r="AZ90" s="84">
        <f t="shared" ref="AZ90:BB90" si="33">AZ77*0.96</f>
        <v>60.9219348480002</v>
      </c>
      <c r="BA90" s="84">
        <f t="shared" si="33"/>
        <v>42.351391049143</v>
      </c>
      <c r="BB90" s="84">
        <f t="shared" si="33"/>
        <v>80.6239664640002</v>
      </c>
    </row>
    <row r="91" spans="50:54">
      <c r="AX91" s="84" t="s">
        <v>71</v>
      </c>
      <c r="AY91" s="84">
        <f t="shared" si="32"/>
        <v>2050</v>
      </c>
      <c r="AZ91" s="84">
        <f t="shared" ref="AZ91:BB91" si="34">AZ78*0.96</f>
        <v>54.4976743789715</v>
      </c>
      <c r="BA91" s="84">
        <f t="shared" si="34"/>
        <v>35.8228723638858</v>
      </c>
      <c r="BB91" s="84">
        <f t="shared" si="34"/>
        <v>74.2797232128002</v>
      </c>
    </row>
    <row r="92" spans="50:54">
      <c r="AX92" s="84" t="s">
        <v>73</v>
      </c>
      <c r="AY92" s="84">
        <f t="shared" si="32"/>
        <v>2050</v>
      </c>
      <c r="AZ92" s="84">
        <f t="shared" ref="AZ92:BB92" si="35">AZ79*0.96</f>
        <v>54.6086989604573</v>
      </c>
      <c r="BA92" s="84">
        <f t="shared" si="35"/>
        <v>35.4768107739429</v>
      </c>
      <c r="BB92" s="84">
        <f t="shared" si="35"/>
        <v>74.9031589522287</v>
      </c>
    </row>
    <row r="93" spans="50:54">
      <c r="AX93" s="84" t="s">
        <v>76</v>
      </c>
      <c r="AY93" s="84">
        <f t="shared" si="32"/>
        <v>2050</v>
      </c>
      <c r="AZ93" s="84">
        <f t="shared" ref="AZ93:BB93" si="36">AZ80*0.96</f>
        <v>57.5276736000001</v>
      </c>
      <c r="BA93" s="84">
        <f t="shared" si="36"/>
        <v>37.9084815360001</v>
      </c>
      <c r="BB93" s="84">
        <f t="shared" si="36"/>
        <v>78.3287447040002</v>
      </c>
    </row>
    <row r="94" spans="50:54">
      <c r="AX94" s="84" t="s">
        <v>78</v>
      </c>
      <c r="AY94" s="84">
        <f t="shared" si="32"/>
        <v>2050</v>
      </c>
      <c r="AZ94" s="84">
        <f t="shared" ref="AZ94:BB94" si="37">AZ81*0.96</f>
        <v>55.503063881143</v>
      </c>
      <c r="BA94" s="84">
        <f t="shared" si="37"/>
        <v>36.6121553554287</v>
      </c>
      <c r="BB94" s="84">
        <f t="shared" si="37"/>
        <v>75.521256521143</v>
      </c>
    </row>
    <row r="95" spans="50:54">
      <c r="AX95" s="84" t="s">
        <v>80</v>
      </c>
      <c r="AY95" s="84">
        <f t="shared" si="32"/>
        <v>2050</v>
      </c>
      <c r="AZ95" s="84">
        <f t="shared" ref="AZ95:BB95" si="38">AZ82*0.96</f>
        <v>57.1827039085716</v>
      </c>
      <c r="BA95" s="84">
        <f t="shared" si="38"/>
        <v>38.3055111606858</v>
      </c>
      <c r="BB95" s="84">
        <f t="shared" si="38"/>
        <v>77.1828706450288</v>
      </c>
    </row>
    <row r="96" spans="49:54">
      <c r="AW96" s="79"/>
      <c r="AX96" s="93" t="s">
        <v>82</v>
      </c>
      <c r="AY96" s="84">
        <f t="shared" si="32"/>
        <v>2050</v>
      </c>
      <c r="AZ96" s="84">
        <f>AZ83*0.96</f>
        <v>103.502613942857</v>
      </c>
      <c r="BA96" s="84">
        <f>BA83*0.96</f>
        <v>103.502613942857</v>
      </c>
      <c r="BB96" s="84">
        <f>BB83*0.96</f>
        <v>103.502613942857</v>
      </c>
    </row>
    <row r="104" spans="50:52">
      <c r="AX104" t="s">
        <v>62</v>
      </c>
      <c r="AY104"/>
      <c r="AZ104" s="84"/>
    </row>
    <row r="105" spans="50:54">
      <c r="AX105" s="84" t="s">
        <v>64</v>
      </c>
      <c r="AY105" s="84" t="s">
        <v>41</v>
      </c>
      <c r="AZ105" s="85" t="s">
        <v>65</v>
      </c>
      <c r="BA105" s="85" t="s">
        <v>11</v>
      </c>
      <c r="BB105" s="85" t="s">
        <v>25</v>
      </c>
    </row>
    <row r="106" spans="50:54">
      <c r="AX106" s="84" t="s">
        <v>66</v>
      </c>
      <c r="AY106" s="84">
        <v>2100</v>
      </c>
      <c r="AZ106" s="84">
        <f>AZ89</f>
        <v>51.3276439625144</v>
      </c>
      <c r="BA106" s="84">
        <f t="shared" ref="BA106:BA113" si="39">BA89</f>
        <v>35.4303380406858</v>
      </c>
      <c r="BB106" s="84">
        <f t="shared" ref="BB106:BB113" si="40">BB89</f>
        <v>68.2117622125716</v>
      </c>
    </row>
    <row r="107" spans="50:54">
      <c r="AX107" s="84" t="s">
        <v>69</v>
      </c>
      <c r="AY107" s="84">
        <f t="shared" ref="AY107:AY113" si="41">AY106</f>
        <v>2100</v>
      </c>
      <c r="AZ107" s="84">
        <f t="shared" ref="AZ107:AZ113" si="42">AZ90</f>
        <v>60.9219348480002</v>
      </c>
      <c r="BA107" s="84">
        <f t="shared" si="39"/>
        <v>42.351391049143</v>
      </c>
      <c r="BB107" s="84">
        <f t="shared" si="40"/>
        <v>80.6239664640002</v>
      </c>
    </row>
    <row r="108" spans="50:54">
      <c r="AX108" s="84" t="s">
        <v>71</v>
      </c>
      <c r="AY108" s="84">
        <f t="shared" si="41"/>
        <v>2100</v>
      </c>
      <c r="AZ108" s="84">
        <f t="shared" si="42"/>
        <v>54.4976743789715</v>
      </c>
      <c r="BA108" s="84">
        <f t="shared" si="39"/>
        <v>35.8228723638858</v>
      </c>
      <c r="BB108" s="84">
        <f t="shared" si="40"/>
        <v>74.2797232128002</v>
      </c>
    </row>
    <row r="109" spans="50:54">
      <c r="AX109" s="84" t="s">
        <v>73</v>
      </c>
      <c r="AY109" s="84">
        <f t="shared" si="41"/>
        <v>2100</v>
      </c>
      <c r="AZ109" s="84">
        <f t="shared" si="42"/>
        <v>54.6086989604573</v>
      </c>
      <c r="BA109" s="84">
        <f t="shared" si="39"/>
        <v>35.4768107739429</v>
      </c>
      <c r="BB109" s="84">
        <f t="shared" si="40"/>
        <v>74.9031589522287</v>
      </c>
    </row>
    <row r="110" spans="50:54">
      <c r="AX110" s="84" t="s">
        <v>76</v>
      </c>
      <c r="AY110" s="84">
        <f t="shared" si="41"/>
        <v>2100</v>
      </c>
      <c r="AZ110" s="84">
        <f t="shared" si="42"/>
        <v>57.5276736000001</v>
      </c>
      <c r="BA110" s="84">
        <f t="shared" si="39"/>
        <v>37.9084815360001</v>
      </c>
      <c r="BB110" s="84">
        <f t="shared" si="40"/>
        <v>78.3287447040002</v>
      </c>
    </row>
    <row r="111" spans="50:54">
      <c r="AX111" s="84" t="s">
        <v>78</v>
      </c>
      <c r="AY111" s="84">
        <f t="shared" si="41"/>
        <v>2100</v>
      </c>
      <c r="AZ111" s="84">
        <f t="shared" si="42"/>
        <v>55.503063881143</v>
      </c>
      <c r="BA111" s="84">
        <f t="shared" si="39"/>
        <v>36.6121553554287</v>
      </c>
      <c r="BB111" s="84">
        <f t="shared" si="40"/>
        <v>75.521256521143</v>
      </c>
    </row>
    <row r="112" spans="50:54">
      <c r="AX112" s="84" t="s">
        <v>80</v>
      </c>
      <c r="AY112" s="84">
        <f t="shared" si="41"/>
        <v>2100</v>
      </c>
      <c r="AZ112" s="84">
        <f t="shared" si="42"/>
        <v>57.1827039085716</v>
      </c>
      <c r="BA112" s="84">
        <f t="shared" si="39"/>
        <v>38.3055111606858</v>
      </c>
      <c r="BB112" s="84">
        <f t="shared" si="40"/>
        <v>77.1828706450288</v>
      </c>
    </row>
    <row r="113" spans="49:54">
      <c r="AW113" s="79"/>
      <c r="AX113" s="93" t="s">
        <v>82</v>
      </c>
      <c r="AY113" s="84">
        <f t="shared" si="41"/>
        <v>2100</v>
      </c>
      <c r="AZ113" s="84">
        <f t="shared" si="42"/>
        <v>103.502613942857</v>
      </c>
      <c r="BA113" s="84">
        <f t="shared" si="39"/>
        <v>103.502613942857</v>
      </c>
      <c r="BB113" s="84">
        <f t="shared" si="40"/>
        <v>103.502613942857</v>
      </c>
    </row>
    <row r="118" spans="50:52">
      <c r="AX118" t="s">
        <v>62</v>
      </c>
      <c r="AY118"/>
      <c r="AZ118" s="84"/>
    </row>
    <row r="119" spans="50:54">
      <c r="AX119" s="84" t="s">
        <v>64</v>
      </c>
      <c r="AY119" s="84" t="s">
        <v>41</v>
      </c>
      <c r="AZ119" s="85" t="s">
        <v>65</v>
      </c>
      <c r="BA119" s="85" t="s">
        <v>11</v>
      </c>
      <c r="BB119" s="85" t="s">
        <v>25</v>
      </c>
    </row>
    <row r="120" spans="50:54">
      <c r="AX120" s="84" t="s">
        <v>66</v>
      </c>
      <c r="AY120" s="84">
        <v>0</v>
      </c>
      <c r="AZ120" s="84">
        <v>3</v>
      </c>
      <c r="BA120" s="84">
        <v>3</v>
      </c>
      <c r="BB120" s="84">
        <v>3</v>
      </c>
    </row>
    <row r="121" spans="50:54">
      <c r="AX121" s="84" t="s">
        <v>69</v>
      </c>
      <c r="AY121" s="84">
        <f t="shared" ref="AY121:AY127" si="43">AY120</f>
        <v>0</v>
      </c>
      <c r="AZ121" s="84">
        <v>3</v>
      </c>
      <c r="BA121" s="84">
        <v>3</v>
      </c>
      <c r="BB121" s="84">
        <v>3</v>
      </c>
    </row>
    <row r="122" spans="50:54">
      <c r="AX122" s="84" t="s">
        <v>71</v>
      </c>
      <c r="AY122" s="84">
        <f t="shared" si="43"/>
        <v>0</v>
      </c>
      <c r="AZ122" s="84">
        <v>3</v>
      </c>
      <c r="BA122" s="84">
        <v>3</v>
      </c>
      <c r="BB122" s="84">
        <v>3</v>
      </c>
    </row>
    <row r="123" spans="50:54">
      <c r="AX123" s="84" t="s">
        <v>73</v>
      </c>
      <c r="AY123" s="84">
        <f t="shared" si="43"/>
        <v>0</v>
      </c>
      <c r="AZ123" s="84">
        <v>3</v>
      </c>
      <c r="BA123" s="84">
        <v>3</v>
      </c>
      <c r="BB123" s="84">
        <v>3</v>
      </c>
    </row>
    <row r="124" spans="50:54">
      <c r="AX124" s="84" t="s">
        <v>76</v>
      </c>
      <c r="AY124" s="84">
        <f t="shared" si="43"/>
        <v>0</v>
      </c>
      <c r="AZ124" s="84">
        <v>3</v>
      </c>
      <c r="BA124" s="84">
        <v>3</v>
      </c>
      <c r="BB124" s="84">
        <v>3</v>
      </c>
    </row>
    <row r="125" spans="50:54">
      <c r="AX125" s="84" t="s">
        <v>78</v>
      </c>
      <c r="AY125" s="84">
        <f t="shared" si="43"/>
        <v>0</v>
      </c>
      <c r="AZ125" s="84">
        <v>3</v>
      </c>
      <c r="BA125" s="84">
        <v>3</v>
      </c>
      <c r="BB125" s="84">
        <v>3</v>
      </c>
    </row>
    <row r="126" spans="50:54">
      <c r="AX126" s="84" t="s">
        <v>80</v>
      </c>
      <c r="AY126" s="84">
        <f t="shared" si="43"/>
        <v>0</v>
      </c>
      <c r="AZ126" s="84">
        <v>3</v>
      </c>
      <c r="BA126" s="84">
        <v>3</v>
      </c>
      <c r="BB126" s="84">
        <v>3</v>
      </c>
    </row>
    <row r="127" spans="49:54">
      <c r="AW127" s="79"/>
      <c r="AX127" s="93" t="s">
        <v>82</v>
      </c>
      <c r="AY127" s="84">
        <f t="shared" si="43"/>
        <v>0</v>
      </c>
      <c r="AZ127" s="84">
        <v>3</v>
      </c>
      <c r="BA127" s="84">
        <v>3</v>
      </c>
      <c r="BB127" s="84">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154"/>
  <sheetViews>
    <sheetView zoomScale="57" zoomScaleNormal="57" topLeftCell="A30" workbookViewId="0">
      <selection activeCell="E61" sqref="E61"/>
    </sheetView>
  </sheetViews>
  <sheetFormatPr defaultColWidth="9" defaultRowHeight="12.5"/>
  <cols>
    <col min="2" max="2" width="21.3636363636364" customWidth="1"/>
    <col min="3" max="3" width="12.7272727272727" customWidth="1"/>
    <col min="4" max="5" width="22.0909090909091" customWidth="1"/>
    <col min="6" max="6" width="12" customWidth="1"/>
    <col min="7" max="7" width="13" customWidth="1"/>
    <col min="8" max="9" width="7.09090909090909" customWidth="1"/>
    <col min="10" max="10" width="10.6363636363636" customWidth="1"/>
    <col min="11" max="11" width="11.2727272727273" customWidth="1"/>
    <col min="12" max="12" width="15.6363636363636" customWidth="1"/>
    <col min="13" max="13" width="7.09090909090909" customWidth="1"/>
    <col min="14" max="14" width="17.8181818181818" customWidth="1"/>
    <col min="15" max="17" width="12.8181818181818" customWidth="1"/>
    <col min="18" max="18" width="10.8181818181818" customWidth="1"/>
    <col min="19" max="19" width="12.7272727272727" customWidth="1"/>
    <col min="20" max="20" width="8.63636363636364" customWidth="1"/>
    <col min="21" max="21" width="7.81818181818182" customWidth="1"/>
    <col min="22" max="24" width="7.09090909090909" customWidth="1"/>
    <col min="25" max="25" width="9.63636363636364" customWidth="1"/>
    <col min="26" max="26" width="17.8181818181818" customWidth="1"/>
    <col min="27" max="27" width="9.81818181818182" customWidth="1"/>
    <col min="28" max="32" width="7.09090909090909" customWidth="1"/>
    <col min="33" max="33" width="10.8181818181818" customWidth="1"/>
    <col min="34" max="34" width="11.0909090909091" customWidth="1"/>
    <col min="35" max="37" width="6" customWidth="1"/>
    <col min="38" max="39" width="15.6363636363636" customWidth="1"/>
    <col min="40" max="40" width="22.6363636363636" customWidth="1"/>
    <col min="41" max="41" width="13.6363636363636" customWidth="1"/>
    <col min="42" max="43" width="6" customWidth="1"/>
    <col min="44" max="44" width="8.36363636363636" customWidth="1"/>
    <col min="45" max="45" width="10.3636363636364" customWidth="1"/>
    <col min="46" max="49" width="6" customWidth="1"/>
    <col min="50" max="50" width="12.2727272727273" customWidth="1"/>
    <col min="51" max="51" width="13.6363636363636" customWidth="1"/>
  </cols>
  <sheetData>
    <row r="2" spans="2:19">
      <c r="B2" s="53" t="s">
        <v>85</v>
      </c>
      <c r="C2" s="53"/>
      <c r="D2" s="53"/>
      <c r="E2" s="53"/>
      <c r="K2" t="s">
        <v>86</v>
      </c>
      <c r="P2" s="57" t="s">
        <v>87</v>
      </c>
      <c r="Q2" s="57"/>
      <c r="R2" s="57"/>
      <c r="S2" s="57"/>
    </row>
    <row r="3" spans="2:19">
      <c r="B3" s="54" t="s">
        <v>88</v>
      </c>
      <c r="C3" s="54" t="s">
        <v>89</v>
      </c>
      <c r="D3" s="54" t="s">
        <v>90</v>
      </c>
      <c r="E3" s="54" t="s">
        <v>65</v>
      </c>
      <c r="K3" t="s">
        <v>64</v>
      </c>
      <c r="L3" t="s">
        <v>91</v>
      </c>
      <c r="M3" t="s">
        <v>92</v>
      </c>
      <c r="P3" s="57" t="s">
        <v>93</v>
      </c>
      <c r="Q3" s="57" t="s">
        <v>94</v>
      </c>
      <c r="R3" s="57" t="s">
        <v>95</v>
      </c>
      <c r="S3" s="57" t="s">
        <v>91</v>
      </c>
    </row>
    <row r="4" spans="2:19">
      <c r="B4" s="53" t="s">
        <v>96</v>
      </c>
      <c r="C4" s="53" t="s">
        <v>97</v>
      </c>
      <c r="D4" s="53" t="s">
        <v>98</v>
      </c>
      <c r="E4" s="53" t="s">
        <v>99</v>
      </c>
      <c r="K4" t="s">
        <v>100</v>
      </c>
      <c r="L4" t="s">
        <v>101</v>
      </c>
      <c r="M4" t="s">
        <v>102</v>
      </c>
      <c r="P4" s="57" t="s">
        <v>103</v>
      </c>
      <c r="Q4" s="57" t="s">
        <v>104</v>
      </c>
      <c r="R4" s="57" t="s">
        <v>105</v>
      </c>
      <c r="S4" s="57" t="s">
        <v>106</v>
      </c>
    </row>
    <row r="5" spans="2:13">
      <c r="B5" s="53" t="s">
        <v>96</v>
      </c>
      <c r="C5" s="53" t="s">
        <v>107</v>
      </c>
      <c r="D5" s="53" t="s">
        <v>98</v>
      </c>
      <c r="E5" s="53" t="s">
        <v>99</v>
      </c>
      <c r="K5" t="s">
        <v>108</v>
      </c>
      <c r="L5" t="s">
        <v>101</v>
      </c>
      <c r="M5" t="s">
        <v>109</v>
      </c>
    </row>
    <row r="6" spans="11:13">
      <c r="K6" t="s">
        <v>110</v>
      </c>
      <c r="L6" t="s">
        <v>101</v>
      </c>
      <c r="M6" t="s">
        <v>111</v>
      </c>
    </row>
    <row r="7" spans="11:13">
      <c r="K7" t="s">
        <v>112</v>
      </c>
      <c r="L7" t="s">
        <v>101</v>
      </c>
      <c r="M7" t="s">
        <v>113</v>
      </c>
    </row>
    <row r="8" spans="2:13">
      <c r="B8" t="s">
        <v>114</v>
      </c>
      <c r="K8" t="s">
        <v>115</v>
      </c>
      <c r="L8" t="s">
        <v>101</v>
      </c>
      <c r="M8" t="s">
        <v>104</v>
      </c>
    </row>
    <row r="9" spans="2:13">
      <c r="B9" t="s">
        <v>116</v>
      </c>
      <c r="C9" t="s">
        <v>117</v>
      </c>
      <c r="D9" t="s">
        <v>118</v>
      </c>
      <c r="E9" t="s">
        <v>119</v>
      </c>
      <c r="F9" t="s">
        <v>50</v>
      </c>
      <c r="G9" t="s">
        <v>120</v>
      </c>
      <c r="H9" t="s">
        <v>41</v>
      </c>
      <c r="K9" t="s">
        <v>121</v>
      </c>
      <c r="L9" t="s">
        <v>101</v>
      </c>
      <c r="M9" t="s">
        <v>113</v>
      </c>
    </row>
    <row r="10" spans="2:13">
      <c r="B10" t="s">
        <v>122</v>
      </c>
      <c r="C10" t="s">
        <v>123</v>
      </c>
      <c r="E10" t="s">
        <v>104</v>
      </c>
      <c r="F10">
        <v>0.25</v>
      </c>
      <c r="G10" t="s">
        <v>124</v>
      </c>
      <c r="K10" t="s">
        <v>123</v>
      </c>
      <c r="L10" t="s">
        <v>101</v>
      </c>
      <c r="M10" t="s">
        <v>104</v>
      </c>
    </row>
    <row r="11" spans="2:8">
      <c r="B11" t="s">
        <v>122</v>
      </c>
      <c r="C11" t="s">
        <v>123</v>
      </c>
      <c r="E11" t="s">
        <v>104</v>
      </c>
      <c r="F11">
        <v>3</v>
      </c>
      <c r="G11" t="s">
        <v>124</v>
      </c>
      <c r="H11">
        <v>0</v>
      </c>
    </row>
    <row r="12" spans="2:11">
      <c r="B12" t="s">
        <v>125</v>
      </c>
      <c r="D12" t="s">
        <v>126</v>
      </c>
      <c r="E12" t="s">
        <v>127</v>
      </c>
      <c r="F12">
        <v>0.93</v>
      </c>
      <c r="K12" t="s">
        <v>128</v>
      </c>
    </row>
    <row r="13" spans="2:14">
      <c r="B13" t="s">
        <v>129</v>
      </c>
      <c r="C13" t="s">
        <v>98</v>
      </c>
      <c r="F13">
        <v>25</v>
      </c>
      <c r="K13" t="s">
        <v>116</v>
      </c>
      <c r="L13" t="s">
        <v>50</v>
      </c>
      <c r="M13" t="s">
        <v>130</v>
      </c>
      <c r="N13" t="s">
        <v>131</v>
      </c>
    </row>
    <row r="14" spans="2:14">
      <c r="B14" t="s">
        <v>132</v>
      </c>
      <c r="C14" t="s">
        <v>98</v>
      </c>
      <c r="E14" s="96" t="s">
        <v>133</v>
      </c>
      <c r="F14">
        <v>2020</v>
      </c>
      <c r="K14" t="s">
        <v>134</v>
      </c>
      <c r="L14" t="s">
        <v>135</v>
      </c>
      <c r="M14" t="s">
        <v>136</v>
      </c>
      <c r="N14" t="s">
        <v>98</v>
      </c>
    </row>
    <row r="15" spans="11:14">
      <c r="K15" t="s">
        <v>134</v>
      </c>
      <c r="L15" t="s">
        <v>137</v>
      </c>
      <c r="M15" t="s">
        <v>136</v>
      </c>
      <c r="N15" t="s">
        <v>115</v>
      </c>
    </row>
    <row r="16" spans="2:2">
      <c r="B16" t="s">
        <v>138</v>
      </c>
    </row>
    <row r="17" spans="2:7">
      <c r="B17" t="s">
        <v>93</v>
      </c>
      <c r="C17">
        <v>2020</v>
      </c>
      <c r="D17">
        <v>0</v>
      </c>
      <c r="E17" t="s">
        <v>139</v>
      </c>
      <c r="F17" t="s">
        <v>92</v>
      </c>
      <c r="G17" t="s">
        <v>140</v>
      </c>
    </row>
    <row r="18" spans="2:7">
      <c r="B18" s="96" t="s">
        <v>133</v>
      </c>
      <c r="C18">
        <v>0.2</v>
      </c>
      <c r="D18">
        <v>3</v>
      </c>
      <c r="E18" s="96" t="s">
        <v>141</v>
      </c>
      <c r="F18" t="s">
        <v>98</v>
      </c>
      <c r="G18" t="s">
        <v>142</v>
      </c>
    </row>
    <row r="21" spans="3:3">
      <c r="C21" t="s">
        <v>114</v>
      </c>
    </row>
    <row r="22" spans="3:50">
      <c r="C22" t="s">
        <v>116</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64</v>
      </c>
    </row>
    <row r="23" spans="3:50">
      <c r="C23" t="s">
        <v>97</v>
      </c>
      <c r="D23" s="55">
        <f>AVERAGEIFS(RoadTra_BY!L$2:L$999,RoadTra_BY!$B$2:$B$999,'Road transport'!$C23,RoadTra_BY!$C$2:$C$999,'Road transport'!$AX23)</f>
        <v>7</v>
      </c>
      <c r="E23" s="55">
        <f>AVERAGEIFS(RoadTra_BY!M$2:M$999,RoadTra_BY!$B$2:$B$999,'Road transport'!$C23,RoadTra_BY!$C$2:$C$999,'Road transport'!$AX23)</f>
        <v>7</v>
      </c>
      <c r="F23" s="55">
        <f>AVERAGEIFS(RoadTra_BY!N$2:N$999,RoadTra_BY!$B$2:$B$999,'Road transport'!$C23,RoadTra_BY!$C$2:$C$999,'Road transport'!$AX23)</f>
        <v>7</v>
      </c>
      <c r="G23" s="55">
        <f>AVERAGEIFS(RoadTra_BY!O$2:O$999,RoadTra_BY!$B$2:$B$999,'Road transport'!$C23,RoadTra_BY!$C$2:$C$999,'Road transport'!$AX23)</f>
        <v>7</v>
      </c>
      <c r="H23" s="55">
        <f>AVERAGEIFS(RoadTra_BY!P$2:P$999,RoadTra_BY!$B$2:$B$999,'Road transport'!$C23,RoadTra_BY!$C$2:$C$999,'Road transport'!$AX23)</f>
        <v>7</v>
      </c>
      <c r="I23" s="55">
        <f>AVERAGEIFS(RoadTra_BY!Q$2:Q$999,RoadTra_BY!$B$2:$B$999,'Road transport'!$C23,RoadTra_BY!$C$2:$C$999,'Road transport'!$AX23)</f>
        <v>7</v>
      </c>
      <c r="J23" s="55">
        <f>AVERAGEIFS(RoadTra_BY!R$2:R$999,RoadTra_BY!$B$2:$B$999,'Road transport'!$C23,RoadTra_BY!$C$2:$C$999,'Road transport'!$AX23)</f>
        <v>7</v>
      </c>
      <c r="K23" s="55">
        <f>AVERAGEIFS(RoadTra_BY!S$2:S$999,RoadTra_BY!$B$2:$B$999,'Road transport'!$C23,RoadTra_BY!$C$2:$C$999,'Road transport'!$AX23)</f>
        <v>7</v>
      </c>
      <c r="L23" s="55">
        <f>AVERAGEIFS(RoadTra_BY!T$2:T$999,RoadTra_BY!$B$2:$B$999,'Road transport'!$C23,RoadTra_BY!$C$2:$C$999,'Road transport'!$AX23)</f>
        <v>7</v>
      </c>
      <c r="M23" s="55">
        <f>AVERAGEIFS(RoadTra_BY!U$2:U$999,RoadTra_BY!$B$2:$B$999,'Road transport'!$C23,RoadTra_BY!$C$2:$C$999,'Road transport'!$AX23)</f>
        <v>7</v>
      </c>
      <c r="N23" s="55">
        <f>AVERAGEIFS(RoadTra_BY!V$2:V$999,RoadTra_BY!$B$2:$B$999,'Road transport'!$C23,RoadTra_BY!$C$2:$C$999,'Road transport'!$AX23)</f>
        <v>7</v>
      </c>
      <c r="O23" s="55">
        <f>AVERAGEIFS(RoadTra_BY!W$2:W$999,RoadTra_BY!$B$2:$B$999,'Road transport'!$C23,RoadTra_BY!$C$2:$C$999,'Road transport'!$AX23)</f>
        <v>7</v>
      </c>
      <c r="P23" s="55">
        <f>AVERAGEIFS(RoadTra_BY!X$2:X$999,RoadTra_BY!$B$2:$B$999,'Road transport'!$C23,RoadTra_BY!$C$2:$C$999,'Road transport'!$AX23)</f>
        <v>7</v>
      </c>
      <c r="Q23" s="55">
        <f>AVERAGEIFS(RoadTra_BY!Y$2:Y$999,RoadTra_BY!$B$2:$B$999,'Road transport'!$C23,RoadTra_BY!$C$2:$C$999,'Road transport'!$AX23)</f>
        <v>7</v>
      </c>
      <c r="R23" s="55">
        <f>AVERAGEIFS(RoadTra_BY!Z$2:Z$999,RoadTra_BY!$B$2:$B$999,'Road transport'!$C23,RoadTra_BY!$C$2:$C$999,'Road transport'!$AX23)</f>
        <v>7</v>
      </c>
      <c r="S23" s="55">
        <f>AVERAGEIFS(RoadTra_BY!AA$2:AA$999,RoadTra_BY!$B$2:$B$999,'Road transport'!$C23,RoadTra_BY!$C$2:$C$999,'Road transport'!$AX23)</f>
        <v>7</v>
      </c>
      <c r="T23" s="55">
        <f>AVERAGEIFS(RoadTra_BY!AB$2:AB$999,RoadTra_BY!$B$2:$B$999,'Road transport'!$C23,RoadTra_BY!$C$2:$C$999,'Road transport'!$AX23)</f>
        <v>7</v>
      </c>
      <c r="U23" s="55">
        <f>AVERAGEIFS(RoadTra_BY!AC$2:AC$999,RoadTra_BY!$B$2:$B$999,'Road transport'!$C23,RoadTra_BY!$C$2:$C$999,'Road transport'!$AX23)</f>
        <v>7</v>
      </c>
      <c r="V23" s="55">
        <f>AVERAGEIFS(RoadTra_BY!AD$2:AD$999,RoadTra_BY!$B$2:$B$999,'Road transport'!$C23,RoadTra_BY!$C$2:$C$999,'Road transport'!$AX23)</f>
        <v>4</v>
      </c>
      <c r="W23" s="55">
        <f>AVERAGEIFS(RoadTra_BY!AE$2:AE$999,RoadTra_BY!$B$2:$B$999,'Road transport'!$C23,RoadTra_BY!$C$2:$C$999,'Road transport'!$AX23)</f>
        <v>7</v>
      </c>
      <c r="X23" s="55">
        <f>AVERAGEIFS(RoadTra_BY!AF$2:AF$999,RoadTra_BY!$B$2:$B$999,'Road transport'!$C23,RoadTra_BY!$C$2:$C$999,'Road transport'!$AX23)</f>
        <v>5</v>
      </c>
      <c r="Y23" s="55">
        <f>AVERAGEIFS(RoadTra_BY!AG$2:AG$999,RoadTra_BY!$B$2:$B$999,'Road transport'!$C23,RoadTra_BY!$C$2:$C$999,'Road transport'!$AX23)</f>
        <v>7</v>
      </c>
      <c r="Z23" s="55">
        <f>AVERAGEIFS(RoadTra_BY!AH$2:AH$999,RoadTra_BY!$B$2:$B$999,'Road transport'!$C23,RoadTra_BY!$C$2:$C$999,'Road transport'!$AX23)</f>
        <v>4</v>
      </c>
      <c r="AA23" s="55">
        <f>AVERAGEIFS(RoadTra_BY!AI$2:AI$999,RoadTra_BY!$B$2:$B$999,'Road transport'!$C23,RoadTra_BY!$C$2:$C$999,'Road transport'!$AX23)</f>
        <v>7</v>
      </c>
      <c r="AB23" s="55">
        <f>AVERAGEIFS(RoadTra_BY!AJ$2:AJ$999,RoadTra_BY!$B$2:$B$999,'Road transport'!$C23,RoadTra_BY!$C$2:$C$999,'Road transport'!$AX23)</f>
        <v>7</v>
      </c>
      <c r="AC23" s="55">
        <f>AVERAGEIFS(RoadTra_BY!AK$2:AK$999,RoadTra_BY!$B$2:$B$999,'Road transport'!$C23,RoadTra_BY!$C$2:$C$999,'Road transport'!$AX23)</f>
        <v>3</v>
      </c>
      <c r="AD23" s="55">
        <f>AVERAGEIFS(RoadTra_BY!AL$2:AL$999,RoadTra_BY!$B$2:$B$999,'Road transport'!$C23,RoadTra_BY!$C$2:$C$999,'Road transport'!$AX23)</f>
        <v>7</v>
      </c>
      <c r="AE23" s="55">
        <f>AVERAGEIFS(RoadTra_BY!AM$2:AM$999,RoadTra_BY!$B$2:$B$999,'Road transport'!$C23,RoadTra_BY!$C$2:$C$999,'Road transport'!$AX23)</f>
        <v>7</v>
      </c>
      <c r="AF23" s="55">
        <f>AVERAGEIFS(RoadTra_BY!AN$2:AN$999,RoadTra_BY!$B$2:$B$999,'Road transport'!$C23,RoadTra_BY!$C$2:$C$999,'Road transport'!$AX23)</f>
        <v>6.5</v>
      </c>
      <c r="AG23" s="55">
        <f>AVERAGEIFS(RoadTra_BY!AO$2:AO$999,RoadTra_BY!$B$2:$B$999,'Road transport'!$C23,RoadTra_BY!$C$2:$C$999,'Road transport'!$AX23)</f>
        <v>7</v>
      </c>
      <c r="AH23" s="55">
        <f>AVERAGEIFS(RoadTra_BY!AP$2:AP$999,RoadTra_BY!$B$2:$B$999,'Road transport'!$C23,RoadTra_BY!$C$2:$C$999,'Road transport'!$AX23)</f>
        <v>7</v>
      </c>
      <c r="AI23" s="55">
        <f>AVERAGEIFS(RoadTra_BY!AQ$2:AQ$999,RoadTra_BY!$B$2:$B$999,'Road transport'!$C23,RoadTra_BY!$C$2:$C$999,'Road transport'!$AX23)</f>
        <v>7</v>
      </c>
      <c r="AJ23" s="55">
        <f>AVERAGEIFS(RoadTra_BY!AR$2:AR$999,RoadTra_BY!$B$2:$B$999,'Road transport'!$C23,RoadTra_BY!$C$2:$C$999,'Road transport'!$AX23)</f>
        <v>4</v>
      </c>
      <c r="AK23" s="55">
        <f>AVERAGEIFS(RoadTra_BY!AS$2:AS$999,RoadTra_BY!$B$2:$B$999,'Road transport'!$C23,RoadTra_BY!$C$2:$C$999,'Road transport'!$AX23)</f>
        <v>4</v>
      </c>
      <c r="AL23" s="55">
        <f>AVERAGEIFS(RoadTra_BY!AT$2:AT$999,RoadTra_BY!$B$2:$B$999,'Road transport'!$C23,RoadTra_BY!$C$2:$C$999,'Road transport'!$AX23)</f>
        <v>4</v>
      </c>
      <c r="AM23" s="55" t="e">
        <f>AVERAGEIFS(RoadTra_BY!AU$2:AU$999,RoadTra_BY!$B$2:$B$999,'Road transport'!$C23,RoadTra_BY!$C$2:$C$999,'Road transport'!$AX23)</f>
        <v>#DIV/0!</v>
      </c>
      <c r="AN23" s="55" t="e">
        <f>AVERAGEIFS(RoadTra_BY!AV$2:AV$999,RoadTra_BY!$B$2:$B$999,'Road transport'!$C23,RoadTra_BY!$C$2:$C$999,'Road transport'!$AX23)</f>
        <v>#DIV/0!</v>
      </c>
      <c r="AO23" s="55" t="e">
        <f>AVERAGEIFS(RoadTra_BY!AW$2:AW$999,RoadTra_BY!$B$2:$B$999,'Road transport'!$C23,RoadTra_BY!$C$2:$C$999,'Road transport'!$AX23)</f>
        <v>#DIV/0!</v>
      </c>
      <c r="AP23" s="55" t="e">
        <f>AVERAGEIFS(RoadTra_BY!AX$2:AX$999,RoadTra_BY!$B$2:$B$999,'Road transport'!$C23,RoadTra_BY!$C$2:$C$999,'Road transport'!$AX23)</f>
        <v>#DIV/0!</v>
      </c>
      <c r="AQ23" s="55" t="e">
        <f>AVERAGEIFS(RoadTra_BY!AY$2:AY$999,RoadTra_BY!$B$2:$B$999,'Road transport'!$C23,RoadTra_BY!$C$2:$C$999,'Road transport'!$AX23)</f>
        <v>#DIV/0!</v>
      </c>
      <c r="AR23" s="55" t="e">
        <f>AVERAGEIFS(RoadTra_BY!AZ$2:AZ$999,RoadTra_BY!$B$2:$B$999,'Road transport'!$C23,RoadTra_BY!$C$2:$C$999,'Road transport'!$AX23)</f>
        <v>#DIV/0!</v>
      </c>
      <c r="AS23" s="55" t="e">
        <f>AVERAGEIFS(RoadTra_BY!BA$2:BA$999,RoadTra_BY!$B$2:$B$999,'Road transport'!$C23,RoadTra_BY!$C$2:$C$999,'Road transport'!$AX23)</f>
        <v>#DIV/0!</v>
      </c>
      <c r="AT23" s="55" t="e">
        <f>AVERAGEIFS(RoadTra_BY!BB$2:BB$999,RoadTra_BY!$B$2:$B$999,'Road transport'!$C23,RoadTra_BY!$C$2:$C$999,'Road transport'!$AX23)</f>
        <v>#DIV/0!</v>
      </c>
      <c r="AU23" s="55" t="e">
        <f>AVERAGEIFS(RoadTra_BY!BC$2:BC$999,RoadTra_BY!$B$2:$B$999,'Road transport'!$C23,RoadTra_BY!$C$2:$C$999,'Road transport'!$AX23)</f>
        <v>#DIV/0!</v>
      </c>
      <c r="AV23" s="55" t="e">
        <f>AVERAGEIFS(RoadTra_BY!BD$2:BD$999,RoadTra_BY!$B$2:$B$999,'Road transport'!$C23,RoadTra_BY!$C$2:$C$999,'Road transport'!$AX23)</f>
        <v>#DIV/0!</v>
      </c>
      <c r="AW23" s="55" t="e">
        <f>AVERAGEIFS(RoadTra_BY!BE$2:BE$999,RoadTra_BY!$B$2:$B$999,'Road transport'!$C23,RoadTra_BY!$C$2:$C$999,'Road transport'!$AX23)</f>
        <v>#DIV/0!</v>
      </c>
      <c r="AX23" t="s">
        <v>143</v>
      </c>
    </row>
    <row r="24" spans="3:50">
      <c r="C24" t="s">
        <v>97</v>
      </c>
      <c r="D24" s="55">
        <f>AVERAGEIFS(RoadTra_BY!L$2:L$999,RoadTra_BY!$B$2:$B$999,'Road transport'!$C24,RoadTra_BY!$C$2:$C$999,'Road transport'!$AX24)</f>
        <v>15</v>
      </c>
      <c r="E24" s="55">
        <f>AVERAGEIFS(RoadTra_BY!M$2:M$999,RoadTra_BY!$B$2:$B$999,'Road transport'!$C24,RoadTra_BY!$C$2:$C$999,'Road transport'!$AX24)</f>
        <v>15</v>
      </c>
      <c r="F24" s="55">
        <f>AVERAGEIFS(RoadTra_BY!N$2:N$999,RoadTra_BY!$B$2:$B$999,'Road transport'!$C24,RoadTra_BY!$C$2:$C$999,'Road transport'!$AX24)</f>
        <v>15</v>
      </c>
      <c r="G24" s="55">
        <f>AVERAGEIFS(RoadTra_BY!O$2:O$999,RoadTra_BY!$B$2:$B$999,'Road transport'!$C24,RoadTra_BY!$C$2:$C$999,'Road transport'!$AX24)</f>
        <v>15</v>
      </c>
      <c r="H24" s="55">
        <f>AVERAGEIFS(RoadTra_BY!P$2:P$999,RoadTra_BY!$B$2:$B$999,'Road transport'!$C24,RoadTra_BY!$C$2:$C$999,'Road transport'!$AX24)</f>
        <v>15</v>
      </c>
      <c r="I24" s="55">
        <f>AVERAGEIFS(RoadTra_BY!Q$2:Q$999,RoadTra_BY!$B$2:$B$999,'Road transport'!$C24,RoadTra_BY!$C$2:$C$999,'Road transport'!$AX24)</f>
        <v>15</v>
      </c>
      <c r="J24" s="55">
        <f>AVERAGEIFS(RoadTra_BY!R$2:R$999,RoadTra_BY!$B$2:$B$999,'Road transport'!$C24,RoadTra_BY!$C$2:$C$999,'Road transport'!$AX24)</f>
        <v>15</v>
      </c>
      <c r="K24" s="55">
        <f>AVERAGEIFS(RoadTra_BY!S$2:S$999,RoadTra_BY!$B$2:$B$999,'Road transport'!$C24,RoadTra_BY!$C$2:$C$999,'Road transport'!$AX24)</f>
        <v>15</v>
      </c>
      <c r="L24" s="55">
        <f>AVERAGEIFS(RoadTra_BY!T$2:T$999,RoadTra_BY!$B$2:$B$999,'Road transport'!$C24,RoadTra_BY!$C$2:$C$999,'Road transport'!$AX24)</f>
        <v>15</v>
      </c>
      <c r="M24" s="55">
        <f>AVERAGEIFS(RoadTra_BY!U$2:U$999,RoadTra_BY!$B$2:$B$999,'Road transport'!$C24,RoadTra_BY!$C$2:$C$999,'Road transport'!$AX24)</f>
        <v>15</v>
      </c>
      <c r="N24" s="55">
        <f>AVERAGEIFS(RoadTra_BY!V$2:V$999,RoadTra_BY!$B$2:$B$999,'Road transport'!$C24,RoadTra_BY!$C$2:$C$999,'Road transport'!$AX24)</f>
        <v>15</v>
      </c>
      <c r="O24" s="55">
        <f>AVERAGEIFS(RoadTra_BY!W$2:W$999,RoadTra_BY!$B$2:$B$999,'Road transport'!$C24,RoadTra_BY!$C$2:$C$999,'Road transport'!$AX24)</f>
        <v>15</v>
      </c>
      <c r="P24" s="55">
        <f>AVERAGEIFS(RoadTra_BY!X$2:X$999,RoadTra_BY!$B$2:$B$999,'Road transport'!$C24,RoadTra_BY!$C$2:$C$999,'Road transport'!$AX24)</f>
        <v>15</v>
      </c>
      <c r="Q24" s="55">
        <f>AVERAGEIFS(RoadTra_BY!Y$2:Y$999,RoadTra_BY!$B$2:$B$999,'Road transport'!$C24,RoadTra_BY!$C$2:$C$999,'Road transport'!$AX24)</f>
        <v>15</v>
      </c>
      <c r="R24" s="55">
        <f>AVERAGEIFS(RoadTra_BY!Z$2:Z$999,RoadTra_BY!$B$2:$B$999,'Road transport'!$C24,RoadTra_BY!$C$2:$C$999,'Road transport'!$AX24)</f>
        <v>15</v>
      </c>
      <c r="S24" s="55">
        <f>AVERAGEIFS(RoadTra_BY!AA$2:AA$999,RoadTra_BY!$B$2:$B$999,'Road transport'!$C24,RoadTra_BY!$C$2:$C$999,'Road transport'!$AX24)</f>
        <v>15</v>
      </c>
      <c r="T24" s="55">
        <f>AVERAGEIFS(RoadTra_BY!AB$2:AB$999,RoadTra_BY!$B$2:$B$999,'Road transport'!$C24,RoadTra_BY!$C$2:$C$999,'Road transport'!$AX24)</f>
        <v>15</v>
      </c>
      <c r="U24" s="55">
        <f>AVERAGEIFS(RoadTra_BY!AC$2:AC$999,RoadTra_BY!$B$2:$B$999,'Road transport'!$C24,RoadTra_BY!$C$2:$C$999,'Road transport'!$AX24)</f>
        <v>15</v>
      </c>
      <c r="V24" s="55">
        <f>AVERAGEIFS(RoadTra_BY!AD$2:AD$999,RoadTra_BY!$B$2:$B$999,'Road transport'!$C24,RoadTra_BY!$C$2:$C$999,'Road transport'!$AX24)</f>
        <v>15</v>
      </c>
      <c r="W24" s="55">
        <f>AVERAGEIFS(RoadTra_BY!AE$2:AE$999,RoadTra_BY!$B$2:$B$999,'Road transport'!$C24,RoadTra_BY!$C$2:$C$999,'Road transport'!$AX24)</f>
        <v>15</v>
      </c>
      <c r="X24" s="55">
        <f>AVERAGEIFS(RoadTra_BY!AF$2:AF$999,RoadTra_BY!$B$2:$B$999,'Road transport'!$C24,RoadTra_BY!$C$2:$C$999,'Road transport'!$AX24)</f>
        <v>15</v>
      </c>
      <c r="Y24" s="55">
        <f>AVERAGEIFS(RoadTra_BY!AG$2:AG$999,RoadTra_BY!$B$2:$B$999,'Road transport'!$C24,RoadTra_BY!$C$2:$C$999,'Road transport'!$AX24)</f>
        <v>15</v>
      </c>
      <c r="Z24" s="55">
        <f>AVERAGEIFS(RoadTra_BY!AH$2:AH$999,RoadTra_BY!$B$2:$B$999,'Road transport'!$C24,RoadTra_BY!$C$2:$C$999,'Road transport'!$AX24)</f>
        <v>15</v>
      </c>
      <c r="AA24" s="55">
        <f>AVERAGEIFS(RoadTra_BY!AI$2:AI$999,RoadTra_BY!$B$2:$B$999,'Road transport'!$C24,RoadTra_BY!$C$2:$C$999,'Road transport'!$AX24)</f>
        <v>15</v>
      </c>
      <c r="AB24" s="55">
        <f>AVERAGEIFS(RoadTra_BY!AJ$2:AJ$999,RoadTra_BY!$B$2:$B$999,'Road transport'!$C24,RoadTra_BY!$C$2:$C$999,'Road transport'!$AX24)</f>
        <v>15</v>
      </c>
      <c r="AC24" s="55">
        <f>AVERAGEIFS(RoadTra_BY!AK$2:AK$999,RoadTra_BY!$B$2:$B$999,'Road transport'!$C24,RoadTra_BY!$C$2:$C$999,'Road transport'!$AX24)</f>
        <v>15</v>
      </c>
      <c r="AD24" s="55">
        <f>AVERAGEIFS(RoadTra_BY!AL$2:AL$999,RoadTra_BY!$B$2:$B$999,'Road transport'!$C24,RoadTra_BY!$C$2:$C$999,'Road transport'!$AX24)</f>
        <v>15</v>
      </c>
      <c r="AE24" s="55">
        <f>AVERAGEIFS(RoadTra_BY!AM$2:AM$999,RoadTra_BY!$B$2:$B$999,'Road transport'!$C24,RoadTra_BY!$C$2:$C$999,'Road transport'!$AX24)</f>
        <v>15</v>
      </c>
      <c r="AF24" s="55">
        <f>AVERAGEIFS(RoadTra_BY!AN$2:AN$999,RoadTra_BY!$B$2:$B$999,'Road transport'!$C24,RoadTra_BY!$C$2:$C$999,'Road transport'!$AX24)</f>
        <v>20</v>
      </c>
      <c r="AG24" s="55">
        <f>AVERAGEIFS(RoadTra_BY!AO$2:AO$999,RoadTra_BY!$B$2:$B$999,'Road transport'!$C24,RoadTra_BY!$C$2:$C$999,'Road transport'!$AX24)</f>
        <v>15</v>
      </c>
      <c r="AH24" s="55">
        <f>AVERAGEIFS(RoadTra_BY!AP$2:AP$999,RoadTra_BY!$B$2:$B$999,'Road transport'!$C24,RoadTra_BY!$C$2:$C$999,'Road transport'!$AX24)</f>
        <v>15</v>
      </c>
      <c r="AI24" s="55">
        <f>AVERAGEIFS(RoadTra_BY!AQ$2:AQ$999,RoadTra_BY!$B$2:$B$999,'Road transport'!$C24,RoadTra_BY!$C$2:$C$999,'Road transport'!$AX24)</f>
        <v>15</v>
      </c>
      <c r="AJ24" s="55">
        <f>AVERAGEIFS(RoadTra_BY!AR$2:AR$999,RoadTra_BY!$B$2:$B$999,'Road transport'!$C24,RoadTra_BY!$C$2:$C$999,'Road transport'!$AX24)</f>
        <v>15</v>
      </c>
      <c r="AK24" s="55">
        <f>AVERAGEIFS(RoadTra_BY!AS$2:AS$999,RoadTra_BY!$B$2:$B$999,'Road transport'!$C24,RoadTra_BY!$C$2:$C$999,'Road transport'!$AX24)</f>
        <v>15</v>
      </c>
      <c r="AL24" s="55">
        <f>AVERAGEIFS(RoadTra_BY!AT$2:AT$999,RoadTra_BY!$B$2:$B$999,'Road transport'!$C24,RoadTra_BY!$C$2:$C$999,'Road transport'!$AX24)</f>
        <v>15</v>
      </c>
      <c r="AM24" s="55" t="e">
        <f>AVERAGEIFS(RoadTra_BY!AU$2:AU$999,RoadTra_BY!$B$2:$B$999,'Road transport'!$C24,RoadTra_BY!$C$2:$C$999,'Road transport'!$AX24)</f>
        <v>#DIV/0!</v>
      </c>
      <c r="AN24" s="55" t="e">
        <f>AVERAGEIFS(RoadTra_BY!AV$2:AV$999,RoadTra_BY!$B$2:$B$999,'Road transport'!$C24,RoadTra_BY!$C$2:$C$999,'Road transport'!$AX24)</f>
        <v>#DIV/0!</v>
      </c>
      <c r="AO24" s="55" t="e">
        <f>AVERAGEIFS(RoadTra_BY!AW$2:AW$999,RoadTra_BY!$B$2:$B$999,'Road transport'!$C24,RoadTra_BY!$C$2:$C$999,'Road transport'!$AX24)</f>
        <v>#DIV/0!</v>
      </c>
      <c r="AP24" s="55" t="e">
        <f>AVERAGEIFS(RoadTra_BY!AX$2:AX$999,RoadTra_BY!$B$2:$B$999,'Road transport'!$C24,RoadTra_BY!$C$2:$C$999,'Road transport'!$AX24)</f>
        <v>#DIV/0!</v>
      </c>
      <c r="AQ24" s="55" t="e">
        <f>AVERAGEIFS(RoadTra_BY!AY$2:AY$999,RoadTra_BY!$B$2:$B$999,'Road transport'!$C24,RoadTra_BY!$C$2:$C$999,'Road transport'!$AX24)</f>
        <v>#DIV/0!</v>
      </c>
      <c r="AR24" s="55" t="e">
        <f>AVERAGEIFS(RoadTra_BY!AZ$2:AZ$999,RoadTra_BY!$B$2:$B$999,'Road transport'!$C24,RoadTra_BY!$C$2:$C$999,'Road transport'!$AX24)</f>
        <v>#DIV/0!</v>
      </c>
      <c r="AS24" s="55" t="e">
        <f>AVERAGEIFS(RoadTra_BY!BA$2:BA$999,RoadTra_BY!$B$2:$B$999,'Road transport'!$C24,RoadTra_BY!$C$2:$C$999,'Road transport'!$AX24)</f>
        <v>#DIV/0!</v>
      </c>
      <c r="AT24" s="55" t="e">
        <f>AVERAGEIFS(RoadTra_BY!BB$2:BB$999,RoadTra_BY!$B$2:$B$999,'Road transport'!$C24,RoadTra_BY!$C$2:$C$999,'Road transport'!$AX24)</f>
        <v>#DIV/0!</v>
      </c>
      <c r="AU24" s="55" t="e">
        <f>AVERAGEIFS(RoadTra_BY!BC$2:BC$999,RoadTra_BY!$B$2:$B$999,'Road transport'!$C24,RoadTra_BY!$C$2:$C$999,'Road transport'!$AX24)</f>
        <v>#DIV/0!</v>
      </c>
      <c r="AV24" s="55" t="e">
        <f>AVERAGEIFS(RoadTra_BY!BD$2:BD$999,RoadTra_BY!$B$2:$B$999,'Road transport'!$C24,RoadTra_BY!$C$2:$C$999,'Road transport'!$AX24)</f>
        <v>#DIV/0!</v>
      </c>
      <c r="AW24" s="55" t="e">
        <f>AVERAGEIFS(RoadTra_BY!BE$2:BE$999,RoadTra_BY!$B$2:$B$999,'Road transport'!$C24,RoadTra_BY!$C$2:$C$999,'Road transport'!$AX24)</f>
        <v>#DIV/0!</v>
      </c>
      <c r="AX24" t="s">
        <v>144</v>
      </c>
    </row>
    <row r="25" spans="3:50">
      <c r="C25" t="s">
        <v>97</v>
      </c>
      <c r="D25" s="55">
        <f>AVERAGEIFS(RoadTra_BY!L$2:L$999,RoadTra_BY!$B$2:$B$999,'Road transport'!$C25,RoadTra_BY!$C$2:$C$999,'Road transport'!$AX25)</f>
        <v>35</v>
      </c>
      <c r="E25" s="55">
        <f>AVERAGEIFS(RoadTra_BY!M$2:M$999,RoadTra_BY!$B$2:$B$999,'Road transport'!$C25,RoadTra_BY!$C$2:$C$999,'Road transport'!$AX25)</f>
        <v>35</v>
      </c>
      <c r="F25" s="55">
        <f>AVERAGEIFS(RoadTra_BY!N$2:N$999,RoadTra_BY!$B$2:$B$999,'Road transport'!$C25,RoadTra_BY!$C$2:$C$999,'Road transport'!$AX25)</f>
        <v>35</v>
      </c>
      <c r="G25" s="55">
        <f>AVERAGEIFS(RoadTra_BY!O$2:O$999,RoadTra_BY!$B$2:$B$999,'Road transport'!$C25,RoadTra_BY!$C$2:$C$999,'Road transport'!$AX25)</f>
        <v>35</v>
      </c>
      <c r="H25" s="55">
        <f>AVERAGEIFS(RoadTra_BY!P$2:P$999,RoadTra_BY!$B$2:$B$999,'Road transport'!$C25,RoadTra_BY!$C$2:$C$999,'Road transport'!$AX25)</f>
        <v>35</v>
      </c>
      <c r="I25" s="55">
        <f>AVERAGEIFS(RoadTra_BY!Q$2:Q$999,RoadTra_BY!$B$2:$B$999,'Road transport'!$C25,RoadTra_BY!$C$2:$C$999,'Road transport'!$AX25)</f>
        <v>35</v>
      </c>
      <c r="J25" s="55">
        <f>AVERAGEIFS(RoadTra_BY!R$2:R$999,RoadTra_BY!$B$2:$B$999,'Road transport'!$C25,RoadTra_BY!$C$2:$C$999,'Road transport'!$AX25)</f>
        <v>35</v>
      </c>
      <c r="K25" s="55">
        <f>AVERAGEIFS(RoadTra_BY!S$2:S$999,RoadTra_BY!$B$2:$B$999,'Road transport'!$C25,RoadTra_BY!$C$2:$C$999,'Road transport'!$AX25)</f>
        <v>35</v>
      </c>
      <c r="L25" s="55">
        <f>AVERAGEIFS(RoadTra_BY!T$2:T$999,RoadTra_BY!$B$2:$B$999,'Road transport'!$C25,RoadTra_BY!$C$2:$C$999,'Road transport'!$AX25)</f>
        <v>35</v>
      </c>
      <c r="M25" s="55">
        <f>AVERAGEIFS(RoadTra_BY!U$2:U$999,RoadTra_BY!$B$2:$B$999,'Road transport'!$C25,RoadTra_BY!$C$2:$C$999,'Road transport'!$AX25)</f>
        <v>35</v>
      </c>
      <c r="N25" s="55">
        <f>AVERAGEIFS(RoadTra_BY!V$2:V$999,RoadTra_BY!$B$2:$B$999,'Road transport'!$C25,RoadTra_BY!$C$2:$C$999,'Road transport'!$AX25)</f>
        <v>35</v>
      </c>
      <c r="O25" s="55">
        <f>AVERAGEIFS(RoadTra_BY!W$2:W$999,RoadTra_BY!$B$2:$B$999,'Road transport'!$C25,RoadTra_BY!$C$2:$C$999,'Road transport'!$AX25)</f>
        <v>35</v>
      </c>
      <c r="P25" s="55">
        <f>AVERAGEIFS(RoadTra_BY!X$2:X$999,RoadTra_BY!$B$2:$B$999,'Road transport'!$C25,RoadTra_BY!$C$2:$C$999,'Road transport'!$AX25)</f>
        <v>35</v>
      </c>
      <c r="Q25" s="55">
        <f>AVERAGEIFS(RoadTra_BY!Y$2:Y$999,RoadTra_BY!$B$2:$B$999,'Road transport'!$C25,RoadTra_BY!$C$2:$C$999,'Road transport'!$AX25)</f>
        <v>35</v>
      </c>
      <c r="R25" s="55">
        <f>AVERAGEIFS(RoadTra_BY!Z$2:Z$999,RoadTra_BY!$B$2:$B$999,'Road transport'!$C25,RoadTra_BY!$C$2:$C$999,'Road transport'!$AX25)</f>
        <v>35</v>
      </c>
      <c r="S25" s="55">
        <f>AVERAGEIFS(RoadTra_BY!AA$2:AA$999,RoadTra_BY!$B$2:$B$999,'Road transport'!$C25,RoadTra_BY!$C$2:$C$999,'Road transport'!$AX25)</f>
        <v>35</v>
      </c>
      <c r="T25" s="55">
        <f>AVERAGEIFS(RoadTra_BY!AB$2:AB$999,RoadTra_BY!$B$2:$B$999,'Road transport'!$C25,RoadTra_BY!$C$2:$C$999,'Road transport'!$AX25)</f>
        <v>35</v>
      </c>
      <c r="U25" s="55">
        <f>AVERAGEIFS(RoadTra_BY!AC$2:AC$999,RoadTra_BY!$B$2:$B$999,'Road transport'!$C25,RoadTra_BY!$C$2:$C$999,'Road transport'!$AX25)</f>
        <v>35</v>
      </c>
      <c r="V25" s="55">
        <f>AVERAGEIFS(RoadTra_BY!AD$2:AD$999,RoadTra_BY!$B$2:$B$999,'Road transport'!$C25,RoadTra_BY!$C$2:$C$999,'Road transport'!$AX25)</f>
        <v>35</v>
      </c>
      <c r="W25" s="55">
        <f>AVERAGEIFS(RoadTra_BY!AE$2:AE$999,RoadTra_BY!$B$2:$B$999,'Road transport'!$C25,RoadTra_BY!$C$2:$C$999,'Road transport'!$AX25)</f>
        <v>35</v>
      </c>
      <c r="X25" s="55">
        <f>AVERAGEIFS(RoadTra_BY!AF$2:AF$999,RoadTra_BY!$B$2:$B$999,'Road transport'!$C25,RoadTra_BY!$C$2:$C$999,'Road transport'!$AX25)</f>
        <v>35</v>
      </c>
      <c r="Y25" s="55">
        <f>AVERAGEIFS(RoadTra_BY!AG$2:AG$999,RoadTra_BY!$B$2:$B$999,'Road transport'!$C25,RoadTra_BY!$C$2:$C$999,'Road transport'!$AX25)</f>
        <v>35</v>
      </c>
      <c r="Z25" s="55">
        <f>AVERAGEIFS(RoadTra_BY!AH$2:AH$999,RoadTra_BY!$B$2:$B$999,'Road transport'!$C25,RoadTra_BY!$C$2:$C$999,'Road transport'!$AX25)</f>
        <v>35</v>
      </c>
      <c r="AA25" s="55">
        <f>AVERAGEIFS(RoadTra_BY!AI$2:AI$999,RoadTra_BY!$B$2:$B$999,'Road transport'!$C25,RoadTra_BY!$C$2:$C$999,'Road transport'!$AX25)</f>
        <v>35</v>
      </c>
      <c r="AB25" s="55">
        <f>AVERAGEIFS(RoadTra_BY!AJ$2:AJ$999,RoadTra_BY!$B$2:$B$999,'Road transport'!$C25,RoadTra_BY!$C$2:$C$999,'Road transport'!$AX25)</f>
        <v>35</v>
      </c>
      <c r="AC25" s="55">
        <f>AVERAGEIFS(RoadTra_BY!AK$2:AK$999,RoadTra_BY!$B$2:$B$999,'Road transport'!$C25,RoadTra_BY!$C$2:$C$999,'Road transport'!$AX25)</f>
        <v>35</v>
      </c>
      <c r="AD25" s="55">
        <f>AVERAGEIFS(RoadTra_BY!AL$2:AL$999,RoadTra_BY!$B$2:$B$999,'Road transport'!$C25,RoadTra_BY!$C$2:$C$999,'Road transport'!$AX25)</f>
        <v>35</v>
      </c>
      <c r="AE25" s="55">
        <f>AVERAGEIFS(RoadTra_BY!AM$2:AM$999,RoadTra_BY!$B$2:$B$999,'Road transport'!$C25,RoadTra_BY!$C$2:$C$999,'Road transport'!$AX25)</f>
        <v>35</v>
      </c>
      <c r="AF25" s="55">
        <f>AVERAGEIFS(RoadTra_BY!AN$2:AN$999,RoadTra_BY!$B$2:$B$999,'Road transport'!$C25,RoadTra_BY!$C$2:$C$999,'Road transport'!$AX25)</f>
        <v>35</v>
      </c>
      <c r="AG25" s="55">
        <f>AVERAGEIFS(RoadTra_BY!AO$2:AO$999,RoadTra_BY!$B$2:$B$999,'Road transport'!$C25,RoadTra_BY!$C$2:$C$999,'Road transport'!$AX25)</f>
        <v>35</v>
      </c>
      <c r="AH25" s="55">
        <f>AVERAGEIFS(RoadTra_BY!AP$2:AP$999,RoadTra_BY!$B$2:$B$999,'Road transport'!$C25,RoadTra_BY!$C$2:$C$999,'Road transport'!$AX25)</f>
        <v>35</v>
      </c>
      <c r="AI25" s="55">
        <f>AVERAGEIFS(RoadTra_BY!AQ$2:AQ$999,RoadTra_BY!$B$2:$B$999,'Road transport'!$C25,RoadTra_BY!$C$2:$C$999,'Road transport'!$AX25)</f>
        <v>35</v>
      </c>
      <c r="AJ25" s="55">
        <f>AVERAGEIFS(RoadTra_BY!AR$2:AR$999,RoadTra_BY!$B$2:$B$999,'Road transport'!$C25,RoadTra_BY!$C$2:$C$999,'Road transport'!$AX25)</f>
        <v>35</v>
      </c>
      <c r="AK25" s="55">
        <f>AVERAGEIFS(RoadTra_BY!AS$2:AS$999,RoadTra_BY!$B$2:$B$999,'Road transport'!$C25,RoadTra_BY!$C$2:$C$999,'Road transport'!$AX25)</f>
        <v>35</v>
      </c>
      <c r="AL25" s="55">
        <f>AVERAGEIFS(RoadTra_BY!AT$2:AT$999,RoadTra_BY!$B$2:$B$999,'Road transport'!$C25,RoadTra_BY!$C$2:$C$999,'Road transport'!$AX25)</f>
        <v>20</v>
      </c>
      <c r="AM25" s="55" t="e">
        <f>AVERAGEIFS(RoadTra_BY!AU$2:AU$999,RoadTra_BY!$B$2:$B$999,'Road transport'!$C25,RoadTra_BY!$C$2:$C$999,'Road transport'!$AX25)</f>
        <v>#DIV/0!</v>
      </c>
      <c r="AN25" s="55" t="e">
        <f>AVERAGEIFS(RoadTra_BY!AV$2:AV$999,RoadTra_BY!$B$2:$B$999,'Road transport'!$C25,RoadTra_BY!$C$2:$C$999,'Road transport'!$AX25)</f>
        <v>#DIV/0!</v>
      </c>
      <c r="AO25" s="55" t="e">
        <f>AVERAGEIFS(RoadTra_BY!AW$2:AW$999,RoadTra_BY!$B$2:$B$999,'Road transport'!$C25,RoadTra_BY!$C$2:$C$999,'Road transport'!$AX25)</f>
        <v>#DIV/0!</v>
      </c>
      <c r="AP25" s="55" t="e">
        <f>AVERAGEIFS(RoadTra_BY!AX$2:AX$999,RoadTra_BY!$B$2:$B$999,'Road transport'!$C25,RoadTra_BY!$C$2:$C$999,'Road transport'!$AX25)</f>
        <v>#DIV/0!</v>
      </c>
      <c r="AQ25" s="55" t="e">
        <f>AVERAGEIFS(RoadTra_BY!AY$2:AY$999,RoadTra_BY!$B$2:$B$999,'Road transport'!$C25,RoadTra_BY!$C$2:$C$999,'Road transport'!$AX25)</f>
        <v>#DIV/0!</v>
      </c>
      <c r="AR25" s="55" t="e">
        <f>AVERAGEIFS(RoadTra_BY!AZ$2:AZ$999,RoadTra_BY!$B$2:$B$999,'Road transport'!$C25,RoadTra_BY!$C$2:$C$999,'Road transport'!$AX25)</f>
        <v>#DIV/0!</v>
      </c>
      <c r="AS25" s="55" t="e">
        <f>AVERAGEIFS(RoadTra_BY!BA$2:BA$999,RoadTra_BY!$B$2:$B$999,'Road transport'!$C25,RoadTra_BY!$C$2:$C$999,'Road transport'!$AX25)</f>
        <v>#DIV/0!</v>
      </c>
      <c r="AT25" s="55" t="e">
        <f>AVERAGEIFS(RoadTra_BY!BB$2:BB$999,RoadTra_BY!$B$2:$B$999,'Road transport'!$C25,RoadTra_BY!$C$2:$C$999,'Road transport'!$AX25)</f>
        <v>#DIV/0!</v>
      </c>
      <c r="AU25" s="55" t="e">
        <f>AVERAGEIFS(RoadTra_BY!BC$2:BC$999,RoadTra_BY!$B$2:$B$999,'Road transport'!$C25,RoadTra_BY!$C$2:$C$999,'Road transport'!$AX25)</f>
        <v>#DIV/0!</v>
      </c>
      <c r="AV25" s="55" t="e">
        <f>AVERAGEIFS(RoadTra_BY!BD$2:BD$999,RoadTra_BY!$B$2:$B$999,'Road transport'!$C25,RoadTra_BY!$C$2:$C$999,'Road transport'!$AX25)</f>
        <v>#DIV/0!</v>
      </c>
      <c r="AW25" s="55" t="e">
        <f>AVERAGEIFS(RoadTra_BY!BE$2:BE$999,RoadTra_BY!$B$2:$B$999,'Road transport'!$C25,RoadTra_BY!$C$2:$C$999,'Road transport'!$AX25)</f>
        <v>#DIV/0!</v>
      </c>
      <c r="AX25" t="s">
        <v>145</v>
      </c>
    </row>
    <row r="26" spans="3:50">
      <c r="C26" t="s">
        <v>97</v>
      </c>
      <c r="D26" s="55">
        <f>AVERAGEIFS(RoadTra_BY!L$2:L$999,RoadTra_BY!$B$2:$B$999,'Road transport'!$C26,RoadTra_BY!$C$2:$C$999,'Road transport'!$AX26)</f>
        <v>12</v>
      </c>
      <c r="E26" s="55">
        <f>AVERAGEIFS(RoadTra_BY!M$2:M$999,RoadTra_BY!$B$2:$B$999,'Road transport'!$C26,RoadTra_BY!$C$2:$C$999,'Road transport'!$AX26)</f>
        <v>12</v>
      </c>
      <c r="F26" s="55">
        <f>AVERAGEIFS(RoadTra_BY!N$2:N$999,RoadTra_BY!$B$2:$B$999,'Road transport'!$C26,RoadTra_BY!$C$2:$C$999,'Road transport'!$AX26)</f>
        <v>12</v>
      </c>
      <c r="G26" s="55">
        <f>AVERAGEIFS(RoadTra_BY!O$2:O$999,RoadTra_BY!$B$2:$B$999,'Road transport'!$C26,RoadTra_BY!$C$2:$C$999,'Road transport'!$AX26)</f>
        <v>12</v>
      </c>
      <c r="H26" s="55">
        <f>AVERAGEIFS(RoadTra_BY!P$2:P$999,RoadTra_BY!$B$2:$B$999,'Road transport'!$C26,RoadTra_BY!$C$2:$C$999,'Road transport'!$AX26)</f>
        <v>12</v>
      </c>
      <c r="I26" s="55">
        <f>AVERAGEIFS(RoadTra_BY!Q$2:Q$999,RoadTra_BY!$B$2:$B$999,'Road transport'!$C26,RoadTra_BY!$C$2:$C$999,'Road transport'!$AX26)</f>
        <v>12</v>
      </c>
      <c r="J26" s="55">
        <f>AVERAGEIFS(RoadTra_BY!R$2:R$999,RoadTra_BY!$B$2:$B$999,'Road transport'!$C26,RoadTra_BY!$C$2:$C$999,'Road transport'!$AX26)</f>
        <v>12</v>
      </c>
      <c r="K26" s="55">
        <f>AVERAGEIFS(RoadTra_BY!S$2:S$999,RoadTra_BY!$B$2:$B$999,'Road transport'!$C26,RoadTra_BY!$C$2:$C$999,'Road transport'!$AX26)</f>
        <v>8</v>
      </c>
      <c r="L26" s="55">
        <f>AVERAGEIFS(RoadTra_BY!T$2:T$999,RoadTra_BY!$B$2:$B$999,'Road transport'!$C26,RoadTra_BY!$C$2:$C$999,'Road transport'!$AX26)</f>
        <v>12</v>
      </c>
      <c r="M26" s="55">
        <f>AVERAGEIFS(RoadTra_BY!U$2:U$999,RoadTra_BY!$B$2:$B$999,'Road transport'!$C26,RoadTra_BY!$C$2:$C$999,'Road transport'!$AX26)</f>
        <v>12</v>
      </c>
      <c r="N26" s="55">
        <f>AVERAGEIFS(RoadTra_BY!V$2:V$999,RoadTra_BY!$B$2:$B$999,'Road transport'!$C26,RoadTra_BY!$C$2:$C$999,'Road transport'!$AX26)</f>
        <v>12</v>
      </c>
      <c r="O26" s="55">
        <f>AVERAGEIFS(RoadTra_BY!W$2:W$999,RoadTra_BY!$B$2:$B$999,'Road transport'!$C26,RoadTra_BY!$C$2:$C$999,'Road transport'!$AX26)</f>
        <v>12</v>
      </c>
      <c r="P26" s="55">
        <f>AVERAGEIFS(RoadTra_BY!X$2:X$999,RoadTra_BY!$B$2:$B$999,'Road transport'!$C26,RoadTra_BY!$C$2:$C$999,'Road transport'!$AX26)</f>
        <v>12</v>
      </c>
      <c r="Q26" s="55">
        <f>AVERAGEIFS(RoadTra_BY!Y$2:Y$999,RoadTra_BY!$B$2:$B$999,'Road transport'!$C26,RoadTra_BY!$C$2:$C$999,'Road transport'!$AX26)</f>
        <v>12</v>
      </c>
      <c r="R26" s="55">
        <f>AVERAGEIFS(RoadTra_BY!Z$2:Z$999,RoadTra_BY!$B$2:$B$999,'Road transport'!$C26,RoadTra_BY!$C$2:$C$999,'Road transport'!$AX26)</f>
        <v>12</v>
      </c>
      <c r="S26" s="55">
        <f>AVERAGEIFS(RoadTra_BY!AA$2:AA$999,RoadTra_BY!$B$2:$B$999,'Road transport'!$C26,RoadTra_BY!$C$2:$C$999,'Road transport'!$AX26)</f>
        <v>12</v>
      </c>
      <c r="T26" s="55">
        <f>AVERAGEIFS(RoadTra_BY!AB$2:AB$999,RoadTra_BY!$B$2:$B$999,'Road transport'!$C26,RoadTra_BY!$C$2:$C$999,'Road transport'!$AX26)</f>
        <v>12</v>
      </c>
      <c r="U26" s="55">
        <f>AVERAGEIFS(RoadTra_BY!AC$2:AC$999,RoadTra_BY!$B$2:$B$999,'Road transport'!$C26,RoadTra_BY!$C$2:$C$999,'Road transport'!$AX26)</f>
        <v>12</v>
      </c>
      <c r="V26" s="55">
        <f>AVERAGEIFS(RoadTra_BY!AD$2:AD$999,RoadTra_BY!$B$2:$B$999,'Road transport'!$C26,RoadTra_BY!$C$2:$C$999,'Road transport'!$AX26)</f>
        <v>12</v>
      </c>
      <c r="W26" s="55">
        <f>AVERAGEIFS(RoadTra_BY!AE$2:AE$999,RoadTra_BY!$B$2:$B$999,'Road transport'!$C26,RoadTra_BY!$C$2:$C$999,'Road transport'!$AX26)</f>
        <v>12</v>
      </c>
      <c r="X26" s="55">
        <f>AVERAGEIFS(RoadTra_BY!AF$2:AF$999,RoadTra_BY!$B$2:$B$999,'Road transport'!$C26,RoadTra_BY!$C$2:$C$999,'Road transport'!$AX26)</f>
        <v>12</v>
      </c>
      <c r="Y26" s="55">
        <f>AVERAGEIFS(RoadTra_BY!AG$2:AG$999,RoadTra_BY!$B$2:$B$999,'Road transport'!$C26,RoadTra_BY!$C$2:$C$999,'Road transport'!$AX26)</f>
        <v>18</v>
      </c>
      <c r="Z26" s="55">
        <f>AVERAGEIFS(RoadTra_BY!AH$2:AH$999,RoadTra_BY!$B$2:$B$999,'Road transport'!$C26,RoadTra_BY!$C$2:$C$999,'Road transport'!$AX26)</f>
        <v>12</v>
      </c>
      <c r="AA26" s="55">
        <f>AVERAGEIFS(RoadTra_BY!AI$2:AI$999,RoadTra_BY!$B$2:$B$999,'Road transport'!$C26,RoadTra_BY!$C$2:$C$999,'Road transport'!$AX26)</f>
        <v>12</v>
      </c>
      <c r="AB26" s="55">
        <f>AVERAGEIFS(RoadTra_BY!AJ$2:AJ$999,RoadTra_BY!$B$2:$B$999,'Road transport'!$C26,RoadTra_BY!$C$2:$C$999,'Road transport'!$AX26)</f>
        <v>12</v>
      </c>
      <c r="AC26" s="55">
        <f>AVERAGEIFS(RoadTra_BY!AK$2:AK$999,RoadTra_BY!$B$2:$B$999,'Road transport'!$C26,RoadTra_BY!$C$2:$C$999,'Road transport'!$AX26)</f>
        <v>12</v>
      </c>
      <c r="AD26" s="55">
        <f>AVERAGEIFS(RoadTra_BY!AL$2:AL$999,RoadTra_BY!$B$2:$B$999,'Road transport'!$C26,RoadTra_BY!$C$2:$C$999,'Road transport'!$AX26)</f>
        <v>12</v>
      </c>
      <c r="AE26" s="55">
        <f>AVERAGEIFS(RoadTra_BY!AM$2:AM$999,RoadTra_BY!$B$2:$B$999,'Road transport'!$C26,RoadTra_BY!$C$2:$C$999,'Road transport'!$AX26)</f>
        <v>12</v>
      </c>
      <c r="AF26" s="55">
        <f>AVERAGEIFS(RoadTra_BY!AN$2:AN$999,RoadTra_BY!$B$2:$B$999,'Road transport'!$C26,RoadTra_BY!$C$2:$C$999,'Road transport'!$AX26)</f>
        <v>12</v>
      </c>
      <c r="AG26" s="55">
        <f>AVERAGEIFS(RoadTra_BY!AO$2:AO$999,RoadTra_BY!$B$2:$B$999,'Road transport'!$C26,RoadTra_BY!$C$2:$C$999,'Road transport'!$AX26)</f>
        <v>12</v>
      </c>
      <c r="AH26" s="55">
        <f>AVERAGEIFS(RoadTra_BY!AP$2:AP$999,RoadTra_BY!$B$2:$B$999,'Road transport'!$C26,RoadTra_BY!$C$2:$C$999,'Road transport'!$AX26)</f>
        <v>12</v>
      </c>
      <c r="AI26" s="55">
        <f>AVERAGEIFS(RoadTra_BY!AQ$2:AQ$999,RoadTra_BY!$B$2:$B$999,'Road transport'!$C26,RoadTra_BY!$C$2:$C$999,'Road transport'!$AX26)</f>
        <v>12</v>
      </c>
      <c r="AJ26" s="55">
        <f>AVERAGEIFS(RoadTra_BY!AR$2:AR$999,RoadTra_BY!$B$2:$B$999,'Road transport'!$C26,RoadTra_BY!$C$2:$C$999,'Road transport'!$AX26)</f>
        <v>12</v>
      </c>
      <c r="AK26" s="55">
        <f>AVERAGEIFS(RoadTra_BY!AS$2:AS$999,RoadTra_BY!$B$2:$B$999,'Road transport'!$C26,RoadTra_BY!$C$2:$C$999,'Road transport'!$AX26)</f>
        <v>12</v>
      </c>
      <c r="AL26" s="55">
        <f>AVERAGEIFS(RoadTra_BY!AT$2:AT$999,RoadTra_BY!$B$2:$B$999,'Road transport'!$C26,RoadTra_BY!$C$2:$C$999,'Road transport'!$AX26)</f>
        <v>12</v>
      </c>
      <c r="AM26" s="55" t="e">
        <f>AVERAGEIFS(RoadTra_BY!AU$2:AU$999,RoadTra_BY!$B$2:$B$999,'Road transport'!$C26,RoadTra_BY!$C$2:$C$999,'Road transport'!$AX26)</f>
        <v>#DIV/0!</v>
      </c>
      <c r="AN26" s="55" t="e">
        <f>AVERAGEIFS(RoadTra_BY!AV$2:AV$999,RoadTra_BY!$B$2:$B$999,'Road transport'!$C26,RoadTra_BY!$C$2:$C$999,'Road transport'!$AX26)</f>
        <v>#DIV/0!</v>
      </c>
      <c r="AO26" s="55" t="e">
        <f>AVERAGEIFS(RoadTra_BY!AW$2:AW$999,RoadTra_BY!$B$2:$B$999,'Road transport'!$C26,RoadTra_BY!$C$2:$C$999,'Road transport'!$AX26)</f>
        <v>#DIV/0!</v>
      </c>
      <c r="AP26" s="55" t="e">
        <f>AVERAGEIFS(RoadTra_BY!AX$2:AX$999,RoadTra_BY!$B$2:$B$999,'Road transport'!$C26,RoadTra_BY!$C$2:$C$999,'Road transport'!$AX26)</f>
        <v>#DIV/0!</v>
      </c>
      <c r="AQ26" s="55" t="e">
        <f>AVERAGEIFS(RoadTra_BY!AY$2:AY$999,RoadTra_BY!$B$2:$B$999,'Road transport'!$C26,RoadTra_BY!$C$2:$C$999,'Road transport'!$AX26)</f>
        <v>#DIV/0!</v>
      </c>
      <c r="AR26" s="55" t="e">
        <f>AVERAGEIFS(RoadTra_BY!AZ$2:AZ$999,RoadTra_BY!$B$2:$B$999,'Road transport'!$C26,RoadTra_BY!$C$2:$C$999,'Road transport'!$AX26)</f>
        <v>#DIV/0!</v>
      </c>
      <c r="AS26" s="55" t="e">
        <f>AVERAGEIFS(RoadTra_BY!BA$2:BA$999,RoadTra_BY!$B$2:$B$999,'Road transport'!$C26,RoadTra_BY!$C$2:$C$999,'Road transport'!$AX26)</f>
        <v>#DIV/0!</v>
      </c>
      <c r="AT26" s="55" t="e">
        <f>AVERAGEIFS(RoadTra_BY!BB$2:BB$999,RoadTra_BY!$B$2:$B$999,'Road transport'!$C26,RoadTra_BY!$C$2:$C$999,'Road transport'!$AX26)</f>
        <v>#DIV/0!</v>
      </c>
      <c r="AU26" s="55" t="e">
        <f>AVERAGEIFS(RoadTra_BY!BC$2:BC$999,RoadTra_BY!$B$2:$B$999,'Road transport'!$C26,RoadTra_BY!$C$2:$C$999,'Road transport'!$AX26)</f>
        <v>#DIV/0!</v>
      </c>
      <c r="AV26" s="55" t="e">
        <f>AVERAGEIFS(RoadTra_BY!BD$2:BD$999,RoadTra_BY!$B$2:$B$999,'Road transport'!$C26,RoadTra_BY!$C$2:$C$999,'Road transport'!$AX26)</f>
        <v>#DIV/0!</v>
      </c>
      <c r="AW26" s="55" t="e">
        <f>AVERAGEIFS(RoadTra_BY!BE$2:BE$999,RoadTra_BY!$B$2:$B$999,'Road transport'!$C26,RoadTra_BY!$C$2:$C$999,'Road transport'!$AX26)</f>
        <v>#DIV/0!</v>
      </c>
      <c r="AX26" t="s">
        <v>146</v>
      </c>
    </row>
    <row r="27" spans="3:50">
      <c r="C27" t="s">
        <v>97</v>
      </c>
      <c r="D27" s="55">
        <f>AVERAGEIFS(RoadTra_BY!L$2:L$999,RoadTra_BY!$B$2:$B$999,'Road transport'!$C27,RoadTra_BY!$C$2:$C$999,'Road transport'!$AX27)</f>
        <v>100</v>
      </c>
      <c r="E27" s="55">
        <f>AVERAGEIFS(RoadTra_BY!M$2:M$999,RoadTra_BY!$B$2:$B$999,'Road transport'!$C27,RoadTra_BY!$C$2:$C$999,'Road transport'!$AX27)</f>
        <v>100</v>
      </c>
      <c r="F27" s="55">
        <f>AVERAGEIFS(RoadTra_BY!N$2:N$999,RoadTra_BY!$B$2:$B$999,'Road transport'!$C27,RoadTra_BY!$C$2:$C$999,'Road transport'!$AX27)</f>
        <v>100</v>
      </c>
      <c r="G27" s="55">
        <f>AVERAGEIFS(RoadTra_BY!O$2:O$999,RoadTra_BY!$B$2:$B$999,'Road transport'!$C27,RoadTra_BY!$C$2:$C$999,'Road transport'!$AX27)</f>
        <v>100</v>
      </c>
      <c r="H27" s="55">
        <f>AVERAGEIFS(RoadTra_BY!P$2:P$999,RoadTra_BY!$B$2:$B$999,'Road transport'!$C27,RoadTra_BY!$C$2:$C$999,'Road transport'!$AX27)</f>
        <v>100</v>
      </c>
      <c r="I27" s="55">
        <f>AVERAGEIFS(RoadTra_BY!Q$2:Q$999,RoadTra_BY!$B$2:$B$999,'Road transport'!$C27,RoadTra_BY!$C$2:$C$999,'Road transport'!$AX27)</f>
        <v>100</v>
      </c>
      <c r="J27" s="55">
        <f>AVERAGEIFS(RoadTra_BY!R$2:R$999,RoadTra_BY!$B$2:$B$999,'Road transport'!$C27,RoadTra_BY!$C$2:$C$999,'Road transport'!$AX27)</f>
        <v>100</v>
      </c>
      <c r="K27" s="55">
        <f>AVERAGEIFS(RoadTra_BY!S$2:S$999,RoadTra_BY!$B$2:$B$999,'Road transport'!$C27,RoadTra_BY!$C$2:$C$999,'Road transport'!$AX27)</f>
        <v>100</v>
      </c>
      <c r="L27" s="55">
        <f>AVERAGEIFS(RoadTra_BY!T$2:T$999,RoadTra_BY!$B$2:$B$999,'Road transport'!$C27,RoadTra_BY!$C$2:$C$999,'Road transport'!$AX27)</f>
        <v>100</v>
      </c>
      <c r="M27" s="55">
        <f>AVERAGEIFS(RoadTra_BY!U$2:U$999,RoadTra_BY!$B$2:$B$999,'Road transport'!$C27,RoadTra_BY!$C$2:$C$999,'Road transport'!$AX27)</f>
        <v>100</v>
      </c>
      <c r="N27" s="55">
        <f>AVERAGEIFS(RoadTra_BY!V$2:V$999,RoadTra_BY!$B$2:$B$999,'Road transport'!$C27,RoadTra_BY!$C$2:$C$999,'Road transport'!$AX27)</f>
        <v>100</v>
      </c>
      <c r="O27" s="55">
        <f>AVERAGEIFS(RoadTra_BY!W$2:W$999,RoadTra_BY!$B$2:$B$999,'Road transport'!$C27,RoadTra_BY!$C$2:$C$999,'Road transport'!$AX27)</f>
        <v>100</v>
      </c>
      <c r="P27" s="55">
        <f>AVERAGEIFS(RoadTra_BY!X$2:X$999,RoadTra_BY!$B$2:$B$999,'Road transport'!$C27,RoadTra_BY!$C$2:$C$999,'Road transport'!$AX27)</f>
        <v>100</v>
      </c>
      <c r="Q27" s="55">
        <f>AVERAGEIFS(RoadTra_BY!Y$2:Y$999,RoadTra_BY!$B$2:$B$999,'Road transport'!$C27,RoadTra_BY!$C$2:$C$999,'Road transport'!$AX27)</f>
        <v>100</v>
      </c>
      <c r="R27" s="55">
        <f>AVERAGEIFS(RoadTra_BY!Z$2:Z$999,RoadTra_BY!$B$2:$B$999,'Road transport'!$C27,RoadTra_BY!$C$2:$C$999,'Road transport'!$AX27)</f>
        <v>100</v>
      </c>
      <c r="S27" s="55">
        <f>AVERAGEIFS(RoadTra_BY!AA$2:AA$999,RoadTra_BY!$B$2:$B$999,'Road transport'!$C27,RoadTra_BY!$C$2:$C$999,'Road transport'!$AX27)</f>
        <v>100</v>
      </c>
      <c r="T27" s="55">
        <f>AVERAGEIFS(RoadTra_BY!AB$2:AB$999,RoadTra_BY!$B$2:$B$999,'Road transport'!$C27,RoadTra_BY!$C$2:$C$999,'Road transport'!$AX27)</f>
        <v>100</v>
      </c>
      <c r="U27" s="55">
        <f>AVERAGEIFS(RoadTra_BY!AC$2:AC$999,RoadTra_BY!$B$2:$B$999,'Road transport'!$C27,RoadTra_BY!$C$2:$C$999,'Road transport'!$AX27)</f>
        <v>100</v>
      </c>
      <c r="V27" s="55">
        <f>AVERAGEIFS(RoadTra_BY!AD$2:AD$999,RoadTra_BY!$B$2:$B$999,'Road transport'!$C27,RoadTra_BY!$C$2:$C$999,'Road transport'!$AX27)</f>
        <v>100</v>
      </c>
      <c r="W27" s="55">
        <f>AVERAGEIFS(RoadTra_BY!AE$2:AE$999,RoadTra_BY!$B$2:$B$999,'Road transport'!$C27,RoadTra_BY!$C$2:$C$999,'Road transport'!$AX27)</f>
        <v>100</v>
      </c>
      <c r="X27" s="55">
        <f>AVERAGEIFS(RoadTra_BY!AF$2:AF$999,RoadTra_BY!$B$2:$B$999,'Road transport'!$C27,RoadTra_BY!$C$2:$C$999,'Road transport'!$AX27)</f>
        <v>100</v>
      </c>
      <c r="Y27" s="55">
        <f>AVERAGEIFS(RoadTra_BY!AG$2:AG$999,RoadTra_BY!$B$2:$B$999,'Road transport'!$C27,RoadTra_BY!$C$2:$C$999,'Road transport'!$AX27)</f>
        <v>100</v>
      </c>
      <c r="Z27" s="55">
        <f>AVERAGEIFS(RoadTra_BY!AH$2:AH$999,RoadTra_BY!$B$2:$B$999,'Road transport'!$C27,RoadTra_BY!$C$2:$C$999,'Road transport'!$AX27)</f>
        <v>100</v>
      </c>
      <c r="AA27" s="55">
        <f>AVERAGEIFS(RoadTra_BY!AI$2:AI$999,RoadTra_BY!$B$2:$B$999,'Road transport'!$C27,RoadTra_BY!$C$2:$C$999,'Road transport'!$AX27)</f>
        <v>100</v>
      </c>
      <c r="AB27" s="55">
        <f>AVERAGEIFS(RoadTra_BY!AJ$2:AJ$999,RoadTra_BY!$B$2:$B$999,'Road transport'!$C27,RoadTra_BY!$C$2:$C$999,'Road transport'!$AX27)</f>
        <v>100</v>
      </c>
      <c r="AC27" s="55">
        <f>AVERAGEIFS(RoadTra_BY!AK$2:AK$999,RoadTra_BY!$B$2:$B$999,'Road transport'!$C27,RoadTra_BY!$C$2:$C$999,'Road transport'!$AX27)</f>
        <v>100</v>
      </c>
      <c r="AD27" s="55">
        <f>AVERAGEIFS(RoadTra_BY!AL$2:AL$999,RoadTra_BY!$B$2:$B$999,'Road transport'!$C27,RoadTra_BY!$C$2:$C$999,'Road transport'!$AX27)</f>
        <v>100</v>
      </c>
      <c r="AE27" s="55">
        <f>AVERAGEIFS(RoadTra_BY!AM$2:AM$999,RoadTra_BY!$B$2:$B$999,'Road transport'!$C27,RoadTra_BY!$C$2:$C$999,'Road transport'!$AX27)</f>
        <v>100</v>
      </c>
      <c r="AF27" s="55">
        <f>AVERAGEIFS(RoadTra_BY!AN$2:AN$999,RoadTra_BY!$B$2:$B$999,'Road transport'!$C27,RoadTra_BY!$C$2:$C$999,'Road transport'!$AX27)</f>
        <v>35</v>
      </c>
      <c r="AG27" s="55">
        <f>AVERAGEIFS(RoadTra_BY!AO$2:AO$999,RoadTra_BY!$B$2:$B$999,'Road transport'!$C27,RoadTra_BY!$C$2:$C$999,'Road transport'!$AX27)</f>
        <v>100</v>
      </c>
      <c r="AH27" s="55">
        <f>AVERAGEIFS(RoadTra_BY!AP$2:AP$999,RoadTra_BY!$B$2:$B$999,'Road transport'!$C27,RoadTra_BY!$C$2:$C$999,'Road transport'!$AX27)</f>
        <v>100</v>
      </c>
      <c r="AI27" s="55">
        <f>AVERAGEIFS(RoadTra_BY!AQ$2:AQ$999,RoadTra_BY!$B$2:$B$999,'Road transport'!$C27,RoadTra_BY!$C$2:$C$999,'Road transport'!$AX27)</f>
        <v>100</v>
      </c>
      <c r="AJ27" s="55">
        <f>AVERAGEIFS(RoadTra_BY!AR$2:AR$999,RoadTra_BY!$B$2:$B$999,'Road transport'!$C27,RoadTra_BY!$C$2:$C$999,'Road transport'!$AX27)</f>
        <v>100</v>
      </c>
      <c r="AK27" s="55">
        <f>AVERAGEIFS(RoadTra_BY!AS$2:AS$999,RoadTra_BY!$B$2:$B$999,'Road transport'!$C27,RoadTra_BY!$C$2:$C$999,'Road transport'!$AX27)</f>
        <v>100</v>
      </c>
      <c r="AL27" s="55">
        <f>AVERAGEIFS(RoadTra_BY!AT$2:AT$999,RoadTra_BY!$B$2:$B$999,'Road transport'!$C27,RoadTra_BY!$C$2:$C$999,'Road transport'!$AX27)</f>
        <v>35</v>
      </c>
      <c r="AM27" s="55" t="e">
        <f>AVERAGEIFS(RoadTra_BY!AU$2:AU$999,RoadTra_BY!$B$2:$B$999,'Road transport'!$C27,RoadTra_BY!$C$2:$C$999,'Road transport'!$AX27)</f>
        <v>#DIV/0!</v>
      </c>
      <c r="AN27" s="55" t="e">
        <f>AVERAGEIFS(RoadTra_BY!AV$2:AV$999,RoadTra_BY!$B$2:$B$999,'Road transport'!$C27,RoadTra_BY!$C$2:$C$999,'Road transport'!$AX27)</f>
        <v>#DIV/0!</v>
      </c>
      <c r="AO27" s="55" t="e">
        <f>AVERAGEIFS(RoadTra_BY!AW$2:AW$999,RoadTra_BY!$B$2:$B$999,'Road transport'!$C27,RoadTra_BY!$C$2:$C$999,'Road transport'!$AX27)</f>
        <v>#DIV/0!</v>
      </c>
      <c r="AP27" s="55" t="e">
        <f>AVERAGEIFS(RoadTra_BY!AX$2:AX$999,RoadTra_BY!$B$2:$B$999,'Road transport'!$C27,RoadTra_BY!$C$2:$C$999,'Road transport'!$AX27)</f>
        <v>#DIV/0!</v>
      </c>
      <c r="AQ27" s="55" t="e">
        <f>AVERAGEIFS(RoadTra_BY!AY$2:AY$999,RoadTra_BY!$B$2:$B$999,'Road transport'!$C27,RoadTra_BY!$C$2:$C$999,'Road transport'!$AX27)</f>
        <v>#DIV/0!</v>
      </c>
      <c r="AR27" s="55" t="e">
        <f>AVERAGEIFS(RoadTra_BY!AZ$2:AZ$999,RoadTra_BY!$B$2:$B$999,'Road transport'!$C27,RoadTra_BY!$C$2:$C$999,'Road transport'!$AX27)</f>
        <v>#DIV/0!</v>
      </c>
      <c r="AS27" s="55" t="e">
        <f>AVERAGEIFS(RoadTra_BY!BA$2:BA$999,RoadTra_BY!$B$2:$B$999,'Road transport'!$C27,RoadTra_BY!$C$2:$C$999,'Road transport'!$AX27)</f>
        <v>#DIV/0!</v>
      </c>
      <c r="AT27" s="55" t="e">
        <f>AVERAGEIFS(RoadTra_BY!BB$2:BB$999,RoadTra_BY!$B$2:$B$999,'Road transport'!$C27,RoadTra_BY!$C$2:$C$999,'Road transport'!$AX27)</f>
        <v>#DIV/0!</v>
      </c>
      <c r="AU27" s="55" t="e">
        <f>AVERAGEIFS(RoadTra_BY!BC$2:BC$999,RoadTra_BY!$B$2:$B$999,'Road transport'!$C27,RoadTra_BY!$C$2:$C$999,'Road transport'!$AX27)</f>
        <v>#DIV/0!</v>
      </c>
      <c r="AV27" s="55" t="e">
        <f>AVERAGEIFS(RoadTra_BY!BD$2:BD$999,RoadTra_BY!$B$2:$B$999,'Road transport'!$C27,RoadTra_BY!$C$2:$C$999,'Road transport'!$AX27)</f>
        <v>#DIV/0!</v>
      </c>
      <c r="AW27" s="55" t="e">
        <f>AVERAGEIFS(RoadTra_BY!BE$2:BE$999,RoadTra_BY!$B$2:$B$999,'Road transport'!$C27,RoadTra_BY!$C$2:$C$999,'Road transport'!$AX27)</f>
        <v>#DIV/0!</v>
      </c>
      <c r="AX27" t="s">
        <v>147</v>
      </c>
    </row>
    <row r="28" spans="3:50">
      <c r="C28" t="s">
        <v>97</v>
      </c>
      <c r="D28" s="55">
        <f>AVERAGEIFS(RoadTra_BY!L$2:L$999,RoadTra_BY!$B$2:$B$999,'Road transport'!$C28,RoadTra_BY!$C$2:$C$999,'Road transport'!$AX28)</f>
        <v>40</v>
      </c>
      <c r="E28" s="55">
        <f>AVERAGEIFS(RoadTra_BY!M$2:M$999,RoadTra_BY!$B$2:$B$999,'Road transport'!$C28,RoadTra_BY!$C$2:$C$999,'Road transport'!$AX28)</f>
        <v>40</v>
      </c>
      <c r="F28" s="55">
        <f>AVERAGEIFS(RoadTra_BY!N$2:N$999,RoadTra_BY!$B$2:$B$999,'Road transport'!$C28,RoadTra_BY!$C$2:$C$999,'Road transport'!$AX28)</f>
        <v>40</v>
      </c>
      <c r="G28" s="55">
        <f>AVERAGEIFS(RoadTra_BY!O$2:O$999,RoadTra_BY!$B$2:$B$999,'Road transport'!$C28,RoadTra_BY!$C$2:$C$999,'Road transport'!$AX28)</f>
        <v>40</v>
      </c>
      <c r="H28" s="55">
        <f>AVERAGEIFS(RoadTra_BY!P$2:P$999,RoadTra_BY!$B$2:$B$999,'Road transport'!$C28,RoadTra_BY!$C$2:$C$999,'Road transport'!$AX28)</f>
        <v>40</v>
      </c>
      <c r="I28" s="55">
        <f>AVERAGEIFS(RoadTra_BY!Q$2:Q$999,RoadTra_BY!$B$2:$B$999,'Road transport'!$C28,RoadTra_BY!$C$2:$C$999,'Road transport'!$AX28)</f>
        <v>40</v>
      </c>
      <c r="J28" s="55">
        <f>AVERAGEIFS(RoadTra_BY!R$2:R$999,RoadTra_BY!$B$2:$B$999,'Road transport'!$C28,RoadTra_BY!$C$2:$C$999,'Road transport'!$AX28)</f>
        <v>40</v>
      </c>
      <c r="K28" s="55">
        <f>AVERAGEIFS(RoadTra_BY!S$2:S$999,RoadTra_BY!$B$2:$B$999,'Road transport'!$C28,RoadTra_BY!$C$2:$C$999,'Road transport'!$AX28)</f>
        <v>40</v>
      </c>
      <c r="L28" s="55">
        <f>AVERAGEIFS(RoadTra_BY!T$2:T$999,RoadTra_BY!$B$2:$B$999,'Road transport'!$C28,RoadTra_BY!$C$2:$C$999,'Road transport'!$AX28)</f>
        <v>40</v>
      </c>
      <c r="M28" s="55">
        <f>AVERAGEIFS(RoadTra_BY!U$2:U$999,RoadTra_BY!$B$2:$B$999,'Road transport'!$C28,RoadTra_BY!$C$2:$C$999,'Road transport'!$AX28)</f>
        <v>40</v>
      </c>
      <c r="N28" s="55">
        <f>AVERAGEIFS(RoadTra_BY!V$2:V$999,RoadTra_BY!$B$2:$B$999,'Road transport'!$C28,RoadTra_BY!$C$2:$C$999,'Road transport'!$AX28)</f>
        <v>40</v>
      </c>
      <c r="O28" s="55">
        <f>AVERAGEIFS(RoadTra_BY!W$2:W$999,RoadTra_BY!$B$2:$B$999,'Road transport'!$C28,RoadTra_BY!$C$2:$C$999,'Road transport'!$AX28)</f>
        <v>40</v>
      </c>
      <c r="P28" s="55">
        <f>AVERAGEIFS(RoadTra_BY!X$2:X$999,RoadTra_BY!$B$2:$B$999,'Road transport'!$C28,RoadTra_BY!$C$2:$C$999,'Road transport'!$AX28)</f>
        <v>40</v>
      </c>
      <c r="Q28" s="55">
        <f>AVERAGEIFS(RoadTra_BY!Y$2:Y$999,RoadTra_BY!$B$2:$B$999,'Road transport'!$C28,RoadTra_BY!$C$2:$C$999,'Road transport'!$AX28)</f>
        <v>40</v>
      </c>
      <c r="R28" s="55">
        <f>AVERAGEIFS(RoadTra_BY!Z$2:Z$999,RoadTra_BY!$B$2:$B$999,'Road transport'!$C28,RoadTra_BY!$C$2:$C$999,'Road transport'!$AX28)</f>
        <v>40</v>
      </c>
      <c r="S28" s="55">
        <f>AVERAGEIFS(RoadTra_BY!AA$2:AA$999,RoadTra_BY!$B$2:$B$999,'Road transport'!$C28,RoadTra_BY!$C$2:$C$999,'Road transport'!$AX28)</f>
        <v>40</v>
      </c>
      <c r="T28" s="55">
        <f>AVERAGEIFS(RoadTra_BY!AB$2:AB$999,RoadTra_BY!$B$2:$B$999,'Road transport'!$C28,RoadTra_BY!$C$2:$C$999,'Road transport'!$AX28)</f>
        <v>40</v>
      </c>
      <c r="U28" s="55">
        <f>AVERAGEIFS(RoadTra_BY!AC$2:AC$999,RoadTra_BY!$B$2:$B$999,'Road transport'!$C28,RoadTra_BY!$C$2:$C$999,'Road transport'!$AX28)</f>
        <v>40</v>
      </c>
      <c r="V28" s="55">
        <f>AVERAGEIFS(RoadTra_BY!AD$2:AD$999,RoadTra_BY!$B$2:$B$999,'Road transport'!$C28,RoadTra_BY!$C$2:$C$999,'Road transport'!$AX28)</f>
        <v>40</v>
      </c>
      <c r="W28" s="55">
        <f>AVERAGEIFS(RoadTra_BY!AE$2:AE$999,RoadTra_BY!$B$2:$B$999,'Road transport'!$C28,RoadTra_BY!$C$2:$C$999,'Road transport'!$AX28)</f>
        <v>40</v>
      </c>
      <c r="X28" s="55">
        <f>AVERAGEIFS(RoadTra_BY!AF$2:AF$999,RoadTra_BY!$B$2:$B$999,'Road transport'!$C28,RoadTra_BY!$C$2:$C$999,'Road transport'!$AX28)</f>
        <v>40</v>
      </c>
      <c r="Y28" s="55">
        <f>AVERAGEIFS(RoadTra_BY!AG$2:AG$999,RoadTra_BY!$B$2:$B$999,'Road transport'!$C28,RoadTra_BY!$C$2:$C$999,'Road transport'!$AX28)</f>
        <v>40</v>
      </c>
      <c r="Z28" s="55">
        <f>AVERAGEIFS(RoadTra_BY!AH$2:AH$999,RoadTra_BY!$B$2:$B$999,'Road transport'!$C28,RoadTra_BY!$C$2:$C$999,'Road transport'!$AX28)</f>
        <v>40</v>
      </c>
      <c r="AA28" s="55">
        <f>AVERAGEIFS(RoadTra_BY!AI$2:AI$999,RoadTra_BY!$B$2:$B$999,'Road transport'!$C28,RoadTra_BY!$C$2:$C$999,'Road transport'!$AX28)</f>
        <v>40</v>
      </c>
      <c r="AB28" s="55">
        <f>AVERAGEIFS(RoadTra_BY!AJ$2:AJ$999,RoadTra_BY!$B$2:$B$999,'Road transport'!$C28,RoadTra_BY!$C$2:$C$999,'Road transport'!$AX28)</f>
        <v>40</v>
      </c>
      <c r="AC28" s="55">
        <f>AVERAGEIFS(RoadTra_BY!AK$2:AK$999,RoadTra_BY!$B$2:$B$999,'Road transport'!$C28,RoadTra_BY!$C$2:$C$999,'Road transport'!$AX28)</f>
        <v>40</v>
      </c>
      <c r="AD28" s="55">
        <f>AVERAGEIFS(RoadTra_BY!AL$2:AL$999,RoadTra_BY!$B$2:$B$999,'Road transport'!$C28,RoadTra_BY!$C$2:$C$999,'Road transport'!$AX28)</f>
        <v>40</v>
      </c>
      <c r="AE28" s="55">
        <f>AVERAGEIFS(RoadTra_BY!AM$2:AM$999,RoadTra_BY!$B$2:$B$999,'Road transport'!$C28,RoadTra_BY!$C$2:$C$999,'Road transport'!$AX28)</f>
        <v>40</v>
      </c>
      <c r="AF28" s="55">
        <f>AVERAGEIFS(RoadTra_BY!AN$2:AN$999,RoadTra_BY!$B$2:$B$999,'Road transport'!$C28,RoadTra_BY!$C$2:$C$999,'Road transport'!$AX28)</f>
        <v>25</v>
      </c>
      <c r="AG28" s="55">
        <f>AVERAGEIFS(RoadTra_BY!AO$2:AO$999,RoadTra_BY!$B$2:$B$999,'Road transport'!$C28,RoadTra_BY!$C$2:$C$999,'Road transport'!$AX28)</f>
        <v>40</v>
      </c>
      <c r="AH28" s="55">
        <f>AVERAGEIFS(RoadTra_BY!AP$2:AP$999,RoadTra_BY!$B$2:$B$999,'Road transport'!$C28,RoadTra_BY!$C$2:$C$999,'Road transport'!$AX28)</f>
        <v>40</v>
      </c>
      <c r="AI28" s="55">
        <f>AVERAGEIFS(RoadTra_BY!AQ$2:AQ$999,RoadTra_BY!$B$2:$B$999,'Road transport'!$C28,RoadTra_BY!$C$2:$C$999,'Road transport'!$AX28)</f>
        <v>40</v>
      </c>
      <c r="AJ28" s="55">
        <f>AVERAGEIFS(RoadTra_BY!AR$2:AR$999,RoadTra_BY!$B$2:$B$999,'Road transport'!$C28,RoadTra_BY!$C$2:$C$999,'Road transport'!$AX28)</f>
        <v>40</v>
      </c>
      <c r="AK28" s="55">
        <f>AVERAGEIFS(RoadTra_BY!AS$2:AS$999,RoadTra_BY!$B$2:$B$999,'Road transport'!$C28,RoadTra_BY!$C$2:$C$999,'Road transport'!$AX28)</f>
        <v>40</v>
      </c>
      <c r="AL28" s="55">
        <f>AVERAGEIFS(RoadTra_BY!AT$2:AT$999,RoadTra_BY!$B$2:$B$999,'Road transport'!$C28,RoadTra_BY!$C$2:$C$999,'Road transport'!$AX28)</f>
        <v>15</v>
      </c>
      <c r="AM28" s="55" t="e">
        <f>AVERAGEIFS(RoadTra_BY!AU$2:AU$999,RoadTra_BY!$B$2:$B$999,'Road transport'!$C28,RoadTra_BY!$C$2:$C$999,'Road transport'!$AX28)</f>
        <v>#DIV/0!</v>
      </c>
      <c r="AN28" s="55" t="e">
        <f>AVERAGEIFS(RoadTra_BY!AV$2:AV$999,RoadTra_BY!$B$2:$B$999,'Road transport'!$C28,RoadTra_BY!$C$2:$C$999,'Road transport'!$AX28)</f>
        <v>#DIV/0!</v>
      </c>
      <c r="AO28" s="55" t="e">
        <f>AVERAGEIFS(RoadTra_BY!AW$2:AW$999,RoadTra_BY!$B$2:$B$999,'Road transport'!$C28,RoadTra_BY!$C$2:$C$999,'Road transport'!$AX28)</f>
        <v>#DIV/0!</v>
      </c>
      <c r="AP28" s="55" t="e">
        <f>AVERAGEIFS(RoadTra_BY!AX$2:AX$999,RoadTra_BY!$B$2:$B$999,'Road transport'!$C28,RoadTra_BY!$C$2:$C$999,'Road transport'!$AX28)</f>
        <v>#DIV/0!</v>
      </c>
      <c r="AQ28" s="55" t="e">
        <f>AVERAGEIFS(RoadTra_BY!AY$2:AY$999,RoadTra_BY!$B$2:$B$999,'Road transport'!$C28,RoadTra_BY!$C$2:$C$999,'Road transport'!$AX28)</f>
        <v>#DIV/0!</v>
      </c>
      <c r="AR28" s="55" t="e">
        <f>AVERAGEIFS(RoadTra_BY!AZ$2:AZ$999,RoadTra_BY!$B$2:$B$999,'Road transport'!$C28,RoadTra_BY!$C$2:$C$999,'Road transport'!$AX28)</f>
        <v>#DIV/0!</v>
      </c>
      <c r="AS28" s="55" t="e">
        <f>AVERAGEIFS(RoadTra_BY!BA$2:BA$999,RoadTra_BY!$B$2:$B$999,'Road transport'!$C28,RoadTra_BY!$C$2:$C$999,'Road transport'!$AX28)</f>
        <v>#DIV/0!</v>
      </c>
      <c r="AT28" s="55" t="e">
        <f>AVERAGEIFS(RoadTra_BY!BB$2:BB$999,RoadTra_BY!$B$2:$B$999,'Road transport'!$C28,RoadTra_BY!$C$2:$C$999,'Road transport'!$AX28)</f>
        <v>#DIV/0!</v>
      </c>
      <c r="AU28" s="55" t="e">
        <f>AVERAGEIFS(RoadTra_BY!BC$2:BC$999,RoadTra_BY!$B$2:$B$999,'Road transport'!$C28,RoadTra_BY!$C$2:$C$999,'Road transport'!$AX28)</f>
        <v>#DIV/0!</v>
      </c>
      <c r="AV28" s="55" t="e">
        <f>AVERAGEIFS(RoadTra_BY!BD$2:BD$999,RoadTra_BY!$B$2:$B$999,'Road transport'!$C28,RoadTra_BY!$C$2:$C$999,'Road transport'!$AX28)</f>
        <v>#DIV/0!</v>
      </c>
      <c r="AW28" s="55" t="e">
        <f>AVERAGEIFS(RoadTra_BY!BE$2:BE$999,RoadTra_BY!$B$2:$B$999,'Road transport'!$C28,RoadTra_BY!$C$2:$C$999,'Road transport'!$AX28)</f>
        <v>#DIV/0!</v>
      </c>
      <c r="AX28" t="s">
        <v>148</v>
      </c>
    </row>
    <row r="31" spans="3:3">
      <c r="C31" t="s">
        <v>149</v>
      </c>
    </row>
    <row r="32" spans="3:50">
      <c r="C32" t="s">
        <v>116</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64</v>
      </c>
    </row>
    <row r="33" spans="3:53">
      <c r="C33" t="s">
        <v>107</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150</v>
      </c>
    </row>
    <row r="34" spans="3:53">
      <c r="C34" t="s">
        <v>107</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151</v>
      </c>
    </row>
    <row r="35" spans="3:53">
      <c r="C35" t="s">
        <v>107</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152</v>
      </c>
    </row>
    <row r="36" spans="3:53">
      <c r="C36" t="s">
        <v>107</v>
      </c>
      <c r="D36" t="str">
        <f>"*"&amp;ROUND(SUMIFS(RoadTra_BY!L$2:L$79,RoadTra_BY!$B$2:$B$79,'Road transport'!$C36,RoadTra_BY!$C$2:$C$79,'Road transport'!$BA36),3)</f>
        <v>*0.466</v>
      </c>
      <c r="E36" t="str">
        <f>"*"&amp;ROUND(SUMIFS(RoadTra_BY!M$2:M$79,RoadTra_BY!$B$2:$B$79,'Road transport'!$C36,RoadTra_BY!$C$2:$C$79,'Road transport'!$BA36),3)</f>
        <v>*0.466</v>
      </c>
      <c r="F36" t="str">
        <f>"*"&amp;ROUND(SUMIFS(RoadTra_BY!N$2:N$79,RoadTra_BY!$B$2:$B$79,'Road transport'!$C36,RoadTra_BY!$C$2:$C$79,'Road transport'!$BA36),3)</f>
        <v>*0.466</v>
      </c>
      <c r="G36" t="str">
        <f>"*"&amp;ROUND(SUMIFS(RoadTra_BY!O$2:O$79,RoadTra_BY!$B$2:$B$79,'Road transport'!$C36,RoadTra_BY!$C$2:$C$79,'Road transport'!$BA36),3)</f>
        <v>*0.466</v>
      </c>
      <c r="H36" t="str">
        <f>"*"&amp;ROUND(SUMIFS(RoadTra_BY!P$2:P$79,RoadTra_BY!$B$2:$B$79,'Road transport'!$C36,RoadTra_BY!$C$2:$C$79,'Road transport'!$BA36),3)</f>
        <v>*0.466</v>
      </c>
      <c r="I36" t="str">
        <f>"*"&amp;ROUND(SUMIFS(RoadTra_BY!Q$2:Q$79,RoadTra_BY!$B$2:$B$79,'Road transport'!$C36,RoadTra_BY!$C$2:$C$79,'Road transport'!$BA36),3)</f>
        <v>*0.466</v>
      </c>
      <c r="J36" t="str">
        <f>"*"&amp;ROUND(SUMIFS(RoadTra_BY!R$2:R$79,RoadTra_BY!$B$2:$B$79,'Road transport'!$C36,RoadTra_BY!$C$2:$C$79,'Road transport'!$BA36),3)</f>
        <v>*0.466</v>
      </c>
      <c r="K36" t="str">
        <f>"*"&amp;ROUND(SUMIFS(RoadTra_BY!S$2:S$79,RoadTra_BY!$B$2:$B$79,'Road transport'!$C36,RoadTra_BY!$C$2:$C$79,'Road transport'!$BA36),3)</f>
        <v>*0.466</v>
      </c>
      <c r="L36" t="str">
        <f>"*"&amp;ROUND(SUMIFS(RoadTra_BY!T$2:T$79,RoadTra_BY!$B$2:$B$79,'Road transport'!$C36,RoadTra_BY!$C$2:$C$79,'Road transport'!$BA36),3)</f>
        <v>*0.466</v>
      </c>
      <c r="M36" t="str">
        <f>"*"&amp;ROUND(SUMIFS(RoadTra_BY!U$2:U$79,RoadTra_BY!$B$2:$B$79,'Road transport'!$C36,RoadTra_BY!$C$2:$C$79,'Road transport'!$BA36),3)</f>
        <v>*0.466</v>
      </c>
      <c r="N36" t="str">
        <f>"*"&amp;ROUND(SUMIFS(RoadTra_BY!V$2:V$79,RoadTra_BY!$B$2:$B$79,'Road transport'!$C36,RoadTra_BY!$C$2:$C$79,'Road transport'!$BA36),3)</f>
        <v>*0.466</v>
      </c>
      <c r="O36" t="str">
        <f>"*"&amp;ROUND(SUMIFS(RoadTra_BY!W$2:W$79,RoadTra_BY!$B$2:$B$79,'Road transport'!$C36,RoadTra_BY!$C$2:$C$79,'Road transport'!$BA36),3)</f>
        <v>*0.466</v>
      </c>
      <c r="P36" t="str">
        <f>"*"&amp;ROUND(SUMIFS(RoadTra_BY!X$2:X$79,RoadTra_BY!$B$2:$B$79,'Road transport'!$C36,RoadTra_BY!$C$2:$C$79,'Road transport'!$BA36),3)</f>
        <v>*0.466</v>
      </c>
      <c r="Q36" t="str">
        <f>"*"&amp;ROUND(SUMIFS(RoadTra_BY!Y$2:Y$79,RoadTra_BY!$B$2:$B$79,'Road transport'!$C36,RoadTra_BY!$C$2:$C$79,'Road transport'!$BA36),3)</f>
        <v>*0.466</v>
      </c>
      <c r="R36" t="str">
        <f>"*"&amp;ROUND(SUMIFS(RoadTra_BY!Z$2:Z$79,RoadTra_BY!$B$2:$B$79,'Road transport'!$C36,RoadTra_BY!$C$2:$C$79,'Road transport'!$BA36),3)</f>
        <v>*0.466</v>
      </c>
      <c r="S36" t="str">
        <f>"*"&amp;ROUND(SUMIFS(RoadTra_BY!AA$2:AA$79,RoadTra_BY!$B$2:$B$79,'Road transport'!$C36,RoadTra_BY!$C$2:$C$79,'Road transport'!$BA36),3)</f>
        <v>*0.466</v>
      </c>
      <c r="T36" t="str">
        <f>"*"&amp;ROUND(SUMIFS(RoadTra_BY!AB$2:AB$79,RoadTra_BY!$B$2:$B$79,'Road transport'!$C36,RoadTra_BY!$C$2:$C$79,'Road transport'!$BA36),3)</f>
        <v>*0.466</v>
      </c>
      <c r="U36" t="str">
        <f>"*"&amp;ROUND(SUMIFS(RoadTra_BY!AC$2:AC$79,RoadTra_BY!$B$2:$B$79,'Road transport'!$C36,RoadTra_BY!$C$2:$C$79,'Road transport'!$BA36),3)</f>
        <v>*0.466</v>
      </c>
      <c r="V36" t="str">
        <f>"*"&amp;ROUND(SUMIFS(RoadTra_BY!AD$2:AD$79,RoadTra_BY!$B$2:$B$79,'Road transport'!$C36,RoadTra_BY!$C$2:$C$79,'Road transport'!$BA36),3)</f>
        <v>*0.466</v>
      </c>
      <c r="W36" t="str">
        <f>"*"&amp;ROUND(SUMIFS(RoadTra_BY!AE$2:AE$79,RoadTra_BY!$B$2:$B$79,'Road transport'!$C36,RoadTra_BY!$C$2:$C$79,'Road transport'!$BA36),3)</f>
        <v>*0.466</v>
      </c>
      <c r="X36" t="str">
        <f>"*"&amp;ROUND(SUMIFS(RoadTra_BY!AF$2:AF$79,RoadTra_BY!$B$2:$B$79,'Road transport'!$C36,RoadTra_BY!$C$2:$C$79,'Road transport'!$BA36),3)</f>
        <v>*0.466</v>
      </c>
      <c r="Y36" t="str">
        <f>"*"&amp;ROUND(SUMIFS(RoadTra_BY!AG$2:AG$79,RoadTra_BY!$B$2:$B$79,'Road transport'!$C36,RoadTra_BY!$C$2:$C$79,'Road transport'!$BA36),3)</f>
        <v>*0.28</v>
      </c>
      <c r="Z36" t="str">
        <f>"*"&amp;ROUND(SUMIFS(RoadTra_BY!AH$2:AH$79,RoadTra_BY!$B$2:$B$79,'Road transport'!$C36,RoadTra_BY!$C$2:$C$79,'Road transport'!$BA36),3)</f>
        <v>*0.466</v>
      </c>
      <c r="AA36" t="str">
        <f>"*"&amp;ROUND(SUMIFS(RoadTra_BY!AI$2:AI$79,RoadTra_BY!$B$2:$B$79,'Road transport'!$C36,RoadTra_BY!$C$2:$C$79,'Road transport'!$BA36),3)</f>
        <v>*0.466</v>
      </c>
      <c r="AB36" t="str">
        <f>"*"&amp;ROUND(SUMIFS(RoadTra_BY!AJ$2:AJ$79,RoadTra_BY!$B$2:$B$79,'Road transport'!$C36,RoadTra_BY!$C$2:$C$79,'Road transport'!$BA36),3)</f>
        <v>*0.466</v>
      </c>
      <c r="AC36" t="str">
        <f>"*"&amp;ROUND(SUMIFS(RoadTra_BY!AK$2:AK$79,RoadTra_BY!$B$2:$B$79,'Road transport'!$C36,RoadTra_BY!$C$2:$C$79,'Road transport'!$BA36),3)</f>
        <v>*0.466</v>
      </c>
      <c r="AD36" t="str">
        <f>"*"&amp;ROUND(SUMIFS(RoadTra_BY!AL$2:AL$79,RoadTra_BY!$B$2:$B$79,'Road transport'!$C36,RoadTra_BY!$C$2:$C$79,'Road transport'!$BA36),3)</f>
        <v>*0.466</v>
      </c>
      <c r="AE36" t="str">
        <f>"*"&amp;ROUND(SUMIFS(RoadTra_BY!AM$2:AM$79,RoadTra_BY!$B$2:$B$79,'Road transport'!$C36,RoadTra_BY!$C$2:$C$79,'Road transport'!$BA36),3)</f>
        <v>*0.466</v>
      </c>
      <c r="AF36" t="str">
        <f>"*"&amp;ROUND(SUMIFS(RoadTra_BY!AN$2:AN$79,RoadTra_BY!$B$2:$B$79,'Road transport'!$C36,RoadTra_BY!$C$2:$C$79,'Road transport'!$BA36),3)</f>
        <v>*0.466</v>
      </c>
      <c r="AG36" t="str">
        <f>"*"&amp;ROUND(SUMIFS(RoadTra_BY!AO$2:AO$79,RoadTra_BY!$B$2:$B$79,'Road transport'!$C36,RoadTra_BY!$C$2:$C$79,'Road transport'!$BA36),3)</f>
        <v>*0.466</v>
      </c>
      <c r="AH36" t="str">
        <f>"*"&amp;ROUND(SUMIFS(RoadTra_BY!AP$2:AP$79,RoadTra_BY!$B$2:$B$79,'Road transport'!$C36,RoadTra_BY!$C$2:$C$79,'Road transport'!$BA36),3)</f>
        <v>*0.466</v>
      </c>
      <c r="AI36" t="str">
        <f>"*"&amp;ROUND(SUMIFS(RoadTra_BY!AQ$2:AQ$79,RoadTra_BY!$B$2:$B$79,'Road transport'!$C36,RoadTra_BY!$C$2:$C$79,'Road transport'!$BA36),3)</f>
        <v>*0.466</v>
      </c>
      <c r="AJ36" t="str">
        <f>"*"&amp;ROUND(SUMIFS(RoadTra_BY!AR$2:AR$79,RoadTra_BY!$B$2:$B$79,'Road transport'!$C36,RoadTra_BY!$C$2:$C$79,'Road transport'!$BA36),3)</f>
        <v>*0.466</v>
      </c>
      <c r="AK36" t="str">
        <f>"*"&amp;ROUND(SUMIFS(RoadTra_BY!AS$2:AS$79,RoadTra_BY!$B$2:$B$79,'Road transport'!$C36,RoadTra_BY!$C$2:$C$79,'Road transport'!$BA36),3)</f>
        <v>*0.466</v>
      </c>
      <c r="AL36" t="str">
        <f>"*"&amp;ROUND(SUMIFS(RoadTra_BY!AT$2:AT$79,RoadTra_BY!$B$2:$B$79,'Road transport'!$C36,RoadTra_BY!$C$2:$C$79,'Road transport'!$BA36),3)</f>
        <v>*0.466</v>
      </c>
      <c r="AM36" t="str">
        <f>"*"&amp;ROUND(SUMIFS(RoadTra_BY!AU$2:AU$79,RoadTra_BY!$B$2:$B$79,'Road transport'!$C36,RoadTra_BY!$C$2:$C$79,'Road transport'!$BA36),3)</f>
        <v>*0</v>
      </c>
      <c r="AN36" t="str">
        <f>"*"&amp;ROUND(SUMIFS(RoadTra_BY!AV$2:AV$79,RoadTra_BY!$B$2:$B$79,'Road transport'!$C36,RoadTra_BY!$C$2:$C$79,'Road transport'!$BA36),3)</f>
        <v>*0</v>
      </c>
      <c r="AO36" t="str">
        <f>"*"&amp;ROUND(SUMIFS(RoadTra_BY!AW$2:AW$79,RoadTra_BY!$B$2:$B$79,'Road transport'!$C36,RoadTra_BY!$C$2:$C$79,'Road transport'!$BA36),3)</f>
        <v>*0</v>
      </c>
      <c r="AP36" t="str">
        <f>"*"&amp;ROUND(SUMIFS(RoadTra_BY!AX$2:AX$79,RoadTra_BY!$B$2:$B$79,'Road transport'!$C36,RoadTra_BY!$C$2:$C$79,'Road transport'!$BA36),3)</f>
        <v>*0</v>
      </c>
      <c r="AQ36" t="str">
        <f>"*"&amp;ROUND(SUMIFS(RoadTra_BY!AY$2:AY$79,RoadTra_BY!$B$2:$B$79,'Road transport'!$C36,RoadTra_BY!$C$2:$C$79,'Road transport'!$BA36),3)</f>
        <v>*0</v>
      </c>
      <c r="AR36" t="str">
        <f>"*"&amp;ROUND(SUMIFS(RoadTra_BY!AZ$2:AZ$79,RoadTra_BY!$B$2:$B$79,'Road transport'!$C36,RoadTra_BY!$C$2:$C$79,'Road transport'!$BA36),3)</f>
        <v>*0</v>
      </c>
      <c r="AS36" t="str">
        <f>"*"&amp;ROUND(SUMIFS(RoadTra_BY!BA$2:BA$79,RoadTra_BY!$B$2:$B$79,'Road transport'!$C36,RoadTra_BY!$C$2:$C$79,'Road transport'!$BA36),3)</f>
        <v>*0</v>
      </c>
      <c r="AT36" t="str">
        <f>"*"&amp;ROUND(SUMIFS(RoadTra_BY!BB$2:BB$79,RoadTra_BY!$B$2:$B$79,'Road transport'!$C36,RoadTra_BY!$C$2:$C$79,'Road transport'!$BA36),3)</f>
        <v>*0</v>
      </c>
      <c r="AU36" t="str">
        <f>"*"&amp;ROUND(SUMIFS(RoadTra_BY!BC$2:BC$79,RoadTra_BY!$B$2:$B$79,'Road transport'!$C36,RoadTra_BY!$C$2:$C$79,'Road transport'!$BA36),3)</f>
        <v>*0</v>
      </c>
      <c r="AV36" t="str">
        <f>"*"&amp;ROUND(SUMIFS(RoadTra_BY!BD$2:BD$79,RoadTra_BY!$B$2:$B$79,'Road transport'!$C36,RoadTra_BY!$C$2:$C$79,'Road transport'!$BA36),3)</f>
        <v>*0</v>
      </c>
      <c r="AW36" t="str">
        <f>"*"&amp;ROUND(SUMIFS(RoadTra_BY!BE$2:BE$79,RoadTra_BY!$B$2:$B$79,'Road transport'!$C36,RoadTra_BY!$C$2:$C$79,'Road transport'!$BA36),3)</f>
        <v>*0</v>
      </c>
      <c r="AX36" t="str">
        <f t="shared" si="1"/>
        <v>Trd_car_*</v>
      </c>
      <c r="AZ36">
        <f t="shared" si="0"/>
        <v>1</v>
      </c>
      <c r="BA36" t="s">
        <v>153</v>
      </c>
    </row>
    <row r="37" spans="3:53">
      <c r="C37" t="s">
        <v>107</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154</v>
      </c>
    </row>
    <row r="38" spans="3:53">
      <c r="C38" t="s">
        <v>107</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155</v>
      </c>
    </row>
    <row r="45" spans="5:5">
      <c r="E45" s="56"/>
    </row>
    <row r="48" spans="2:2">
      <c r="B48" t="s">
        <v>149</v>
      </c>
    </row>
    <row r="49" spans="2:9">
      <c r="B49" t="s">
        <v>116</v>
      </c>
      <c r="C49" t="s">
        <v>50</v>
      </c>
      <c r="D49" t="s">
        <v>93</v>
      </c>
      <c r="E49" t="s">
        <v>94</v>
      </c>
      <c r="I49" t="s">
        <v>156</v>
      </c>
    </row>
    <row r="50" spans="2:5">
      <c r="B50" t="s">
        <v>107</v>
      </c>
      <c r="C50" t="s">
        <v>157</v>
      </c>
      <c r="D50" t="s">
        <v>104</v>
      </c>
      <c r="E50" t="s">
        <v>158</v>
      </c>
    </row>
    <row r="53" spans="2:2">
      <c r="B53" t="s">
        <v>114</v>
      </c>
    </row>
    <row r="54" spans="2:8">
      <c r="B54" t="s">
        <v>116</v>
      </c>
      <c r="C54" t="s">
        <v>50</v>
      </c>
      <c r="D54" t="s">
        <v>159</v>
      </c>
      <c r="E54" t="s">
        <v>139</v>
      </c>
      <c r="F54" t="s">
        <v>95</v>
      </c>
      <c r="G54" t="s">
        <v>160</v>
      </c>
      <c r="H54" t="s">
        <v>94</v>
      </c>
    </row>
    <row r="55" spans="2:5">
      <c r="B55" t="s">
        <v>134</v>
      </c>
      <c r="C55">
        <v>10</v>
      </c>
      <c r="D55" t="s">
        <v>161</v>
      </c>
      <c r="E55" s="96" t="s">
        <v>162</v>
      </c>
    </row>
    <row r="56" spans="2:8">
      <c r="B56" t="s">
        <v>163</v>
      </c>
      <c r="C56">
        <v>1</v>
      </c>
      <c r="F56" t="s">
        <v>164</v>
      </c>
      <c r="G56" t="s">
        <v>103</v>
      </c>
      <c r="H56" t="str">
        <f>F56</f>
        <v>AuxStoIN</v>
      </c>
    </row>
    <row r="62" spans="8:8">
      <c r="H62" s="52"/>
    </row>
    <row r="63" spans="8:53">
      <c r="H63" s="52"/>
      <c r="BA63" s="50"/>
    </row>
    <row r="65" s="49" customFormat="1" spans="1:106">
      <c r="A65" s="50"/>
      <c r="B65" s="58" t="s">
        <v>114</v>
      </c>
      <c r="C65" s="59"/>
      <c r="D65" s="58"/>
      <c r="E65" s="58"/>
      <c r="F65" s="50"/>
      <c r="G65" s="50"/>
      <c r="H65" s="50"/>
      <c r="I65" s="50"/>
      <c r="J65" s="50"/>
      <c r="K65" s="50"/>
      <c r="L65" s="50"/>
      <c r="M65" s="50"/>
      <c r="N65" s="50"/>
      <c r="O65" s="50"/>
      <c r="P65" s="50"/>
      <c r="Q65" s="50"/>
      <c r="R65" s="50"/>
      <c r="S65" s="50"/>
      <c r="T65" s="50"/>
      <c r="U65" s="50"/>
      <c r="V65" s="50"/>
      <c r="W65" s="50"/>
      <c r="X65" s="50"/>
      <c r="Y65" s="50"/>
      <c r="Z65" s="50"/>
      <c r="AA65" s="50"/>
      <c r="AB65" s="50"/>
      <c r="AC65" s="50"/>
      <c r="AD65" s="50"/>
      <c r="AE65" s="50"/>
      <c r="AF65" s="50"/>
      <c r="AG65" s="50"/>
      <c r="AH65" s="50"/>
      <c r="AI65" s="50"/>
      <c r="AJ65" s="50"/>
      <c r="AK65" s="50"/>
      <c r="AL65" s="50"/>
      <c r="AM65" s="50"/>
      <c r="AN65" s="50"/>
      <c r="AO65" s="50"/>
      <c r="AP65" s="50"/>
      <c r="AY65" s="50"/>
      <c r="AZ65" s="50"/>
      <c r="BB65" s="50"/>
      <c r="BC65" s="50"/>
      <c r="BD65" s="50"/>
      <c r="BE65" s="50"/>
      <c r="BF65" s="50"/>
      <c r="BG65" s="50"/>
      <c r="BH65" s="50"/>
      <c r="BI65" s="50"/>
      <c r="CO65" s="72"/>
      <c r="CP65" s="72"/>
      <c r="CR65" s="72"/>
      <c r="CS65" s="72"/>
      <c r="CT65" s="72"/>
      <c r="CU65" s="72"/>
      <c r="CW65" s="52"/>
      <c r="CX65" s="75" t="s">
        <v>114</v>
      </c>
      <c r="CY65" s="52"/>
      <c r="CZ65" s="52"/>
      <c r="DA65" s="52"/>
      <c r="DB65" s="52"/>
    </row>
    <row r="66" s="50" customFormat="1" spans="2:106">
      <c r="B66" s="58" t="s">
        <v>116</v>
      </c>
      <c r="C66" s="58" t="s">
        <v>120</v>
      </c>
      <c r="D66" s="58" t="s">
        <v>64</v>
      </c>
      <c r="E66" s="58" t="s">
        <v>95</v>
      </c>
      <c r="F66" s="50" t="s">
        <v>3</v>
      </c>
      <c r="G66" s="50" t="s">
        <v>5</v>
      </c>
      <c r="H66" s="50" t="s">
        <v>6</v>
      </c>
      <c r="I66" s="50" t="s">
        <v>7</v>
      </c>
      <c r="J66" s="50" t="s">
        <v>8</v>
      </c>
      <c r="K66" s="50" t="s">
        <v>9</v>
      </c>
      <c r="L66" s="50" t="s">
        <v>10</v>
      </c>
      <c r="M66" s="50" t="s">
        <v>11</v>
      </c>
      <c r="N66" s="50" t="s">
        <v>12</v>
      </c>
      <c r="O66" s="50" t="s">
        <v>13</v>
      </c>
      <c r="P66" s="50" t="s">
        <v>14</v>
      </c>
      <c r="Q66" s="50" t="s">
        <v>15</v>
      </c>
      <c r="R66" s="50" t="s">
        <v>16</v>
      </c>
      <c r="S66" s="50" t="s">
        <v>17</v>
      </c>
      <c r="T66" s="50" t="s">
        <v>18</v>
      </c>
      <c r="U66" s="50" t="s">
        <v>19</v>
      </c>
      <c r="V66" s="50" t="s">
        <v>20</v>
      </c>
      <c r="W66" s="50" t="s">
        <v>21</v>
      </c>
      <c r="X66" s="50" t="s">
        <v>22</v>
      </c>
      <c r="Y66" s="50" t="s">
        <v>23</v>
      </c>
      <c r="Z66" s="50" t="s">
        <v>24</v>
      </c>
      <c r="AA66" s="50" t="s">
        <v>25</v>
      </c>
      <c r="AB66" s="50" t="s">
        <v>26</v>
      </c>
      <c r="AC66" s="50" t="s">
        <v>27</v>
      </c>
      <c r="AD66" s="50" t="s">
        <v>28</v>
      </c>
      <c r="AE66" s="50" t="s">
        <v>29</v>
      </c>
      <c r="AF66" s="50" t="s">
        <v>30</v>
      </c>
      <c r="AG66" s="50" t="s">
        <v>31</v>
      </c>
      <c r="AH66" s="50" t="s">
        <v>32</v>
      </c>
      <c r="AI66" s="50" t="s">
        <v>33</v>
      </c>
      <c r="AJ66" s="50" t="s">
        <v>34</v>
      </c>
      <c r="AK66" s="50" t="s">
        <v>35</v>
      </c>
      <c r="AL66" s="50" t="s">
        <v>36</v>
      </c>
      <c r="AM66" s="50" t="s">
        <v>37</v>
      </c>
      <c r="AN66" s="50" t="s">
        <v>165</v>
      </c>
      <c r="CQ66" s="73"/>
      <c r="CR66" s="73"/>
      <c r="CT66" s="73"/>
      <c r="CU66" s="73"/>
      <c r="CW66" t="s">
        <v>116</v>
      </c>
      <c r="CX66" t="s">
        <v>120</v>
      </c>
      <c r="CY66" t="s">
        <v>64</v>
      </c>
      <c r="CZ66" t="s">
        <v>95</v>
      </c>
      <c r="DA66" s="78" t="s">
        <v>41</v>
      </c>
      <c r="DB66" s="78" t="s">
        <v>65</v>
      </c>
    </row>
    <row r="67" s="50" customFormat="1" ht="14.5" spans="2:106">
      <c r="B67" s="60" t="s">
        <v>166</v>
      </c>
      <c r="C67" s="58" t="s">
        <v>167</v>
      </c>
      <c r="D67" s="59" t="s">
        <v>168</v>
      </c>
      <c r="E67" s="59" t="s">
        <v>169</v>
      </c>
      <c r="F67" s="50">
        <f t="shared" ref="F67:L68" si="2">D77/1000</f>
        <v>0</v>
      </c>
      <c r="G67" s="50">
        <f t="shared" si="2"/>
        <v>310</v>
      </c>
      <c r="H67" s="50">
        <f t="shared" si="2"/>
        <v>6200</v>
      </c>
      <c r="I67" s="50">
        <f t="shared" si="2"/>
        <v>0</v>
      </c>
      <c r="J67" s="50">
        <f t="shared" si="2"/>
        <v>0</v>
      </c>
      <c r="K67" s="50">
        <f t="shared" si="2"/>
        <v>0</v>
      </c>
      <c r="L67" s="50">
        <f t="shared" si="2"/>
        <v>250</v>
      </c>
      <c r="M67" s="50">
        <v>2000</v>
      </c>
      <c r="N67" s="50">
        <f t="shared" ref="N67:W68" si="3">L77/1000</f>
        <v>0</v>
      </c>
      <c r="O67" s="50">
        <f t="shared" si="3"/>
        <v>0</v>
      </c>
      <c r="P67" s="50">
        <f t="shared" si="3"/>
        <v>0</v>
      </c>
      <c r="Q67" s="50">
        <f t="shared" si="3"/>
        <v>0</v>
      </c>
      <c r="R67" s="50">
        <f t="shared" si="3"/>
        <v>0</v>
      </c>
      <c r="S67" s="50">
        <f t="shared" si="3"/>
        <v>0</v>
      </c>
      <c r="T67" s="50">
        <f t="shared" si="3"/>
        <v>0</v>
      </c>
      <c r="U67" s="50">
        <f t="shared" si="3"/>
        <v>0</v>
      </c>
      <c r="V67" s="50">
        <f t="shared" si="3"/>
        <v>0</v>
      </c>
      <c r="W67" s="50">
        <f t="shared" si="3"/>
        <v>0</v>
      </c>
      <c r="X67" s="50">
        <f t="shared" ref="X67:AG68" si="4">V77/1000</f>
        <v>0</v>
      </c>
      <c r="Y67" s="50">
        <f t="shared" si="4"/>
        <v>12250</v>
      </c>
      <c r="Z67" s="50">
        <f t="shared" si="4"/>
        <v>0</v>
      </c>
      <c r="AA67" s="50">
        <f t="shared" si="4"/>
        <v>1930</v>
      </c>
      <c r="AB67" s="50">
        <f t="shared" si="4"/>
        <v>0</v>
      </c>
      <c r="AC67" s="50">
        <f t="shared" si="4"/>
        <v>0</v>
      </c>
      <c r="AD67" s="50">
        <f t="shared" si="4"/>
        <v>3300</v>
      </c>
      <c r="AE67" s="50">
        <f t="shared" si="4"/>
        <v>0</v>
      </c>
      <c r="AF67" s="50">
        <f t="shared" si="4"/>
        <v>0</v>
      </c>
      <c r="AG67" s="50">
        <f t="shared" si="4"/>
        <v>0</v>
      </c>
      <c r="AH67" s="50">
        <f t="shared" ref="AH67:AM68" si="5">AF77/1000</f>
        <v>60</v>
      </c>
      <c r="AI67" s="50">
        <f t="shared" si="5"/>
        <v>0</v>
      </c>
      <c r="AJ67" s="50">
        <f t="shared" si="5"/>
        <v>0</v>
      </c>
      <c r="AK67" s="50">
        <f t="shared" si="5"/>
        <v>0</v>
      </c>
      <c r="AL67" s="50">
        <f t="shared" si="5"/>
        <v>0</v>
      </c>
      <c r="AM67" s="50">
        <f t="shared" si="5"/>
        <v>0</v>
      </c>
      <c r="AN67" s="50" t="str">
        <f>E67</f>
        <v>m_lithium</v>
      </c>
      <c r="CQ67" s="73"/>
      <c r="CR67" s="73"/>
      <c r="CT67" s="73"/>
      <c r="CU67" s="73"/>
      <c r="CW67" s="76" t="s">
        <v>166</v>
      </c>
      <c r="CX67" t="s">
        <v>167</v>
      </c>
      <c r="CY67" s="52" t="s">
        <v>168</v>
      </c>
      <c r="CZ67" s="52" t="s">
        <v>169</v>
      </c>
      <c r="DA67" s="78">
        <v>0</v>
      </c>
      <c r="DB67" s="78">
        <v>5</v>
      </c>
    </row>
    <row r="68" s="50" customFormat="1" ht="14.5" spans="2:106">
      <c r="B68" s="60" t="s">
        <v>166</v>
      </c>
      <c r="C68" s="58" t="s">
        <v>167</v>
      </c>
      <c r="D68" s="59" t="s">
        <v>168</v>
      </c>
      <c r="E68" s="59" t="s">
        <v>170</v>
      </c>
      <c r="F68" s="50">
        <f t="shared" si="2"/>
        <v>0</v>
      </c>
      <c r="G68" s="50">
        <f t="shared" si="2"/>
        <v>0</v>
      </c>
      <c r="H68" s="50">
        <f t="shared" si="2"/>
        <v>21000</v>
      </c>
      <c r="I68" s="50">
        <f t="shared" si="2"/>
        <v>0</v>
      </c>
      <c r="J68" s="50">
        <f t="shared" si="2"/>
        <v>0</v>
      </c>
      <c r="K68" s="50">
        <f t="shared" si="2"/>
        <v>0</v>
      </c>
      <c r="L68" s="50">
        <f t="shared" si="2"/>
        <v>16000</v>
      </c>
      <c r="M68" s="50">
        <f>K78/1000</f>
        <v>2100</v>
      </c>
      <c r="N68" s="50">
        <f t="shared" si="3"/>
        <v>0</v>
      </c>
      <c r="O68" s="50">
        <f t="shared" si="3"/>
        <v>0</v>
      </c>
      <c r="P68" s="50">
        <f t="shared" si="3"/>
        <v>0</v>
      </c>
      <c r="Q68" s="50">
        <f t="shared" si="3"/>
        <v>0</v>
      </c>
      <c r="R68" s="50">
        <f t="shared" si="3"/>
        <v>0</v>
      </c>
      <c r="S68" s="50">
        <f t="shared" si="3"/>
        <v>0</v>
      </c>
      <c r="T68" s="50">
        <f t="shared" si="3"/>
        <v>0</v>
      </c>
      <c r="U68" s="50">
        <f t="shared" si="3"/>
        <v>0</v>
      </c>
      <c r="V68" s="50">
        <f t="shared" si="3"/>
        <v>0</v>
      </c>
      <c r="W68" s="50">
        <f t="shared" si="3"/>
        <v>0</v>
      </c>
      <c r="X68" s="50">
        <f t="shared" si="4"/>
        <v>0</v>
      </c>
      <c r="Y68" s="50">
        <f t="shared" si="4"/>
        <v>16000</v>
      </c>
      <c r="Z68" s="50">
        <f t="shared" si="4"/>
        <v>0</v>
      </c>
      <c r="AA68" s="50">
        <f t="shared" si="4"/>
        <v>2570</v>
      </c>
      <c r="AB68" s="50">
        <f t="shared" si="4"/>
        <v>0</v>
      </c>
      <c r="AC68" s="50">
        <f t="shared" si="4"/>
        <v>0</v>
      </c>
      <c r="AD68" s="50">
        <f t="shared" si="4"/>
        <v>52900</v>
      </c>
      <c r="AE68" s="50">
        <f t="shared" si="4"/>
        <v>7500</v>
      </c>
      <c r="AF68" s="50">
        <f t="shared" si="4"/>
        <v>0</v>
      </c>
      <c r="AG68" s="50">
        <f t="shared" si="4"/>
        <v>0</v>
      </c>
      <c r="AH68" s="50">
        <f t="shared" si="5"/>
        <v>0</v>
      </c>
      <c r="AI68" s="50">
        <f t="shared" si="5"/>
        <v>0</v>
      </c>
      <c r="AJ68" s="50">
        <f t="shared" si="5"/>
        <v>0</v>
      </c>
      <c r="AK68" s="50">
        <f t="shared" si="5"/>
        <v>0</v>
      </c>
      <c r="AL68" s="50">
        <f t="shared" si="5"/>
        <v>0</v>
      </c>
      <c r="AM68" s="50">
        <f t="shared" si="5"/>
        <v>0</v>
      </c>
      <c r="AN68" s="50" t="str">
        <f t="shared" ref="AN68:AN73" si="6">E68</f>
        <v>m_nickel</v>
      </c>
      <c r="CQ68" s="73"/>
      <c r="CR68" s="73"/>
      <c r="CT68" s="73"/>
      <c r="CU68" s="73"/>
      <c r="CW68" s="76" t="s">
        <v>166</v>
      </c>
      <c r="CX68" t="s">
        <v>167</v>
      </c>
      <c r="CY68" s="52" t="s">
        <v>168</v>
      </c>
      <c r="CZ68" s="52" t="s">
        <v>170</v>
      </c>
      <c r="DA68" s="78">
        <v>0</v>
      </c>
      <c r="DB68" s="78">
        <v>5</v>
      </c>
    </row>
    <row r="69" s="51" customFormat="1" ht="14.5" spans="2:106">
      <c r="B69" s="61" t="s">
        <v>166</v>
      </c>
      <c r="C69" s="51" t="s">
        <v>167</v>
      </c>
      <c r="D69" s="62" t="s">
        <v>168</v>
      </c>
      <c r="E69" s="62" t="s">
        <v>171</v>
      </c>
      <c r="F69" s="63">
        <v>0</v>
      </c>
      <c r="G69" s="63">
        <f>E79/10000</f>
        <v>410</v>
      </c>
      <c r="H69" s="63">
        <f>F79/10000</f>
        <v>150</v>
      </c>
      <c r="I69" s="63">
        <f>G79/10000</f>
        <v>0</v>
      </c>
      <c r="J69" s="63">
        <f>H79/10000</f>
        <v>0</v>
      </c>
      <c r="K69" s="63">
        <f>I79/10000</f>
        <v>0</v>
      </c>
      <c r="L69" s="63">
        <f t="shared" ref="L69:AM69" si="7">J79/10000</f>
        <v>0</v>
      </c>
      <c r="M69" s="63">
        <f t="shared" si="7"/>
        <v>14</v>
      </c>
      <c r="N69" s="63">
        <f t="shared" si="7"/>
        <v>0</v>
      </c>
      <c r="O69" s="63">
        <f t="shared" si="7"/>
        <v>0</v>
      </c>
      <c r="P69" s="63">
        <f t="shared" si="7"/>
        <v>0</v>
      </c>
      <c r="Q69" s="63">
        <f t="shared" si="7"/>
        <v>0</v>
      </c>
      <c r="R69" s="63">
        <f t="shared" si="7"/>
        <v>0</v>
      </c>
      <c r="S69" s="63">
        <f t="shared" si="7"/>
        <v>0</v>
      </c>
      <c r="T69" s="63">
        <f t="shared" si="7"/>
        <v>0</v>
      </c>
      <c r="U69" s="63">
        <f t="shared" si="7"/>
        <v>0</v>
      </c>
      <c r="V69" s="63">
        <f t="shared" si="7"/>
        <v>0</v>
      </c>
      <c r="W69" s="63">
        <f t="shared" si="7"/>
        <v>0</v>
      </c>
      <c r="X69" s="63">
        <f t="shared" si="7"/>
        <v>0</v>
      </c>
      <c r="Y69" s="63">
        <f t="shared" si="7"/>
        <v>50</v>
      </c>
      <c r="Z69" s="63">
        <f t="shared" si="7"/>
        <v>3.6</v>
      </c>
      <c r="AA69" s="63">
        <f t="shared" si="7"/>
        <v>28.9</v>
      </c>
      <c r="AB69" s="63">
        <f t="shared" si="7"/>
        <v>0</v>
      </c>
      <c r="AC69" s="63">
        <f t="shared" si="7"/>
        <v>0</v>
      </c>
      <c r="AD69" s="63">
        <f t="shared" si="7"/>
        <v>151.7</v>
      </c>
      <c r="AE69" s="63">
        <f t="shared" si="7"/>
        <v>25</v>
      </c>
      <c r="AF69" s="63">
        <f t="shared" si="7"/>
        <v>0</v>
      </c>
      <c r="AG69" s="63">
        <f t="shared" si="7"/>
        <v>0</v>
      </c>
      <c r="AH69" s="63">
        <f t="shared" si="7"/>
        <v>0</v>
      </c>
      <c r="AI69" s="63">
        <f t="shared" si="7"/>
        <v>0</v>
      </c>
      <c r="AJ69" s="63">
        <f t="shared" si="7"/>
        <v>0</v>
      </c>
      <c r="AK69" s="63">
        <f t="shared" si="7"/>
        <v>3.6</v>
      </c>
      <c r="AL69" s="63">
        <f t="shared" si="7"/>
        <v>0</v>
      </c>
      <c r="AM69" s="63">
        <f t="shared" si="7"/>
        <v>0</v>
      </c>
      <c r="AN69" s="50" t="str">
        <f t="shared" si="6"/>
        <v>m_cobalt</v>
      </c>
      <c r="CQ69" s="74"/>
      <c r="CR69" s="74"/>
      <c r="CT69" s="74"/>
      <c r="CU69" s="74"/>
      <c r="CW69" s="61" t="s">
        <v>166</v>
      </c>
      <c r="CX69" s="51" t="s">
        <v>167</v>
      </c>
      <c r="CY69" s="62" t="s">
        <v>168</v>
      </c>
      <c r="CZ69" s="62" t="s">
        <v>171</v>
      </c>
      <c r="DA69" s="74">
        <v>0</v>
      </c>
      <c r="DB69" s="74">
        <v>5</v>
      </c>
    </row>
    <row r="70" s="50" customFormat="1" ht="14.5" spans="2:106">
      <c r="B70" s="60" t="s">
        <v>166</v>
      </c>
      <c r="C70" s="58" t="s">
        <v>167</v>
      </c>
      <c r="D70" s="59" t="s">
        <v>168</v>
      </c>
      <c r="E70" s="64" t="s">
        <v>172</v>
      </c>
      <c r="F70" s="65">
        <f t="shared" ref="F70:Z70" si="8">D80/1000</f>
        <v>0</v>
      </c>
      <c r="G70" s="65">
        <f t="shared" si="8"/>
        <v>74000</v>
      </c>
      <c r="H70" s="65">
        <f t="shared" si="8"/>
        <v>270000</v>
      </c>
      <c r="I70" s="65">
        <f t="shared" si="8"/>
        <v>0</v>
      </c>
      <c r="J70" s="65">
        <f t="shared" si="8"/>
        <v>0</v>
      </c>
      <c r="K70" s="65">
        <f t="shared" si="8"/>
        <v>0</v>
      </c>
      <c r="L70" s="65">
        <f t="shared" si="8"/>
        <v>270000</v>
      </c>
      <c r="M70" s="65">
        <f t="shared" si="8"/>
        <v>280000</v>
      </c>
      <c r="N70" s="65">
        <f t="shared" si="8"/>
        <v>0</v>
      </c>
      <c r="O70" s="65">
        <f t="shared" si="8"/>
        <v>0</v>
      </c>
      <c r="P70" s="65">
        <f t="shared" si="8"/>
        <v>0</v>
      </c>
      <c r="Q70" s="65">
        <f t="shared" si="8"/>
        <v>0</v>
      </c>
      <c r="R70" s="65">
        <f t="shared" si="8"/>
        <v>0</v>
      </c>
      <c r="S70" s="65">
        <f t="shared" si="8"/>
        <v>0</v>
      </c>
      <c r="T70" s="65">
        <f t="shared" si="8"/>
        <v>0</v>
      </c>
      <c r="U70" s="65">
        <f t="shared" si="8"/>
        <v>34000</v>
      </c>
      <c r="V70" s="65">
        <f t="shared" si="8"/>
        <v>0</v>
      </c>
      <c r="W70" s="65">
        <f t="shared" si="8"/>
        <v>0</v>
      </c>
      <c r="X70" s="65">
        <f t="shared" si="8"/>
        <v>0</v>
      </c>
      <c r="Y70" s="65">
        <f t="shared" si="8"/>
        <v>275000</v>
      </c>
      <c r="Z70" s="65">
        <f t="shared" si="8"/>
        <v>0</v>
      </c>
      <c r="AA70" s="71">
        <v>100</v>
      </c>
      <c r="AB70" s="50">
        <f t="shared" ref="AB70:AM73" si="9">Z80/1000</f>
        <v>0</v>
      </c>
      <c r="AC70" s="50">
        <f t="shared" si="9"/>
        <v>0</v>
      </c>
      <c r="AD70" s="50">
        <f t="shared" si="9"/>
        <v>5000</v>
      </c>
      <c r="AE70" s="50">
        <f t="shared" si="9"/>
        <v>0</v>
      </c>
      <c r="AF70" s="50">
        <f t="shared" si="9"/>
        <v>0</v>
      </c>
      <c r="AG70" s="58">
        <f t="shared" si="9"/>
        <v>640000</v>
      </c>
      <c r="AH70" s="50">
        <f t="shared" si="9"/>
        <v>0</v>
      </c>
      <c r="AI70" s="50">
        <f t="shared" si="9"/>
        <v>0</v>
      </c>
      <c r="AJ70" s="50">
        <f t="shared" si="9"/>
        <v>0</v>
      </c>
      <c r="AK70" s="50">
        <f t="shared" si="9"/>
        <v>0</v>
      </c>
      <c r="AL70" s="50">
        <f t="shared" si="9"/>
        <v>0</v>
      </c>
      <c r="AM70" s="50">
        <f t="shared" si="9"/>
        <v>140000</v>
      </c>
      <c r="AN70" s="50" t="str">
        <f t="shared" si="6"/>
        <v>m_manganese</v>
      </c>
      <c r="CQ70" s="73"/>
      <c r="CR70" s="73"/>
      <c r="CT70" s="73"/>
      <c r="CU70" s="73"/>
      <c r="CW70" s="76" t="s">
        <v>166</v>
      </c>
      <c r="CX70" t="s">
        <v>167</v>
      </c>
      <c r="CY70" s="52" t="s">
        <v>168</v>
      </c>
      <c r="CZ70" s="77" t="s">
        <v>172</v>
      </c>
      <c r="DA70" s="78">
        <v>0</v>
      </c>
      <c r="DB70" s="78">
        <v>5</v>
      </c>
    </row>
    <row r="71" s="50" customFormat="1" ht="14.5" spans="2:106">
      <c r="B71" s="60" t="s">
        <v>166</v>
      </c>
      <c r="C71" s="58" t="s">
        <v>167</v>
      </c>
      <c r="D71" s="59" t="s">
        <v>168</v>
      </c>
      <c r="E71" s="59" t="s">
        <v>173</v>
      </c>
      <c r="F71" s="50">
        <f t="shared" ref="F71:L73" si="10">D81/1000</f>
        <v>0</v>
      </c>
      <c r="G71" s="50">
        <f t="shared" si="10"/>
        <v>0</v>
      </c>
      <c r="H71" s="50">
        <f t="shared" si="10"/>
        <v>0</v>
      </c>
      <c r="I71" s="50">
        <f t="shared" si="10"/>
        <v>0</v>
      </c>
      <c r="J71" s="50">
        <f t="shared" si="10"/>
        <v>0</v>
      </c>
      <c r="K71" s="50">
        <f t="shared" si="10"/>
        <v>0</v>
      </c>
      <c r="L71" s="50">
        <f t="shared" si="10"/>
        <v>0</v>
      </c>
      <c r="M71" s="70">
        <v>41500</v>
      </c>
      <c r="N71" s="50">
        <f t="shared" ref="N71:Z73" si="11">L81/1000</f>
        <v>0</v>
      </c>
      <c r="O71" s="50">
        <f t="shared" si="11"/>
        <v>0</v>
      </c>
      <c r="P71" s="50">
        <f t="shared" si="11"/>
        <v>0</v>
      </c>
      <c r="Q71" s="50">
        <f t="shared" si="11"/>
        <v>0</v>
      </c>
      <c r="R71" s="50">
        <f t="shared" si="11"/>
        <v>0</v>
      </c>
      <c r="S71" s="50">
        <f t="shared" si="11"/>
        <v>0</v>
      </c>
      <c r="T71" s="50">
        <f t="shared" si="11"/>
        <v>0</v>
      </c>
      <c r="U71" s="50">
        <f t="shared" si="11"/>
        <v>0</v>
      </c>
      <c r="V71" s="50">
        <f t="shared" si="11"/>
        <v>0</v>
      </c>
      <c r="W71" s="50">
        <f t="shared" si="11"/>
        <v>0</v>
      </c>
      <c r="X71" s="50">
        <f t="shared" si="11"/>
        <v>0</v>
      </c>
      <c r="Y71" s="50">
        <f t="shared" si="11"/>
        <v>0</v>
      </c>
      <c r="Z71" s="50">
        <f t="shared" si="11"/>
        <v>0</v>
      </c>
      <c r="AA71" s="70">
        <v>3650</v>
      </c>
      <c r="AB71" s="50">
        <f t="shared" si="9"/>
        <v>0</v>
      </c>
      <c r="AC71" s="50">
        <f t="shared" si="9"/>
        <v>0</v>
      </c>
      <c r="AD71" s="50">
        <f t="shared" si="9"/>
        <v>0</v>
      </c>
      <c r="AE71" s="50">
        <f t="shared" si="9"/>
        <v>0</v>
      </c>
      <c r="AF71" s="50">
        <f t="shared" si="9"/>
        <v>0</v>
      </c>
      <c r="AG71" s="50">
        <f t="shared" si="9"/>
        <v>0</v>
      </c>
      <c r="AH71" s="50">
        <f t="shared" si="9"/>
        <v>0</v>
      </c>
      <c r="AI71" s="50">
        <f t="shared" si="9"/>
        <v>0</v>
      </c>
      <c r="AJ71" s="50">
        <f t="shared" si="9"/>
        <v>0</v>
      </c>
      <c r="AK71" s="50">
        <f t="shared" si="9"/>
        <v>0</v>
      </c>
      <c r="AL71" s="50">
        <f t="shared" si="9"/>
        <v>0</v>
      </c>
      <c r="AM71" s="50">
        <f t="shared" si="9"/>
        <v>0</v>
      </c>
      <c r="AN71" s="50" t="str">
        <f t="shared" si="6"/>
        <v>m_aluminum</v>
      </c>
      <c r="CQ71" s="73"/>
      <c r="CR71" s="73"/>
      <c r="CT71" s="73"/>
      <c r="CU71" s="73"/>
      <c r="CW71" s="76" t="s">
        <v>166</v>
      </c>
      <c r="CX71" t="s">
        <v>167</v>
      </c>
      <c r="CY71" s="52" t="s">
        <v>168</v>
      </c>
      <c r="CZ71" s="52" t="s">
        <v>173</v>
      </c>
      <c r="DA71" s="78">
        <v>0</v>
      </c>
      <c r="DB71" s="78">
        <v>5</v>
      </c>
    </row>
    <row r="72" s="50" customFormat="1" ht="14.5" spans="2:106">
      <c r="B72" s="60" t="s">
        <v>166</v>
      </c>
      <c r="C72" s="58" t="s">
        <v>167</v>
      </c>
      <c r="D72" s="59" t="s">
        <v>168</v>
      </c>
      <c r="E72" s="59" t="s">
        <v>174</v>
      </c>
      <c r="F72" s="50">
        <f t="shared" si="10"/>
        <v>0</v>
      </c>
      <c r="G72" s="50">
        <f t="shared" si="10"/>
        <v>50000</v>
      </c>
      <c r="H72" s="50">
        <f t="shared" si="10"/>
        <v>97000</v>
      </c>
      <c r="I72" s="50">
        <f t="shared" si="10"/>
        <v>0</v>
      </c>
      <c r="J72" s="50">
        <f t="shared" si="10"/>
        <v>0</v>
      </c>
      <c r="K72" s="50">
        <f t="shared" si="10"/>
        <v>0</v>
      </c>
      <c r="L72" s="50">
        <f t="shared" si="10"/>
        <v>0</v>
      </c>
      <c r="M72" s="50">
        <f>K82/1000</f>
        <v>27000</v>
      </c>
      <c r="N72" s="50">
        <f t="shared" si="11"/>
        <v>0</v>
      </c>
      <c r="O72" s="50">
        <f t="shared" si="11"/>
        <v>0</v>
      </c>
      <c r="P72" s="50">
        <f t="shared" si="11"/>
        <v>0</v>
      </c>
      <c r="Q72" s="50">
        <f t="shared" si="11"/>
        <v>0</v>
      </c>
      <c r="R72" s="50">
        <f t="shared" si="11"/>
        <v>0</v>
      </c>
      <c r="S72" s="50">
        <f t="shared" si="11"/>
        <v>0</v>
      </c>
      <c r="T72" s="50">
        <f t="shared" si="11"/>
        <v>0</v>
      </c>
      <c r="U72" s="50">
        <f t="shared" si="11"/>
        <v>0</v>
      </c>
      <c r="V72" s="50">
        <f t="shared" si="11"/>
        <v>0</v>
      </c>
      <c r="W72" s="50">
        <f t="shared" si="11"/>
        <v>0</v>
      </c>
      <c r="X72" s="50">
        <f t="shared" si="11"/>
        <v>0</v>
      </c>
      <c r="Y72" s="50">
        <f t="shared" si="11"/>
        <v>324000</v>
      </c>
      <c r="Z72" s="50">
        <f t="shared" si="11"/>
        <v>0</v>
      </c>
      <c r="AA72" s="50">
        <f>Y82/1000</f>
        <v>51600</v>
      </c>
      <c r="AB72" s="50">
        <f t="shared" si="9"/>
        <v>0</v>
      </c>
      <c r="AC72" s="50">
        <f t="shared" si="9"/>
        <v>30000</v>
      </c>
      <c r="AD72" s="50">
        <f t="shared" si="9"/>
        <v>244000</v>
      </c>
      <c r="AE72" s="50">
        <f t="shared" si="9"/>
        <v>62000</v>
      </c>
      <c r="AF72" s="50">
        <f t="shared" si="9"/>
        <v>0</v>
      </c>
      <c r="AG72" s="50">
        <f t="shared" si="9"/>
        <v>0</v>
      </c>
      <c r="AH72" s="50">
        <f t="shared" si="9"/>
        <v>0</v>
      </c>
      <c r="AI72" s="50">
        <f t="shared" si="9"/>
        <v>0</v>
      </c>
      <c r="AJ72" s="50">
        <f t="shared" si="9"/>
        <v>0</v>
      </c>
      <c r="AK72" s="50">
        <f t="shared" si="9"/>
        <v>0</v>
      </c>
      <c r="AL72" s="50">
        <f t="shared" si="9"/>
        <v>0</v>
      </c>
      <c r="AM72" s="50">
        <f t="shared" si="9"/>
        <v>0</v>
      </c>
      <c r="AN72" s="50" t="str">
        <f t="shared" si="6"/>
        <v>m_copper</v>
      </c>
      <c r="CQ72" s="73"/>
      <c r="CR72" s="73"/>
      <c r="CT72" s="73"/>
      <c r="CU72" s="73"/>
      <c r="CW72" s="76" t="s">
        <v>166</v>
      </c>
      <c r="CX72" t="s">
        <v>167</v>
      </c>
      <c r="CY72" s="52" t="s">
        <v>168</v>
      </c>
      <c r="CZ72" s="52" t="s">
        <v>174</v>
      </c>
      <c r="DA72" s="78">
        <v>0</v>
      </c>
      <c r="DB72" s="78">
        <v>5</v>
      </c>
    </row>
    <row r="73" s="49" customFormat="1" ht="14.5" spans="1:106">
      <c r="A73" s="50"/>
      <c r="B73" s="60" t="s">
        <v>166</v>
      </c>
      <c r="C73" s="58" t="s">
        <v>167</v>
      </c>
      <c r="D73" s="59" t="s">
        <v>168</v>
      </c>
      <c r="E73" s="59" t="s">
        <v>175</v>
      </c>
      <c r="F73" s="50">
        <f t="shared" si="10"/>
        <v>0</v>
      </c>
      <c r="G73" s="50">
        <f t="shared" si="10"/>
        <v>69000</v>
      </c>
      <c r="H73" s="50">
        <f t="shared" si="10"/>
        <v>0</v>
      </c>
      <c r="I73" s="50">
        <f t="shared" si="10"/>
        <v>0</v>
      </c>
      <c r="J73" s="50">
        <f t="shared" si="10"/>
        <v>0</v>
      </c>
      <c r="K73" s="50">
        <f t="shared" si="10"/>
        <v>0</v>
      </c>
      <c r="L73" s="50">
        <f t="shared" si="10"/>
        <v>74000</v>
      </c>
      <c r="M73" s="50">
        <f>K83/1000</f>
        <v>52000</v>
      </c>
      <c r="N73" s="50">
        <f t="shared" si="11"/>
        <v>0</v>
      </c>
      <c r="O73" s="50">
        <f t="shared" si="11"/>
        <v>0</v>
      </c>
      <c r="P73" s="50">
        <f t="shared" si="11"/>
        <v>0</v>
      </c>
      <c r="Q73" s="50">
        <f t="shared" si="11"/>
        <v>0</v>
      </c>
      <c r="R73" s="50">
        <f t="shared" si="11"/>
        <v>0</v>
      </c>
      <c r="S73" s="50">
        <f t="shared" si="11"/>
        <v>0</v>
      </c>
      <c r="T73" s="50">
        <f t="shared" si="11"/>
        <v>0</v>
      </c>
      <c r="U73" s="50">
        <f t="shared" si="11"/>
        <v>8000</v>
      </c>
      <c r="V73" s="50">
        <f t="shared" si="11"/>
        <v>0</v>
      </c>
      <c r="W73" s="50">
        <f t="shared" si="11"/>
        <v>0</v>
      </c>
      <c r="X73" s="50">
        <f t="shared" si="11"/>
        <v>0</v>
      </c>
      <c r="Y73" s="50">
        <f t="shared" si="11"/>
        <v>77100</v>
      </c>
      <c r="Z73" s="50">
        <f t="shared" si="11"/>
        <v>90000</v>
      </c>
      <c r="AA73" s="50">
        <f>Y83/1000</f>
        <v>5700</v>
      </c>
      <c r="AB73" s="50">
        <f t="shared" si="9"/>
        <v>600</v>
      </c>
      <c r="AC73" s="50">
        <f t="shared" si="9"/>
        <v>0</v>
      </c>
      <c r="AD73" s="50">
        <f t="shared" si="9"/>
        <v>12900</v>
      </c>
      <c r="AE73" s="50">
        <f t="shared" si="9"/>
        <v>14000</v>
      </c>
      <c r="AF73" s="50">
        <f t="shared" si="9"/>
        <v>0</v>
      </c>
      <c r="AG73" s="50">
        <f t="shared" si="9"/>
        <v>0</v>
      </c>
      <c r="AH73" s="50">
        <f t="shared" si="9"/>
        <v>0</v>
      </c>
      <c r="AI73" s="50">
        <f t="shared" si="9"/>
        <v>0</v>
      </c>
      <c r="AJ73" s="50">
        <f t="shared" si="9"/>
        <v>0</v>
      </c>
      <c r="AK73" s="50">
        <f t="shared" si="9"/>
        <v>90000</v>
      </c>
      <c r="AL73" s="50">
        <f t="shared" si="9"/>
        <v>0</v>
      </c>
      <c r="AM73" s="50">
        <f t="shared" si="9"/>
        <v>0</v>
      </c>
      <c r="AN73" s="50" t="str">
        <f t="shared" si="6"/>
        <v>m_graphite</v>
      </c>
      <c r="AY73" s="50"/>
      <c r="BB73" s="50"/>
      <c r="CQ73" s="72"/>
      <c r="CR73" s="73"/>
      <c r="CT73" s="72"/>
      <c r="CU73" s="72"/>
      <c r="CW73" s="76" t="s">
        <v>166</v>
      </c>
      <c r="CX73" t="s">
        <v>167</v>
      </c>
      <c r="CY73" s="52" t="s">
        <v>168</v>
      </c>
      <c r="CZ73" s="52" t="s">
        <v>175</v>
      </c>
      <c r="DA73" s="78">
        <v>0</v>
      </c>
      <c r="DB73" s="78">
        <v>5</v>
      </c>
    </row>
    <row r="74" s="52" customFormat="1"/>
    <row r="75" s="52" customFormat="1" spans="5:5">
      <c r="E75" s="52" t="s">
        <v>176</v>
      </c>
    </row>
    <row r="76" s="52" customFormat="1"/>
    <row r="77" s="52" customFormat="1" spans="4:37">
      <c r="D77" s="66">
        <v>0</v>
      </c>
      <c r="E77" s="66">
        <v>310000</v>
      </c>
      <c r="F77" s="66">
        <v>6200000</v>
      </c>
      <c r="G77" s="66">
        <v>0</v>
      </c>
      <c r="H77" s="66"/>
      <c r="I77" s="66"/>
      <c r="J77" s="66">
        <v>250000</v>
      </c>
      <c r="K77" s="66">
        <v>2000000</v>
      </c>
      <c r="L77" s="66"/>
      <c r="M77" s="66">
        <v>0</v>
      </c>
      <c r="N77" s="66">
        <v>0</v>
      </c>
      <c r="O77" s="66">
        <v>0</v>
      </c>
      <c r="P77" s="66">
        <v>0</v>
      </c>
      <c r="Q77" s="66"/>
      <c r="R77" s="66"/>
      <c r="S77" s="66">
        <v>0</v>
      </c>
      <c r="T77" s="66"/>
      <c r="U77" s="66"/>
      <c r="V77" s="66">
        <v>0</v>
      </c>
      <c r="W77" s="66">
        <v>12250000</v>
      </c>
      <c r="X77" s="66">
        <v>0</v>
      </c>
      <c r="Y77" s="66">
        <v>1930000</v>
      </c>
      <c r="Z77" s="66">
        <v>0</v>
      </c>
      <c r="AA77" s="66">
        <v>0</v>
      </c>
      <c r="AB77" s="66">
        <v>3300000</v>
      </c>
      <c r="AC77" s="66">
        <v>0</v>
      </c>
      <c r="AD77" s="66">
        <v>0</v>
      </c>
      <c r="AE77" s="66">
        <v>0</v>
      </c>
      <c r="AF77" s="66">
        <v>60000</v>
      </c>
      <c r="AG77" s="66">
        <v>0</v>
      </c>
      <c r="AH77" s="66"/>
      <c r="AI77" s="66">
        <v>0</v>
      </c>
      <c r="AJ77" s="66">
        <v>0</v>
      </c>
      <c r="AK77" s="66">
        <v>0</v>
      </c>
    </row>
    <row r="78" s="52" customFormat="1" spans="4:37">
      <c r="D78" s="66">
        <v>0</v>
      </c>
      <c r="E78" s="66">
        <v>0</v>
      </c>
      <c r="F78" s="66">
        <v>21000000</v>
      </c>
      <c r="G78" s="66">
        <v>0</v>
      </c>
      <c r="H78" s="66"/>
      <c r="I78" s="66"/>
      <c r="J78" s="66">
        <v>16000000</v>
      </c>
      <c r="K78" s="66">
        <v>2100000</v>
      </c>
      <c r="L78" s="66"/>
      <c r="M78" s="66">
        <v>0</v>
      </c>
      <c r="N78" s="66">
        <v>0</v>
      </c>
      <c r="O78" s="66">
        <v>0</v>
      </c>
      <c r="P78" s="66">
        <v>0</v>
      </c>
      <c r="Q78" s="66"/>
      <c r="R78" s="66"/>
      <c r="S78" s="66">
        <v>0</v>
      </c>
      <c r="T78" s="66"/>
      <c r="U78" s="66"/>
      <c r="V78" s="66">
        <v>0</v>
      </c>
      <c r="W78" s="66">
        <v>16000000</v>
      </c>
      <c r="X78" s="66">
        <v>0</v>
      </c>
      <c r="Y78" s="66">
        <v>2570000</v>
      </c>
      <c r="Z78" s="66">
        <v>0</v>
      </c>
      <c r="AA78" s="66">
        <v>0</v>
      </c>
      <c r="AB78" s="66">
        <v>52900000</v>
      </c>
      <c r="AC78" s="66">
        <v>7500000</v>
      </c>
      <c r="AD78" s="66">
        <v>0</v>
      </c>
      <c r="AE78" s="66">
        <v>0</v>
      </c>
      <c r="AF78" s="66">
        <v>0</v>
      </c>
      <c r="AG78" s="66">
        <v>0</v>
      </c>
      <c r="AH78" s="66"/>
      <c r="AI78" s="66">
        <v>0</v>
      </c>
      <c r="AJ78" s="66">
        <v>0</v>
      </c>
      <c r="AK78" s="66">
        <v>0</v>
      </c>
    </row>
    <row r="79" s="52" customFormat="1" spans="4:37">
      <c r="D79" s="66">
        <v>13000</v>
      </c>
      <c r="E79" s="66">
        <v>4100000</v>
      </c>
      <c r="F79" s="66">
        <v>1500000</v>
      </c>
      <c r="G79" s="66">
        <v>0</v>
      </c>
      <c r="H79" s="66"/>
      <c r="I79" s="66"/>
      <c r="J79" s="66">
        <v>0</v>
      </c>
      <c r="K79" s="66">
        <v>140000</v>
      </c>
      <c r="L79" s="66"/>
      <c r="M79" s="66">
        <v>0</v>
      </c>
      <c r="N79" s="66">
        <v>0</v>
      </c>
      <c r="O79" s="66">
        <v>0</v>
      </c>
      <c r="P79" s="66">
        <v>0</v>
      </c>
      <c r="Q79" s="66"/>
      <c r="R79" s="66"/>
      <c r="S79" s="66">
        <v>0</v>
      </c>
      <c r="T79" s="66"/>
      <c r="U79" s="66"/>
      <c r="V79" s="66">
        <v>0</v>
      </c>
      <c r="W79" s="66">
        <v>500000</v>
      </c>
      <c r="X79" s="66">
        <v>36000</v>
      </c>
      <c r="Y79" s="66">
        <v>289000</v>
      </c>
      <c r="Z79" s="66">
        <v>0</v>
      </c>
      <c r="AA79" s="66">
        <v>0</v>
      </c>
      <c r="AB79" s="66">
        <v>1517000</v>
      </c>
      <c r="AC79" s="66">
        <v>250000</v>
      </c>
      <c r="AD79" s="66">
        <v>0</v>
      </c>
      <c r="AE79" s="66">
        <v>0</v>
      </c>
      <c r="AF79" s="66">
        <v>0</v>
      </c>
      <c r="AG79" s="66">
        <v>0</v>
      </c>
      <c r="AH79" s="66"/>
      <c r="AI79" s="66">
        <v>36000</v>
      </c>
      <c r="AJ79" s="66">
        <v>0</v>
      </c>
      <c r="AK79" s="66">
        <v>0</v>
      </c>
    </row>
    <row r="80" s="52" customFormat="1" spans="4:37">
      <c r="D80" s="66">
        <v>0</v>
      </c>
      <c r="E80" s="66">
        <v>74000000</v>
      </c>
      <c r="F80" s="66">
        <v>270000000</v>
      </c>
      <c r="G80" s="66">
        <v>0</v>
      </c>
      <c r="H80" s="66"/>
      <c r="I80" s="66"/>
      <c r="J80" s="66">
        <v>270000000</v>
      </c>
      <c r="K80" s="66">
        <v>280000000</v>
      </c>
      <c r="L80" s="66"/>
      <c r="M80" s="66">
        <v>0</v>
      </c>
      <c r="N80" s="66">
        <v>0</v>
      </c>
      <c r="O80" s="66">
        <v>0</v>
      </c>
      <c r="P80" s="66">
        <v>0</v>
      </c>
      <c r="Q80" s="66"/>
      <c r="R80" s="66"/>
      <c r="S80" s="66">
        <v>34000000</v>
      </c>
      <c r="T80" s="66"/>
      <c r="U80" s="66"/>
      <c r="V80" s="66">
        <v>0</v>
      </c>
      <c r="W80" s="66">
        <v>275000000</v>
      </c>
      <c r="X80" s="66">
        <v>0</v>
      </c>
      <c r="Y80" s="66">
        <v>0</v>
      </c>
      <c r="Z80" s="66">
        <v>0</v>
      </c>
      <c r="AA80" s="66">
        <v>0</v>
      </c>
      <c r="AB80" s="66">
        <v>5000000</v>
      </c>
      <c r="AC80" s="66">
        <v>0</v>
      </c>
      <c r="AD80" s="66">
        <v>0</v>
      </c>
      <c r="AE80" s="66">
        <v>640000000</v>
      </c>
      <c r="AF80" s="66">
        <v>0</v>
      </c>
      <c r="AG80" s="66">
        <v>0</v>
      </c>
      <c r="AH80" s="66"/>
      <c r="AI80" s="66">
        <v>0</v>
      </c>
      <c r="AJ80" s="66">
        <v>0</v>
      </c>
      <c r="AK80" s="66">
        <v>140000000</v>
      </c>
    </row>
    <row r="81" s="52" customFormat="1" spans="4:37">
      <c r="D81" s="66"/>
      <c r="E81" s="66"/>
      <c r="F81" s="66"/>
      <c r="G81" s="66"/>
      <c r="H81" s="66"/>
      <c r="I81" s="66"/>
      <c r="J81" s="66"/>
      <c r="K81" s="66"/>
      <c r="L81" s="66"/>
      <c r="M81" s="66"/>
      <c r="N81" s="66"/>
      <c r="O81" s="66"/>
      <c r="P81" s="66"/>
      <c r="Q81" s="66"/>
      <c r="R81" s="66"/>
      <c r="S81" s="66"/>
      <c r="T81" s="66"/>
      <c r="U81" s="66"/>
      <c r="V81" s="66"/>
      <c r="W81" s="66"/>
      <c r="X81" s="66"/>
      <c r="Y81" s="66">
        <v>0</v>
      </c>
      <c r="Z81" s="66"/>
      <c r="AA81" s="66"/>
      <c r="AB81" s="66"/>
      <c r="AC81" s="66"/>
      <c r="AD81" s="66"/>
      <c r="AE81" s="66"/>
      <c r="AF81" s="66"/>
      <c r="AG81" s="66"/>
      <c r="AH81" s="66"/>
      <c r="AI81" s="66"/>
      <c r="AJ81" s="66"/>
      <c r="AK81" s="66"/>
    </row>
    <row r="82" s="52" customFormat="1" spans="4:37">
      <c r="D82" s="66">
        <v>0</v>
      </c>
      <c r="E82" s="66">
        <v>50000000</v>
      </c>
      <c r="F82" s="66">
        <v>97000000</v>
      </c>
      <c r="G82" s="66">
        <v>0</v>
      </c>
      <c r="H82" s="66"/>
      <c r="I82" s="66"/>
      <c r="J82" s="66">
        <v>0</v>
      </c>
      <c r="K82" s="66">
        <v>27000000</v>
      </c>
      <c r="L82" s="66"/>
      <c r="M82" s="66">
        <v>0</v>
      </c>
      <c r="N82" s="66">
        <v>0</v>
      </c>
      <c r="O82" s="66">
        <v>0</v>
      </c>
      <c r="P82" s="66">
        <v>0</v>
      </c>
      <c r="Q82" s="66"/>
      <c r="R82" s="66"/>
      <c r="S82" s="66">
        <v>0</v>
      </c>
      <c r="T82" s="66"/>
      <c r="U82" s="66"/>
      <c r="V82" s="66">
        <v>0</v>
      </c>
      <c r="W82" s="66">
        <v>324000000</v>
      </c>
      <c r="X82" s="66">
        <v>0</v>
      </c>
      <c r="Y82" s="66">
        <v>51600000</v>
      </c>
      <c r="Z82" s="66">
        <v>0</v>
      </c>
      <c r="AA82" s="66">
        <v>30000000</v>
      </c>
      <c r="AB82" s="66">
        <v>244000000</v>
      </c>
      <c r="AC82" s="66">
        <v>62000000</v>
      </c>
      <c r="AD82" s="66">
        <v>0</v>
      </c>
      <c r="AE82" s="66">
        <v>0</v>
      </c>
      <c r="AF82" s="66">
        <v>0</v>
      </c>
      <c r="AG82" s="66">
        <v>0</v>
      </c>
      <c r="AH82" s="66"/>
      <c r="AI82" s="66">
        <v>0</v>
      </c>
      <c r="AJ82" s="66">
        <v>0</v>
      </c>
      <c r="AK82" s="66">
        <v>0</v>
      </c>
    </row>
    <row r="83" s="52" customFormat="1" spans="4:37">
      <c r="D83" s="66">
        <v>0</v>
      </c>
      <c r="E83" s="66">
        <v>69000000</v>
      </c>
      <c r="F83" s="66">
        <v>0</v>
      </c>
      <c r="G83" s="66">
        <v>0</v>
      </c>
      <c r="H83" s="66"/>
      <c r="I83" s="66"/>
      <c r="J83" s="66">
        <v>74000000</v>
      </c>
      <c r="K83" s="66">
        <v>52000000</v>
      </c>
      <c r="L83" s="66"/>
      <c r="M83" s="66">
        <v>0</v>
      </c>
      <c r="N83" s="66">
        <v>0</v>
      </c>
      <c r="O83" s="66">
        <v>0</v>
      </c>
      <c r="P83" s="66">
        <v>0</v>
      </c>
      <c r="Q83" s="66"/>
      <c r="R83" s="66"/>
      <c r="S83" s="66">
        <v>8000000</v>
      </c>
      <c r="T83" s="66"/>
      <c r="U83" s="66"/>
      <c r="V83" s="66">
        <v>0</v>
      </c>
      <c r="W83" s="66">
        <v>77100000</v>
      </c>
      <c r="X83" s="66">
        <v>90000000</v>
      </c>
      <c r="Y83" s="66">
        <v>5700000</v>
      </c>
      <c r="Z83" s="66">
        <v>600000</v>
      </c>
      <c r="AA83" s="66">
        <v>0</v>
      </c>
      <c r="AB83" s="66">
        <v>12900000</v>
      </c>
      <c r="AC83" s="66">
        <v>14000000</v>
      </c>
      <c r="AD83" s="66">
        <v>0</v>
      </c>
      <c r="AE83" s="66">
        <v>0</v>
      </c>
      <c r="AF83" s="66">
        <v>0</v>
      </c>
      <c r="AG83" s="66">
        <v>0</v>
      </c>
      <c r="AH83" s="66"/>
      <c r="AI83" s="66">
        <v>90000000</v>
      </c>
      <c r="AJ83" s="66">
        <v>0</v>
      </c>
      <c r="AK83" s="66">
        <v>0</v>
      </c>
    </row>
    <row r="84" s="52" customFormat="1"/>
    <row r="88" spans="2:2">
      <c r="B88" t="s">
        <v>177</v>
      </c>
    </row>
    <row r="91" spans="8:12">
      <c r="H91" s="52"/>
      <c r="I91" s="52"/>
      <c r="J91" s="52"/>
      <c r="K91" s="52"/>
      <c r="L91" s="52"/>
    </row>
    <row r="92" spans="4:12">
      <c r="D92" s="52"/>
      <c r="H92" s="52"/>
      <c r="I92" s="52"/>
      <c r="J92" s="52"/>
      <c r="K92" s="52"/>
      <c r="L92" s="52"/>
    </row>
    <row r="93" spans="3:12">
      <c r="C93" s="52"/>
      <c r="D93" s="52"/>
      <c r="F93" s="52"/>
      <c r="H93" s="52"/>
      <c r="I93" s="52"/>
      <c r="J93" s="52"/>
      <c r="K93" s="52"/>
      <c r="L93" s="52"/>
    </row>
    <row r="94" spans="3:12">
      <c r="C94" s="52"/>
      <c r="D94" s="52"/>
      <c r="H94" s="52"/>
      <c r="I94" s="52"/>
      <c r="J94" s="52"/>
      <c r="K94" s="52"/>
      <c r="L94" s="52"/>
    </row>
    <row r="95" spans="3:12">
      <c r="C95" s="52"/>
      <c r="D95" s="52"/>
      <c r="F95" s="52"/>
      <c r="H95" s="52"/>
      <c r="I95" s="52"/>
      <c r="J95" s="52"/>
      <c r="K95" s="52"/>
      <c r="L95" s="52"/>
    </row>
    <row r="96" spans="3:12">
      <c r="C96" s="52"/>
      <c r="D96" s="52"/>
      <c r="H96" s="52"/>
      <c r="I96" s="52"/>
      <c r="J96" s="52"/>
      <c r="K96" s="52"/>
      <c r="L96" s="52"/>
    </row>
    <row r="97" spans="3:12">
      <c r="C97" s="52"/>
      <c r="D97" s="52"/>
      <c r="F97" s="52"/>
      <c r="H97" s="52"/>
      <c r="I97" s="52"/>
      <c r="J97" s="52"/>
      <c r="K97" s="52"/>
      <c r="L97" s="52"/>
    </row>
    <row r="98" spans="3:12">
      <c r="C98" s="52"/>
      <c r="D98" s="52"/>
      <c r="H98" s="52"/>
      <c r="I98" s="52"/>
      <c r="J98" s="52"/>
      <c r="K98" s="52"/>
      <c r="L98" s="52"/>
    </row>
    <row r="99" spans="3:6">
      <c r="C99" s="52"/>
      <c r="F99" s="52"/>
    </row>
    <row r="100" spans="3:4">
      <c r="C100" s="52"/>
      <c r="D100" s="52"/>
    </row>
    <row r="101" spans="3:7">
      <c r="C101" s="52"/>
      <c r="D101" s="67"/>
      <c r="E101" s="67"/>
      <c r="F101" s="67"/>
      <c r="G101" s="67"/>
    </row>
    <row r="102" spans="3:26">
      <c r="C102" s="52"/>
      <c r="D102" t="s">
        <v>114</v>
      </c>
      <c r="M102" s="52"/>
      <c r="N102" t="s">
        <v>114</v>
      </c>
      <c r="Y102" s="52"/>
      <c r="Z102" t="s">
        <v>114</v>
      </c>
    </row>
    <row r="103" spans="3:29">
      <c r="C103" s="52" t="s">
        <v>116</v>
      </c>
      <c r="D103" s="67" t="s">
        <v>64</v>
      </c>
      <c r="E103" s="67" t="s">
        <v>65</v>
      </c>
      <c r="F103" s="67" t="s">
        <v>11</v>
      </c>
      <c r="G103" s="67" t="s">
        <v>25</v>
      </c>
      <c r="L103" t="s">
        <v>41</v>
      </c>
      <c r="M103" s="52" t="s">
        <v>116</v>
      </c>
      <c r="N103" s="67" t="s">
        <v>64</v>
      </c>
      <c r="O103" s="67" t="s">
        <v>65</v>
      </c>
      <c r="P103" s="67" t="s">
        <v>11</v>
      </c>
      <c r="Q103" s="67" t="s">
        <v>25</v>
      </c>
      <c r="X103" t="s">
        <v>41</v>
      </c>
      <c r="Y103" s="52" t="s">
        <v>116</v>
      </c>
      <c r="Z103" s="67" t="s">
        <v>64</v>
      </c>
      <c r="AA103" s="67" t="s">
        <v>65</v>
      </c>
      <c r="AB103" s="67" t="s">
        <v>11</v>
      </c>
      <c r="AC103" s="67" t="s">
        <v>25</v>
      </c>
    </row>
    <row r="104" spans="3:29">
      <c r="C104" s="52" t="s">
        <v>178</v>
      </c>
      <c r="D104" s="67" t="s">
        <v>179</v>
      </c>
      <c r="E104" s="67">
        <v>7.11384396954065</v>
      </c>
      <c r="F104" s="68">
        <v>5.40179852616065</v>
      </c>
      <c r="G104" s="68">
        <v>8.85540744288872</v>
      </c>
      <c r="L104">
        <v>2050</v>
      </c>
      <c r="M104" s="52" t="s">
        <v>178</v>
      </c>
      <c r="N104" s="67" t="s">
        <v>179</v>
      </c>
      <c r="O104" s="67">
        <f>E104*0.313</f>
        <v>2.22663316246622</v>
      </c>
      <c r="P104" s="67">
        <f>F104*0.313</f>
        <v>1.69076293868828</v>
      </c>
      <c r="Q104" s="67">
        <f>G104*0.313</f>
        <v>2.77174252962417</v>
      </c>
      <c r="X104">
        <v>0</v>
      </c>
      <c r="Y104" s="52" t="s">
        <v>178</v>
      </c>
      <c r="Z104" s="67" t="s">
        <v>179</v>
      </c>
      <c r="AA104" s="67">
        <v>5</v>
      </c>
      <c r="AB104" s="67">
        <v>5</v>
      </c>
      <c r="AC104" s="67">
        <v>5</v>
      </c>
    </row>
    <row r="105" spans="3:29">
      <c r="C105" s="52" t="s">
        <v>178</v>
      </c>
      <c r="D105" s="67" t="s">
        <v>180</v>
      </c>
      <c r="E105" s="67">
        <v>7.11384396954065</v>
      </c>
      <c r="F105" s="68">
        <v>5.40179852616065</v>
      </c>
      <c r="G105" s="68">
        <v>8.85540744288872</v>
      </c>
      <c r="L105">
        <v>2050</v>
      </c>
      <c r="M105" s="52" t="s">
        <v>178</v>
      </c>
      <c r="N105" s="67" t="s">
        <v>180</v>
      </c>
      <c r="O105" s="67">
        <f t="shared" ref="O105:O124" si="12">E105*0.313</f>
        <v>2.22663316246622</v>
      </c>
      <c r="P105" s="67">
        <f t="shared" ref="P105:P124" si="13">F105*0.313</f>
        <v>1.69076293868828</v>
      </c>
      <c r="Q105" s="67">
        <f t="shared" ref="Q105:Q124" si="14">G105*0.313</f>
        <v>2.77174252962417</v>
      </c>
      <c r="X105">
        <v>0</v>
      </c>
      <c r="Y105" s="52" t="s">
        <v>178</v>
      </c>
      <c r="Z105" s="67" t="s">
        <v>180</v>
      </c>
      <c r="AA105" s="67">
        <v>5</v>
      </c>
      <c r="AB105" s="67">
        <v>5</v>
      </c>
      <c r="AC105" s="67">
        <v>5</v>
      </c>
    </row>
    <row r="106" spans="3:29">
      <c r="C106" s="52" t="s">
        <v>178</v>
      </c>
      <c r="D106" s="67" t="s">
        <v>181</v>
      </c>
      <c r="E106" s="67">
        <v>7.62975445836404</v>
      </c>
      <c r="F106" s="68">
        <v>5.79354797347089</v>
      </c>
      <c r="G106" s="68">
        <v>9.49761967575534</v>
      </c>
      <c r="L106">
        <v>2050</v>
      </c>
      <c r="M106" s="52" t="s">
        <v>178</v>
      </c>
      <c r="N106" s="67" t="s">
        <v>181</v>
      </c>
      <c r="O106" s="67">
        <f t="shared" si="12"/>
        <v>2.38811314546794</v>
      </c>
      <c r="P106" s="67">
        <f t="shared" si="13"/>
        <v>1.81338051569639</v>
      </c>
      <c r="Q106" s="67">
        <f t="shared" si="14"/>
        <v>2.97275495851142</v>
      </c>
      <c r="X106">
        <v>0</v>
      </c>
      <c r="Y106" s="52" t="s">
        <v>178</v>
      </c>
      <c r="Z106" s="67" t="s">
        <v>181</v>
      </c>
      <c r="AA106" s="67">
        <v>5</v>
      </c>
      <c r="AB106" s="67">
        <v>5</v>
      </c>
      <c r="AC106" s="67">
        <v>5</v>
      </c>
    </row>
    <row r="107" spans="3:29">
      <c r="C107" s="52" t="s">
        <v>178</v>
      </c>
      <c r="D107" s="67" t="s">
        <v>182</v>
      </c>
      <c r="E107" s="67">
        <v>7.47097081798084</v>
      </c>
      <c r="F107" s="68">
        <v>5.67297781871776</v>
      </c>
      <c r="G107" s="68">
        <v>9.29996366985999</v>
      </c>
      <c r="L107">
        <v>2050</v>
      </c>
      <c r="M107" s="52" t="s">
        <v>178</v>
      </c>
      <c r="N107" s="67" t="s">
        <v>182</v>
      </c>
      <c r="O107" s="67">
        <f t="shared" si="12"/>
        <v>2.338413866028</v>
      </c>
      <c r="P107" s="67">
        <f t="shared" si="13"/>
        <v>1.77564205725866</v>
      </c>
      <c r="Q107" s="67">
        <f t="shared" si="14"/>
        <v>2.91088862866618</v>
      </c>
      <c r="X107">
        <v>0</v>
      </c>
      <c r="Y107" s="52" t="s">
        <v>178</v>
      </c>
      <c r="Z107" s="67" t="s">
        <v>182</v>
      </c>
      <c r="AA107" s="67">
        <v>5</v>
      </c>
      <c r="AB107" s="67">
        <v>5</v>
      </c>
      <c r="AC107" s="67">
        <v>5</v>
      </c>
    </row>
    <row r="108" spans="3:29">
      <c r="C108" s="52" t="s">
        <v>178</v>
      </c>
      <c r="D108" s="67" t="s">
        <v>183</v>
      </c>
      <c r="E108" s="67">
        <v>7.51643520019651</v>
      </c>
      <c r="F108" s="68">
        <v>5.70750058953574</v>
      </c>
      <c r="G108" s="68">
        <v>9.35655836403832</v>
      </c>
      <c r="L108">
        <v>2050</v>
      </c>
      <c r="M108" s="52" t="s">
        <v>178</v>
      </c>
      <c r="N108" s="67" t="s">
        <v>183</v>
      </c>
      <c r="O108" s="67">
        <f t="shared" si="12"/>
        <v>2.35264421766151</v>
      </c>
      <c r="P108" s="67">
        <f t="shared" si="13"/>
        <v>1.78644768452469</v>
      </c>
      <c r="Q108" s="67">
        <f t="shared" si="14"/>
        <v>2.92860276794399</v>
      </c>
      <c r="X108">
        <v>0</v>
      </c>
      <c r="Y108" s="52" t="s">
        <v>178</v>
      </c>
      <c r="Z108" s="67" t="s">
        <v>183</v>
      </c>
      <c r="AA108" s="67">
        <v>5</v>
      </c>
      <c r="AB108" s="67">
        <v>5</v>
      </c>
      <c r="AC108" s="67">
        <v>5</v>
      </c>
    </row>
    <row r="109" spans="3:29">
      <c r="C109" s="52" t="s">
        <v>178</v>
      </c>
      <c r="D109" s="67" t="s">
        <v>184</v>
      </c>
      <c r="E109" s="67">
        <v>7.55036263817244</v>
      </c>
      <c r="F109" s="68">
        <v>5.73326293294031</v>
      </c>
      <c r="G109" s="68">
        <v>9.39879167280766</v>
      </c>
      <c r="L109">
        <v>2050</v>
      </c>
      <c r="M109" s="52" t="s">
        <v>178</v>
      </c>
      <c r="N109" s="67" t="s">
        <v>184</v>
      </c>
      <c r="O109" s="67">
        <f t="shared" si="12"/>
        <v>2.36326350574797</v>
      </c>
      <c r="P109" s="67">
        <f t="shared" si="13"/>
        <v>1.79451129801032</v>
      </c>
      <c r="Q109" s="67">
        <f t="shared" si="14"/>
        <v>2.9418217935888</v>
      </c>
      <c r="X109">
        <v>0</v>
      </c>
      <c r="Y109" s="52" t="s">
        <v>178</v>
      </c>
      <c r="Z109" s="67" t="s">
        <v>184</v>
      </c>
      <c r="AA109" s="67">
        <v>5</v>
      </c>
      <c r="AB109" s="67">
        <v>5</v>
      </c>
      <c r="AC109" s="67">
        <v>5</v>
      </c>
    </row>
    <row r="110" spans="3:29">
      <c r="C110" s="52" t="s">
        <v>178</v>
      </c>
      <c r="D110" s="67" t="s">
        <v>185</v>
      </c>
      <c r="E110" s="67">
        <v>7.62975445836404</v>
      </c>
      <c r="F110" s="68">
        <v>5.79354797347089</v>
      </c>
      <c r="G110" s="68">
        <v>9.49761967575534</v>
      </c>
      <c r="L110">
        <v>2050</v>
      </c>
      <c r="M110" s="52" t="s">
        <v>178</v>
      </c>
      <c r="N110" s="67" t="s">
        <v>185</v>
      </c>
      <c r="O110" s="67">
        <f t="shared" si="12"/>
        <v>2.38811314546794</v>
      </c>
      <c r="P110" s="67">
        <f t="shared" si="13"/>
        <v>1.81338051569639</v>
      </c>
      <c r="Q110" s="67">
        <f t="shared" si="14"/>
        <v>2.97275495851142</v>
      </c>
      <c r="X110">
        <v>0</v>
      </c>
      <c r="Y110" s="52" t="s">
        <v>178</v>
      </c>
      <c r="Z110" s="67" t="s">
        <v>185</v>
      </c>
      <c r="AA110" s="67">
        <v>5</v>
      </c>
      <c r="AB110" s="67">
        <v>5</v>
      </c>
      <c r="AC110" s="67">
        <v>5</v>
      </c>
    </row>
    <row r="111" spans="3:29">
      <c r="C111" s="52" t="s">
        <v>178</v>
      </c>
      <c r="D111" s="67" t="s">
        <v>186</v>
      </c>
      <c r="E111" s="67">
        <v>4.18384600835176</v>
      </c>
      <c r="F111" s="68">
        <v>3.17694532056006</v>
      </c>
      <c r="G111" s="68">
        <v>5.20810707442889</v>
      </c>
      <c r="L111">
        <v>2050</v>
      </c>
      <c r="M111" s="52" t="s">
        <v>178</v>
      </c>
      <c r="N111" s="67" t="s">
        <v>186</v>
      </c>
      <c r="O111" s="67">
        <f t="shared" si="12"/>
        <v>1.3095438006141</v>
      </c>
      <c r="P111" s="67">
        <f t="shared" si="13"/>
        <v>0.994383885335299</v>
      </c>
      <c r="Q111" s="67">
        <f t="shared" si="14"/>
        <v>1.63013751429624</v>
      </c>
      <c r="X111">
        <v>0</v>
      </c>
      <c r="Y111" s="52" t="s">
        <v>178</v>
      </c>
      <c r="Z111" s="67" t="s">
        <v>186</v>
      </c>
      <c r="AA111" s="67">
        <v>5</v>
      </c>
      <c r="AB111" s="67">
        <v>5</v>
      </c>
      <c r="AC111" s="67">
        <v>5</v>
      </c>
    </row>
    <row r="112" spans="3:29">
      <c r="C112" s="52" t="s">
        <v>178</v>
      </c>
      <c r="D112" s="67" t="s">
        <v>187</v>
      </c>
      <c r="E112" s="67">
        <v>4.18384600835176</v>
      </c>
      <c r="F112" s="68">
        <v>3.17694532056006</v>
      </c>
      <c r="G112" s="68">
        <v>5.20810707442889</v>
      </c>
      <c r="L112">
        <v>2050</v>
      </c>
      <c r="M112" s="52" t="s">
        <v>178</v>
      </c>
      <c r="N112" s="67" t="s">
        <v>187</v>
      </c>
      <c r="O112" s="67">
        <f t="shared" si="12"/>
        <v>1.3095438006141</v>
      </c>
      <c r="P112" s="67">
        <f t="shared" si="13"/>
        <v>0.994383885335299</v>
      </c>
      <c r="Q112" s="67">
        <f t="shared" si="14"/>
        <v>1.63013751429624</v>
      </c>
      <c r="X112">
        <v>0</v>
      </c>
      <c r="Y112" s="52" t="s">
        <v>178</v>
      </c>
      <c r="Z112" s="67" t="s">
        <v>187</v>
      </c>
      <c r="AA112" s="67">
        <v>5</v>
      </c>
      <c r="AB112" s="67">
        <v>5</v>
      </c>
      <c r="AC112" s="67">
        <v>5</v>
      </c>
    </row>
    <row r="113" spans="3:29">
      <c r="C113" s="52" t="s">
        <v>178</v>
      </c>
      <c r="D113" s="67" t="s">
        <v>188</v>
      </c>
      <c r="E113" s="67">
        <v>4.18384600835176</v>
      </c>
      <c r="F113" s="68">
        <v>3.17694532056006</v>
      </c>
      <c r="G113" s="68">
        <v>5.20810707442889</v>
      </c>
      <c r="L113">
        <v>2050</v>
      </c>
      <c r="M113" s="52" t="s">
        <v>178</v>
      </c>
      <c r="N113" s="67" t="s">
        <v>188</v>
      </c>
      <c r="O113" s="67">
        <f t="shared" si="12"/>
        <v>1.3095438006141</v>
      </c>
      <c r="P113" s="67">
        <f t="shared" si="13"/>
        <v>0.994383885335299</v>
      </c>
      <c r="Q113" s="67">
        <f t="shared" si="14"/>
        <v>1.63013751429624</v>
      </c>
      <c r="X113">
        <v>0</v>
      </c>
      <c r="Y113" s="52" t="s">
        <v>178</v>
      </c>
      <c r="Z113" s="67" t="s">
        <v>188</v>
      </c>
      <c r="AA113" s="67">
        <v>5</v>
      </c>
      <c r="AB113" s="67">
        <v>5</v>
      </c>
      <c r="AC113" s="67">
        <v>5</v>
      </c>
    </row>
    <row r="114" spans="3:29">
      <c r="C114" s="52" t="s">
        <v>178</v>
      </c>
      <c r="D114" s="67" t="s">
        <v>189</v>
      </c>
      <c r="E114" s="67">
        <v>4.18384600835176</v>
      </c>
      <c r="F114" s="68">
        <v>3.17694532056006</v>
      </c>
      <c r="G114" s="68">
        <v>5.20810707442889</v>
      </c>
      <c r="L114">
        <v>2050</v>
      </c>
      <c r="M114" s="52" t="s">
        <v>178</v>
      </c>
      <c r="N114" s="67" t="s">
        <v>189</v>
      </c>
      <c r="O114" s="67">
        <f t="shared" si="12"/>
        <v>1.3095438006141</v>
      </c>
      <c r="P114" s="67">
        <f t="shared" si="13"/>
        <v>0.994383885335299</v>
      </c>
      <c r="Q114" s="67">
        <f t="shared" si="14"/>
        <v>1.63013751429624</v>
      </c>
      <c r="X114">
        <v>0</v>
      </c>
      <c r="Y114" s="52" t="s">
        <v>178</v>
      </c>
      <c r="Z114" s="67" t="s">
        <v>189</v>
      </c>
      <c r="AA114" s="67">
        <v>5</v>
      </c>
      <c r="AB114" s="67">
        <v>5</v>
      </c>
      <c r="AC114" s="67">
        <v>5</v>
      </c>
    </row>
    <row r="115" spans="3:29">
      <c r="C115" s="52" t="s">
        <v>178</v>
      </c>
      <c r="D115" s="67" t="s">
        <v>190</v>
      </c>
      <c r="E115" s="67">
        <v>4.18384600835176</v>
      </c>
      <c r="F115" s="68">
        <v>3.17694532056006</v>
      </c>
      <c r="G115" s="68">
        <v>5.20810707442889</v>
      </c>
      <c r="L115">
        <v>2050</v>
      </c>
      <c r="M115" s="52" t="s">
        <v>178</v>
      </c>
      <c r="N115" s="67" t="s">
        <v>190</v>
      </c>
      <c r="O115" s="67">
        <f t="shared" si="12"/>
        <v>1.3095438006141</v>
      </c>
      <c r="P115" s="67">
        <f t="shared" si="13"/>
        <v>0.994383885335299</v>
      </c>
      <c r="Q115" s="67">
        <f t="shared" si="14"/>
        <v>1.63013751429624</v>
      </c>
      <c r="X115">
        <v>0</v>
      </c>
      <c r="Y115" s="52" t="s">
        <v>178</v>
      </c>
      <c r="Z115" s="67" t="s">
        <v>190</v>
      </c>
      <c r="AA115" s="67">
        <v>5</v>
      </c>
      <c r="AB115" s="67">
        <v>5</v>
      </c>
      <c r="AC115" s="67">
        <v>5</v>
      </c>
    </row>
    <row r="116" spans="3:29">
      <c r="C116" s="52" t="s">
        <v>178</v>
      </c>
      <c r="D116" s="67" t="s">
        <v>191</v>
      </c>
      <c r="E116" s="67">
        <v>4.18384600835176</v>
      </c>
      <c r="F116" s="68">
        <v>3.17694532056006</v>
      </c>
      <c r="G116" s="68">
        <v>5.20810707442889</v>
      </c>
      <c r="L116">
        <v>2050</v>
      </c>
      <c r="M116" s="52" t="s">
        <v>178</v>
      </c>
      <c r="N116" s="67" t="s">
        <v>191</v>
      </c>
      <c r="O116" s="67">
        <f t="shared" si="12"/>
        <v>1.3095438006141</v>
      </c>
      <c r="P116" s="67">
        <f t="shared" si="13"/>
        <v>0.994383885335299</v>
      </c>
      <c r="Q116" s="67">
        <f t="shared" si="14"/>
        <v>1.63013751429624</v>
      </c>
      <c r="X116">
        <v>0</v>
      </c>
      <c r="Y116" s="52" t="s">
        <v>178</v>
      </c>
      <c r="Z116" s="67" t="s">
        <v>191</v>
      </c>
      <c r="AA116" s="67">
        <v>5</v>
      </c>
      <c r="AB116" s="67">
        <v>5</v>
      </c>
      <c r="AC116" s="67">
        <v>5</v>
      </c>
    </row>
    <row r="117" spans="3:29">
      <c r="C117" s="52" t="s">
        <v>178</v>
      </c>
      <c r="D117" s="67" t="s">
        <v>192</v>
      </c>
      <c r="E117" s="67">
        <v>4.18384600835176</v>
      </c>
      <c r="F117" s="68">
        <v>3.17694532056006</v>
      </c>
      <c r="G117" s="68">
        <v>5.20810707442889</v>
      </c>
      <c r="L117">
        <v>2050</v>
      </c>
      <c r="M117" s="52" t="s">
        <v>178</v>
      </c>
      <c r="N117" s="67" t="s">
        <v>192</v>
      </c>
      <c r="O117" s="67">
        <f t="shared" si="12"/>
        <v>1.3095438006141</v>
      </c>
      <c r="P117" s="67">
        <f t="shared" si="13"/>
        <v>0.994383885335299</v>
      </c>
      <c r="Q117" s="67">
        <f t="shared" si="14"/>
        <v>1.63013751429624</v>
      </c>
      <c r="X117">
        <v>0</v>
      </c>
      <c r="Y117" s="52" t="s">
        <v>178</v>
      </c>
      <c r="Z117" s="67" t="s">
        <v>192</v>
      </c>
      <c r="AA117" s="67">
        <v>5</v>
      </c>
      <c r="AB117" s="67">
        <v>5</v>
      </c>
      <c r="AC117" s="67">
        <v>5</v>
      </c>
    </row>
    <row r="118" spans="3:29">
      <c r="C118" s="52" t="s">
        <v>178</v>
      </c>
      <c r="D118" s="67" t="s">
        <v>193</v>
      </c>
      <c r="E118" s="67">
        <v>3.56556266273643</v>
      </c>
      <c r="F118" s="68">
        <v>2.70746042741341</v>
      </c>
      <c r="G118" s="68">
        <v>4.4384597641857</v>
      </c>
      <c r="L118">
        <v>2050</v>
      </c>
      <c r="M118" s="52" t="s">
        <v>178</v>
      </c>
      <c r="N118" s="67" t="s">
        <v>193</v>
      </c>
      <c r="O118" s="67">
        <f t="shared" si="12"/>
        <v>1.1160211134365</v>
      </c>
      <c r="P118" s="67">
        <f t="shared" si="13"/>
        <v>0.847435113780397</v>
      </c>
      <c r="Q118" s="67">
        <f t="shared" si="14"/>
        <v>1.38923790619012</v>
      </c>
      <c r="X118">
        <v>0</v>
      </c>
      <c r="Y118" s="52" t="s">
        <v>178</v>
      </c>
      <c r="Z118" s="67" t="s">
        <v>193</v>
      </c>
      <c r="AA118" s="67">
        <v>5</v>
      </c>
      <c r="AB118" s="67">
        <v>5</v>
      </c>
      <c r="AC118" s="67">
        <v>5</v>
      </c>
    </row>
    <row r="119" spans="3:29">
      <c r="C119" s="52" t="s">
        <v>178</v>
      </c>
      <c r="D119" s="67" t="s">
        <v>194</v>
      </c>
      <c r="E119" s="67">
        <v>3.60087708179809</v>
      </c>
      <c r="F119" s="68">
        <v>2.73427597641857</v>
      </c>
      <c r="G119" s="68">
        <v>4.48241960206338</v>
      </c>
      <c r="L119">
        <v>2050</v>
      </c>
      <c r="M119" s="52" t="s">
        <v>178</v>
      </c>
      <c r="N119" s="67" t="s">
        <v>194</v>
      </c>
      <c r="O119" s="67">
        <f t="shared" si="12"/>
        <v>1.1270745266028</v>
      </c>
      <c r="P119" s="67">
        <f t="shared" si="13"/>
        <v>0.855828380619012</v>
      </c>
      <c r="Q119" s="67">
        <f t="shared" si="14"/>
        <v>1.40299733544584</v>
      </c>
      <c r="X119">
        <v>0</v>
      </c>
      <c r="Y119" s="52" t="s">
        <v>178</v>
      </c>
      <c r="Z119" s="67" t="s">
        <v>194</v>
      </c>
      <c r="AA119" s="67">
        <v>5</v>
      </c>
      <c r="AB119" s="67">
        <v>5</v>
      </c>
      <c r="AC119" s="67">
        <v>5</v>
      </c>
    </row>
    <row r="120" spans="3:29">
      <c r="C120" s="52" t="s">
        <v>178</v>
      </c>
      <c r="D120" s="67" t="s">
        <v>195</v>
      </c>
      <c r="E120" s="67">
        <v>3.56556266273643</v>
      </c>
      <c r="F120" s="68">
        <v>2.70746042741341</v>
      </c>
      <c r="G120" s="68">
        <v>4.4384597641857</v>
      </c>
      <c r="L120">
        <v>2050</v>
      </c>
      <c r="M120" s="52" t="s">
        <v>178</v>
      </c>
      <c r="N120" s="67" t="s">
        <v>195</v>
      </c>
      <c r="O120" s="67">
        <f t="shared" si="12"/>
        <v>1.1160211134365</v>
      </c>
      <c r="P120" s="67">
        <f t="shared" si="13"/>
        <v>0.847435113780397</v>
      </c>
      <c r="Q120" s="67">
        <f t="shared" si="14"/>
        <v>1.38923790619012</v>
      </c>
      <c r="X120">
        <v>0</v>
      </c>
      <c r="Y120" s="52" t="s">
        <v>178</v>
      </c>
      <c r="Z120" s="67" t="s">
        <v>195</v>
      </c>
      <c r="AA120" s="67">
        <v>5</v>
      </c>
      <c r="AB120" s="67">
        <v>5</v>
      </c>
      <c r="AC120" s="67">
        <v>5</v>
      </c>
    </row>
    <row r="121" spans="3:29">
      <c r="C121" s="52" t="s">
        <v>178</v>
      </c>
      <c r="D121" s="67" t="s">
        <v>196</v>
      </c>
      <c r="E121" s="67">
        <v>3.56645369688037</v>
      </c>
      <c r="F121" s="68">
        <v>2.70813706705969</v>
      </c>
      <c r="G121" s="68">
        <v>4.43956890198968</v>
      </c>
      <c r="L121">
        <v>2050</v>
      </c>
      <c r="M121" s="52" t="s">
        <v>178</v>
      </c>
      <c r="N121" s="67" t="s">
        <v>196</v>
      </c>
      <c r="O121" s="67">
        <f t="shared" si="12"/>
        <v>1.11630000712356</v>
      </c>
      <c r="P121" s="67">
        <f t="shared" si="13"/>
        <v>0.847646901989683</v>
      </c>
      <c r="Q121" s="67">
        <f t="shared" si="14"/>
        <v>1.38958506632277</v>
      </c>
      <c r="X121">
        <v>0</v>
      </c>
      <c r="Y121" s="52" t="s">
        <v>178</v>
      </c>
      <c r="Z121" s="67" t="s">
        <v>196</v>
      </c>
      <c r="AA121" s="67">
        <v>5</v>
      </c>
      <c r="AB121" s="67">
        <v>5</v>
      </c>
      <c r="AC121" s="67">
        <v>5</v>
      </c>
    </row>
    <row r="122" spans="3:29">
      <c r="C122" s="52" t="s">
        <v>178</v>
      </c>
      <c r="D122" s="67" t="s">
        <v>197</v>
      </c>
      <c r="E122" s="67">
        <v>3.56585961680177</v>
      </c>
      <c r="F122" s="68">
        <v>2.70768592483419</v>
      </c>
      <c r="G122" s="68">
        <v>4.43882940309506</v>
      </c>
      <c r="L122">
        <v>2050</v>
      </c>
      <c r="M122" s="52" t="s">
        <v>178</v>
      </c>
      <c r="N122" s="67" t="s">
        <v>197</v>
      </c>
      <c r="O122" s="67">
        <f t="shared" si="12"/>
        <v>1.11611406005895</v>
      </c>
      <c r="P122" s="67">
        <f t="shared" si="13"/>
        <v>0.847505694473101</v>
      </c>
      <c r="Q122" s="67">
        <f t="shared" si="14"/>
        <v>1.38935360316875</v>
      </c>
      <c r="X122">
        <v>0</v>
      </c>
      <c r="Y122" s="52" t="s">
        <v>178</v>
      </c>
      <c r="Z122" s="67" t="s">
        <v>197</v>
      </c>
      <c r="AA122" s="67">
        <v>5</v>
      </c>
      <c r="AB122" s="67">
        <v>5</v>
      </c>
      <c r="AC122" s="67">
        <v>5</v>
      </c>
    </row>
    <row r="123" spans="3:29">
      <c r="C123" s="52" t="s">
        <v>178</v>
      </c>
      <c r="D123" s="67" t="s">
        <v>198</v>
      </c>
      <c r="E123" s="67">
        <v>3.56556266273643</v>
      </c>
      <c r="F123" s="68">
        <v>2.70746042741341</v>
      </c>
      <c r="G123" s="68">
        <v>4.4384597641857</v>
      </c>
      <c r="L123">
        <v>2050</v>
      </c>
      <c r="M123" s="52" t="s">
        <v>178</v>
      </c>
      <c r="N123" s="67" t="s">
        <v>198</v>
      </c>
      <c r="O123" s="67">
        <f t="shared" si="12"/>
        <v>1.1160211134365</v>
      </c>
      <c r="P123" s="67">
        <f t="shared" si="13"/>
        <v>0.847435113780397</v>
      </c>
      <c r="Q123" s="67">
        <f t="shared" si="14"/>
        <v>1.38923790619012</v>
      </c>
      <c r="X123">
        <v>0</v>
      </c>
      <c r="Y123" s="52" t="s">
        <v>178</v>
      </c>
      <c r="Z123" s="67" t="s">
        <v>198</v>
      </c>
      <c r="AA123" s="67">
        <v>5</v>
      </c>
      <c r="AB123" s="67">
        <v>5</v>
      </c>
      <c r="AC123" s="67">
        <v>5</v>
      </c>
    </row>
    <row r="124" spans="3:29">
      <c r="C124" s="52" t="s">
        <v>178</v>
      </c>
      <c r="D124" s="69" t="s">
        <v>199</v>
      </c>
      <c r="E124" s="67">
        <v>3.56496890198968</v>
      </c>
      <c r="F124" s="68">
        <v>2.70700957995578</v>
      </c>
      <c r="G124" s="68">
        <v>4.43772063375092</v>
      </c>
      <c r="L124">
        <v>2050</v>
      </c>
      <c r="M124" s="52" t="s">
        <v>178</v>
      </c>
      <c r="N124" s="69" t="s">
        <v>199</v>
      </c>
      <c r="O124" s="67">
        <f t="shared" si="12"/>
        <v>1.11583526632277</v>
      </c>
      <c r="P124" s="67">
        <f t="shared" si="13"/>
        <v>0.847293998526159</v>
      </c>
      <c r="Q124" s="67">
        <f t="shared" si="14"/>
        <v>1.38900655836404</v>
      </c>
      <c r="X124">
        <v>0</v>
      </c>
      <c r="Y124" s="52" t="s">
        <v>178</v>
      </c>
      <c r="Z124" s="67" t="s">
        <v>199</v>
      </c>
      <c r="AA124" s="67">
        <v>5</v>
      </c>
      <c r="AB124" s="67">
        <v>5</v>
      </c>
      <c r="AC124" s="67">
        <v>5</v>
      </c>
    </row>
    <row r="132" spans="3:25">
      <c r="C132" s="52"/>
      <c r="D132" t="s">
        <v>114</v>
      </c>
      <c r="M132" s="52"/>
      <c r="Y132" s="52"/>
    </row>
    <row r="133" spans="3:29">
      <c r="C133" s="52" t="s">
        <v>116</v>
      </c>
      <c r="D133" s="67" t="s">
        <v>64</v>
      </c>
      <c r="E133" s="67" t="s">
        <v>65</v>
      </c>
      <c r="F133" s="67"/>
      <c r="G133" s="67"/>
      <c r="M133" s="52"/>
      <c r="N133" s="52"/>
      <c r="O133" s="52"/>
      <c r="P133" s="52"/>
      <c r="Q133" s="52"/>
      <c r="Y133" s="52"/>
      <c r="Z133" s="52"/>
      <c r="AA133" s="52"/>
      <c r="AB133" s="52"/>
      <c r="AC133" s="52"/>
    </row>
    <row r="134" spans="3:29">
      <c r="C134" s="52" t="s">
        <v>200</v>
      </c>
      <c r="D134" s="67" t="s">
        <v>179</v>
      </c>
      <c r="E134" s="67">
        <v>0.001</v>
      </c>
      <c r="F134" s="68"/>
      <c r="G134" s="68"/>
      <c r="M134" s="52"/>
      <c r="N134" s="52"/>
      <c r="O134" s="52"/>
      <c r="P134" s="52"/>
      <c r="Q134" s="52"/>
      <c r="Y134" s="52"/>
      <c r="Z134" s="52"/>
      <c r="AA134" s="52"/>
      <c r="AB134" s="52"/>
      <c r="AC134" s="52"/>
    </row>
    <row r="135" spans="3:29">
      <c r="C135" s="52" t="s">
        <v>200</v>
      </c>
      <c r="D135" s="67" t="s">
        <v>180</v>
      </c>
      <c r="E135" s="67">
        <f>E134</f>
        <v>0.001</v>
      </c>
      <c r="F135" s="68"/>
      <c r="G135" s="68"/>
      <c r="M135" s="52"/>
      <c r="N135" s="52"/>
      <c r="O135" s="52"/>
      <c r="P135" s="52"/>
      <c r="Q135" s="52"/>
      <c r="Y135" s="52"/>
      <c r="Z135" s="52"/>
      <c r="AA135" s="52"/>
      <c r="AB135" s="52"/>
      <c r="AC135" s="52"/>
    </row>
    <row r="136" spans="3:29">
      <c r="C136" s="52" t="s">
        <v>200</v>
      </c>
      <c r="D136" s="67" t="s">
        <v>181</v>
      </c>
      <c r="E136" s="67">
        <f t="shared" ref="E136:E154" si="15">E135</f>
        <v>0.001</v>
      </c>
      <c r="F136" s="68"/>
      <c r="G136" s="68"/>
      <c r="M136" s="52"/>
      <c r="N136" s="52"/>
      <c r="O136" s="52"/>
      <c r="P136" s="52"/>
      <c r="Q136" s="52"/>
      <c r="Y136" s="52"/>
      <c r="Z136" s="52"/>
      <c r="AA136" s="52"/>
      <c r="AB136" s="52"/>
      <c r="AC136" s="52"/>
    </row>
    <row r="137" spans="3:29">
      <c r="C137" s="52" t="s">
        <v>200</v>
      </c>
      <c r="D137" s="67" t="s">
        <v>182</v>
      </c>
      <c r="E137" s="67">
        <f t="shared" si="15"/>
        <v>0.001</v>
      </c>
      <c r="F137" s="68"/>
      <c r="G137" s="68"/>
      <c r="M137" s="52"/>
      <c r="N137" s="52"/>
      <c r="O137" s="52"/>
      <c r="P137" s="52"/>
      <c r="Q137" s="52"/>
      <c r="Y137" s="52"/>
      <c r="Z137" s="52"/>
      <c r="AA137" s="52"/>
      <c r="AB137" s="52"/>
      <c r="AC137" s="52"/>
    </row>
    <row r="138" spans="3:29">
      <c r="C138" s="52" t="s">
        <v>200</v>
      </c>
      <c r="D138" s="67" t="s">
        <v>183</v>
      </c>
      <c r="E138" s="67">
        <f t="shared" si="15"/>
        <v>0.001</v>
      </c>
      <c r="F138" s="68"/>
      <c r="G138" s="68"/>
      <c r="M138" s="52"/>
      <c r="N138" s="52"/>
      <c r="O138" s="52"/>
      <c r="P138" s="52"/>
      <c r="Q138" s="52"/>
      <c r="Y138" s="52"/>
      <c r="Z138" s="52"/>
      <c r="AA138" s="52"/>
      <c r="AB138" s="52"/>
      <c r="AC138" s="52"/>
    </row>
    <row r="139" spans="3:29">
      <c r="C139" s="52" t="s">
        <v>200</v>
      </c>
      <c r="D139" s="67" t="s">
        <v>184</v>
      </c>
      <c r="E139" s="67">
        <f t="shared" si="15"/>
        <v>0.001</v>
      </c>
      <c r="F139" s="68"/>
      <c r="G139" s="68"/>
      <c r="M139" s="52"/>
      <c r="N139" s="52"/>
      <c r="O139" s="52"/>
      <c r="P139" s="52"/>
      <c r="Q139" s="52"/>
      <c r="Y139" s="52"/>
      <c r="Z139" s="52"/>
      <c r="AA139" s="52"/>
      <c r="AB139" s="52"/>
      <c r="AC139" s="52"/>
    </row>
    <row r="140" spans="3:29">
      <c r="C140" s="52" t="s">
        <v>200</v>
      </c>
      <c r="D140" s="67" t="s">
        <v>185</v>
      </c>
      <c r="E140" s="67">
        <f t="shared" si="15"/>
        <v>0.001</v>
      </c>
      <c r="F140" s="68"/>
      <c r="G140" s="68"/>
      <c r="M140" s="52"/>
      <c r="N140" s="52"/>
      <c r="O140" s="52"/>
      <c r="P140" s="52"/>
      <c r="Q140" s="52"/>
      <c r="Y140" s="52"/>
      <c r="Z140" s="52"/>
      <c r="AA140" s="52"/>
      <c r="AB140" s="52"/>
      <c r="AC140" s="52"/>
    </row>
    <row r="141" spans="3:29">
      <c r="C141" s="52" t="s">
        <v>200</v>
      </c>
      <c r="D141" s="67" t="s">
        <v>186</v>
      </c>
      <c r="E141" s="67">
        <f t="shared" si="15"/>
        <v>0.001</v>
      </c>
      <c r="F141" s="68"/>
      <c r="G141" s="68"/>
      <c r="M141" s="52"/>
      <c r="N141" s="52"/>
      <c r="O141" s="52"/>
      <c r="P141" s="52"/>
      <c r="Q141" s="52"/>
      <c r="Y141" s="52"/>
      <c r="Z141" s="52"/>
      <c r="AA141" s="52"/>
      <c r="AB141" s="52"/>
      <c r="AC141" s="52"/>
    </row>
    <row r="142" spans="3:29">
      <c r="C142" s="52" t="s">
        <v>200</v>
      </c>
      <c r="D142" s="67" t="s">
        <v>187</v>
      </c>
      <c r="E142" s="67">
        <f t="shared" si="15"/>
        <v>0.001</v>
      </c>
      <c r="F142" s="68"/>
      <c r="G142" s="68"/>
      <c r="M142" s="52"/>
      <c r="N142" s="52"/>
      <c r="O142" s="52"/>
      <c r="P142" s="52"/>
      <c r="Q142" s="52"/>
      <c r="Y142" s="52"/>
      <c r="Z142" s="52"/>
      <c r="AA142" s="52"/>
      <c r="AB142" s="52"/>
      <c r="AC142" s="52"/>
    </row>
    <row r="143" spans="3:29">
      <c r="C143" s="52" t="s">
        <v>200</v>
      </c>
      <c r="D143" s="67" t="s">
        <v>188</v>
      </c>
      <c r="E143" s="67">
        <f t="shared" si="15"/>
        <v>0.001</v>
      </c>
      <c r="F143" s="68"/>
      <c r="G143" s="68"/>
      <c r="M143" s="52"/>
      <c r="N143" s="52"/>
      <c r="O143" s="52"/>
      <c r="P143" s="52"/>
      <c r="Q143" s="52"/>
      <c r="Y143" s="52"/>
      <c r="Z143" s="52"/>
      <c r="AA143" s="52"/>
      <c r="AB143" s="52"/>
      <c r="AC143" s="52"/>
    </row>
    <row r="144" spans="3:29">
      <c r="C144" s="52" t="s">
        <v>200</v>
      </c>
      <c r="D144" s="67" t="s">
        <v>189</v>
      </c>
      <c r="E144" s="67">
        <f t="shared" si="15"/>
        <v>0.001</v>
      </c>
      <c r="F144" s="68"/>
      <c r="G144" s="68"/>
      <c r="M144" s="52"/>
      <c r="N144" s="52"/>
      <c r="O144" s="52"/>
      <c r="P144" s="52"/>
      <c r="Q144" s="52"/>
      <c r="Y144" s="52"/>
      <c r="Z144" s="52"/>
      <c r="AA144" s="52"/>
      <c r="AB144" s="52"/>
      <c r="AC144" s="52"/>
    </row>
    <row r="145" spans="3:29">
      <c r="C145" s="52" t="s">
        <v>200</v>
      </c>
      <c r="D145" s="67" t="s">
        <v>190</v>
      </c>
      <c r="E145" s="67">
        <f t="shared" si="15"/>
        <v>0.001</v>
      </c>
      <c r="F145" s="68"/>
      <c r="G145" s="68"/>
      <c r="M145" s="52"/>
      <c r="N145" s="52"/>
      <c r="O145" s="52"/>
      <c r="P145" s="52"/>
      <c r="Q145" s="52"/>
      <c r="Y145" s="52"/>
      <c r="Z145" s="52"/>
      <c r="AA145" s="52"/>
      <c r="AB145" s="52"/>
      <c r="AC145" s="52"/>
    </row>
    <row r="146" spans="3:29">
      <c r="C146" s="52" t="s">
        <v>200</v>
      </c>
      <c r="D146" s="67" t="s">
        <v>191</v>
      </c>
      <c r="E146" s="67">
        <f t="shared" si="15"/>
        <v>0.001</v>
      </c>
      <c r="F146" s="68"/>
      <c r="G146" s="68"/>
      <c r="M146" s="52"/>
      <c r="N146" s="52"/>
      <c r="O146" s="52"/>
      <c r="P146" s="52"/>
      <c r="Q146" s="52"/>
      <c r="Y146" s="52"/>
      <c r="Z146" s="52"/>
      <c r="AA146" s="52"/>
      <c r="AB146" s="52"/>
      <c r="AC146" s="52"/>
    </row>
    <row r="147" spans="3:29">
      <c r="C147" s="52" t="s">
        <v>200</v>
      </c>
      <c r="D147" s="67" t="s">
        <v>192</v>
      </c>
      <c r="E147" s="67">
        <f t="shared" si="15"/>
        <v>0.001</v>
      </c>
      <c r="F147" s="68"/>
      <c r="G147" s="68"/>
      <c r="M147" s="52"/>
      <c r="N147" s="52"/>
      <c r="O147" s="52"/>
      <c r="P147" s="52"/>
      <c r="Q147" s="52"/>
      <c r="Y147" s="52"/>
      <c r="Z147" s="52"/>
      <c r="AA147" s="52"/>
      <c r="AB147" s="52"/>
      <c r="AC147" s="52"/>
    </row>
    <row r="148" spans="3:29">
      <c r="C148" s="52" t="s">
        <v>200</v>
      </c>
      <c r="D148" s="67" t="s">
        <v>193</v>
      </c>
      <c r="E148" s="67">
        <f t="shared" si="15"/>
        <v>0.001</v>
      </c>
      <c r="F148" s="68"/>
      <c r="G148" s="68"/>
      <c r="M148" s="52"/>
      <c r="N148" s="52"/>
      <c r="O148" s="52"/>
      <c r="P148" s="52"/>
      <c r="Q148" s="52"/>
      <c r="Y148" s="52"/>
      <c r="Z148" s="52"/>
      <c r="AA148" s="52"/>
      <c r="AB148" s="52"/>
      <c r="AC148" s="52"/>
    </row>
    <row r="149" spans="3:29">
      <c r="C149" s="52" t="s">
        <v>200</v>
      </c>
      <c r="D149" s="67" t="s">
        <v>194</v>
      </c>
      <c r="E149" s="67">
        <f t="shared" si="15"/>
        <v>0.001</v>
      </c>
      <c r="F149" s="68"/>
      <c r="G149" s="68"/>
      <c r="M149" s="52"/>
      <c r="N149" s="52"/>
      <c r="O149" s="52"/>
      <c r="P149" s="52"/>
      <c r="Q149" s="52"/>
      <c r="Y149" s="52"/>
      <c r="Z149" s="52"/>
      <c r="AA149" s="52"/>
      <c r="AB149" s="52"/>
      <c r="AC149" s="52"/>
    </row>
    <row r="150" spans="3:29">
      <c r="C150" s="52" t="s">
        <v>200</v>
      </c>
      <c r="D150" s="67" t="s">
        <v>195</v>
      </c>
      <c r="E150" s="67">
        <f t="shared" si="15"/>
        <v>0.001</v>
      </c>
      <c r="F150" s="68"/>
      <c r="G150" s="68"/>
      <c r="M150" s="52"/>
      <c r="N150" s="52"/>
      <c r="O150" s="52"/>
      <c r="P150" s="52"/>
      <c r="Q150" s="52"/>
      <c r="Y150" s="52"/>
      <c r="Z150" s="52"/>
      <c r="AA150" s="52"/>
      <c r="AB150" s="52"/>
      <c r="AC150" s="52"/>
    </row>
    <row r="151" spans="3:29">
      <c r="C151" s="52" t="s">
        <v>200</v>
      </c>
      <c r="D151" s="67" t="s">
        <v>196</v>
      </c>
      <c r="E151" s="67">
        <f t="shared" si="15"/>
        <v>0.001</v>
      </c>
      <c r="F151" s="68"/>
      <c r="G151" s="68"/>
      <c r="M151" s="52"/>
      <c r="N151" s="52"/>
      <c r="O151" s="52"/>
      <c r="P151" s="52"/>
      <c r="Q151" s="52"/>
      <c r="Y151" s="52"/>
      <c r="Z151" s="52"/>
      <c r="AA151" s="52"/>
      <c r="AB151" s="52"/>
      <c r="AC151" s="52"/>
    </row>
    <row r="152" spans="3:29">
      <c r="C152" s="52" t="s">
        <v>200</v>
      </c>
      <c r="D152" s="67" t="s">
        <v>197</v>
      </c>
      <c r="E152" s="67">
        <f t="shared" si="15"/>
        <v>0.001</v>
      </c>
      <c r="F152" s="68"/>
      <c r="G152" s="68"/>
      <c r="M152" s="52"/>
      <c r="N152" s="52"/>
      <c r="O152" s="52"/>
      <c r="P152" s="52"/>
      <c r="Q152" s="52"/>
      <c r="Y152" s="52"/>
      <c r="Z152" s="52"/>
      <c r="AA152" s="52"/>
      <c r="AB152" s="52"/>
      <c r="AC152" s="52"/>
    </row>
    <row r="153" spans="3:29">
      <c r="C153" s="52" t="s">
        <v>200</v>
      </c>
      <c r="D153" s="67" t="s">
        <v>198</v>
      </c>
      <c r="E153" s="67">
        <f t="shared" si="15"/>
        <v>0.001</v>
      </c>
      <c r="F153" s="68"/>
      <c r="G153" s="68"/>
      <c r="M153" s="52"/>
      <c r="N153" s="52"/>
      <c r="O153" s="52"/>
      <c r="P153" s="52"/>
      <c r="Q153" s="52"/>
      <c r="Y153" s="52"/>
      <c r="Z153" s="52"/>
      <c r="AA153" s="52"/>
      <c r="AB153" s="52"/>
      <c r="AC153" s="52"/>
    </row>
    <row r="154" spans="3:29">
      <c r="C154" s="52" t="s">
        <v>200</v>
      </c>
      <c r="D154" s="69" t="s">
        <v>199</v>
      </c>
      <c r="E154" s="67">
        <f t="shared" si="15"/>
        <v>0.001</v>
      </c>
      <c r="F154" s="68"/>
      <c r="G154" s="68"/>
      <c r="M154" s="52"/>
      <c r="N154" s="52"/>
      <c r="O154" s="52"/>
      <c r="P154" s="52"/>
      <c r="Q154" s="52"/>
      <c r="Y154" s="52"/>
      <c r="Z154" s="52"/>
      <c r="AA154" s="52"/>
      <c r="AB154" s="52"/>
      <c r="AC154" s="52"/>
    </row>
  </sheetData>
  <sortState ref="AZ33:BA38">
    <sortCondition ref="AZ33:AZ38"/>
  </sortState>
  <pageMargins left="0.7" right="0.7" top="0.75" bottom="0.75" header="0.3" footer="0.3"/>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
  <sheetViews>
    <sheetView zoomScale="68" zoomScaleNormal="68" workbookViewId="0">
      <selection activeCell="V26" sqref="V26"/>
    </sheetView>
  </sheetViews>
  <sheetFormatPr defaultColWidth="9" defaultRowHeight="12.5"/>
  <cols>
    <col min="3" max="3" width="11.6363636363636" customWidth="1"/>
    <col min="12" max="28" width="5.27272727272727" customWidth="1"/>
  </cols>
  <sheetData>
    <row r="1" spans="1:12">
      <c r="A1" t="s">
        <v>42</v>
      </c>
      <c r="B1" t="s">
        <v>116</v>
      </c>
      <c r="C1" t="s">
        <v>64</v>
      </c>
      <c r="D1" t="s">
        <v>92</v>
      </c>
      <c r="E1" t="s">
        <v>201</v>
      </c>
      <c r="F1" t="s">
        <v>202</v>
      </c>
      <c r="G1" t="s">
        <v>41</v>
      </c>
      <c r="H1" t="s">
        <v>203</v>
      </c>
      <c r="I1" t="s">
        <v>204</v>
      </c>
      <c r="J1" t="s">
        <v>205</v>
      </c>
      <c r="K1" t="s">
        <v>206</v>
      </c>
      <c r="L1" t="s">
        <v>207</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82"/>
  <sheetViews>
    <sheetView zoomScale="49" zoomScaleNormal="49" topLeftCell="R1" workbookViewId="0">
      <selection activeCell="V25" sqref="V25:X25"/>
    </sheetView>
  </sheetViews>
  <sheetFormatPr defaultColWidth="8.72727272727273" defaultRowHeight="12.5"/>
  <cols>
    <col min="1" max="9" width="8.72727272727273" style="2"/>
    <col min="10" max="10" width="11.4545454545455" style="2" customWidth="1"/>
    <col min="11" max="11" width="26" style="2" customWidth="1"/>
    <col min="12" max="12" width="11.1818181818182" style="2" customWidth="1"/>
    <col min="13" max="13" width="9.09090909090909" style="2"/>
    <col min="14" max="16" width="8.72727272727273" style="2"/>
    <col min="17" max="17" width="40.4545454545455" style="2" customWidth="1"/>
    <col min="18" max="18" width="44.7272727272727" style="2" customWidth="1"/>
    <col min="19" max="22" width="12.8181818181818" style="2"/>
    <col min="23" max="23" width="26" style="2" customWidth="1"/>
    <col min="24" max="26" width="12.8181818181818" style="2"/>
    <col min="27" max="28" width="8.72727272727273" style="2"/>
    <col min="29" max="29" width="26" style="2" customWidth="1"/>
    <col min="30" max="34" width="8.72727272727273" style="2"/>
    <col min="35" max="35" width="21.6363636363636" style="2" customWidth="1"/>
    <col min="36" max="40" width="8.72727272727273" style="2"/>
    <col min="41" max="41" width="21.8181818181818" style="2" customWidth="1"/>
    <col min="42" max="46" width="8.72727272727273" style="2"/>
    <col min="47" max="47" width="20.5454545454545" style="2" customWidth="1"/>
    <col min="48" max="48" width="33.5454545454545" style="2" customWidth="1"/>
    <col min="49" max="52" width="8.72727272727273" style="2"/>
    <col min="53" max="53" width="20.5454545454545" style="2" customWidth="1"/>
    <col min="54" max="16384" width="8.72727272727273" style="2"/>
  </cols>
  <sheetData>
    <row r="4" s="27" customFormat="1" ht="14.5" spans="4:55">
      <c r="D4" s="29"/>
      <c r="E4" s="29"/>
      <c r="F4" s="29"/>
      <c r="G4" s="29"/>
      <c r="H4" s="30"/>
      <c r="I4" s="30"/>
      <c r="J4" s="29"/>
      <c r="K4" s="29"/>
      <c r="L4" s="22" t="s">
        <v>208</v>
      </c>
      <c r="M4" s="29"/>
      <c r="N4" s="30"/>
      <c r="O4" s="30"/>
      <c r="P4" s="30"/>
      <c r="Q4" s="30"/>
      <c r="R4" s="22" t="s">
        <v>208</v>
      </c>
      <c r="S4" s="30"/>
      <c r="T4" s="30"/>
      <c r="U4" s="30"/>
      <c r="V4" s="30"/>
      <c r="W4" s="30"/>
      <c r="X4" s="22" t="s">
        <v>208</v>
      </c>
      <c r="Y4" s="30"/>
      <c r="Z4" s="30"/>
      <c r="AA4" s="30"/>
      <c r="AB4" s="30"/>
      <c r="AC4" s="30"/>
      <c r="AD4" s="22" t="s">
        <v>208</v>
      </c>
      <c r="AE4" s="30"/>
      <c r="AF4" s="30"/>
      <c r="AG4" s="30"/>
      <c r="AH4" s="30"/>
      <c r="AI4" s="30"/>
      <c r="AJ4" s="22" t="s">
        <v>208</v>
      </c>
      <c r="AK4" s="30"/>
      <c r="AL4" s="30"/>
      <c r="AM4" s="30"/>
      <c r="AN4" s="30"/>
      <c r="AO4" s="30"/>
      <c r="AP4" s="22" t="s">
        <v>208</v>
      </c>
      <c r="AQ4" s="30"/>
      <c r="AT4" s="30"/>
      <c r="AU4" s="30"/>
      <c r="AV4" s="22" t="s">
        <v>208</v>
      </c>
      <c r="AW4" s="30"/>
      <c r="AZ4" s="2"/>
      <c r="BA4" s="2"/>
      <c r="BB4" s="2"/>
      <c r="BC4" s="2"/>
    </row>
    <row r="5" s="27" customFormat="1" ht="14.5" spans="4:55">
      <c r="D5" s="29"/>
      <c r="E5" s="29"/>
      <c r="F5" s="31"/>
      <c r="G5" s="29"/>
      <c r="H5" s="30"/>
      <c r="I5" s="30"/>
      <c r="J5" s="22" t="s">
        <v>120</v>
      </c>
      <c r="K5" s="22" t="s">
        <v>64</v>
      </c>
      <c r="L5" s="22" t="s">
        <v>95</v>
      </c>
      <c r="M5" s="22" t="s">
        <v>25</v>
      </c>
      <c r="N5" s="30"/>
      <c r="O5" s="30"/>
      <c r="P5" s="22" t="s">
        <v>120</v>
      </c>
      <c r="Q5" s="22" t="s">
        <v>64</v>
      </c>
      <c r="R5" s="22" t="s">
        <v>95</v>
      </c>
      <c r="S5" s="22" t="s">
        <v>25</v>
      </c>
      <c r="T5" s="30"/>
      <c r="U5" s="30"/>
      <c r="V5" s="22" t="s">
        <v>120</v>
      </c>
      <c r="W5" s="22" t="s">
        <v>64</v>
      </c>
      <c r="X5" s="22" t="s">
        <v>95</v>
      </c>
      <c r="Y5" s="22" t="s">
        <v>25</v>
      </c>
      <c r="Z5" s="30"/>
      <c r="AA5" s="30"/>
      <c r="AB5" s="22" t="s">
        <v>120</v>
      </c>
      <c r="AC5" s="22" t="s">
        <v>64</v>
      </c>
      <c r="AD5" s="22" t="s">
        <v>95</v>
      </c>
      <c r="AE5" s="22" t="s">
        <v>25</v>
      </c>
      <c r="AF5" s="30"/>
      <c r="AG5" s="30"/>
      <c r="AH5" s="22" t="s">
        <v>120</v>
      </c>
      <c r="AI5" s="22" t="s">
        <v>64</v>
      </c>
      <c r="AJ5" s="22" t="s">
        <v>95</v>
      </c>
      <c r="AK5" s="22" t="s">
        <v>25</v>
      </c>
      <c r="AL5" s="30"/>
      <c r="AM5" s="30"/>
      <c r="AN5" s="22" t="s">
        <v>120</v>
      </c>
      <c r="AO5" s="22" t="s">
        <v>64</v>
      </c>
      <c r="AP5" s="22" t="s">
        <v>95</v>
      </c>
      <c r="AQ5" s="22" t="s">
        <v>25</v>
      </c>
      <c r="AT5" s="22" t="s">
        <v>120</v>
      </c>
      <c r="AU5" s="22" t="s">
        <v>64</v>
      </c>
      <c r="AV5" s="22" t="s">
        <v>95</v>
      </c>
      <c r="AW5" s="22" t="s">
        <v>25</v>
      </c>
      <c r="AZ5" s="2"/>
      <c r="BA5" s="2"/>
      <c r="BB5" s="2"/>
      <c r="BC5" s="2"/>
    </row>
    <row r="6" s="27" customFormat="1" ht="16" spans="4:55">
      <c r="D6" s="29"/>
      <c r="E6" s="32"/>
      <c r="F6" s="31"/>
      <c r="G6" s="33"/>
      <c r="H6" s="30"/>
      <c r="I6" s="30"/>
      <c r="J6" s="29" t="s">
        <v>124</v>
      </c>
      <c r="K6" s="32" t="s">
        <v>209</v>
      </c>
      <c r="L6" s="24" t="s">
        <v>210</v>
      </c>
      <c r="M6" s="36">
        <f t="shared" ref="M6:M9" si="0">M16/1000</f>
        <v>0.0768000000000001</v>
      </c>
      <c r="N6" s="30"/>
      <c r="O6" s="30"/>
      <c r="P6" s="29" t="s">
        <v>124</v>
      </c>
      <c r="Q6" s="32" t="s">
        <v>211</v>
      </c>
      <c r="R6" s="24" t="s">
        <v>210</v>
      </c>
      <c r="S6" s="36">
        <f t="shared" ref="S6:S9" si="1">S16/1000</f>
        <v>0.0713</v>
      </c>
      <c r="T6" s="30"/>
      <c r="U6" s="30"/>
      <c r="V6" s="29" t="s">
        <v>124</v>
      </c>
      <c r="W6" s="32" t="s">
        <v>212</v>
      </c>
      <c r="X6" s="24" t="s">
        <v>210</v>
      </c>
      <c r="Y6" s="36">
        <f t="shared" ref="Y6:Y9" si="2">Y16/1000</f>
        <v>0.0712</v>
      </c>
      <c r="Z6" s="30"/>
      <c r="AA6" s="30"/>
      <c r="AB6" s="29" t="s">
        <v>124</v>
      </c>
      <c r="AC6" s="32" t="s">
        <v>213</v>
      </c>
      <c r="AD6" s="24" t="s">
        <v>210</v>
      </c>
      <c r="AE6" s="36">
        <f t="shared" ref="AE6:AE9" si="3">AE16/1000</f>
        <v>0.0725</v>
      </c>
      <c r="AF6" s="30"/>
      <c r="AG6" s="30"/>
      <c r="AH6" s="29" t="s">
        <v>124</v>
      </c>
      <c r="AI6" s="32" t="s">
        <v>214</v>
      </c>
      <c r="AJ6" s="24" t="s">
        <v>210</v>
      </c>
      <c r="AK6" s="36">
        <f t="shared" ref="AK6:AK9" si="4">AK16/1000</f>
        <v>0.077</v>
      </c>
      <c r="AL6" s="30"/>
      <c r="AM6" s="30"/>
      <c r="AN6" s="29" t="s">
        <v>124</v>
      </c>
      <c r="AO6" s="32" t="s">
        <v>215</v>
      </c>
      <c r="AP6" s="24" t="s">
        <v>210</v>
      </c>
      <c r="AQ6" s="36">
        <f t="shared" ref="AQ6:AQ9" si="5">AQ16/1000</f>
        <v>0.0424</v>
      </c>
      <c r="AT6" s="29" t="s">
        <v>124</v>
      </c>
      <c r="AU6" s="32" t="s">
        <v>216</v>
      </c>
      <c r="AV6" s="24" t="s">
        <v>210</v>
      </c>
      <c r="AW6" s="36">
        <f t="shared" ref="AW6:AW9" si="6">AW16/1000</f>
        <v>0.0472</v>
      </c>
      <c r="AZ6" s="2"/>
      <c r="BA6" s="2"/>
      <c r="BB6" s="2"/>
      <c r="BC6" s="2"/>
    </row>
    <row r="7" s="27" customFormat="1" ht="16" spans="4:55">
      <c r="D7" s="29"/>
      <c r="E7" s="32"/>
      <c r="F7" s="31"/>
      <c r="G7" s="33"/>
      <c r="H7" s="30"/>
      <c r="I7" s="30"/>
      <c r="J7" s="29" t="s">
        <v>124</v>
      </c>
      <c r="K7" s="32" t="s">
        <v>209</v>
      </c>
      <c r="L7" s="24" t="s">
        <v>217</v>
      </c>
      <c r="M7" s="36">
        <f t="shared" si="0"/>
        <v>0.2026</v>
      </c>
      <c r="N7" s="30"/>
      <c r="O7" s="30"/>
      <c r="P7" s="29" t="s">
        <v>124</v>
      </c>
      <c r="Q7" s="32" t="s">
        <v>211</v>
      </c>
      <c r="R7" s="24" t="s">
        <v>217</v>
      </c>
      <c r="S7" s="36">
        <f t="shared" si="1"/>
        <v>0.1913</v>
      </c>
      <c r="T7" s="30"/>
      <c r="U7" s="30"/>
      <c r="V7" s="29" t="s">
        <v>124</v>
      </c>
      <c r="W7" s="32" t="s">
        <v>212</v>
      </c>
      <c r="X7" s="24" t="s">
        <v>217</v>
      </c>
      <c r="Y7" s="36">
        <f t="shared" si="2"/>
        <v>0.1915</v>
      </c>
      <c r="Z7" s="30"/>
      <c r="AA7" s="30"/>
      <c r="AB7" s="29" t="s">
        <v>124</v>
      </c>
      <c r="AC7" s="32" t="s">
        <v>213</v>
      </c>
      <c r="AD7" s="24" t="s">
        <v>217</v>
      </c>
      <c r="AE7" s="36">
        <f t="shared" si="3"/>
        <v>0.1859</v>
      </c>
      <c r="AF7" s="30"/>
      <c r="AG7" s="30"/>
      <c r="AH7" s="29" t="s">
        <v>124</v>
      </c>
      <c r="AI7" s="32" t="s">
        <v>214</v>
      </c>
      <c r="AJ7" s="24" t="s">
        <v>217</v>
      </c>
      <c r="AK7" s="36">
        <f t="shared" si="4"/>
        <v>0.1982</v>
      </c>
      <c r="AL7" s="30"/>
      <c r="AM7" s="30"/>
      <c r="AN7" s="29" t="s">
        <v>124</v>
      </c>
      <c r="AO7" s="32" t="s">
        <v>215</v>
      </c>
      <c r="AP7" s="24" t="s">
        <v>217</v>
      </c>
      <c r="AQ7" s="36">
        <f t="shared" si="5"/>
        <v>0.0768</v>
      </c>
      <c r="AT7" s="29" t="s">
        <v>124</v>
      </c>
      <c r="AU7" s="32" t="s">
        <v>216</v>
      </c>
      <c r="AV7" s="24" t="s">
        <v>217</v>
      </c>
      <c r="AW7" s="36">
        <f t="shared" si="6"/>
        <v>0.1555</v>
      </c>
      <c r="AZ7" s="2"/>
      <c r="BA7" s="2"/>
      <c r="BB7" s="2"/>
      <c r="BC7" s="2"/>
    </row>
    <row r="8" s="27" customFormat="1" ht="14.5" customHeight="1" spans="4:55">
      <c r="D8" s="29"/>
      <c r="E8" s="32"/>
      <c r="F8" s="31"/>
      <c r="G8" s="33"/>
      <c r="H8" s="30"/>
      <c r="I8" s="30"/>
      <c r="J8" s="29" t="s">
        <v>124</v>
      </c>
      <c r="K8" s="32" t="s">
        <v>209</v>
      </c>
      <c r="L8" s="24" t="s">
        <v>218</v>
      </c>
      <c r="M8" s="36">
        <f t="shared" si="0"/>
        <v>0.5838</v>
      </c>
      <c r="N8" s="30"/>
      <c r="O8" s="30"/>
      <c r="P8" s="29" t="s">
        <v>124</v>
      </c>
      <c r="Q8" s="32" t="s">
        <v>211</v>
      </c>
      <c r="R8" s="24" t="s">
        <v>218</v>
      </c>
      <c r="S8" s="36">
        <f t="shared" si="1"/>
        <v>0.5561</v>
      </c>
      <c r="T8" s="30"/>
      <c r="U8" s="30"/>
      <c r="V8" s="29" t="s">
        <v>124</v>
      </c>
      <c r="W8" s="32" t="s">
        <v>212</v>
      </c>
      <c r="X8" s="24" t="s">
        <v>218</v>
      </c>
      <c r="Y8" s="36">
        <f t="shared" si="2"/>
        <v>0.5579</v>
      </c>
      <c r="Z8" s="30"/>
      <c r="AA8" s="30"/>
      <c r="AB8" s="29" t="s">
        <v>124</v>
      </c>
      <c r="AC8" s="32" t="s">
        <v>213</v>
      </c>
      <c r="AD8" s="24" t="s">
        <v>218</v>
      </c>
      <c r="AE8" s="36">
        <f t="shared" si="3"/>
        <v>0.5505</v>
      </c>
      <c r="AF8" s="30"/>
      <c r="AG8" s="30"/>
      <c r="AH8" s="29" t="s">
        <v>124</v>
      </c>
      <c r="AI8" s="32" t="s">
        <v>214</v>
      </c>
      <c r="AJ8" s="24" t="s">
        <v>218</v>
      </c>
      <c r="AK8" s="36">
        <f t="shared" si="4"/>
        <v>0.5942</v>
      </c>
      <c r="AL8" s="30"/>
      <c r="AM8" s="30"/>
      <c r="AN8" s="29" t="s">
        <v>124</v>
      </c>
      <c r="AO8" s="32" t="s">
        <v>215</v>
      </c>
      <c r="AP8" s="24" t="s">
        <v>218</v>
      </c>
      <c r="AQ8" s="36">
        <f t="shared" si="5"/>
        <v>0.4099</v>
      </c>
      <c r="AT8" s="29" t="s">
        <v>124</v>
      </c>
      <c r="AU8" s="32" t="s">
        <v>216</v>
      </c>
      <c r="AV8" s="24" t="s">
        <v>218</v>
      </c>
      <c r="AW8" s="36">
        <f t="shared" si="6"/>
        <v>0.477</v>
      </c>
      <c r="AZ8" s="2"/>
      <c r="BA8" s="2"/>
      <c r="BB8" s="2"/>
      <c r="BC8" s="2"/>
    </row>
    <row r="9" s="27" customFormat="1" ht="16" spans="4:55">
      <c r="D9" s="29"/>
      <c r="E9" s="32"/>
      <c r="F9" s="31"/>
      <c r="G9" s="33"/>
      <c r="H9" s="30"/>
      <c r="I9" s="30"/>
      <c r="J9" s="29" t="s">
        <v>124</v>
      </c>
      <c r="K9" s="32" t="s">
        <v>209</v>
      </c>
      <c r="L9" s="24" t="s">
        <v>219</v>
      </c>
      <c r="M9" s="36">
        <f t="shared" si="0"/>
        <v>0.1275</v>
      </c>
      <c r="N9" s="30"/>
      <c r="O9" s="30"/>
      <c r="P9" s="29" t="s">
        <v>124</v>
      </c>
      <c r="Q9" s="32" t="s">
        <v>211</v>
      </c>
      <c r="R9" s="24" t="s">
        <v>219</v>
      </c>
      <c r="S9" s="36">
        <f t="shared" si="1"/>
        <v>0.1337</v>
      </c>
      <c r="T9" s="30"/>
      <c r="U9" s="30"/>
      <c r="V9" s="29" t="s">
        <v>124</v>
      </c>
      <c r="W9" s="32" t="s">
        <v>212</v>
      </c>
      <c r="X9" s="24" t="s">
        <v>219</v>
      </c>
      <c r="Y9" s="36">
        <f t="shared" si="2"/>
        <v>0.1403</v>
      </c>
      <c r="Z9" s="30"/>
      <c r="AA9" s="30"/>
      <c r="AB9" s="29" t="s">
        <v>124</v>
      </c>
      <c r="AC9" s="32" t="s">
        <v>213</v>
      </c>
      <c r="AD9" s="24" t="s">
        <v>219</v>
      </c>
      <c r="AE9" s="36">
        <f t="shared" si="3"/>
        <v>0.1499</v>
      </c>
      <c r="AF9" s="30"/>
      <c r="AG9" s="30"/>
      <c r="AH9" s="29" t="s">
        <v>124</v>
      </c>
      <c r="AI9" s="32" t="s">
        <v>214</v>
      </c>
      <c r="AJ9" s="24" t="s">
        <v>219</v>
      </c>
      <c r="AK9" s="36">
        <f t="shared" si="4"/>
        <v>0.1608</v>
      </c>
      <c r="AL9" s="30"/>
      <c r="AM9" s="30"/>
      <c r="AN9" s="29" t="s">
        <v>124</v>
      </c>
      <c r="AO9" s="32" t="s">
        <v>215</v>
      </c>
      <c r="AP9" s="24" t="s">
        <v>219</v>
      </c>
      <c r="AQ9" s="36">
        <f t="shared" si="5"/>
        <v>0.057</v>
      </c>
      <c r="AT9" s="29" t="s">
        <v>124</v>
      </c>
      <c r="AU9" s="32" t="s">
        <v>216</v>
      </c>
      <c r="AV9" s="24" t="s">
        <v>219</v>
      </c>
      <c r="AW9" s="36">
        <f t="shared" si="6"/>
        <v>0.0952</v>
      </c>
      <c r="AZ9" s="2"/>
      <c r="BA9" s="2"/>
      <c r="BB9" s="2"/>
      <c r="BC9" s="2"/>
    </row>
    <row r="10" s="27" customFormat="1" ht="16" spans="4:9">
      <c r="D10" s="30"/>
      <c r="E10" s="32"/>
      <c r="G10" s="33"/>
      <c r="H10" s="30"/>
      <c r="I10" s="30"/>
    </row>
    <row r="13" s="28" customFormat="1"/>
    <row r="14" s="1" customFormat="1" ht="14.5" spans="4:49">
      <c r="D14" s="34"/>
      <c r="E14" s="34"/>
      <c r="F14" s="34"/>
      <c r="G14" s="34"/>
      <c r="H14" s="35"/>
      <c r="I14" s="35"/>
      <c r="J14" s="34"/>
      <c r="K14" s="34"/>
      <c r="L14" s="2"/>
      <c r="M14" s="34"/>
      <c r="N14" s="35"/>
      <c r="O14" s="35"/>
      <c r="P14" s="35"/>
      <c r="Q14" s="35"/>
      <c r="R14" s="2"/>
      <c r="S14" s="35"/>
      <c r="T14" s="35"/>
      <c r="U14" s="35"/>
      <c r="V14" s="35"/>
      <c r="W14" s="35"/>
      <c r="X14" s="2"/>
      <c r="Y14" s="35"/>
      <c r="Z14" s="35"/>
      <c r="AA14" s="35"/>
      <c r="AB14" s="35"/>
      <c r="AC14" s="35"/>
      <c r="AD14" s="2"/>
      <c r="AE14" s="35"/>
      <c r="AF14" s="35"/>
      <c r="AG14" s="35"/>
      <c r="AH14" s="35"/>
      <c r="AI14" s="35"/>
      <c r="AJ14" s="2"/>
      <c r="AK14" s="35"/>
      <c r="AL14" s="35"/>
      <c r="AM14" s="35"/>
      <c r="AN14" s="35"/>
      <c r="AO14" s="35"/>
      <c r="AP14" s="2"/>
      <c r="AQ14" s="35"/>
      <c r="AT14" s="35"/>
      <c r="AU14" s="35"/>
      <c r="AV14" s="2"/>
      <c r="AW14" s="35"/>
    </row>
    <row r="15" s="1" customFormat="1" ht="14.5" spans="4:49">
      <c r="D15" s="34"/>
      <c r="E15" s="34"/>
      <c r="F15" s="19"/>
      <c r="G15" s="34"/>
      <c r="H15" s="35"/>
      <c r="I15" s="35"/>
      <c r="J15" s="2"/>
      <c r="K15" s="2"/>
      <c r="L15" s="2"/>
      <c r="M15" s="2"/>
      <c r="N15" s="35"/>
      <c r="O15" s="35"/>
      <c r="P15" s="2"/>
      <c r="Q15" s="2"/>
      <c r="R15" s="2"/>
      <c r="S15" s="2"/>
      <c r="T15" s="35"/>
      <c r="U15" s="35"/>
      <c r="V15" s="2"/>
      <c r="W15" s="2"/>
      <c r="X15" s="2"/>
      <c r="Y15" s="2"/>
      <c r="Z15" s="35"/>
      <c r="AA15" s="35"/>
      <c r="AB15" s="2"/>
      <c r="AC15" s="2"/>
      <c r="AD15" s="2"/>
      <c r="AE15" s="2"/>
      <c r="AF15" s="35"/>
      <c r="AG15" s="35"/>
      <c r="AH15" s="2"/>
      <c r="AI15" s="2"/>
      <c r="AJ15" s="2"/>
      <c r="AK15" s="2"/>
      <c r="AL15" s="35"/>
      <c r="AM15" s="35"/>
      <c r="AN15" s="2"/>
      <c r="AO15" s="2"/>
      <c r="AP15" s="2"/>
      <c r="AQ15" s="2"/>
      <c r="AT15" s="2"/>
      <c r="AU15" s="2"/>
      <c r="AV15" s="2"/>
      <c r="AW15" s="2"/>
    </row>
    <row r="16" s="28" customFormat="1" ht="16" spans="10:49">
      <c r="J16" s="34"/>
      <c r="K16" s="37"/>
      <c r="L16" s="19"/>
      <c r="M16" s="33">
        <f t="shared" ref="M16:M19" si="7">T65</f>
        <v>76.8000000000001</v>
      </c>
      <c r="N16" s="35"/>
      <c r="O16" s="35"/>
      <c r="P16" s="34"/>
      <c r="Q16" s="37"/>
      <c r="R16" s="19"/>
      <c r="S16" s="38">
        <f t="shared" ref="S16:S19" si="8">U65</f>
        <v>71.3</v>
      </c>
      <c r="T16" s="35"/>
      <c r="U16" s="35"/>
      <c r="V16" s="34"/>
      <c r="W16" s="37"/>
      <c r="X16" s="19"/>
      <c r="Y16" s="38">
        <f t="shared" ref="Y16:Y19" si="9">V65</f>
        <v>71.2</v>
      </c>
      <c r="Z16" s="35"/>
      <c r="AA16" s="35"/>
      <c r="AB16" s="34"/>
      <c r="AC16" s="37"/>
      <c r="AD16" s="19"/>
      <c r="AE16" s="38">
        <f t="shared" ref="AE16:AE19" si="10">W65</f>
        <v>72.5</v>
      </c>
      <c r="AF16" s="35"/>
      <c r="AG16" s="35"/>
      <c r="AH16" s="34"/>
      <c r="AI16" s="37"/>
      <c r="AJ16" s="19"/>
      <c r="AK16" s="38">
        <f t="shared" ref="AK16:AK19" si="11">X65</f>
        <v>77</v>
      </c>
      <c r="AL16" s="35"/>
      <c r="AM16" s="35"/>
      <c r="AN16" s="34"/>
      <c r="AO16" s="37"/>
      <c r="AP16" s="19"/>
      <c r="AQ16" s="38">
        <f t="shared" ref="AQ16:AQ19" si="12">Y65</f>
        <v>42.4</v>
      </c>
      <c r="AR16" s="1"/>
      <c r="AS16" s="1"/>
      <c r="AT16" s="34"/>
      <c r="AU16" s="37"/>
      <c r="AV16" s="19"/>
      <c r="AW16" s="38">
        <f t="shared" ref="AW16:AW19" si="13">Z65</f>
        <v>47.2</v>
      </c>
    </row>
    <row r="17" s="28" customFormat="1" ht="16" spans="10:49">
      <c r="J17" s="34"/>
      <c r="K17" s="37"/>
      <c r="L17" s="19"/>
      <c r="M17" s="33">
        <f t="shared" si="7"/>
        <v>202.6</v>
      </c>
      <c r="N17" s="35"/>
      <c r="O17" s="35"/>
      <c r="P17" s="34"/>
      <c r="Q17" s="37"/>
      <c r="R17" s="19"/>
      <c r="S17" s="38">
        <f t="shared" si="8"/>
        <v>191.3</v>
      </c>
      <c r="T17" s="35"/>
      <c r="U17" s="35"/>
      <c r="V17" s="34"/>
      <c r="W17" s="37"/>
      <c r="X17" s="19"/>
      <c r="Y17" s="38">
        <f t="shared" si="9"/>
        <v>191.5</v>
      </c>
      <c r="Z17" s="35"/>
      <c r="AA17" s="35"/>
      <c r="AB17" s="34"/>
      <c r="AC17" s="37"/>
      <c r="AD17" s="19"/>
      <c r="AE17" s="38">
        <f t="shared" si="10"/>
        <v>185.9</v>
      </c>
      <c r="AF17" s="35"/>
      <c r="AG17" s="35"/>
      <c r="AH17" s="34"/>
      <c r="AI17" s="37"/>
      <c r="AJ17" s="19"/>
      <c r="AK17" s="38">
        <f t="shared" si="11"/>
        <v>198.2</v>
      </c>
      <c r="AL17" s="35"/>
      <c r="AM17" s="35"/>
      <c r="AN17" s="34"/>
      <c r="AO17" s="37"/>
      <c r="AP17" s="19"/>
      <c r="AQ17" s="38">
        <f t="shared" si="12"/>
        <v>76.8</v>
      </c>
      <c r="AR17" s="1"/>
      <c r="AS17" s="1"/>
      <c r="AT17" s="34"/>
      <c r="AU17" s="37"/>
      <c r="AV17" s="19"/>
      <c r="AW17" s="38">
        <f t="shared" si="13"/>
        <v>155.5</v>
      </c>
    </row>
    <row r="18" s="28" customFormat="1" ht="16" spans="10:49">
      <c r="J18" s="34"/>
      <c r="K18" s="37"/>
      <c r="L18" s="19"/>
      <c r="M18" s="33">
        <f t="shared" si="7"/>
        <v>583.8</v>
      </c>
      <c r="N18" s="35"/>
      <c r="O18" s="35"/>
      <c r="P18" s="34"/>
      <c r="Q18" s="37"/>
      <c r="R18" s="19"/>
      <c r="S18" s="38">
        <f t="shared" si="8"/>
        <v>556.1</v>
      </c>
      <c r="T18" s="35"/>
      <c r="U18" s="35"/>
      <c r="V18" s="34"/>
      <c r="W18" s="37"/>
      <c r="X18" s="19"/>
      <c r="Y18" s="38">
        <f t="shared" si="9"/>
        <v>557.9</v>
      </c>
      <c r="Z18" s="35"/>
      <c r="AA18" s="35"/>
      <c r="AB18" s="34"/>
      <c r="AC18" s="37"/>
      <c r="AD18" s="19"/>
      <c r="AE18" s="38">
        <f t="shared" si="10"/>
        <v>550.5</v>
      </c>
      <c r="AF18" s="35"/>
      <c r="AG18" s="35"/>
      <c r="AH18" s="34"/>
      <c r="AI18" s="37"/>
      <c r="AJ18" s="19"/>
      <c r="AK18" s="38">
        <f t="shared" si="11"/>
        <v>594.2</v>
      </c>
      <c r="AL18" s="35"/>
      <c r="AM18" s="35"/>
      <c r="AN18" s="34"/>
      <c r="AO18" s="37"/>
      <c r="AP18" s="19"/>
      <c r="AQ18" s="38">
        <f t="shared" si="12"/>
        <v>409.9</v>
      </c>
      <c r="AR18" s="1"/>
      <c r="AS18" s="1"/>
      <c r="AT18" s="34"/>
      <c r="AU18" s="37"/>
      <c r="AV18" s="19"/>
      <c r="AW18" s="38">
        <f t="shared" si="13"/>
        <v>477</v>
      </c>
    </row>
    <row r="19" s="28" customFormat="1" ht="16" spans="10:49">
      <c r="J19" s="34"/>
      <c r="K19" s="37"/>
      <c r="L19" s="19"/>
      <c r="M19" s="33">
        <f t="shared" si="7"/>
        <v>127.5</v>
      </c>
      <c r="N19" s="35"/>
      <c r="O19" s="35"/>
      <c r="P19" s="34"/>
      <c r="Q19" s="37"/>
      <c r="R19" s="19"/>
      <c r="S19" s="38">
        <f t="shared" si="8"/>
        <v>133.7</v>
      </c>
      <c r="T19" s="35"/>
      <c r="U19" s="35"/>
      <c r="V19" s="34"/>
      <c r="W19" s="37"/>
      <c r="X19" s="19"/>
      <c r="Y19" s="38">
        <f t="shared" si="9"/>
        <v>140.3</v>
      </c>
      <c r="Z19" s="35"/>
      <c r="AA19" s="35"/>
      <c r="AB19" s="34"/>
      <c r="AC19" s="37"/>
      <c r="AD19" s="19"/>
      <c r="AE19" s="38">
        <f t="shared" si="10"/>
        <v>149.9</v>
      </c>
      <c r="AF19" s="35"/>
      <c r="AG19" s="35"/>
      <c r="AH19" s="34"/>
      <c r="AI19" s="37"/>
      <c r="AJ19" s="19"/>
      <c r="AK19" s="38">
        <f t="shared" si="11"/>
        <v>160.8</v>
      </c>
      <c r="AL19" s="35"/>
      <c r="AM19" s="35"/>
      <c r="AN19" s="34"/>
      <c r="AO19" s="37"/>
      <c r="AP19" s="19"/>
      <c r="AQ19" s="38">
        <f t="shared" si="12"/>
        <v>57</v>
      </c>
      <c r="AR19" s="1"/>
      <c r="AS19" s="1"/>
      <c r="AT19" s="34"/>
      <c r="AU19" s="37"/>
      <c r="AV19" s="19"/>
      <c r="AW19" s="38">
        <f t="shared" si="13"/>
        <v>95.2</v>
      </c>
    </row>
    <row r="20" s="28" customFormat="1"/>
    <row r="21" s="28" customFormat="1"/>
    <row r="24" s="27" customFormat="1" ht="14.5" spans="4:55">
      <c r="D24" s="29"/>
      <c r="E24" s="29"/>
      <c r="F24" s="29"/>
      <c r="G24" s="29"/>
      <c r="H24" s="30"/>
      <c r="I24" s="30"/>
      <c r="J24" s="29"/>
      <c r="K24" s="29"/>
      <c r="L24" s="22" t="s">
        <v>208</v>
      </c>
      <c r="M24" s="29"/>
      <c r="N24" s="30"/>
      <c r="O24" s="30"/>
      <c r="P24" s="30"/>
      <c r="Q24" s="30"/>
      <c r="R24" s="22" t="s">
        <v>208</v>
      </c>
      <c r="S24" s="30"/>
      <c r="T24" s="30"/>
      <c r="U24" s="30"/>
      <c r="V24" s="30"/>
      <c r="W24" s="30"/>
      <c r="X24" s="22" t="s">
        <v>208</v>
      </c>
      <c r="Y24" s="30"/>
      <c r="Z24" s="30"/>
      <c r="AA24" s="30"/>
      <c r="AB24" s="30"/>
      <c r="AC24" s="30"/>
      <c r="AD24" s="22" t="s">
        <v>208</v>
      </c>
      <c r="AE24" s="30"/>
      <c r="AF24" s="30"/>
      <c r="AG24" s="30"/>
      <c r="AH24" s="30"/>
      <c r="AI24" s="30"/>
      <c r="AJ24" s="22" t="s">
        <v>208</v>
      </c>
      <c r="AK24" s="30"/>
      <c r="AL24" s="30"/>
      <c r="AM24" s="30"/>
      <c r="AN24" s="30"/>
      <c r="AO24" s="30"/>
      <c r="AP24" s="22" t="s">
        <v>208</v>
      </c>
      <c r="AQ24" s="30"/>
      <c r="AT24" s="30"/>
      <c r="AU24" s="30"/>
      <c r="AV24" s="22" t="s">
        <v>208</v>
      </c>
      <c r="AW24" s="30"/>
      <c r="AZ24" s="2"/>
      <c r="BA24" s="2"/>
      <c r="BB24" s="2"/>
      <c r="BC24" s="2"/>
    </row>
    <row r="25" s="27" customFormat="1" ht="14.5" spans="4:55">
      <c r="D25" s="29"/>
      <c r="E25" s="29"/>
      <c r="F25" s="31"/>
      <c r="G25" s="29"/>
      <c r="H25" s="30"/>
      <c r="I25" s="30"/>
      <c r="J25" s="22" t="s">
        <v>120</v>
      </c>
      <c r="K25" s="22" t="s">
        <v>64</v>
      </c>
      <c r="L25" s="22" t="s">
        <v>95</v>
      </c>
      <c r="M25" s="22" t="s">
        <v>11</v>
      </c>
      <c r="N25" s="30"/>
      <c r="O25" s="30"/>
      <c r="P25" s="22" t="s">
        <v>120</v>
      </c>
      <c r="Q25" s="22" t="s">
        <v>64</v>
      </c>
      <c r="R25" s="22" t="s">
        <v>95</v>
      </c>
      <c r="S25" s="22" t="s">
        <v>11</v>
      </c>
      <c r="T25" s="30"/>
      <c r="U25" s="30"/>
      <c r="V25" s="22" t="s">
        <v>120</v>
      </c>
      <c r="W25" s="22" t="s">
        <v>64</v>
      </c>
      <c r="X25" s="22" t="s">
        <v>95</v>
      </c>
      <c r="Y25" s="22" t="s">
        <v>11</v>
      </c>
      <c r="Z25" s="30"/>
      <c r="AA25" s="30"/>
      <c r="AB25" s="22" t="s">
        <v>120</v>
      </c>
      <c r="AC25" s="22" t="s">
        <v>64</v>
      </c>
      <c r="AD25" s="22" t="s">
        <v>95</v>
      </c>
      <c r="AE25" s="22" t="s">
        <v>11</v>
      </c>
      <c r="AF25" s="30"/>
      <c r="AG25" s="30"/>
      <c r="AH25" s="22" t="s">
        <v>120</v>
      </c>
      <c r="AI25" s="22" t="s">
        <v>64</v>
      </c>
      <c r="AJ25" s="22" t="s">
        <v>95</v>
      </c>
      <c r="AK25" s="22" t="s">
        <v>11</v>
      </c>
      <c r="AL25" s="30"/>
      <c r="AM25" s="30"/>
      <c r="AN25" s="22" t="s">
        <v>120</v>
      </c>
      <c r="AO25" s="22" t="s">
        <v>64</v>
      </c>
      <c r="AP25" s="22" t="s">
        <v>95</v>
      </c>
      <c r="AQ25" s="22" t="s">
        <v>11</v>
      </c>
      <c r="AT25" s="22" t="s">
        <v>120</v>
      </c>
      <c r="AU25" s="22" t="s">
        <v>64</v>
      </c>
      <c r="AV25" s="22" t="s">
        <v>95</v>
      </c>
      <c r="AW25" s="22" t="s">
        <v>11</v>
      </c>
      <c r="AZ25" s="2"/>
      <c r="BA25" s="2"/>
      <c r="BB25" s="2"/>
      <c r="BC25" s="2"/>
    </row>
    <row r="26" ht="16" spans="10:49">
      <c r="J26" s="29" t="s">
        <v>124</v>
      </c>
      <c r="K26" s="32" t="str">
        <f t="shared" ref="K26:K29" si="14">K6</f>
        <v>Tra_EV_Batt-NMC 111_virgin</v>
      </c>
      <c r="L26" s="24" t="s">
        <v>210</v>
      </c>
      <c r="M26" s="33">
        <f t="shared" ref="M26:M29" si="15">T73/1000</f>
        <v>0.0774</v>
      </c>
      <c r="N26" s="30"/>
      <c r="O26" s="30"/>
      <c r="P26" s="29" t="s">
        <v>124</v>
      </c>
      <c r="Q26" s="32" t="str">
        <f t="shared" ref="Q26:Q29" si="16">Q6</f>
        <v>Tra_EV_Batt-NMC532_virgin</v>
      </c>
      <c r="R26" s="24" t="s">
        <v>210</v>
      </c>
      <c r="S26" s="39">
        <f t="shared" ref="S26:S29" si="17">S32/1000</f>
        <v>0.072</v>
      </c>
      <c r="T26" s="30"/>
      <c r="U26" s="30"/>
      <c r="V26" s="29" t="s">
        <v>124</v>
      </c>
      <c r="W26" s="32" t="str">
        <f t="shared" ref="W26:W29" si="18">W6</f>
        <v>Tra_EV_Batt-NMC 622_virgin</v>
      </c>
      <c r="X26" s="24" t="s">
        <v>210</v>
      </c>
      <c r="Y26" s="39">
        <f t="shared" ref="Y26:Y29" si="19">Y32/1000</f>
        <v>0.0719</v>
      </c>
      <c r="Z26" s="30"/>
      <c r="AA26" s="30"/>
      <c r="AB26" s="29" t="s">
        <v>124</v>
      </c>
      <c r="AC26" s="32" t="str">
        <f t="shared" ref="AC26:AC29" si="20">AC6</f>
        <v>Tra_EV_Batt-NMC 811_virgin</v>
      </c>
      <c r="AD26" s="24" t="s">
        <v>210</v>
      </c>
      <c r="AE26" s="39">
        <f t="shared" ref="AE26:AE29" si="21">AE32/1000</f>
        <v>0.0731</v>
      </c>
      <c r="AF26" s="30"/>
      <c r="AG26" s="30"/>
      <c r="AH26" s="29" t="s">
        <v>124</v>
      </c>
      <c r="AI26" s="32" t="str">
        <f t="shared" ref="AI26:AI29" si="22">AI6</f>
        <v>Tra_EV_Batt-NCA_virgin</v>
      </c>
      <c r="AJ26" s="24" t="s">
        <v>210</v>
      </c>
      <c r="AK26" s="39">
        <f t="shared" ref="AK26:AK29" si="23">AK32/1000</f>
        <v>0.0776999999999999</v>
      </c>
      <c r="AL26" s="30"/>
      <c r="AM26" s="30"/>
      <c r="AN26" s="29" t="s">
        <v>124</v>
      </c>
      <c r="AO26" s="32" t="str">
        <f t="shared" ref="AO26:AO29" si="24">AO6</f>
        <v>Tra_EV_Batt-LMO_virgin</v>
      </c>
      <c r="AP26" s="24" t="s">
        <v>210</v>
      </c>
      <c r="AQ26" s="39">
        <f t="shared" ref="AQ26:AQ29" si="25">AQ32/1000</f>
        <v>0.0431</v>
      </c>
      <c r="AR26" s="27"/>
      <c r="AS26" s="27"/>
      <c r="AT26" s="29" t="s">
        <v>124</v>
      </c>
      <c r="AU26" s="32" t="str">
        <f t="shared" ref="AU26:AU29" si="26">AU6</f>
        <v>Tra_EV_Batt-LFP_virgin</v>
      </c>
      <c r="AV26" s="24" t="s">
        <v>210</v>
      </c>
      <c r="AW26" s="39">
        <f t="shared" ref="AW26:AW29" si="27">AW32/1000</f>
        <v>0.0478</v>
      </c>
    </row>
    <row r="27" ht="16" spans="10:49">
      <c r="J27" s="29" t="s">
        <v>124</v>
      </c>
      <c r="K27" s="32" t="str">
        <f t="shared" si="14"/>
        <v>Tra_EV_Batt-NMC 111_virgin</v>
      </c>
      <c r="L27" s="24" t="s">
        <v>217</v>
      </c>
      <c r="M27" s="33">
        <f t="shared" si="15"/>
        <v>0.2366</v>
      </c>
      <c r="N27" s="30"/>
      <c r="O27" s="30"/>
      <c r="P27" s="29" t="s">
        <v>124</v>
      </c>
      <c r="Q27" s="32" t="str">
        <f t="shared" si="16"/>
        <v>Tra_EV_Batt-NMC532_virgin</v>
      </c>
      <c r="R27" s="24" t="s">
        <v>217</v>
      </c>
      <c r="S27" s="39">
        <f t="shared" si="17"/>
        <v>0.2252</v>
      </c>
      <c r="T27" s="30"/>
      <c r="U27" s="30"/>
      <c r="V27" s="29" t="s">
        <v>124</v>
      </c>
      <c r="W27" s="32" t="str">
        <f t="shared" si="18"/>
        <v>Tra_EV_Batt-NMC 622_virgin</v>
      </c>
      <c r="X27" s="24" t="s">
        <v>217</v>
      </c>
      <c r="Y27" s="39">
        <f t="shared" si="19"/>
        <v>0.2255</v>
      </c>
      <c r="Z27" s="30"/>
      <c r="AA27" s="30"/>
      <c r="AB27" s="29" t="s">
        <v>124</v>
      </c>
      <c r="AC27" s="32" t="str">
        <f t="shared" si="20"/>
        <v>Tra_EV_Batt-NMC 811_virgin</v>
      </c>
      <c r="AD27" s="24" t="s">
        <v>217</v>
      </c>
      <c r="AE27" s="39">
        <f t="shared" si="21"/>
        <v>0.2198</v>
      </c>
      <c r="AF27" s="30"/>
      <c r="AG27" s="30"/>
      <c r="AH27" s="29" t="s">
        <v>124</v>
      </c>
      <c r="AI27" s="32" t="str">
        <f t="shared" si="22"/>
        <v>Tra_EV_Batt-NCA_virgin</v>
      </c>
      <c r="AJ27" s="24" t="s">
        <v>217</v>
      </c>
      <c r="AK27" s="39">
        <f t="shared" si="23"/>
        <v>0.2322</v>
      </c>
      <c r="AL27" s="30"/>
      <c r="AM27" s="30"/>
      <c r="AN27" s="29" t="s">
        <v>124</v>
      </c>
      <c r="AO27" s="32" t="str">
        <f t="shared" si="24"/>
        <v>Tra_EV_Batt-LMO_virgin</v>
      </c>
      <c r="AP27" s="24" t="s">
        <v>217</v>
      </c>
      <c r="AQ27" s="39">
        <f t="shared" si="25"/>
        <v>0.1108</v>
      </c>
      <c r="AR27" s="27"/>
      <c r="AS27" s="27"/>
      <c r="AT27" s="29" t="s">
        <v>124</v>
      </c>
      <c r="AU27" s="32" t="str">
        <f t="shared" si="26"/>
        <v>Tra_EV_Batt-LFP_virgin</v>
      </c>
      <c r="AV27" s="24" t="s">
        <v>217</v>
      </c>
      <c r="AW27" s="39">
        <f t="shared" si="27"/>
        <v>0.1895</v>
      </c>
    </row>
    <row r="28" ht="16" spans="10:49">
      <c r="J28" s="29" t="s">
        <v>124</v>
      </c>
      <c r="K28" s="32" t="str">
        <f t="shared" si="14"/>
        <v>Tra_EV_Batt-NMC 111_virgin</v>
      </c>
      <c r="L28" s="24" t="s">
        <v>218</v>
      </c>
      <c r="M28" s="33">
        <f t="shared" si="15"/>
        <v>0.5598</v>
      </c>
      <c r="N28" s="30"/>
      <c r="O28" s="30"/>
      <c r="P28" s="29" t="s">
        <v>124</v>
      </c>
      <c r="Q28" s="32" t="str">
        <f t="shared" si="16"/>
        <v>Tra_EV_Batt-NMC532_virgin</v>
      </c>
      <c r="R28" s="24" t="s">
        <v>218</v>
      </c>
      <c r="S28" s="39">
        <f t="shared" si="17"/>
        <v>0.5321</v>
      </c>
      <c r="T28" s="30"/>
      <c r="U28" s="30"/>
      <c r="V28" s="29" t="s">
        <v>124</v>
      </c>
      <c r="W28" s="32" t="str">
        <f t="shared" si="18"/>
        <v>Tra_EV_Batt-NMC 622_virgin</v>
      </c>
      <c r="X28" s="24" t="s">
        <v>218</v>
      </c>
      <c r="Y28" s="39">
        <f t="shared" si="19"/>
        <v>0.5339</v>
      </c>
      <c r="Z28" s="30"/>
      <c r="AA28" s="30"/>
      <c r="AB28" s="29" t="s">
        <v>124</v>
      </c>
      <c r="AC28" s="32" t="str">
        <f t="shared" si="20"/>
        <v>Tra_EV_Batt-NMC 811_virgin</v>
      </c>
      <c r="AD28" s="24" t="s">
        <v>218</v>
      </c>
      <c r="AE28" s="39">
        <f t="shared" si="21"/>
        <v>0.5264</v>
      </c>
      <c r="AF28" s="30"/>
      <c r="AG28" s="30"/>
      <c r="AH28" s="29" t="s">
        <v>124</v>
      </c>
      <c r="AI28" s="32" t="str">
        <f t="shared" si="22"/>
        <v>Tra_EV_Batt-NCA_virgin</v>
      </c>
      <c r="AJ28" s="24" t="s">
        <v>218</v>
      </c>
      <c r="AK28" s="39">
        <f t="shared" si="23"/>
        <v>0.5702</v>
      </c>
      <c r="AL28" s="30"/>
      <c r="AM28" s="30"/>
      <c r="AN28" s="29" t="s">
        <v>124</v>
      </c>
      <c r="AO28" s="32" t="str">
        <f t="shared" si="24"/>
        <v>Tra_EV_Batt-LMO_virgin</v>
      </c>
      <c r="AP28" s="24" t="s">
        <v>218</v>
      </c>
      <c r="AQ28" s="39">
        <f t="shared" si="25"/>
        <v>0.3858</v>
      </c>
      <c r="AR28" s="27"/>
      <c r="AS28" s="27"/>
      <c r="AT28" s="29" t="s">
        <v>124</v>
      </c>
      <c r="AU28" s="32" t="str">
        <f t="shared" si="26"/>
        <v>Tra_EV_Batt-LFP_virgin</v>
      </c>
      <c r="AV28" s="24" t="s">
        <v>218</v>
      </c>
      <c r="AW28" s="39">
        <f t="shared" si="27"/>
        <v>0.453</v>
      </c>
    </row>
    <row r="29" ht="16" spans="10:49">
      <c r="J29" s="29" t="s">
        <v>124</v>
      </c>
      <c r="K29" s="32" t="str">
        <f t="shared" si="14"/>
        <v>Tra_EV_Batt-NMC 111_virgin</v>
      </c>
      <c r="L29" s="24" t="s">
        <v>219</v>
      </c>
      <c r="M29" s="33">
        <f t="shared" si="15"/>
        <v>0.1277</v>
      </c>
      <c r="N29" s="30"/>
      <c r="O29" s="30"/>
      <c r="P29" s="29" t="s">
        <v>124</v>
      </c>
      <c r="Q29" s="32" t="str">
        <f t="shared" si="16"/>
        <v>Tra_EV_Batt-NMC532_virgin</v>
      </c>
      <c r="R29" s="24" t="s">
        <v>219</v>
      </c>
      <c r="S29" s="39">
        <f t="shared" si="17"/>
        <v>0.134</v>
      </c>
      <c r="T29" s="30"/>
      <c r="U29" s="30"/>
      <c r="V29" s="29" t="s">
        <v>124</v>
      </c>
      <c r="W29" s="32" t="str">
        <f t="shared" si="18"/>
        <v>Tra_EV_Batt-NMC 622_virgin</v>
      </c>
      <c r="X29" s="24" t="s">
        <v>219</v>
      </c>
      <c r="Y29" s="39">
        <f t="shared" si="19"/>
        <v>0.1406</v>
      </c>
      <c r="Z29" s="30"/>
      <c r="AA29" s="30"/>
      <c r="AB29" s="29" t="s">
        <v>124</v>
      </c>
      <c r="AC29" s="32" t="str">
        <f t="shared" si="20"/>
        <v>Tra_EV_Batt-NMC 811_virgin</v>
      </c>
      <c r="AD29" s="24" t="s">
        <v>219</v>
      </c>
      <c r="AE29" s="39">
        <f t="shared" si="21"/>
        <v>0.1502</v>
      </c>
      <c r="AF29" s="30"/>
      <c r="AG29" s="30"/>
      <c r="AH29" s="29" t="s">
        <v>124</v>
      </c>
      <c r="AI29" s="32" t="str">
        <f t="shared" si="22"/>
        <v>Tra_EV_Batt-NCA_virgin</v>
      </c>
      <c r="AJ29" s="24" t="s">
        <v>219</v>
      </c>
      <c r="AK29" s="39">
        <f t="shared" si="23"/>
        <v>0.1611</v>
      </c>
      <c r="AL29" s="30"/>
      <c r="AM29" s="30"/>
      <c r="AN29" s="29" t="s">
        <v>124</v>
      </c>
      <c r="AO29" s="32" t="str">
        <f t="shared" si="24"/>
        <v>Tra_EV_Batt-LMO_virgin</v>
      </c>
      <c r="AP29" s="24" t="s">
        <v>219</v>
      </c>
      <c r="AQ29" s="39">
        <f t="shared" si="25"/>
        <v>0.0572</v>
      </c>
      <c r="AR29" s="27"/>
      <c r="AS29" s="27"/>
      <c r="AT29" s="29" t="s">
        <v>124</v>
      </c>
      <c r="AU29" s="32" t="str">
        <f t="shared" si="26"/>
        <v>Tra_EV_Batt-LFP_virgin</v>
      </c>
      <c r="AV29" s="24" t="s">
        <v>219</v>
      </c>
      <c r="AW29" s="39">
        <f t="shared" si="27"/>
        <v>0.0955</v>
      </c>
    </row>
    <row r="32" ht="14.5" spans="19:49">
      <c r="S32" s="38">
        <f t="shared" ref="S32:S35" si="28">U73</f>
        <v>72</v>
      </c>
      <c r="Y32" s="38">
        <f t="shared" ref="Y32:Y35" si="29">V73</f>
        <v>71.9</v>
      </c>
      <c r="AE32" s="38">
        <f t="shared" ref="AE32:AE35" si="30">W73</f>
        <v>73.1</v>
      </c>
      <c r="AK32" s="38">
        <f t="shared" ref="AK32:AK35" si="31">X73</f>
        <v>77.6999999999999</v>
      </c>
      <c r="AQ32" s="38">
        <f t="shared" ref="AQ32:AQ35" si="32">Y73</f>
        <v>43.1</v>
      </c>
      <c r="AW32" s="38">
        <f t="shared" ref="AW32:AW35" si="33">Z73</f>
        <v>47.8</v>
      </c>
    </row>
    <row r="33" ht="14.5" spans="19:49">
      <c r="S33" s="38">
        <f t="shared" si="28"/>
        <v>225.2</v>
      </c>
      <c r="Y33" s="38">
        <f t="shared" si="29"/>
        <v>225.5</v>
      </c>
      <c r="AE33" s="38">
        <f t="shared" si="30"/>
        <v>219.8</v>
      </c>
      <c r="AK33" s="38">
        <f t="shared" si="31"/>
        <v>232.2</v>
      </c>
      <c r="AQ33" s="38">
        <f t="shared" si="32"/>
        <v>110.8</v>
      </c>
      <c r="AW33" s="38">
        <f t="shared" si="33"/>
        <v>189.5</v>
      </c>
    </row>
    <row r="34" ht="14.5" spans="19:49">
      <c r="S34" s="38">
        <f t="shared" si="28"/>
        <v>532.1</v>
      </c>
      <c r="Y34" s="38">
        <f t="shared" si="29"/>
        <v>533.9</v>
      </c>
      <c r="AE34" s="38">
        <f t="shared" si="30"/>
        <v>526.4</v>
      </c>
      <c r="AK34" s="38">
        <f t="shared" si="31"/>
        <v>570.2</v>
      </c>
      <c r="AQ34" s="38">
        <f t="shared" si="32"/>
        <v>385.8</v>
      </c>
      <c r="AW34" s="38">
        <f t="shared" si="33"/>
        <v>453</v>
      </c>
    </row>
    <row r="35" ht="14.5" spans="19:49">
      <c r="S35" s="38">
        <f t="shared" si="28"/>
        <v>134</v>
      </c>
      <c r="Y35" s="38">
        <f t="shared" si="29"/>
        <v>140.6</v>
      </c>
      <c r="AE35" s="38">
        <f t="shared" si="30"/>
        <v>150.2</v>
      </c>
      <c r="AK35" s="38">
        <f t="shared" si="31"/>
        <v>161.1</v>
      </c>
      <c r="AQ35" s="38">
        <f t="shared" si="32"/>
        <v>57.2</v>
      </c>
      <c r="AW35" s="38">
        <f t="shared" si="33"/>
        <v>95.5</v>
      </c>
    </row>
    <row r="42" ht="14.5" spans="17:26">
      <c r="Q42" s="1" t="s">
        <v>220</v>
      </c>
      <c r="R42" s="1"/>
      <c r="S42" s="1"/>
      <c r="T42" s="1"/>
      <c r="U42" s="1"/>
      <c r="V42" s="1"/>
      <c r="W42" s="1"/>
      <c r="X42" s="1"/>
      <c r="Y42" s="1"/>
      <c r="Z42" s="1"/>
    </row>
    <row r="43" ht="15.5" spans="17:26">
      <c r="Q43" s="40" t="s">
        <v>221</v>
      </c>
      <c r="R43" s="40" t="s">
        <v>222</v>
      </c>
      <c r="S43" s="41" t="s">
        <v>223</v>
      </c>
      <c r="T43" s="41"/>
      <c r="U43" s="41"/>
      <c r="V43" s="41"/>
      <c r="W43" s="41"/>
      <c r="X43" s="41"/>
      <c r="Y43" s="41"/>
      <c r="Z43" s="41"/>
    </row>
    <row r="44" ht="15.5" spans="17:26">
      <c r="Q44" s="40"/>
      <c r="R44" s="40"/>
      <c r="S44" s="41" t="s">
        <v>224</v>
      </c>
      <c r="T44" s="41" t="s">
        <v>225</v>
      </c>
      <c r="U44" s="41" t="s">
        <v>226</v>
      </c>
      <c r="V44" s="41" t="s">
        <v>227</v>
      </c>
      <c r="W44" s="41" t="s">
        <v>228</v>
      </c>
      <c r="X44" s="41" t="s">
        <v>229</v>
      </c>
      <c r="Y44" s="41" t="s">
        <v>230</v>
      </c>
      <c r="Z44" s="41" t="s">
        <v>231</v>
      </c>
    </row>
    <row r="45" ht="15.5" spans="17:26">
      <c r="Q45" s="40" t="s">
        <v>232</v>
      </c>
      <c r="R45" s="42" t="s">
        <v>233</v>
      </c>
      <c r="S45" s="43">
        <v>1211.3</v>
      </c>
      <c r="T45" s="43">
        <v>990.7</v>
      </c>
      <c r="U45" s="43">
        <v>952.4</v>
      </c>
      <c r="V45" s="43">
        <v>961</v>
      </c>
      <c r="W45" s="43">
        <v>958.7</v>
      </c>
      <c r="X45" s="43">
        <v>1030.2</v>
      </c>
      <c r="Y45" s="43">
        <v>586.1</v>
      </c>
      <c r="Z45" s="43">
        <v>775</v>
      </c>
    </row>
    <row r="46" ht="15.5" spans="17:26">
      <c r="Q46" s="40"/>
      <c r="R46" s="42" t="s">
        <v>234</v>
      </c>
      <c r="S46" s="43">
        <v>1103.7</v>
      </c>
      <c r="T46" s="43">
        <v>913.9</v>
      </c>
      <c r="U46" s="43">
        <v>881.1</v>
      </c>
      <c r="V46" s="43">
        <v>889.8</v>
      </c>
      <c r="W46" s="43">
        <v>886.2</v>
      </c>
      <c r="X46" s="43">
        <v>953.2</v>
      </c>
      <c r="Y46" s="43">
        <v>543.7</v>
      </c>
      <c r="Z46" s="43">
        <v>727.8</v>
      </c>
    </row>
    <row r="47" ht="15.5" spans="17:26">
      <c r="Q47" s="40"/>
      <c r="R47" s="42" t="s">
        <v>235</v>
      </c>
      <c r="S47" s="43">
        <v>267.3</v>
      </c>
      <c r="T47" s="43">
        <v>202.6</v>
      </c>
      <c r="U47" s="43">
        <v>191.3</v>
      </c>
      <c r="V47" s="43">
        <v>191.5</v>
      </c>
      <c r="W47" s="43">
        <v>185.9</v>
      </c>
      <c r="X47" s="43">
        <v>198.2</v>
      </c>
      <c r="Y47" s="43">
        <v>76.8</v>
      </c>
      <c r="Z47" s="43">
        <v>155.5</v>
      </c>
    </row>
    <row r="48" ht="15.5" spans="17:26">
      <c r="Q48" s="40"/>
      <c r="R48" s="42" t="s">
        <v>236</v>
      </c>
      <c r="S48" s="43">
        <v>692.5</v>
      </c>
      <c r="T48" s="43">
        <v>583.8</v>
      </c>
      <c r="U48" s="43">
        <v>556.1</v>
      </c>
      <c r="V48" s="43">
        <v>557.9</v>
      </c>
      <c r="W48" s="43">
        <v>550.5</v>
      </c>
      <c r="X48" s="43">
        <v>594.2</v>
      </c>
      <c r="Y48" s="43">
        <v>409.9</v>
      </c>
      <c r="Z48" s="43">
        <v>477</v>
      </c>
    </row>
    <row r="49" ht="15.5" spans="17:26">
      <c r="Q49" s="40"/>
      <c r="R49" s="42" t="s">
        <v>237</v>
      </c>
      <c r="S49" s="43">
        <v>144</v>
      </c>
      <c r="T49" s="43">
        <v>127.5</v>
      </c>
      <c r="U49" s="43">
        <v>133.7</v>
      </c>
      <c r="V49" s="43">
        <v>140.3</v>
      </c>
      <c r="W49" s="43">
        <v>149.9</v>
      </c>
      <c r="X49" s="43">
        <v>160.8</v>
      </c>
      <c r="Y49" s="43">
        <v>57</v>
      </c>
      <c r="Z49" s="43">
        <v>95.2</v>
      </c>
    </row>
    <row r="50" ht="15.5" spans="17:26">
      <c r="Q50" s="40" t="s">
        <v>238</v>
      </c>
      <c r="R50" s="42" t="s">
        <v>233</v>
      </c>
      <c r="S50" s="43">
        <v>1217.1</v>
      </c>
      <c r="T50" s="43">
        <v>996.4</v>
      </c>
      <c r="U50" s="43">
        <v>958.2</v>
      </c>
      <c r="V50" s="43">
        <v>966.8</v>
      </c>
      <c r="W50" s="43">
        <v>964.4</v>
      </c>
      <c r="X50" s="43">
        <v>1036</v>
      </c>
      <c r="Y50" s="43">
        <v>591.9</v>
      </c>
      <c r="Z50" s="43">
        <v>780.8</v>
      </c>
    </row>
    <row r="51" ht="15.5" spans="17:26">
      <c r="Q51" s="40"/>
      <c r="R51" s="42" t="s">
        <v>234</v>
      </c>
      <c r="S51" s="43">
        <v>1109.8</v>
      </c>
      <c r="T51" s="43">
        <v>920</v>
      </c>
      <c r="U51" s="43">
        <v>887.2</v>
      </c>
      <c r="V51" s="43">
        <v>895.9</v>
      </c>
      <c r="W51" s="43">
        <v>892.3</v>
      </c>
      <c r="X51" s="43">
        <v>959.3</v>
      </c>
      <c r="Y51" s="43">
        <v>549.8</v>
      </c>
      <c r="Z51" s="43">
        <v>733.9</v>
      </c>
    </row>
    <row r="52" ht="15.5" spans="17:26">
      <c r="Q52" s="40"/>
      <c r="R52" s="42" t="s">
        <v>235</v>
      </c>
      <c r="S52" s="43">
        <v>280.2</v>
      </c>
      <c r="T52" s="43">
        <v>215.6</v>
      </c>
      <c r="U52" s="43">
        <v>204.2</v>
      </c>
      <c r="V52" s="43">
        <v>204.5</v>
      </c>
      <c r="W52" s="43">
        <v>198.8</v>
      </c>
      <c r="X52" s="43">
        <v>211.1</v>
      </c>
      <c r="Y52" s="43">
        <v>89.8</v>
      </c>
      <c r="Z52" s="43">
        <v>168.5</v>
      </c>
    </row>
    <row r="53" ht="15.5" spans="17:26">
      <c r="Q53" s="40"/>
      <c r="R53" s="42" t="s">
        <v>236</v>
      </c>
      <c r="S53" s="43">
        <v>684.6</v>
      </c>
      <c r="T53" s="43">
        <v>575.9</v>
      </c>
      <c r="U53" s="43">
        <v>548.2</v>
      </c>
      <c r="V53" s="43">
        <v>550</v>
      </c>
      <c r="W53" s="43">
        <v>542.6</v>
      </c>
      <c r="X53" s="43">
        <v>586.3</v>
      </c>
      <c r="Y53" s="43">
        <v>402</v>
      </c>
      <c r="Z53" s="43">
        <v>469.1</v>
      </c>
    </row>
    <row r="54" ht="15.5" spans="17:26">
      <c r="Q54" s="40"/>
      <c r="R54" s="42" t="s">
        <v>237</v>
      </c>
      <c r="S54" s="43">
        <v>145</v>
      </c>
      <c r="T54" s="43">
        <v>128.5</v>
      </c>
      <c r="U54" s="43">
        <v>134.7</v>
      </c>
      <c r="V54" s="43">
        <v>141.3</v>
      </c>
      <c r="W54" s="43">
        <v>150.9</v>
      </c>
      <c r="X54" s="43">
        <v>161.9</v>
      </c>
      <c r="Y54" s="43">
        <v>58</v>
      </c>
      <c r="Z54" s="43">
        <v>96.3</v>
      </c>
    </row>
    <row r="55" ht="15.5" spans="17:26">
      <c r="Q55" s="40" t="s">
        <v>11</v>
      </c>
      <c r="R55" s="42" t="s">
        <v>233</v>
      </c>
      <c r="S55" s="43">
        <v>1222.2</v>
      </c>
      <c r="T55" s="43">
        <v>1001.5</v>
      </c>
      <c r="U55" s="43">
        <v>963.3</v>
      </c>
      <c r="V55" s="43">
        <v>971.9</v>
      </c>
      <c r="W55" s="43">
        <v>969.5</v>
      </c>
      <c r="X55" s="43">
        <v>1041.1</v>
      </c>
      <c r="Y55" s="43">
        <v>597</v>
      </c>
      <c r="Z55" s="43">
        <v>785.8</v>
      </c>
    </row>
    <row r="56" ht="15.5" spans="17:26">
      <c r="Q56" s="40"/>
      <c r="R56" s="42" t="s">
        <v>234</v>
      </c>
      <c r="S56" s="43">
        <v>1113.9</v>
      </c>
      <c r="T56" s="43">
        <v>924.1</v>
      </c>
      <c r="U56" s="43">
        <v>891.3</v>
      </c>
      <c r="V56" s="43">
        <v>900</v>
      </c>
      <c r="W56" s="43">
        <v>896.4</v>
      </c>
      <c r="X56" s="43">
        <v>963.4</v>
      </c>
      <c r="Y56" s="43">
        <v>553.9</v>
      </c>
      <c r="Z56" s="43">
        <v>738</v>
      </c>
    </row>
    <row r="57" ht="15.5" spans="17:26">
      <c r="Q57" s="40"/>
      <c r="R57" s="42" t="s">
        <v>235</v>
      </c>
      <c r="S57" s="43">
        <v>301.2</v>
      </c>
      <c r="T57" s="43">
        <v>236.6</v>
      </c>
      <c r="U57" s="43">
        <v>225.2</v>
      </c>
      <c r="V57" s="43">
        <v>225.5</v>
      </c>
      <c r="W57" s="43">
        <v>219.8</v>
      </c>
      <c r="X57" s="43">
        <v>232.2</v>
      </c>
      <c r="Y57" s="43">
        <v>110.8</v>
      </c>
      <c r="Z57" s="43">
        <v>189.5</v>
      </c>
    </row>
    <row r="58" ht="15.5" spans="17:26">
      <c r="Q58" s="40"/>
      <c r="R58" s="42" t="s">
        <v>236</v>
      </c>
      <c r="S58" s="43">
        <v>668.4</v>
      </c>
      <c r="T58" s="43">
        <v>559.8</v>
      </c>
      <c r="U58" s="43">
        <v>532.1</v>
      </c>
      <c r="V58" s="43">
        <v>533.9</v>
      </c>
      <c r="W58" s="43">
        <v>526.4</v>
      </c>
      <c r="X58" s="43">
        <v>570.2</v>
      </c>
      <c r="Y58" s="43">
        <v>385.8</v>
      </c>
      <c r="Z58" s="43">
        <v>453</v>
      </c>
    </row>
    <row r="59" ht="15.5" spans="17:26">
      <c r="Q59" s="40"/>
      <c r="R59" s="42" t="s">
        <v>237</v>
      </c>
      <c r="S59" s="43">
        <v>144.2</v>
      </c>
      <c r="T59" s="43">
        <v>127.7</v>
      </c>
      <c r="U59" s="43">
        <v>134</v>
      </c>
      <c r="V59" s="43">
        <v>140.6</v>
      </c>
      <c r="W59" s="43">
        <v>150.2</v>
      </c>
      <c r="X59" s="43">
        <v>161.1</v>
      </c>
      <c r="Y59" s="43">
        <v>57.2</v>
      </c>
      <c r="Z59" s="43">
        <v>95.5</v>
      </c>
    </row>
    <row r="60" ht="15.5" spans="17:26">
      <c r="Q60" s="41"/>
      <c r="R60" s="41"/>
      <c r="S60" s="43"/>
      <c r="T60" s="43"/>
      <c r="U60" s="43"/>
      <c r="V60" s="43"/>
      <c r="W60" s="43"/>
      <c r="X60" s="43"/>
      <c r="Y60" s="43"/>
      <c r="Z60" s="43"/>
    </row>
    <row r="61" ht="15.5" spans="17:26">
      <c r="Q61" s="41" t="s">
        <v>239</v>
      </c>
      <c r="R61" s="41"/>
      <c r="S61" s="41"/>
      <c r="T61" s="41"/>
      <c r="U61" s="41"/>
      <c r="V61" s="41"/>
      <c r="W61" s="41"/>
      <c r="X61" s="41"/>
      <c r="Y61" s="41"/>
      <c r="Z61" s="41"/>
    </row>
    <row r="62" ht="14.5" spans="17:26">
      <c r="Q62" s="1"/>
      <c r="R62" s="1"/>
      <c r="S62" s="1"/>
      <c r="T62" s="1"/>
      <c r="U62" s="1"/>
      <c r="V62" s="1"/>
      <c r="W62" s="1"/>
      <c r="X62" s="1"/>
      <c r="Y62" s="1"/>
      <c r="Z62" s="1"/>
    </row>
    <row r="63" ht="14.5" spans="17:26">
      <c r="Q63" s="1"/>
      <c r="R63" s="1"/>
      <c r="S63" s="1"/>
      <c r="T63" s="1"/>
      <c r="U63" s="1"/>
      <c r="V63" s="1"/>
      <c r="W63" s="1"/>
      <c r="X63" s="1"/>
      <c r="Y63" s="1"/>
      <c r="Z63" s="1"/>
    </row>
    <row r="64" ht="15.5" spans="17:26">
      <c r="Q64" s="1"/>
      <c r="R64" s="1"/>
      <c r="S64" s="41" t="s">
        <v>224</v>
      </c>
      <c r="T64" s="41" t="s">
        <v>225</v>
      </c>
      <c r="U64" s="41" t="s">
        <v>226</v>
      </c>
      <c r="V64" s="41" t="s">
        <v>227</v>
      </c>
      <c r="W64" s="41" t="s">
        <v>228</v>
      </c>
      <c r="X64" s="41" t="s">
        <v>229</v>
      </c>
      <c r="Y64" s="41" t="s">
        <v>230</v>
      </c>
      <c r="Z64" s="41" t="s">
        <v>231</v>
      </c>
    </row>
    <row r="65" ht="14.5" spans="17:26">
      <c r="Q65" s="44" t="s">
        <v>232</v>
      </c>
      <c r="R65" s="44" t="s">
        <v>105</v>
      </c>
      <c r="S65" s="45">
        <f t="shared" ref="S65:Z65" si="34">S45-S46</f>
        <v>107.6</v>
      </c>
      <c r="T65" s="46">
        <f t="shared" si="34"/>
        <v>76.8000000000001</v>
      </c>
      <c r="U65" s="46">
        <f t="shared" si="34"/>
        <v>71.3</v>
      </c>
      <c r="V65" s="46">
        <f t="shared" si="34"/>
        <v>71.2</v>
      </c>
      <c r="W65" s="46">
        <f t="shared" si="34"/>
        <v>72.5</v>
      </c>
      <c r="X65" s="46">
        <f t="shared" si="34"/>
        <v>77</v>
      </c>
      <c r="Y65" s="46">
        <f t="shared" si="34"/>
        <v>42.4</v>
      </c>
      <c r="Z65" s="46">
        <f t="shared" si="34"/>
        <v>47.2</v>
      </c>
    </row>
    <row r="66" ht="15.5" spans="17:26">
      <c r="Q66" s="44"/>
      <c r="R66" s="47" t="s">
        <v>235</v>
      </c>
      <c r="S66" s="45">
        <f t="shared" ref="S66:Z66" si="35">S47</f>
        <v>267.3</v>
      </c>
      <c r="T66" s="46">
        <f t="shared" si="35"/>
        <v>202.6</v>
      </c>
      <c r="U66" s="46">
        <f t="shared" si="35"/>
        <v>191.3</v>
      </c>
      <c r="V66" s="46">
        <f t="shared" si="35"/>
        <v>191.5</v>
      </c>
      <c r="W66" s="46">
        <f t="shared" si="35"/>
        <v>185.9</v>
      </c>
      <c r="X66" s="46">
        <f t="shared" si="35"/>
        <v>198.2</v>
      </c>
      <c r="Y66" s="46">
        <f t="shared" si="35"/>
        <v>76.8</v>
      </c>
      <c r="Z66" s="46">
        <f t="shared" si="35"/>
        <v>155.5</v>
      </c>
    </row>
    <row r="67" ht="15.5" spans="17:26">
      <c r="Q67" s="44"/>
      <c r="R67" s="47" t="s">
        <v>236</v>
      </c>
      <c r="S67" s="45">
        <f t="shared" ref="S67:Z67" si="36">S48</f>
        <v>692.5</v>
      </c>
      <c r="T67" s="46">
        <f t="shared" si="36"/>
        <v>583.8</v>
      </c>
      <c r="U67" s="46">
        <f t="shared" si="36"/>
        <v>556.1</v>
      </c>
      <c r="V67" s="46">
        <f t="shared" si="36"/>
        <v>557.9</v>
      </c>
      <c r="W67" s="46">
        <f t="shared" si="36"/>
        <v>550.5</v>
      </c>
      <c r="X67" s="46">
        <f t="shared" si="36"/>
        <v>594.2</v>
      </c>
      <c r="Y67" s="46">
        <f t="shared" si="36"/>
        <v>409.9</v>
      </c>
      <c r="Z67" s="46">
        <f t="shared" si="36"/>
        <v>477</v>
      </c>
    </row>
    <row r="68" ht="15.5" spans="17:26">
      <c r="Q68" s="44"/>
      <c r="R68" s="47" t="s">
        <v>237</v>
      </c>
      <c r="S68" s="45">
        <f t="shared" ref="S68:Z68" si="37">S49</f>
        <v>144</v>
      </c>
      <c r="T68" s="46">
        <f t="shared" si="37"/>
        <v>127.5</v>
      </c>
      <c r="U68" s="46">
        <f t="shared" si="37"/>
        <v>133.7</v>
      </c>
      <c r="V68" s="46">
        <f t="shared" si="37"/>
        <v>140.3</v>
      </c>
      <c r="W68" s="46">
        <f t="shared" si="37"/>
        <v>149.9</v>
      </c>
      <c r="X68" s="46">
        <f t="shared" si="37"/>
        <v>160.8</v>
      </c>
      <c r="Y68" s="46">
        <f t="shared" si="37"/>
        <v>57</v>
      </c>
      <c r="Z68" s="46">
        <f t="shared" si="37"/>
        <v>95.2</v>
      </c>
    </row>
    <row r="69" ht="14.5" spans="17:26">
      <c r="Q69" s="44" t="s">
        <v>238</v>
      </c>
      <c r="R69" s="44" t="s">
        <v>105</v>
      </c>
      <c r="S69" s="45">
        <f t="shared" ref="S69:Z69" si="38">S50-S51</f>
        <v>107.3</v>
      </c>
      <c r="T69" s="46">
        <f t="shared" si="38"/>
        <v>76.4</v>
      </c>
      <c r="U69" s="46">
        <f t="shared" si="38"/>
        <v>71</v>
      </c>
      <c r="V69" s="46">
        <f t="shared" si="38"/>
        <v>70.9</v>
      </c>
      <c r="W69" s="46">
        <f t="shared" si="38"/>
        <v>72.1</v>
      </c>
      <c r="X69" s="46">
        <f t="shared" si="38"/>
        <v>76.7</v>
      </c>
      <c r="Y69" s="46">
        <f t="shared" si="38"/>
        <v>42.1</v>
      </c>
      <c r="Z69" s="46">
        <f t="shared" si="38"/>
        <v>46.9</v>
      </c>
    </row>
    <row r="70" ht="15.5" spans="17:26">
      <c r="Q70" s="44"/>
      <c r="R70" s="47" t="s">
        <v>235</v>
      </c>
      <c r="S70" s="45">
        <f t="shared" ref="S70:Z70" si="39">S52</f>
        <v>280.2</v>
      </c>
      <c r="T70" s="46">
        <f t="shared" si="39"/>
        <v>215.6</v>
      </c>
      <c r="U70" s="46">
        <f t="shared" si="39"/>
        <v>204.2</v>
      </c>
      <c r="V70" s="46">
        <f t="shared" si="39"/>
        <v>204.5</v>
      </c>
      <c r="W70" s="46">
        <f t="shared" si="39"/>
        <v>198.8</v>
      </c>
      <c r="X70" s="46">
        <f t="shared" si="39"/>
        <v>211.1</v>
      </c>
      <c r="Y70" s="46">
        <f t="shared" si="39"/>
        <v>89.8</v>
      </c>
      <c r="Z70" s="46">
        <f t="shared" si="39"/>
        <v>168.5</v>
      </c>
    </row>
    <row r="71" ht="15.5" spans="17:26">
      <c r="Q71" s="44"/>
      <c r="R71" s="47" t="s">
        <v>236</v>
      </c>
      <c r="S71" s="45">
        <f t="shared" ref="S71:Z71" si="40">S53</f>
        <v>684.6</v>
      </c>
      <c r="T71" s="46">
        <f t="shared" si="40"/>
        <v>575.9</v>
      </c>
      <c r="U71" s="46">
        <f t="shared" si="40"/>
        <v>548.2</v>
      </c>
      <c r="V71" s="46">
        <f t="shared" si="40"/>
        <v>550</v>
      </c>
      <c r="W71" s="46">
        <f t="shared" si="40"/>
        <v>542.6</v>
      </c>
      <c r="X71" s="46">
        <f t="shared" si="40"/>
        <v>586.3</v>
      </c>
      <c r="Y71" s="46">
        <f t="shared" si="40"/>
        <v>402</v>
      </c>
      <c r="Z71" s="46">
        <f t="shared" si="40"/>
        <v>469.1</v>
      </c>
    </row>
    <row r="72" ht="15.5" spans="17:26">
      <c r="Q72" s="44"/>
      <c r="R72" s="47" t="s">
        <v>237</v>
      </c>
      <c r="S72" s="45">
        <f t="shared" ref="S72:Z72" si="41">S54</f>
        <v>145</v>
      </c>
      <c r="T72" s="46">
        <f t="shared" si="41"/>
        <v>128.5</v>
      </c>
      <c r="U72" s="46">
        <f t="shared" si="41"/>
        <v>134.7</v>
      </c>
      <c r="V72" s="46">
        <f t="shared" si="41"/>
        <v>141.3</v>
      </c>
      <c r="W72" s="46">
        <f t="shared" si="41"/>
        <v>150.9</v>
      </c>
      <c r="X72" s="46">
        <f t="shared" si="41"/>
        <v>161.9</v>
      </c>
      <c r="Y72" s="46">
        <f t="shared" si="41"/>
        <v>58</v>
      </c>
      <c r="Z72" s="46">
        <f t="shared" si="41"/>
        <v>96.3</v>
      </c>
    </row>
    <row r="73" ht="14.5" spans="17:26">
      <c r="Q73" s="44" t="s">
        <v>11</v>
      </c>
      <c r="R73" s="44" t="s">
        <v>105</v>
      </c>
      <c r="S73" s="45">
        <f t="shared" ref="S73:Z73" si="42">S55-S56</f>
        <v>108.3</v>
      </c>
      <c r="T73" s="46">
        <f t="shared" si="42"/>
        <v>77.4</v>
      </c>
      <c r="U73" s="46">
        <f t="shared" si="42"/>
        <v>72</v>
      </c>
      <c r="V73" s="46">
        <f t="shared" si="42"/>
        <v>71.9</v>
      </c>
      <c r="W73" s="46">
        <f t="shared" si="42"/>
        <v>73.1</v>
      </c>
      <c r="X73" s="46">
        <f t="shared" si="42"/>
        <v>77.6999999999999</v>
      </c>
      <c r="Y73" s="46">
        <f t="shared" si="42"/>
        <v>43.1</v>
      </c>
      <c r="Z73" s="46">
        <f t="shared" si="42"/>
        <v>47.8</v>
      </c>
    </row>
    <row r="74" ht="15.5" spans="17:26">
      <c r="Q74" s="44"/>
      <c r="R74" s="47" t="s">
        <v>235</v>
      </c>
      <c r="S74" s="45">
        <f t="shared" ref="S74:Z74" si="43">S57</f>
        <v>301.2</v>
      </c>
      <c r="T74" s="46">
        <f t="shared" si="43"/>
        <v>236.6</v>
      </c>
      <c r="U74" s="46">
        <f t="shared" si="43"/>
        <v>225.2</v>
      </c>
      <c r="V74" s="46">
        <f t="shared" si="43"/>
        <v>225.5</v>
      </c>
      <c r="W74" s="46">
        <f t="shared" si="43"/>
        <v>219.8</v>
      </c>
      <c r="X74" s="46">
        <f t="shared" si="43"/>
        <v>232.2</v>
      </c>
      <c r="Y74" s="46">
        <f t="shared" si="43"/>
        <v>110.8</v>
      </c>
      <c r="Z74" s="46">
        <f t="shared" si="43"/>
        <v>189.5</v>
      </c>
    </row>
    <row r="75" ht="15.5" spans="17:26">
      <c r="Q75" s="44"/>
      <c r="R75" s="47" t="s">
        <v>236</v>
      </c>
      <c r="S75" s="45">
        <f t="shared" ref="S75:Z75" si="44">S58</f>
        <v>668.4</v>
      </c>
      <c r="T75" s="46">
        <f t="shared" si="44"/>
        <v>559.8</v>
      </c>
      <c r="U75" s="46">
        <f t="shared" si="44"/>
        <v>532.1</v>
      </c>
      <c r="V75" s="46">
        <f t="shared" si="44"/>
        <v>533.9</v>
      </c>
      <c r="W75" s="46">
        <f t="shared" si="44"/>
        <v>526.4</v>
      </c>
      <c r="X75" s="46">
        <f t="shared" si="44"/>
        <v>570.2</v>
      </c>
      <c r="Y75" s="46">
        <f t="shared" si="44"/>
        <v>385.8</v>
      </c>
      <c r="Z75" s="46">
        <f t="shared" si="44"/>
        <v>453</v>
      </c>
    </row>
    <row r="76" ht="15.5" spans="17:26">
      <c r="Q76" s="44"/>
      <c r="R76" s="47" t="s">
        <v>237</v>
      </c>
      <c r="S76" s="45">
        <f t="shared" ref="S76:Z76" si="45">S59</f>
        <v>144.2</v>
      </c>
      <c r="T76" s="46">
        <f t="shared" si="45"/>
        <v>127.7</v>
      </c>
      <c r="U76" s="46">
        <f t="shared" si="45"/>
        <v>134</v>
      </c>
      <c r="V76" s="46">
        <f t="shared" si="45"/>
        <v>140.6</v>
      </c>
      <c r="W76" s="46">
        <f t="shared" si="45"/>
        <v>150.2</v>
      </c>
      <c r="X76" s="46">
        <f t="shared" si="45"/>
        <v>161.1</v>
      </c>
      <c r="Y76" s="46">
        <f t="shared" si="45"/>
        <v>57.2</v>
      </c>
      <c r="Z76" s="46">
        <f t="shared" si="45"/>
        <v>95.5</v>
      </c>
    </row>
    <row r="77" ht="14.5" spans="17:26">
      <c r="Q77" s="1"/>
      <c r="R77" s="1"/>
      <c r="S77" s="1"/>
      <c r="T77" s="1"/>
      <c r="U77" s="1"/>
      <c r="V77" s="1"/>
      <c r="W77" s="1"/>
      <c r="X77" s="1"/>
      <c r="Y77" s="1"/>
      <c r="Z77" s="1"/>
    </row>
    <row r="78" ht="14.5" spans="17:26">
      <c r="Q78" s="1"/>
      <c r="R78" s="1"/>
      <c r="S78" s="1"/>
      <c r="T78" s="1"/>
      <c r="U78" s="1"/>
      <c r="V78" s="1"/>
      <c r="W78" s="1"/>
      <c r="X78" s="1"/>
      <c r="Y78" s="1"/>
      <c r="Z78" s="1"/>
    </row>
    <row r="79" ht="14.5" spans="17:26">
      <c r="Q79" s="44" t="s">
        <v>240</v>
      </c>
      <c r="R79" s="44" t="s">
        <v>105</v>
      </c>
      <c r="S79" s="48">
        <f t="shared" ref="S79:Z79" si="46">AVERAGE(S65,S69,S73)</f>
        <v>107.733333333333</v>
      </c>
      <c r="T79" s="1">
        <f t="shared" si="46"/>
        <v>76.8666666666667</v>
      </c>
      <c r="U79" s="1">
        <f t="shared" si="46"/>
        <v>71.4333333333333</v>
      </c>
      <c r="V79" s="1">
        <f t="shared" si="46"/>
        <v>71.3333333333333</v>
      </c>
      <c r="W79" s="1">
        <f t="shared" si="46"/>
        <v>72.5666666666667</v>
      </c>
      <c r="X79" s="1">
        <f t="shared" si="46"/>
        <v>77.1333333333333</v>
      </c>
      <c r="Y79" s="1">
        <f t="shared" si="46"/>
        <v>42.5333333333333</v>
      </c>
      <c r="Z79" s="1">
        <f t="shared" si="46"/>
        <v>47.3</v>
      </c>
    </row>
    <row r="80" ht="15.5" spans="17:26">
      <c r="Q80" s="44"/>
      <c r="R80" s="47" t="s">
        <v>235</v>
      </c>
      <c r="S80" s="48">
        <f t="shared" ref="S80:Z80" si="47">AVERAGE(S66,S70,S74)</f>
        <v>282.9</v>
      </c>
      <c r="T80" s="1">
        <f t="shared" si="47"/>
        <v>218.266666666667</v>
      </c>
      <c r="U80" s="1">
        <f t="shared" si="47"/>
        <v>206.9</v>
      </c>
      <c r="V80" s="1">
        <f t="shared" si="47"/>
        <v>207.166666666667</v>
      </c>
      <c r="W80" s="1">
        <f t="shared" si="47"/>
        <v>201.5</v>
      </c>
      <c r="X80" s="1">
        <f t="shared" si="47"/>
        <v>213.833333333333</v>
      </c>
      <c r="Y80" s="1">
        <f t="shared" si="47"/>
        <v>92.4666666666667</v>
      </c>
      <c r="Z80" s="1">
        <f t="shared" si="47"/>
        <v>171.166666666667</v>
      </c>
    </row>
    <row r="81" ht="15.5" spans="17:26">
      <c r="Q81" s="44"/>
      <c r="R81" s="47" t="s">
        <v>236</v>
      </c>
      <c r="S81" s="48">
        <f t="shared" ref="S81:Z81" si="48">AVERAGE(S67,S71,S75)</f>
        <v>681.833333333333</v>
      </c>
      <c r="T81" s="1">
        <f t="shared" si="48"/>
        <v>573.166666666667</v>
      </c>
      <c r="U81" s="1">
        <f t="shared" si="48"/>
        <v>545.466666666667</v>
      </c>
      <c r="V81" s="1">
        <f t="shared" si="48"/>
        <v>547.266666666667</v>
      </c>
      <c r="W81" s="1">
        <f t="shared" si="48"/>
        <v>539.833333333333</v>
      </c>
      <c r="X81" s="1">
        <f t="shared" si="48"/>
        <v>583.566666666667</v>
      </c>
      <c r="Y81" s="1">
        <f t="shared" si="48"/>
        <v>399.233333333333</v>
      </c>
      <c r="Z81" s="1">
        <f t="shared" si="48"/>
        <v>466.366666666667</v>
      </c>
    </row>
    <row r="82" ht="15.5" spans="17:26">
      <c r="Q82" s="44"/>
      <c r="R82" s="47" t="s">
        <v>237</v>
      </c>
      <c r="S82" s="48">
        <f t="shared" ref="S82:Z82" si="49">AVERAGE(S68,S72,S76)</f>
        <v>144.4</v>
      </c>
      <c r="T82" s="1">
        <f t="shared" si="49"/>
        <v>127.9</v>
      </c>
      <c r="U82" s="1">
        <f t="shared" si="49"/>
        <v>134.133333333333</v>
      </c>
      <c r="V82" s="1">
        <f t="shared" si="49"/>
        <v>140.733333333333</v>
      </c>
      <c r="W82" s="1">
        <f t="shared" si="49"/>
        <v>150.333333333333</v>
      </c>
      <c r="X82" s="1">
        <f t="shared" si="49"/>
        <v>161.266666666667</v>
      </c>
      <c r="Y82" s="1">
        <f t="shared" si="49"/>
        <v>57.4</v>
      </c>
      <c r="Z82" s="1">
        <f t="shared" si="49"/>
        <v>95.6666666666667</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188"/>
  <sheetViews>
    <sheetView zoomScale="36" zoomScaleNormal="36" topLeftCell="C143" workbookViewId="0">
      <selection activeCell="AP162" sqref="AP162:AP165"/>
    </sheetView>
  </sheetViews>
  <sheetFormatPr defaultColWidth="8.72727272727273" defaultRowHeight="14.5"/>
  <cols>
    <col min="1" max="1" width="8.72727272727273" style="1"/>
    <col min="2" max="2" width="43.8181818181818" style="1" customWidth="1"/>
    <col min="3" max="20" width="8.72727272727273" style="1"/>
    <col min="21" max="21" width="19.2727272727273" style="1" customWidth="1"/>
    <col min="22" max="22" width="25.5454545454545" style="1" customWidth="1"/>
    <col min="23" max="23" width="19.9090909090909" style="1" customWidth="1"/>
    <col min="24" max="29" width="15.2727272727273" style="1"/>
    <col min="30" max="30" width="8.72727272727273" style="1"/>
    <col min="31" max="31" width="14" style="1"/>
    <col min="32" max="38" width="15.2727272727273" style="1"/>
    <col min="39" max="39" width="14" style="1"/>
    <col min="40" max="40" width="8.72727272727273" style="1"/>
    <col min="41" max="47" width="15.2727272727273" style="1"/>
    <col min="48" max="48" width="8.72727272727273" style="1"/>
    <col min="49" max="49" width="14" style="1"/>
    <col min="50" max="67" width="8.72727272727273" style="1"/>
    <col min="68" max="16384" width="8.72727272727273" style="2"/>
  </cols>
  <sheetData>
    <row r="1" ht="15.5" spans="1:67">
      <c r="A1" s="3" t="s">
        <v>241</v>
      </c>
      <c r="B1" s="3"/>
      <c r="C1" s="3"/>
      <c r="D1" s="3"/>
      <c r="E1" s="3"/>
      <c r="F1" s="3"/>
      <c r="G1" s="3"/>
      <c r="H1" s="3"/>
      <c r="I1" s="3"/>
      <c r="J1" s="3"/>
      <c r="K1" s="5"/>
      <c r="L1" s="5" t="s">
        <v>242</v>
      </c>
      <c r="M1" s="5"/>
      <c r="N1" s="5"/>
      <c r="O1" s="5"/>
      <c r="P1" s="5"/>
      <c r="Q1" s="5"/>
      <c r="R1" s="5"/>
      <c r="S1" s="5"/>
      <c r="T1" s="5"/>
      <c r="U1" s="5"/>
      <c r="V1" s="5"/>
      <c r="W1" s="5" t="s">
        <v>243</v>
      </c>
      <c r="X1" s="5"/>
      <c r="Y1" s="5"/>
      <c r="Z1" s="5"/>
      <c r="AA1" s="5"/>
      <c r="AB1" s="14" t="s">
        <v>244</v>
      </c>
      <c r="AC1" s="14"/>
      <c r="AD1" s="5"/>
      <c r="AE1" s="5"/>
      <c r="AF1" s="5" t="s">
        <v>245</v>
      </c>
      <c r="AG1" s="5"/>
      <c r="AH1" s="5"/>
      <c r="AI1" s="5"/>
      <c r="AJ1" s="5"/>
      <c r="AK1" s="5"/>
      <c r="AL1" s="5"/>
      <c r="AM1" s="5"/>
      <c r="AN1" s="5"/>
      <c r="AO1" s="5" t="s">
        <v>246</v>
      </c>
      <c r="AP1" s="5"/>
      <c r="AQ1" s="5"/>
      <c r="AR1" s="5"/>
      <c r="AS1" s="5"/>
      <c r="AT1" s="5"/>
      <c r="AU1" s="5"/>
      <c r="AZ1" s="3" t="s">
        <v>241</v>
      </c>
      <c r="BA1" s="3"/>
      <c r="BB1" s="3"/>
      <c r="BC1" s="3"/>
      <c r="BD1" s="3"/>
      <c r="BE1" s="3"/>
      <c r="BF1" s="3"/>
      <c r="BG1" s="3"/>
      <c r="BH1" s="3"/>
      <c r="BI1" s="3"/>
      <c r="BJ1" s="5"/>
      <c r="BK1" s="5"/>
      <c r="BL1" s="5"/>
      <c r="BM1" s="5"/>
      <c r="BN1" s="5"/>
      <c r="BO1" s="5"/>
    </row>
    <row r="2" ht="30" spans="1:67">
      <c r="A2" s="3" t="s">
        <v>221</v>
      </c>
      <c r="B2" s="3" t="s">
        <v>247</v>
      </c>
      <c r="C2" s="3" t="s">
        <v>223</v>
      </c>
      <c r="D2" s="3"/>
      <c r="E2" s="3"/>
      <c r="F2" s="3"/>
      <c r="G2" s="3"/>
      <c r="H2" s="3"/>
      <c r="I2" s="3"/>
      <c r="J2" s="3"/>
      <c r="K2" s="5"/>
      <c r="L2" s="5"/>
      <c r="M2" s="5"/>
      <c r="N2" s="5"/>
      <c r="O2" s="5"/>
      <c r="P2" s="5"/>
      <c r="Q2" s="5"/>
      <c r="R2" s="5"/>
      <c r="S2" s="5"/>
      <c r="T2" s="5"/>
      <c r="U2" s="5"/>
      <c r="V2" s="12" t="s">
        <v>248</v>
      </c>
      <c r="W2" s="5"/>
      <c r="X2" s="5"/>
      <c r="Y2" s="5"/>
      <c r="Z2" s="5"/>
      <c r="AA2" s="5"/>
      <c r="AB2" s="5"/>
      <c r="AC2" s="5"/>
      <c r="AD2" s="5"/>
      <c r="AE2" s="5"/>
      <c r="AF2" s="5"/>
      <c r="AG2" s="5"/>
      <c r="AH2" s="5"/>
      <c r="AI2" s="5"/>
      <c r="AJ2" s="5"/>
      <c r="AK2" s="5"/>
      <c r="AL2" s="5"/>
      <c r="AM2" s="5"/>
      <c r="AN2" s="5"/>
      <c r="AO2" s="5"/>
      <c r="AP2" s="5"/>
      <c r="AQ2" s="5"/>
      <c r="AR2" s="5"/>
      <c r="AS2" s="5"/>
      <c r="AT2" s="5"/>
      <c r="AU2" s="5"/>
      <c r="AZ2" s="3" t="s">
        <v>221</v>
      </c>
      <c r="BA2" s="3" t="s">
        <v>247</v>
      </c>
      <c r="BB2" s="3" t="s">
        <v>223</v>
      </c>
      <c r="BC2" s="3"/>
      <c r="BD2" s="3"/>
      <c r="BE2" s="3"/>
      <c r="BF2" s="3"/>
      <c r="BG2" s="3"/>
      <c r="BH2" s="3"/>
      <c r="BI2" s="3"/>
      <c r="BJ2" s="5"/>
      <c r="BK2" s="5"/>
      <c r="BL2" s="5"/>
      <c r="BM2" s="5"/>
      <c r="BN2" s="5"/>
      <c r="BO2" s="5"/>
    </row>
    <row r="3" ht="30" spans="1:67">
      <c r="A3" s="3"/>
      <c r="B3" s="3"/>
      <c r="C3" s="4" t="s">
        <v>224</v>
      </c>
      <c r="D3" s="5" t="s">
        <v>225</v>
      </c>
      <c r="E3" s="5" t="s">
        <v>226</v>
      </c>
      <c r="F3" s="6" t="s">
        <v>227</v>
      </c>
      <c r="G3" s="5" t="s">
        <v>228</v>
      </c>
      <c r="H3" s="5" t="s">
        <v>229</v>
      </c>
      <c r="I3" s="5" t="s">
        <v>230</v>
      </c>
      <c r="J3" s="5" t="s">
        <v>231</v>
      </c>
      <c r="K3" s="5"/>
      <c r="L3" s="9" t="s">
        <v>224</v>
      </c>
      <c r="M3" s="5" t="s">
        <v>225</v>
      </c>
      <c r="N3" s="5" t="s">
        <v>226</v>
      </c>
      <c r="O3" s="5" t="s">
        <v>227</v>
      </c>
      <c r="P3" s="5" t="s">
        <v>228</v>
      </c>
      <c r="Q3" s="5" t="s">
        <v>229</v>
      </c>
      <c r="R3" s="5" t="s">
        <v>230</v>
      </c>
      <c r="S3" s="5" t="s">
        <v>231</v>
      </c>
      <c r="T3" s="5"/>
      <c r="U3" s="5"/>
      <c r="V3" s="12" t="s">
        <v>249</v>
      </c>
      <c r="W3" s="5" t="s">
        <v>225</v>
      </c>
      <c r="X3" s="5" t="s">
        <v>226</v>
      </c>
      <c r="Y3" s="6" t="s">
        <v>227</v>
      </c>
      <c r="Z3" s="5" t="s">
        <v>228</v>
      </c>
      <c r="AA3" s="5" t="s">
        <v>229</v>
      </c>
      <c r="AB3" s="15" t="s">
        <v>230</v>
      </c>
      <c r="AC3" s="15" t="s">
        <v>231</v>
      </c>
      <c r="AD3" s="5"/>
      <c r="AE3" s="5"/>
      <c r="AF3" s="5" t="s">
        <v>225</v>
      </c>
      <c r="AG3" s="5" t="s">
        <v>226</v>
      </c>
      <c r="AH3" s="6" t="s">
        <v>227</v>
      </c>
      <c r="AI3" s="5" t="s">
        <v>228</v>
      </c>
      <c r="AJ3" s="5" t="s">
        <v>229</v>
      </c>
      <c r="AK3" s="15" t="s">
        <v>230</v>
      </c>
      <c r="AL3" s="15" t="s">
        <v>231</v>
      </c>
      <c r="AM3" s="5"/>
      <c r="AN3" s="5"/>
      <c r="AO3" s="5" t="s">
        <v>225</v>
      </c>
      <c r="AP3" s="5" t="s">
        <v>226</v>
      </c>
      <c r="AQ3" s="6" t="s">
        <v>227</v>
      </c>
      <c r="AR3" s="5" t="s">
        <v>228</v>
      </c>
      <c r="AS3" s="5" t="s">
        <v>229</v>
      </c>
      <c r="AT3" s="15" t="s">
        <v>230</v>
      </c>
      <c r="AU3" s="15" t="s">
        <v>231</v>
      </c>
      <c r="AZ3" s="3"/>
      <c r="BA3" s="3"/>
      <c r="BB3" s="4" t="s">
        <v>224</v>
      </c>
      <c r="BC3" s="5" t="s">
        <v>225</v>
      </c>
      <c r="BD3" s="5" t="s">
        <v>226</v>
      </c>
      <c r="BE3" s="6" t="s">
        <v>227</v>
      </c>
      <c r="BF3" s="5" t="s">
        <v>228</v>
      </c>
      <c r="BG3" s="5" t="s">
        <v>229</v>
      </c>
      <c r="BH3" s="5" t="s">
        <v>230</v>
      </c>
      <c r="BI3" s="5" t="s">
        <v>231</v>
      </c>
      <c r="BJ3" s="5"/>
      <c r="BK3" s="9"/>
      <c r="BL3" s="5"/>
      <c r="BM3" s="5"/>
      <c r="BN3" s="5"/>
      <c r="BO3" s="5"/>
    </row>
    <row r="4" ht="15.5" spans="1:67">
      <c r="A4" s="3" t="s">
        <v>232</v>
      </c>
      <c r="B4" s="7" t="s">
        <v>233</v>
      </c>
      <c r="C4" s="8">
        <f t="shared" ref="C4:J4" si="0">BB4/1000</f>
        <v>0.8374</v>
      </c>
      <c r="D4" s="8">
        <f t="shared" si="0"/>
        <v>0.8081</v>
      </c>
      <c r="E4" s="8">
        <f t="shared" si="0"/>
        <v>0.7705</v>
      </c>
      <c r="F4" s="8">
        <f t="shared" si="0"/>
        <v>0.76</v>
      </c>
      <c r="G4" s="8">
        <f t="shared" si="0"/>
        <v>0.7551</v>
      </c>
      <c r="H4" s="8">
        <f t="shared" si="0"/>
        <v>0.796</v>
      </c>
      <c r="I4" s="8">
        <f t="shared" si="0"/>
        <v>0.76</v>
      </c>
      <c r="J4" s="8">
        <f t="shared" si="0"/>
        <v>0.76</v>
      </c>
      <c r="K4" s="5"/>
      <c r="L4" s="9"/>
      <c r="M4" s="10">
        <v>5.937</v>
      </c>
      <c r="N4" s="10">
        <v>5.845</v>
      </c>
      <c r="O4" s="10">
        <v>5.575</v>
      </c>
      <c r="P4" s="10">
        <v>5.276</v>
      </c>
      <c r="Q4" s="10">
        <v>5.363</v>
      </c>
      <c r="R4" s="10">
        <v>6.645</v>
      </c>
      <c r="S4" s="10">
        <v>5.654</v>
      </c>
      <c r="T4" s="10"/>
      <c r="U4" s="3" t="s">
        <v>232</v>
      </c>
      <c r="V4" s="7" t="s">
        <v>233</v>
      </c>
      <c r="W4" s="13">
        <f t="shared" ref="W4:AC4" si="1">D4/M4</f>
        <v>0.136112514738083</v>
      </c>
      <c r="X4" s="13">
        <f t="shared" si="1"/>
        <v>0.131822070145423</v>
      </c>
      <c r="Y4" s="13">
        <f t="shared" si="1"/>
        <v>0.136322869955157</v>
      </c>
      <c r="Z4" s="13">
        <f t="shared" si="1"/>
        <v>0.143119787717968</v>
      </c>
      <c r="AA4" s="13">
        <f t="shared" si="1"/>
        <v>0.148424389334328</v>
      </c>
      <c r="AB4" s="16">
        <f t="shared" si="1"/>
        <v>0.114371708051166</v>
      </c>
      <c r="AC4" s="16">
        <f t="shared" si="1"/>
        <v>0.134418111071808</v>
      </c>
      <c r="AD4" s="5"/>
      <c r="AE4" s="5"/>
      <c r="AF4" s="13">
        <f t="shared" ref="AF4:AJ4" si="2">W4</f>
        <v>0.136112514738083</v>
      </c>
      <c r="AG4" s="13">
        <f t="shared" si="2"/>
        <v>0.131822070145423</v>
      </c>
      <c r="AH4" s="13">
        <f t="shared" si="2"/>
        <v>0.136322869955157</v>
      </c>
      <c r="AI4" s="13">
        <f t="shared" si="2"/>
        <v>0.143119787717968</v>
      </c>
      <c r="AJ4" s="13">
        <f t="shared" si="2"/>
        <v>0.148424389334328</v>
      </c>
      <c r="AK4" s="17">
        <f t="shared" ref="AK4:AK18" si="3">AB4*1.15</f>
        <v>0.131527464258841</v>
      </c>
      <c r="AL4" s="17">
        <f t="shared" ref="AL4:AL18" si="4">AC4*1.15</f>
        <v>0.154580827732579</v>
      </c>
      <c r="AM4" s="5"/>
      <c r="AN4" s="5"/>
      <c r="AO4" s="13">
        <f t="shared" ref="AO4:AS4" si="5">W4</f>
        <v>0.136112514738083</v>
      </c>
      <c r="AP4" s="13">
        <f t="shared" si="5"/>
        <v>0.131822070145423</v>
      </c>
      <c r="AQ4" s="13">
        <f t="shared" si="5"/>
        <v>0.136322869955157</v>
      </c>
      <c r="AR4" s="13">
        <f t="shared" si="5"/>
        <v>0.143119787717968</v>
      </c>
      <c r="AS4" s="13">
        <f t="shared" si="5"/>
        <v>0.148424389334328</v>
      </c>
      <c r="AT4" s="17">
        <f t="shared" ref="AT4:AT18" si="6">AB4*0.85</f>
        <v>0.0972159518434914</v>
      </c>
      <c r="AU4" s="17">
        <f t="shared" ref="AU4:AU18" si="7">AC4*0.85</f>
        <v>0.114255394411036</v>
      </c>
      <c r="AZ4" s="3" t="s">
        <v>232</v>
      </c>
      <c r="BA4" s="7" t="s">
        <v>233</v>
      </c>
      <c r="BB4" s="8">
        <v>837.4</v>
      </c>
      <c r="BC4" s="13">
        <v>808.1</v>
      </c>
      <c r="BD4" s="13">
        <v>770.5</v>
      </c>
      <c r="BE4" s="13">
        <v>760</v>
      </c>
      <c r="BF4" s="13">
        <v>755.1</v>
      </c>
      <c r="BG4" s="13">
        <v>796</v>
      </c>
      <c r="BH4" s="13">
        <v>760</v>
      </c>
      <c r="BI4" s="13">
        <v>760</v>
      </c>
      <c r="BJ4" s="5"/>
      <c r="BK4" s="9"/>
      <c r="BL4" s="10"/>
      <c r="BM4" s="10"/>
      <c r="BN4" s="10"/>
      <c r="BO4" s="10"/>
    </row>
    <row r="5" ht="15.5" spans="1:67">
      <c r="A5" s="3"/>
      <c r="B5" s="7" t="s">
        <v>234</v>
      </c>
      <c r="C5" s="8">
        <f t="shared" ref="C5:J5" si="8">BB5/1000</f>
        <v>0.7701</v>
      </c>
      <c r="D5" s="8">
        <f t="shared" si="8"/>
        <v>0.7457</v>
      </c>
      <c r="E5" s="8">
        <f t="shared" si="8"/>
        <v>0.7115</v>
      </c>
      <c r="F5" s="8">
        <f t="shared" si="8"/>
        <v>0.7021</v>
      </c>
      <c r="G5" s="8">
        <f t="shared" si="8"/>
        <v>0.6948</v>
      </c>
      <c r="H5" s="8">
        <f t="shared" si="8"/>
        <v>0.7338</v>
      </c>
      <c r="I5" s="8">
        <f t="shared" si="8"/>
        <v>0.7021</v>
      </c>
      <c r="J5" s="8">
        <f t="shared" si="8"/>
        <v>0.7021</v>
      </c>
      <c r="K5" s="5"/>
      <c r="L5" s="5"/>
      <c r="M5" s="11">
        <v>5.937</v>
      </c>
      <c r="N5" s="11">
        <v>5.845</v>
      </c>
      <c r="O5" s="11">
        <v>5.575</v>
      </c>
      <c r="P5" s="11">
        <v>5.276</v>
      </c>
      <c r="Q5" s="11">
        <v>5.363</v>
      </c>
      <c r="R5" s="11">
        <v>6.645</v>
      </c>
      <c r="S5" s="11">
        <v>5.654</v>
      </c>
      <c r="T5" s="11"/>
      <c r="U5" s="3"/>
      <c r="V5" s="7" t="s">
        <v>234</v>
      </c>
      <c r="W5" s="13">
        <f t="shared" ref="W5:AC5" si="9">D5/M5</f>
        <v>0.125602155971029</v>
      </c>
      <c r="X5" s="13">
        <f t="shared" si="9"/>
        <v>0.121727972626176</v>
      </c>
      <c r="Y5" s="13">
        <f t="shared" si="9"/>
        <v>0.125937219730942</v>
      </c>
      <c r="Z5" s="13">
        <f t="shared" si="9"/>
        <v>0.131690674753601</v>
      </c>
      <c r="AA5" s="13">
        <f t="shared" si="9"/>
        <v>0.136826403132575</v>
      </c>
      <c r="AB5" s="16">
        <f t="shared" si="9"/>
        <v>0.105658389766742</v>
      </c>
      <c r="AC5" s="16">
        <f t="shared" si="9"/>
        <v>0.124177573399363</v>
      </c>
      <c r="AD5" s="5"/>
      <c r="AE5" s="5"/>
      <c r="AF5" s="13">
        <f t="shared" ref="AF5:AJ5" si="10">W5</f>
        <v>0.125602155971029</v>
      </c>
      <c r="AG5" s="13">
        <f t="shared" si="10"/>
        <v>0.121727972626176</v>
      </c>
      <c r="AH5" s="13">
        <f t="shared" si="10"/>
        <v>0.125937219730942</v>
      </c>
      <c r="AI5" s="13">
        <f t="shared" si="10"/>
        <v>0.131690674753601</v>
      </c>
      <c r="AJ5" s="13">
        <f t="shared" si="10"/>
        <v>0.136826403132575</v>
      </c>
      <c r="AK5" s="17">
        <f t="shared" si="3"/>
        <v>0.121507148231753</v>
      </c>
      <c r="AL5" s="17">
        <f t="shared" si="4"/>
        <v>0.142804209409268</v>
      </c>
      <c r="AM5" s="5"/>
      <c r="AN5" s="5"/>
      <c r="AO5" s="13">
        <f t="shared" ref="AO5:AS5" si="11">W5</f>
        <v>0.125602155971029</v>
      </c>
      <c r="AP5" s="13">
        <f t="shared" si="11"/>
        <v>0.121727972626176</v>
      </c>
      <c r="AQ5" s="13">
        <f t="shared" si="11"/>
        <v>0.125937219730942</v>
      </c>
      <c r="AR5" s="13">
        <f t="shared" si="11"/>
        <v>0.131690674753601</v>
      </c>
      <c r="AS5" s="13">
        <f t="shared" si="11"/>
        <v>0.136826403132575</v>
      </c>
      <c r="AT5" s="17">
        <f t="shared" si="6"/>
        <v>0.0898096313017306</v>
      </c>
      <c r="AU5" s="17">
        <f t="shared" si="7"/>
        <v>0.105550937389459</v>
      </c>
      <c r="AZ5" s="3"/>
      <c r="BA5" s="7" t="s">
        <v>234</v>
      </c>
      <c r="BB5" s="8">
        <v>770.1</v>
      </c>
      <c r="BC5" s="13">
        <v>745.7</v>
      </c>
      <c r="BD5" s="13">
        <v>711.5</v>
      </c>
      <c r="BE5" s="13">
        <v>702.1</v>
      </c>
      <c r="BF5" s="13">
        <v>694.8</v>
      </c>
      <c r="BG5" s="13">
        <v>733.8</v>
      </c>
      <c r="BH5" s="13">
        <v>702.1</v>
      </c>
      <c r="BI5" s="13">
        <v>702.1</v>
      </c>
      <c r="BJ5" s="5"/>
      <c r="BK5" s="5"/>
      <c r="BL5" s="11"/>
      <c r="BM5" s="11"/>
      <c r="BN5" s="11"/>
      <c r="BO5" s="11"/>
    </row>
    <row r="6" ht="15.5" spans="1:67">
      <c r="A6" s="3"/>
      <c r="B6" s="7" t="s">
        <v>235</v>
      </c>
      <c r="C6" s="8">
        <f t="shared" ref="C6:J6" si="12">BB6/1000</f>
        <v>0.1986</v>
      </c>
      <c r="D6" s="8">
        <f t="shared" si="12"/>
        <v>0.1717</v>
      </c>
      <c r="E6" s="8">
        <f t="shared" si="12"/>
        <v>0.1611</v>
      </c>
      <c r="F6" s="8">
        <f t="shared" si="12"/>
        <v>0.1579</v>
      </c>
      <c r="G6" s="8">
        <f t="shared" si="12"/>
        <v>0.1521</v>
      </c>
      <c r="H6" s="8">
        <f t="shared" si="12"/>
        <v>0.1588</v>
      </c>
      <c r="I6" s="8">
        <f t="shared" si="12"/>
        <v>0.1579</v>
      </c>
      <c r="J6" s="8">
        <f t="shared" si="12"/>
        <v>0.1579</v>
      </c>
      <c r="K6" s="5"/>
      <c r="L6" s="5"/>
      <c r="M6" s="11">
        <v>5.937</v>
      </c>
      <c r="N6" s="11">
        <v>5.845</v>
      </c>
      <c r="O6" s="11">
        <v>5.575</v>
      </c>
      <c r="P6" s="11">
        <v>5.276</v>
      </c>
      <c r="Q6" s="11">
        <v>5.363</v>
      </c>
      <c r="R6" s="11">
        <v>6.645</v>
      </c>
      <c r="S6" s="11">
        <v>5.654</v>
      </c>
      <c r="T6" s="11"/>
      <c r="U6" s="3"/>
      <c r="V6" s="7" t="s">
        <v>235</v>
      </c>
      <c r="W6" s="13">
        <f t="shared" ref="W6:AC6" si="13">D6/M6</f>
        <v>0.0289203301330638</v>
      </c>
      <c r="X6" s="13">
        <f t="shared" si="13"/>
        <v>0.0275620188195039</v>
      </c>
      <c r="Y6" s="13">
        <f t="shared" si="13"/>
        <v>0.028322869955157</v>
      </c>
      <c r="Z6" s="13">
        <f t="shared" si="13"/>
        <v>0.0288286580742987</v>
      </c>
      <c r="AA6" s="13">
        <f t="shared" si="13"/>
        <v>0.0296102927465971</v>
      </c>
      <c r="AB6" s="16">
        <f t="shared" si="13"/>
        <v>0.0237622272385252</v>
      </c>
      <c r="AC6" s="16">
        <f t="shared" si="13"/>
        <v>0.0279271312345242</v>
      </c>
      <c r="AD6" s="5"/>
      <c r="AE6" s="5"/>
      <c r="AF6" s="13">
        <f t="shared" ref="AF6:AJ6" si="14">W6</f>
        <v>0.0289203301330638</v>
      </c>
      <c r="AG6" s="13">
        <f t="shared" si="14"/>
        <v>0.0275620188195039</v>
      </c>
      <c r="AH6" s="13">
        <f t="shared" si="14"/>
        <v>0.028322869955157</v>
      </c>
      <c r="AI6" s="13">
        <f t="shared" si="14"/>
        <v>0.0288286580742987</v>
      </c>
      <c r="AJ6" s="13">
        <f t="shared" si="14"/>
        <v>0.0296102927465971</v>
      </c>
      <c r="AK6" s="17">
        <f t="shared" si="3"/>
        <v>0.027326561324304</v>
      </c>
      <c r="AL6" s="17">
        <f t="shared" si="4"/>
        <v>0.0321162009197029</v>
      </c>
      <c r="AM6" s="5"/>
      <c r="AN6" s="5"/>
      <c r="AO6" s="13">
        <f t="shared" ref="AO6:AS6" si="15">W6</f>
        <v>0.0289203301330638</v>
      </c>
      <c r="AP6" s="13">
        <f t="shared" si="15"/>
        <v>0.0275620188195039</v>
      </c>
      <c r="AQ6" s="13">
        <f t="shared" si="15"/>
        <v>0.028322869955157</v>
      </c>
      <c r="AR6" s="13">
        <f t="shared" si="15"/>
        <v>0.0288286580742987</v>
      </c>
      <c r="AS6" s="13">
        <f t="shared" si="15"/>
        <v>0.0296102927465971</v>
      </c>
      <c r="AT6" s="17">
        <f t="shared" si="6"/>
        <v>0.0201978931527464</v>
      </c>
      <c r="AU6" s="17">
        <f t="shared" si="7"/>
        <v>0.0237380615493456</v>
      </c>
      <c r="AZ6" s="3"/>
      <c r="BA6" s="7" t="s">
        <v>235</v>
      </c>
      <c r="BB6" s="8">
        <v>198.6</v>
      </c>
      <c r="BC6" s="13">
        <v>171.7</v>
      </c>
      <c r="BD6" s="13">
        <v>161.1</v>
      </c>
      <c r="BE6" s="13">
        <v>157.9</v>
      </c>
      <c r="BF6" s="13">
        <v>152.1</v>
      </c>
      <c r="BG6" s="13">
        <v>158.8</v>
      </c>
      <c r="BH6" s="13">
        <v>157.9</v>
      </c>
      <c r="BI6" s="13">
        <v>157.9</v>
      </c>
      <c r="BJ6" s="5"/>
      <c r="BK6" s="5"/>
      <c r="BL6" s="11"/>
      <c r="BM6" s="11"/>
      <c r="BN6" s="11"/>
      <c r="BO6" s="11"/>
    </row>
    <row r="7" ht="15.5" spans="1:67">
      <c r="A7" s="3"/>
      <c r="B7" s="7" t="s">
        <v>236</v>
      </c>
      <c r="C7" s="8">
        <f t="shared" ref="C7:J7" si="16">BB7/1000</f>
        <v>0.487</v>
      </c>
      <c r="D7" s="8">
        <f t="shared" si="16"/>
        <v>0.4967</v>
      </c>
      <c r="E7" s="8">
        <f t="shared" si="16"/>
        <v>0.4758</v>
      </c>
      <c r="F7" s="8">
        <f t="shared" si="16"/>
        <v>0.4705</v>
      </c>
      <c r="G7" s="8">
        <f t="shared" si="16"/>
        <v>0.4665</v>
      </c>
      <c r="H7" s="8">
        <f t="shared" si="16"/>
        <v>0.496</v>
      </c>
      <c r="I7" s="8">
        <f t="shared" si="16"/>
        <v>0.4705</v>
      </c>
      <c r="J7" s="8">
        <f t="shared" si="16"/>
        <v>0.4705</v>
      </c>
      <c r="K7" s="5"/>
      <c r="L7" s="5"/>
      <c r="M7" s="11">
        <v>5.937</v>
      </c>
      <c r="N7" s="11">
        <v>5.845</v>
      </c>
      <c r="O7" s="11">
        <v>5.575</v>
      </c>
      <c r="P7" s="11">
        <v>5.276</v>
      </c>
      <c r="Q7" s="11">
        <v>5.363</v>
      </c>
      <c r="R7" s="11">
        <v>6.645</v>
      </c>
      <c r="S7" s="11">
        <v>5.654</v>
      </c>
      <c r="T7" s="11"/>
      <c r="U7" s="3"/>
      <c r="V7" s="7" t="s">
        <v>236</v>
      </c>
      <c r="W7" s="13">
        <f t="shared" ref="W7:AC7" si="17">D7/M7</f>
        <v>0.0836617820448038</v>
      </c>
      <c r="X7" s="13">
        <f t="shared" si="17"/>
        <v>0.0814029084687767</v>
      </c>
      <c r="Y7" s="13">
        <f t="shared" si="17"/>
        <v>0.0843946188340807</v>
      </c>
      <c r="Z7" s="13">
        <f t="shared" si="17"/>
        <v>0.0884192570128886</v>
      </c>
      <c r="AA7" s="13">
        <f t="shared" si="17"/>
        <v>0.092485549132948</v>
      </c>
      <c r="AB7" s="16">
        <f t="shared" si="17"/>
        <v>0.0708051166290444</v>
      </c>
      <c r="AC7" s="16">
        <f t="shared" si="17"/>
        <v>0.0832154227095861</v>
      </c>
      <c r="AD7" s="5"/>
      <c r="AE7" s="5"/>
      <c r="AF7" s="13">
        <f t="shared" ref="AF7:AJ7" si="18">W7</f>
        <v>0.0836617820448038</v>
      </c>
      <c r="AG7" s="13">
        <f t="shared" si="18"/>
        <v>0.0814029084687767</v>
      </c>
      <c r="AH7" s="13">
        <f t="shared" si="18"/>
        <v>0.0843946188340807</v>
      </c>
      <c r="AI7" s="13">
        <f t="shared" si="18"/>
        <v>0.0884192570128886</v>
      </c>
      <c r="AJ7" s="13">
        <f t="shared" si="18"/>
        <v>0.092485549132948</v>
      </c>
      <c r="AK7" s="17">
        <f t="shared" si="3"/>
        <v>0.0814258841234011</v>
      </c>
      <c r="AL7" s="17">
        <f t="shared" si="4"/>
        <v>0.0956977361160241</v>
      </c>
      <c r="AM7" s="5"/>
      <c r="AN7" s="5"/>
      <c r="AO7" s="13">
        <f t="shared" ref="AO7:AS7" si="19">W7</f>
        <v>0.0836617820448038</v>
      </c>
      <c r="AP7" s="13">
        <f t="shared" si="19"/>
        <v>0.0814029084687767</v>
      </c>
      <c r="AQ7" s="13">
        <f t="shared" si="19"/>
        <v>0.0843946188340807</v>
      </c>
      <c r="AR7" s="13">
        <f t="shared" si="19"/>
        <v>0.0884192570128886</v>
      </c>
      <c r="AS7" s="13">
        <f t="shared" si="19"/>
        <v>0.092485549132948</v>
      </c>
      <c r="AT7" s="17">
        <f t="shared" si="6"/>
        <v>0.0601843491346877</v>
      </c>
      <c r="AU7" s="17">
        <f t="shared" si="7"/>
        <v>0.0707331093031482</v>
      </c>
      <c r="AZ7" s="3"/>
      <c r="BA7" s="7" t="s">
        <v>236</v>
      </c>
      <c r="BB7" s="8">
        <v>487</v>
      </c>
      <c r="BC7" s="13">
        <v>496.7</v>
      </c>
      <c r="BD7" s="13">
        <v>475.8</v>
      </c>
      <c r="BE7" s="13">
        <v>470.5</v>
      </c>
      <c r="BF7" s="13">
        <v>466.5</v>
      </c>
      <c r="BG7" s="13">
        <v>496</v>
      </c>
      <c r="BH7" s="13">
        <v>470.5</v>
      </c>
      <c r="BI7" s="13">
        <v>470.5</v>
      </c>
      <c r="BJ7" s="5"/>
      <c r="BK7" s="5"/>
      <c r="BL7" s="11"/>
      <c r="BM7" s="11"/>
      <c r="BN7" s="11"/>
      <c r="BO7" s="11"/>
    </row>
    <row r="8" ht="15.5" spans="1:67">
      <c r="A8" s="3"/>
      <c r="B8" s="7" t="s">
        <v>237</v>
      </c>
      <c r="C8" s="8">
        <f t="shared" ref="C8:J8" si="20">BB8/1000</f>
        <v>0.0845</v>
      </c>
      <c r="D8" s="8">
        <f t="shared" si="20"/>
        <v>0.0773</v>
      </c>
      <c r="E8" s="8">
        <f t="shared" si="20"/>
        <v>0.0745</v>
      </c>
      <c r="F8" s="8">
        <f t="shared" si="20"/>
        <v>0.0736</v>
      </c>
      <c r="G8" s="8">
        <f t="shared" si="20"/>
        <v>0.0761</v>
      </c>
      <c r="H8" s="8">
        <f t="shared" si="20"/>
        <v>0.0789</v>
      </c>
      <c r="I8" s="8">
        <f t="shared" si="20"/>
        <v>0.0736</v>
      </c>
      <c r="J8" s="8">
        <f t="shared" si="20"/>
        <v>0.0736</v>
      </c>
      <c r="K8" s="5"/>
      <c r="L8" s="5"/>
      <c r="M8" s="11">
        <v>5.937</v>
      </c>
      <c r="N8" s="11">
        <v>5.845</v>
      </c>
      <c r="O8" s="11">
        <v>5.575</v>
      </c>
      <c r="P8" s="11">
        <v>5.276</v>
      </c>
      <c r="Q8" s="11">
        <v>5.363</v>
      </c>
      <c r="R8" s="11">
        <v>6.645</v>
      </c>
      <c r="S8" s="11">
        <v>5.654</v>
      </c>
      <c r="T8" s="11"/>
      <c r="U8" s="3"/>
      <c r="V8" s="7" t="s">
        <v>237</v>
      </c>
      <c r="W8" s="13">
        <f t="shared" ref="W8:AC8" si="21">D8/M8</f>
        <v>0.0130200437931615</v>
      </c>
      <c r="X8" s="13">
        <f t="shared" si="21"/>
        <v>0.0127459366980325</v>
      </c>
      <c r="Y8" s="13">
        <f t="shared" si="21"/>
        <v>0.0132017937219731</v>
      </c>
      <c r="Z8" s="13">
        <f t="shared" si="21"/>
        <v>0.0144238059135709</v>
      </c>
      <c r="AA8" s="13">
        <f t="shared" si="21"/>
        <v>0.0147119149729629</v>
      </c>
      <c r="AB8" s="16">
        <f t="shared" si="21"/>
        <v>0.0110759969902182</v>
      </c>
      <c r="AC8" s="16">
        <f t="shared" si="21"/>
        <v>0.0130173328616908</v>
      </c>
      <c r="AD8" s="5"/>
      <c r="AE8" s="5"/>
      <c r="AF8" s="13">
        <f t="shared" ref="AF8:AJ8" si="22">W8</f>
        <v>0.0130200437931615</v>
      </c>
      <c r="AG8" s="13">
        <f t="shared" si="22"/>
        <v>0.0127459366980325</v>
      </c>
      <c r="AH8" s="13">
        <f t="shared" si="22"/>
        <v>0.0132017937219731</v>
      </c>
      <c r="AI8" s="13">
        <f t="shared" si="22"/>
        <v>0.0144238059135709</v>
      </c>
      <c r="AJ8" s="13">
        <f t="shared" si="22"/>
        <v>0.0147119149729629</v>
      </c>
      <c r="AK8" s="17">
        <f t="shared" si="3"/>
        <v>0.0127373965387509</v>
      </c>
      <c r="AL8" s="17">
        <f t="shared" si="4"/>
        <v>0.0149699327909445</v>
      </c>
      <c r="AM8" s="5"/>
      <c r="AN8" s="5"/>
      <c r="AO8" s="13">
        <f t="shared" ref="AO8:AS8" si="23">W8</f>
        <v>0.0130200437931615</v>
      </c>
      <c r="AP8" s="13">
        <f t="shared" si="23"/>
        <v>0.0127459366980325</v>
      </c>
      <c r="AQ8" s="13">
        <f t="shared" si="23"/>
        <v>0.0132017937219731</v>
      </c>
      <c r="AR8" s="13">
        <f t="shared" si="23"/>
        <v>0.0144238059135709</v>
      </c>
      <c r="AS8" s="13">
        <f t="shared" si="23"/>
        <v>0.0147119149729629</v>
      </c>
      <c r="AT8" s="17">
        <f t="shared" si="6"/>
        <v>0.00941459744168548</v>
      </c>
      <c r="AU8" s="17">
        <f t="shared" si="7"/>
        <v>0.0110647329324372</v>
      </c>
      <c r="AZ8" s="3"/>
      <c r="BA8" s="7" t="s">
        <v>237</v>
      </c>
      <c r="BB8" s="8">
        <v>84.5</v>
      </c>
      <c r="BC8" s="13">
        <v>77.3</v>
      </c>
      <c r="BD8" s="13">
        <v>74.5</v>
      </c>
      <c r="BE8" s="13">
        <v>73.6</v>
      </c>
      <c r="BF8" s="13">
        <v>76.1</v>
      </c>
      <c r="BG8" s="13">
        <v>78.9</v>
      </c>
      <c r="BH8" s="13">
        <v>73.6</v>
      </c>
      <c r="BI8" s="13">
        <v>73.6</v>
      </c>
      <c r="BJ8" s="5"/>
      <c r="BK8" s="5"/>
      <c r="BL8" s="11"/>
      <c r="BM8" s="11"/>
      <c r="BN8" s="11"/>
      <c r="BO8" s="11"/>
    </row>
    <row r="9" ht="15.5" spans="1:67">
      <c r="A9" s="3" t="s">
        <v>238</v>
      </c>
      <c r="B9" s="7" t="s">
        <v>233</v>
      </c>
      <c r="C9" s="8">
        <f t="shared" ref="C9:J9" si="24">BB9/1000</f>
        <v>0.855</v>
      </c>
      <c r="D9" s="8">
        <f t="shared" si="24"/>
        <v>0.8241</v>
      </c>
      <c r="E9" s="8">
        <f t="shared" si="24"/>
        <v>0.7857</v>
      </c>
      <c r="F9" s="8">
        <f t="shared" si="24"/>
        <v>0.775</v>
      </c>
      <c r="G9" s="8">
        <f t="shared" si="24"/>
        <v>0.7702</v>
      </c>
      <c r="H9" s="8">
        <f t="shared" si="24"/>
        <v>0.8116</v>
      </c>
      <c r="I9" s="8">
        <f t="shared" si="24"/>
        <v>0.775</v>
      </c>
      <c r="J9" s="8">
        <f t="shared" si="24"/>
        <v>0.775</v>
      </c>
      <c r="K9" s="5"/>
      <c r="L9" s="5"/>
      <c r="M9" s="11">
        <v>5.937</v>
      </c>
      <c r="N9" s="11">
        <v>5.845</v>
      </c>
      <c r="O9" s="11">
        <v>5.575</v>
      </c>
      <c r="P9" s="11">
        <v>5.276</v>
      </c>
      <c r="Q9" s="11">
        <v>5.363</v>
      </c>
      <c r="R9" s="11">
        <v>6.645</v>
      </c>
      <c r="S9" s="11">
        <v>5.654</v>
      </c>
      <c r="T9" s="11"/>
      <c r="U9" s="3" t="s">
        <v>238</v>
      </c>
      <c r="V9" s="7" t="s">
        <v>233</v>
      </c>
      <c r="W9" s="13">
        <f t="shared" ref="W9:AC9" si="25">D9/M9</f>
        <v>0.138807478524507</v>
      </c>
      <c r="X9" s="13">
        <f t="shared" si="25"/>
        <v>0.134422583404619</v>
      </c>
      <c r="Y9" s="13">
        <f t="shared" si="25"/>
        <v>0.139013452914798</v>
      </c>
      <c r="Z9" s="13">
        <f t="shared" si="25"/>
        <v>0.145981804397271</v>
      </c>
      <c r="AA9" s="13">
        <f t="shared" si="25"/>
        <v>0.1513332090248</v>
      </c>
      <c r="AB9" s="16">
        <f t="shared" si="25"/>
        <v>0.116629044394281</v>
      </c>
      <c r="AC9" s="16">
        <f t="shared" si="25"/>
        <v>0.13707110010612</v>
      </c>
      <c r="AD9" s="5"/>
      <c r="AE9" s="5"/>
      <c r="AF9" s="13">
        <f t="shared" ref="AF9:AJ9" si="26">W9</f>
        <v>0.138807478524507</v>
      </c>
      <c r="AG9" s="13">
        <f t="shared" si="26"/>
        <v>0.134422583404619</v>
      </c>
      <c r="AH9" s="13">
        <f t="shared" si="26"/>
        <v>0.139013452914798</v>
      </c>
      <c r="AI9" s="13">
        <f t="shared" si="26"/>
        <v>0.145981804397271</v>
      </c>
      <c r="AJ9" s="13">
        <f t="shared" si="26"/>
        <v>0.1513332090248</v>
      </c>
      <c r="AK9" s="17">
        <f t="shared" si="3"/>
        <v>0.134123401053424</v>
      </c>
      <c r="AL9" s="17">
        <f t="shared" si="4"/>
        <v>0.157631765122037</v>
      </c>
      <c r="AM9" s="5"/>
      <c r="AN9" s="5"/>
      <c r="AO9" s="13">
        <f t="shared" ref="AO9:AS9" si="27">W9</f>
        <v>0.138807478524507</v>
      </c>
      <c r="AP9" s="13">
        <f t="shared" si="27"/>
        <v>0.134422583404619</v>
      </c>
      <c r="AQ9" s="13">
        <f t="shared" si="27"/>
        <v>0.139013452914798</v>
      </c>
      <c r="AR9" s="13">
        <f t="shared" si="27"/>
        <v>0.145981804397271</v>
      </c>
      <c r="AS9" s="13">
        <f t="shared" si="27"/>
        <v>0.1513332090248</v>
      </c>
      <c r="AT9" s="17">
        <f t="shared" si="6"/>
        <v>0.0991346877351392</v>
      </c>
      <c r="AU9" s="17">
        <f t="shared" si="7"/>
        <v>0.116510435090202</v>
      </c>
      <c r="AZ9" s="3" t="s">
        <v>238</v>
      </c>
      <c r="BA9" s="7" t="s">
        <v>233</v>
      </c>
      <c r="BB9" s="8">
        <v>855</v>
      </c>
      <c r="BC9" s="13">
        <v>824.1</v>
      </c>
      <c r="BD9" s="13">
        <v>785.7</v>
      </c>
      <c r="BE9" s="13">
        <v>775</v>
      </c>
      <c r="BF9" s="13">
        <v>770.2</v>
      </c>
      <c r="BG9" s="13">
        <v>811.6</v>
      </c>
      <c r="BH9" s="13">
        <v>775</v>
      </c>
      <c r="BI9" s="13">
        <v>775</v>
      </c>
      <c r="BJ9" s="5"/>
      <c r="BK9" s="5"/>
      <c r="BL9" s="11"/>
      <c r="BM9" s="11"/>
      <c r="BN9" s="11"/>
      <c r="BO9" s="11"/>
    </row>
    <row r="10" ht="15.5" spans="1:67">
      <c r="A10" s="3"/>
      <c r="B10" s="7" t="s">
        <v>234</v>
      </c>
      <c r="C10" s="8">
        <f t="shared" ref="C10:J10" si="28">BB10/1000</f>
        <v>0.7888</v>
      </c>
      <c r="D10" s="8">
        <f t="shared" si="28"/>
        <v>0.7626</v>
      </c>
      <c r="E10" s="8">
        <f t="shared" si="28"/>
        <v>0.7275</v>
      </c>
      <c r="F10" s="8">
        <f t="shared" si="28"/>
        <v>0.7179</v>
      </c>
      <c r="G10" s="8">
        <f t="shared" si="28"/>
        <v>0.7107</v>
      </c>
      <c r="H10" s="8">
        <f t="shared" si="28"/>
        <v>0.7503</v>
      </c>
      <c r="I10" s="8">
        <f t="shared" si="28"/>
        <v>0.7179</v>
      </c>
      <c r="J10" s="8">
        <f t="shared" si="28"/>
        <v>0.7179</v>
      </c>
      <c r="K10" s="5"/>
      <c r="L10" s="5"/>
      <c r="M10" s="11">
        <v>5.937</v>
      </c>
      <c r="N10" s="11">
        <v>5.845</v>
      </c>
      <c r="O10" s="11">
        <v>5.575</v>
      </c>
      <c r="P10" s="11">
        <v>5.276</v>
      </c>
      <c r="Q10" s="11">
        <v>5.363</v>
      </c>
      <c r="R10" s="11">
        <v>6.645</v>
      </c>
      <c r="S10" s="11">
        <v>5.654</v>
      </c>
      <c r="T10" s="11"/>
      <c r="U10" s="3"/>
      <c r="V10" s="7" t="s">
        <v>234</v>
      </c>
      <c r="W10" s="13">
        <f t="shared" ref="W10:AC10" si="29">D10/M10</f>
        <v>0.12844871147044</v>
      </c>
      <c r="X10" s="13">
        <f t="shared" si="29"/>
        <v>0.124465355004277</v>
      </c>
      <c r="Y10" s="13">
        <f t="shared" si="29"/>
        <v>0.12877130044843</v>
      </c>
      <c r="Z10" s="13">
        <f t="shared" si="29"/>
        <v>0.134704321455648</v>
      </c>
      <c r="AA10" s="13">
        <f t="shared" si="29"/>
        <v>0.139903039343651</v>
      </c>
      <c r="AB10" s="16">
        <f t="shared" si="29"/>
        <v>0.10803611738149</v>
      </c>
      <c r="AC10" s="16">
        <f t="shared" si="29"/>
        <v>0.126972055182172</v>
      </c>
      <c r="AD10" s="5"/>
      <c r="AE10" s="5"/>
      <c r="AF10" s="13">
        <f t="shared" ref="AF10:AJ10" si="30">W10</f>
        <v>0.12844871147044</v>
      </c>
      <c r="AG10" s="13">
        <f t="shared" si="30"/>
        <v>0.124465355004277</v>
      </c>
      <c r="AH10" s="13">
        <f t="shared" si="30"/>
        <v>0.12877130044843</v>
      </c>
      <c r="AI10" s="13">
        <f t="shared" si="30"/>
        <v>0.134704321455648</v>
      </c>
      <c r="AJ10" s="13">
        <f t="shared" si="30"/>
        <v>0.139903039343651</v>
      </c>
      <c r="AK10" s="17">
        <f t="shared" si="3"/>
        <v>0.124241534988713</v>
      </c>
      <c r="AL10" s="17">
        <f t="shared" si="4"/>
        <v>0.146017863459498</v>
      </c>
      <c r="AM10" s="5"/>
      <c r="AN10" s="5"/>
      <c r="AO10" s="13">
        <f t="shared" ref="AO10:AS10" si="31">W10</f>
        <v>0.12844871147044</v>
      </c>
      <c r="AP10" s="13">
        <f t="shared" si="31"/>
        <v>0.124465355004277</v>
      </c>
      <c r="AQ10" s="13">
        <f t="shared" si="31"/>
        <v>0.12877130044843</v>
      </c>
      <c r="AR10" s="13">
        <f t="shared" si="31"/>
        <v>0.134704321455648</v>
      </c>
      <c r="AS10" s="13">
        <f t="shared" si="31"/>
        <v>0.139903039343651</v>
      </c>
      <c r="AT10" s="17">
        <f t="shared" si="6"/>
        <v>0.0918306997742664</v>
      </c>
      <c r="AU10" s="17">
        <f t="shared" si="7"/>
        <v>0.107926246904846</v>
      </c>
      <c r="AZ10" s="3"/>
      <c r="BA10" s="7" t="s">
        <v>234</v>
      </c>
      <c r="BB10" s="8">
        <v>788.8</v>
      </c>
      <c r="BC10" s="13">
        <v>762.6</v>
      </c>
      <c r="BD10" s="13">
        <v>727.5</v>
      </c>
      <c r="BE10" s="13">
        <v>717.9</v>
      </c>
      <c r="BF10" s="13">
        <v>710.7</v>
      </c>
      <c r="BG10" s="13">
        <v>750.3</v>
      </c>
      <c r="BH10" s="13">
        <v>717.9</v>
      </c>
      <c r="BI10" s="13">
        <v>717.9</v>
      </c>
      <c r="BJ10" s="5"/>
      <c r="BK10" s="5"/>
      <c r="BL10" s="11"/>
      <c r="BM10" s="11"/>
      <c r="BN10" s="11"/>
      <c r="BO10" s="11"/>
    </row>
    <row r="11" ht="15.5" spans="1:67">
      <c r="A11" s="3"/>
      <c r="B11" s="7" t="s">
        <v>235</v>
      </c>
      <c r="C11" s="8">
        <f t="shared" ref="C11:J11" si="32">BB11/1000</f>
        <v>0.2381</v>
      </c>
      <c r="D11" s="8">
        <f t="shared" si="32"/>
        <v>0.2075</v>
      </c>
      <c r="E11" s="8">
        <f t="shared" si="32"/>
        <v>0.1951</v>
      </c>
      <c r="F11" s="8">
        <f t="shared" si="32"/>
        <v>0.1916</v>
      </c>
      <c r="G11" s="8">
        <f t="shared" si="32"/>
        <v>0.186</v>
      </c>
      <c r="H11" s="8">
        <f t="shared" si="32"/>
        <v>0.1938</v>
      </c>
      <c r="I11" s="8">
        <f t="shared" si="32"/>
        <v>0.1916</v>
      </c>
      <c r="J11" s="8">
        <f t="shared" si="32"/>
        <v>0.1916</v>
      </c>
      <c r="K11" s="5"/>
      <c r="L11" s="5"/>
      <c r="M11" s="11">
        <v>5.937</v>
      </c>
      <c r="N11" s="11">
        <v>5.845</v>
      </c>
      <c r="O11" s="11">
        <v>5.575</v>
      </c>
      <c r="P11" s="11">
        <v>5.276</v>
      </c>
      <c r="Q11" s="11">
        <v>5.363</v>
      </c>
      <c r="R11" s="11">
        <v>6.645</v>
      </c>
      <c r="S11" s="11">
        <v>5.654</v>
      </c>
      <c r="T11" s="11"/>
      <c r="U11" s="3"/>
      <c r="V11" s="7" t="s">
        <v>235</v>
      </c>
      <c r="W11" s="13">
        <f t="shared" ref="W11:AC11" si="33">D11/M11</f>
        <v>0.0349503116051878</v>
      </c>
      <c r="X11" s="13">
        <f t="shared" si="33"/>
        <v>0.0333789563729684</v>
      </c>
      <c r="Y11" s="13">
        <f t="shared" si="33"/>
        <v>0.0343677130044843</v>
      </c>
      <c r="Z11" s="13">
        <f t="shared" si="33"/>
        <v>0.035253980288097</v>
      </c>
      <c r="AA11" s="13">
        <f t="shared" si="33"/>
        <v>0.0361364907700914</v>
      </c>
      <c r="AB11" s="16">
        <f t="shared" si="33"/>
        <v>0.0288337095560572</v>
      </c>
      <c r="AC11" s="16">
        <f t="shared" si="33"/>
        <v>0.0338875132649452</v>
      </c>
      <c r="AD11" s="5"/>
      <c r="AE11" s="5"/>
      <c r="AF11" s="13">
        <f t="shared" ref="AF11:AJ11" si="34">W11</f>
        <v>0.0349503116051878</v>
      </c>
      <c r="AG11" s="13">
        <f t="shared" si="34"/>
        <v>0.0333789563729684</v>
      </c>
      <c r="AH11" s="13">
        <f t="shared" si="34"/>
        <v>0.0343677130044843</v>
      </c>
      <c r="AI11" s="13">
        <f t="shared" si="34"/>
        <v>0.035253980288097</v>
      </c>
      <c r="AJ11" s="13">
        <f t="shared" si="34"/>
        <v>0.0361364907700914</v>
      </c>
      <c r="AK11" s="17">
        <f t="shared" si="3"/>
        <v>0.0331587659894658</v>
      </c>
      <c r="AL11" s="17">
        <f t="shared" si="4"/>
        <v>0.0389706402546869</v>
      </c>
      <c r="AM11" s="5"/>
      <c r="AN11" s="5"/>
      <c r="AO11" s="13">
        <f t="shared" ref="AO11:AS11" si="35">W11</f>
        <v>0.0349503116051878</v>
      </c>
      <c r="AP11" s="13">
        <f t="shared" si="35"/>
        <v>0.0333789563729684</v>
      </c>
      <c r="AQ11" s="13">
        <f t="shared" si="35"/>
        <v>0.0343677130044843</v>
      </c>
      <c r="AR11" s="13">
        <f t="shared" si="35"/>
        <v>0.035253980288097</v>
      </c>
      <c r="AS11" s="13">
        <f t="shared" si="35"/>
        <v>0.0361364907700914</v>
      </c>
      <c r="AT11" s="17">
        <f t="shared" si="6"/>
        <v>0.0245086531226486</v>
      </c>
      <c r="AU11" s="17">
        <f t="shared" si="7"/>
        <v>0.0288043862752034</v>
      </c>
      <c r="AZ11" s="3"/>
      <c r="BA11" s="7" t="s">
        <v>235</v>
      </c>
      <c r="BB11" s="8">
        <v>238.1</v>
      </c>
      <c r="BC11" s="13">
        <v>207.5</v>
      </c>
      <c r="BD11" s="13">
        <v>195.1</v>
      </c>
      <c r="BE11" s="13">
        <v>191.6</v>
      </c>
      <c r="BF11" s="13">
        <v>186</v>
      </c>
      <c r="BG11" s="13">
        <v>193.8</v>
      </c>
      <c r="BH11" s="13">
        <v>191.6</v>
      </c>
      <c r="BI11" s="13">
        <v>191.6</v>
      </c>
      <c r="BJ11" s="5"/>
      <c r="BK11" s="5"/>
      <c r="BL11" s="11"/>
      <c r="BM11" s="11"/>
      <c r="BN11" s="11"/>
      <c r="BO11" s="11"/>
    </row>
    <row r="12" ht="15.5" spans="1:67">
      <c r="A12" s="3"/>
      <c r="B12" s="7" t="s">
        <v>236</v>
      </c>
      <c r="C12" s="8">
        <f t="shared" ref="C12:J12" si="36">BB12/1000</f>
        <v>0.4629</v>
      </c>
      <c r="D12" s="8">
        <f t="shared" si="36"/>
        <v>0.4749</v>
      </c>
      <c r="E12" s="8">
        <f t="shared" si="36"/>
        <v>0.4551</v>
      </c>
      <c r="F12" s="8">
        <f t="shared" si="36"/>
        <v>0.45</v>
      </c>
      <c r="G12" s="8">
        <f t="shared" si="36"/>
        <v>0.4459</v>
      </c>
      <c r="H12" s="8">
        <f t="shared" si="36"/>
        <v>0.4747</v>
      </c>
      <c r="I12" s="8">
        <f t="shared" si="36"/>
        <v>0.45</v>
      </c>
      <c r="J12" s="8">
        <f t="shared" si="36"/>
        <v>0.45</v>
      </c>
      <c r="K12" s="5"/>
      <c r="L12" s="5"/>
      <c r="M12" s="11">
        <v>5.937</v>
      </c>
      <c r="N12" s="11">
        <v>5.845</v>
      </c>
      <c r="O12" s="11">
        <v>5.575</v>
      </c>
      <c r="P12" s="11">
        <v>5.276</v>
      </c>
      <c r="Q12" s="11">
        <v>5.363</v>
      </c>
      <c r="R12" s="11">
        <v>6.645</v>
      </c>
      <c r="S12" s="11">
        <v>5.654</v>
      </c>
      <c r="T12" s="11"/>
      <c r="U12" s="3"/>
      <c r="V12" s="7" t="s">
        <v>236</v>
      </c>
      <c r="W12" s="13">
        <f t="shared" ref="W12:AC12" si="37">D12/M12</f>
        <v>0.0799898938858009</v>
      </c>
      <c r="X12" s="13">
        <f t="shared" si="37"/>
        <v>0.0778614200171086</v>
      </c>
      <c r="Y12" s="13">
        <f t="shared" si="37"/>
        <v>0.0807174887892377</v>
      </c>
      <c r="Z12" s="13">
        <f t="shared" si="37"/>
        <v>0.0845147839272176</v>
      </c>
      <c r="AA12" s="13">
        <f t="shared" si="37"/>
        <v>0.08851389147865</v>
      </c>
      <c r="AB12" s="16">
        <f t="shared" si="37"/>
        <v>0.0677200902934537</v>
      </c>
      <c r="AC12" s="16">
        <f t="shared" si="37"/>
        <v>0.0795896710293598</v>
      </c>
      <c r="AD12" s="5"/>
      <c r="AE12" s="5"/>
      <c r="AF12" s="13">
        <f t="shared" ref="AF12:AJ12" si="38">W12</f>
        <v>0.0799898938858009</v>
      </c>
      <c r="AG12" s="13">
        <f t="shared" si="38"/>
        <v>0.0778614200171086</v>
      </c>
      <c r="AH12" s="13">
        <f t="shared" si="38"/>
        <v>0.0807174887892377</v>
      </c>
      <c r="AI12" s="13">
        <f t="shared" si="38"/>
        <v>0.0845147839272176</v>
      </c>
      <c r="AJ12" s="13">
        <f t="shared" si="38"/>
        <v>0.08851389147865</v>
      </c>
      <c r="AK12" s="17">
        <f t="shared" si="3"/>
        <v>0.0778781038374718</v>
      </c>
      <c r="AL12" s="17">
        <f t="shared" si="4"/>
        <v>0.0915281216837637</v>
      </c>
      <c r="AM12" s="5"/>
      <c r="AN12" s="5"/>
      <c r="AO12" s="13">
        <f t="shared" ref="AO12:AS12" si="39">W12</f>
        <v>0.0799898938858009</v>
      </c>
      <c r="AP12" s="13">
        <f t="shared" si="39"/>
        <v>0.0778614200171086</v>
      </c>
      <c r="AQ12" s="13">
        <f t="shared" si="39"/>
        <v>0.0807174887892377</v>
      </c>
      <c r="AR12" s="13">
        <f t="shared" si="39"/>
        <v>0.0845147839272176</v>
      </c>
      <c r="AS12" s="13">
        <f t="shared" si="39"/>
        <v>0.08851389147865</v>
      </c>
      <c r="AT12" s="17">
        <f t="shared" si="6"/>
        <v>0.0575620767494357</v>
      </c>
      <c r="AU12" s="17">
        <f t="shared" si="7"/>
        <v>0.0676512203749558</v>
      </c>
      <c r="AZ12" s="3"/>
      <c r="BA12" s="7" t="s">
        <v>236</v>
      </c>
      <c r="BB12" s="8">
        <v>462.9</v>
      </c>
      <c r="BC12" s="13">
        <v>474.9</v>
      </c>
      <c r="BD12" s="13">
        <v>455.1</v>
      </c>
      <c r="BE12" s="13">
        <v>450</v>
      </c>
      <c r="BF12" s="13">
        <v>445.9</v>
      </c>
      <c r="BG12" s="13">
        <v>474.7</v>
      </c>
      <c r="BH12" s="13">
        <v>450</v>
      </c>
      <c r="BI12" s="13">
        <v>450</v>
      </c>
      <c r="BJ12" s="5"/>
      <c r="BK12" s="5"/>
      <c r="BL12" s="11"/>
      <c r="BM12" s="11"/>
      <c r="BN12" s="11"/>
      <c r="BO12" s="11"/>
    </row>
    <row r="13" ht="15.5" spans="1:67">
      <c r="A13" s="3"/>
      <c r="B13" s="7" t="s">
        <v>237</v>
      </c>
      <c r="C13" s="8">
        <f t="shared" ref="C13:J13" si="40">BB13/1000</f>
        <v>0.0877</v>
      </c>
      <c r="D13" s="8">
        <f t="shared" si="40"/>
        <v>0.0802</v>
      </c>
      <c r="E13" s="8">
        <f t="shared" si="40"/>
        <v>0.0772</v>
      </c>
      <c r="F13" s="8">
        <f t="shared" si="40"/>
        <v>0.0763</v>
      </c>
      <c r="G13" s="8">
        <f t="shared" si="40"/>
        <v>0.0789</v>
      </c>
      <c r="H13" s="8">
        <f t="shared" si="40"/>
        <v>0.0817</v>
      </c>
      <c r="I13" s="8">
        <f t="shared" si="40"/>
        <v>0.0763</v>
      </c>
      <c r="J13" s="8">
        <f t="shared" si="40"/>
        <v>0.0763</v>
      </c>
      <c r="K13" s="5"/>
      <c r="L13" s="5"/>
      <c r="M13" s="11">
        <v>5.937</v>
      </c>
      <c r="N13" s="11">
        <v>5.845</v>
      </c>
      <c r="O13" s="11">
        <v>5.575</v>
      </c>
      <c r="P13" s="11">
        <v>5.276</v>
      </c>
      <c r="Q13" s="11">
        <v>5.363</v>
      </c>
      <c r="R13" s="11">
        <v>6.645</v>
      </c>
      <c r="S13" s="11">
        <v>5.654</v>
      </c>
      <c r="T13" s="11"/>
      <c r="U13" s="3"/>
      <c r="V13" s="7" t="s">
        <v>237</v>
      </c>
      <c r="W13" s="13">
        <f t="shared" ref="W13:AC13" si="41">D13/M13</f>
        <v>0.0135085059794509</v>
      </c>
      <c r="X13" s="13">
        <f t="shared" si="41"/>
        <v>0.013207869974337</v>
      </c>
      <c r="Y13" s="13">
        <f t="shared" si="41"/>
        <v>0.0136860986547085</v>
      </c>
      <c r="Z13" s="13">
        <f t="shared" si="41"/>
        <v>0.0149545109931767</v>
      </c>
      <c r="AA13" s="13">
        <f t="shared" si="41"/>
        <v>0.0152340108148424</v>
      </c>
      <c r="AB13" s="16">
        <f t="shared" si="41"/>
        <v>0.0114823175319789</v>
      </c>
      <c r="AC13" s="16">
        <f t="shared" si="41"/>
        <v>0.013494870887867</v>
      </c>
      <c r="AD13" s="5"/>
      <c r="AE13" s="5"/>
      <c r="AF13" s="13">
        <f t="shared" ref="AF13:AJ13" si="42">W13</f>
        <v>0.0135085059794509</v>
      </c>
      <c r="AG13" s="13">
        <f t="shared" si="42"/>
        <v>0.013207869974337</v>
      </c>
      <c r="AH13" s="13">
        <f t="shared" si="42"/>
        <v>0.0136860986547085</v>
      </c>
      <c r="AI13" s="13">
        <f t="shared" si="42"/>
        <v>0.0149545109931767</v>
      </c>
      <c r="AJ13" s="13">
        <f t="shared" si="42"/>
        <v>0.0152340108148424</v>
      </c>
      <c r="AK13" s="17">
        <f t="shared" si="3"/>
        <v>0.0132046651617758</v>
      </c>
      <c r="AL13" s="17">
        <f t="shared" si="4"/>
        <v>0.015519101521047</v>
      </c>
      <c r="AM13" s="5"/>
      <c r="AN13" s="5"/>
      <c r="AO13" s="13">
        <f t="shared" ref="AO13:AS13" si="43">W13</f>
        <v>0.0135085059794509</v>
      </c>
      <c r="AP13" s="13">
        <f t="shared" si="43"/>
        <v>0.013207869974337</v>
      </c>
      <c r="AQ13" s="13">
        <f t="shared" si="43"/>
        <v>0.0136860986547085</v>
      </c>
      <c r="AR13" s="13">
        <f t="shared" si="43"/>
        <v>0.0149545109931767</v>
      </c>
      <c r="AS13" s="13">
        <f t="shared" si="43"/>
        <v>0.0152340108148424</v>
      </c>
      <c r="AT13" s="17">
        <f t="shared" si="6"/>
        <v>0.00975996990218209</v>
      </c>
      <c r="AU13" s="17">
        <f t="shared" si="7"/>
        <v>0.0114706402546869</v>
      </c>
      <c r="AZ13" s="3"/>
      <c r="BA13" s="7" t="s">
        <v>237</v>
      </c>
      <c r="BB13" s="8">
        <v>87.7</v>
      </c>
      <c r="BC13" s="13">
        <v>80.2</v>
      </c>
      <c r="BD13" s="13">
        <v>77.2</v>
      </c>
      <c r="BE13" s="13">
        <v>76.3</v>
      </c>
      <c r="BF13" s="13">
        <v>78.9</v>
      </c>
      <c r="BG13" s="13">
        <v>81.7</v>
      </c>
      <c r="BH13" s="13">
        <v>76.3</v>
      </c>
      <c r="BI13" s="13">
        <v>76.3</v>
      </c>
      <c r="BJ13" s="5"/>
      <c r="BK13" s="5"/>
      <c r="BL13" s="11"/>
      <c r="BM13" s="11"/>
      <c r="BN13" s="11"/>
      <c r="BO13" s="11"/>
    </row>
    <row r="14" ht="15.5" spans="1:67">
      <c r="A14" s="3" t="s">
        <v>11</v>
      </c>
      <c r="B14" s="7" t="s">
        <v>233</v>
      </c>
      <c r="C14" s="8">
        <f t="shared" ref="C14:J14" si="44">BB14/1000</f>
        <v>0.8705</v>
      </c>
      <c r="D14" s="8">
        <f t="shared" si="44"/>
        <v>0.8381</v>
      </c>
      <c r="E14" s="8">
        <f t="shared" si="44"/>
        <v>0.799</v>
      </c>
      <c r="F14" s="8">
        <f t="shared" si="44"/>
        <v>0.7882</v>
      </c>
      <c r="G14" s="8">
        <f t="shared" si="44"/>
        <v>0.7835</v>
      </c>
      <c r="H14" s="8">
        <f t="shared" si="44"/>
        <v>0.8253</v>
      </c>
      <c r="I14" s="8">
        <f t="shared" si="44"/>
        <v>0.7882</v>
      </c>
      <c r="J14" s="8">
        <f t="shared" si="44"/>
        <v>0.7882</v>
      </c>
      <c r="K14" s="5"/>
      <c r="L14" s="5"/>
      <c r="M14" s="11">
        <v>5.937</v>
      </c>
      <c r="N14" s="11">
        <v>5.845</v>
      </c>
      <c r="O14" s="11">
        <v>5.575</v>
      </c>
      <c r="P14" s="11">
        <v>5.276</v>
      </c>
      <c r="Q14" s="11">
        <v>5.363</v>
      </c>
      <c r="R14" s="11">
        <v>6.645</v>
      </c>
      <c r="S14" s="11">
        <v>5.654</v>
      </c>
      <c r="T14" s="11"/>
      <c r="U14" s="3" t="s">
        <v>11</v>
      </c>
      <c r="V14" s="7" t="s">
        <v>233</v>
      </c>
      <c r="W14" s="13">
        <f t="shared" ref="W14:AC14" si="45">D14/M14</f>
        <v>0.141165571837628</v>
      </c>
      <c r="X14" s="13">
        <f t="shared" si="45"/>
        <v>0.136698032506416</v>
      </c>
      <c r="Y14" s="13">
        <f t="shared" si="45"/>
        <v>0.141381165919283</v>
      </c>
      <c r="Z14" s="13">
        <f t="shared" si="45"/>
        <v>0.148502653525398</v>
      </c>
      <c r="AA14" s="13">
        <f t="shared" si="45"/>
        <v>0.153887749393996</v>
      </c>
      <c r="AB14" s="16">
        <f t="shared" si="45"/>
        <v>0.118615500376223</v>
      </c>
      <c r="AC14" s="16">
        <f t="shared" si="45"/>
        <v>0.139405730456314</v>
      </c>
      <c r="AD14" s="5"/>
      <c r="AE14" s="5"/>
      <c r="AF14" s="13">
        <f t="shared" ref="AF14:AJ14" si="46">W14</f>
        <v>0.141165571837628</v>
      </c>
      <c r="AG14" s="13">
        <f t="shared" si="46"/>
        <v>0.136698032506416</v>
      </c>
      <c r="AH14" s="13">
        <f t="shared" si="46"/>
        <v>0.141381165919283</v>
      </c>
      <c r="AI14" s="13">
        <f t="shared" si="46"/>
        <v>0.148502653525398</v>
      </c>
      <c r="AJ14" s="13">
        <f t="shared" si="46"/>
        <v>0.153887749393996</v>
      </c>
      <c r="AK14" s="17">
        <f t="shared" si="3"/>
        <v>0.136407825432656</v>
      </c>
      <c r="AL14" s="17">
        <f t="shared" si="4"/>
        <v>0.160316590024761</v>
      </c>
      <c r="AM14" s="5"/>
      <c r="AN14" s="5"/>
      <c r="AO14" s="13">
        <f t="shared" ref="AO14:AS14" si="47">W14</f>
        <v>0.141165571837628</v>
      </c>
      <c r="AP14" s="13">
        <f t="shared" si="47"/>
        <v>0.136698032506416</v>
      </c>
      <c r="AQ14" s="13">
        <f t="shared" si="47"/>
        <v>0.141381165919283</v>
      </c>
      <c r="AR14" s="13">
        <f t="shared" si="47"/>
        <v>0.148502653525398</v>
      </c>
      <c r="AS14" s="13">
        <f t="shared" si="47"/>
        <v>0.153887749393996</v>
      </c>
      <c r="AT14" s="17">
        <f t="shared" si="6"/>
        <v>0.100823175319789</v>
      </c>
      <c r="AU14" s="17">
        <f t="shared" si="7"/>
        <v>0.118494870887867</v>
      </c>
      <c r="AZ14" s="3" t="s">
        <v>11</v>
      </c>
      <c r="BA14" s="7" t="s">
        <v>233</v>
      </c>
      <c r="BB14" s="8">
        <v>870.5</v>
      </c>
      <c r="BC14" s="13">
        <v>838.1</v>
      </c>
      <c r="BD14" s="13">
        <v>799</v>
      </c>
      <c r="BE14" s="13">
        <v>788.2</v>
      </c>
      <c r="BF14" s="13">
        <v>783.5</v>
      </c>
      <c r="BG14" s="13">
        <v>825.3</v>
      </c>
      <c r="BH14" s="13">
        <v>788.2</v>
      </c>
      <c r="BI14" s="13">
        <v>788.2</v>
      </c>
      <c r="BJ14" s="5"/>
      <c r="BK14" s="5"/>
      <c r="BL14" s="11"/>
      <c r="BM14" s="11"/>
      <c r="BN14" s="11"/>
      <c r="BO14" s="11"/>
    </row>
    <row r="15" ht="15.5" spans="1:67">
      <c r="A15" s="3"/>
      <c r="B15" s="7" t="s">
        <v>234</v>
      </c>
      <c r="C15" s="8">
        <f t="shared" ref="C15:J15" si="48">BB15/1000</f>
        <v>0.8012</v>
      </c>
      <c r="D15" s="8">
        <f t="shared" si="48"/>
        <v>0.7738</v>
      </c>
      <c r="E15" s="8">
        <f t="shared" si="48"/>
        <v>0.7382</v>
      </c>
      <c r="F15" s="8">
        <f t="shared" si="48"/>
        <v>0.7285</v>
      </c>
      <c r="G15" s="8">
        <f t="shared" si="48"/>
        <v>0.7214</v>
      </c>
      <c r="H15" s="8">
        <f t="shared" si="48"/>
        <v>0.7613</v>
      </c>
      <c r="I15" s="8">
        <f t="shared" si="48"/>
        <v>0.7285</v>
      </c>
      <c r="J15" s="8">
        <f t="shared" si="48"/>
        <v>0.7285</v>
      </c>
      <c r="K15" s="5"/>
      <c r="L15" s="5"/>
      <c r="M15" s="11">
        <v>5.937</v>
      </c>
      <c r="N15" s="11">
        <v>5.845</v>
      </c>
      <c r="O15" s="11">
        <v>5.575</v>
      </c>
      <c r="P15" s="11">
        <v>5.276</v>
      </c>
      <c r="Q15" s="11">
        <v>5.363</v>
      </c>
      <c r="R15" s="11">
        <v>6.645</v>
      </c>
      <c r="S15" s="11">
        <v>5.654</v>
      </c>
      <c r="T15" s="11"/>
      <c r="U15" s="3"/>
      <c r="V15" s="7" t="s">
        <v>234</v>
      </c>
      <c r="W15" s="13">
        <f t="shared" ref="W15:AC15" si="49">D15/M15</f>
        <v>0.130335186120936</v>
      </c>
      <c r="X15" s="13">
        <f t="shared" si="49"/>
        <v>0.126295979469632</v>
      </c>
      <c r="Y15" s="13">
        <f t="shared" si="49"/>
        <v>0.13067264573991</v>
      </c>
      <c r="Z15" s="13">
        <f t="shared" si="49"/>
        <v>0.136732373009856</v>
      </c>
      <c r="AA15" s="13">
        <f t="shared" si="49"/>
        <v>0.141954130151035</v>
      </c>
      <c r="AB15" s="16">
        <f t="shared" si="49"/>
        <v>0.109631301730625</v>
      </c>
      <c r="AC15" s="16">
        <f t="shared" si="49"/>
        <v>0.128846834099752</v>
      </c>
      <c r="AD15" s="5"/>
      <c r="AE15" s="5"/>
      <c r="AF15" s="13">
        <f t="shared" ref="AF15:AJ15" si="50">W15</f>
        <v>0.130335186120936</v>
      </c>
      <c r="AG15" s="13">
        <f t="shared" si="50"/>
        <v>0.126295979469632</v>
      </c>
      <c r="AH15" s="13">
        <f t="shared" si="50"/>
        <v>0.13067264573991</v>
      </c>
      <c r="AI15" s="13">
        <f t="shared" si="50"/>
        <v>0.136732373009856</v>
      </c>
      <c r="AJ15" s="13">
        <f t="shared" si="50"/>
        <v>0.141954130151035</v>
      </c>
      <c r="AK15" s="17">
        <f t="shared" si="3"/>
        <v>0.126075996990218</v>
      </c>
      <c r="AL15" s="17">
        <f t="shared" si="4"/>
        <v>0.148173859214715</v>
      </c>
      <c r="AM15" s="5"/>
      <c r="AN15" s="5"/>
      <c r="AO15" s="13">
        <f t="shared" ref="AO15:AS15" si="51">W15</f>
        <v>0.130335186120936</v>
      </c>
      <c r="AP15" s="13">
        <f t="shared" si="51"/>
        <v>0.126295979469632</v>
      </c>
      <c r="AQ15" s="13">
        <f t="shared" si="51"/>
        <v>0.13067264573991</v>
      </c>
      <c r="AR15" s="13">
        <f t="shared" si="51"/>
        <v>0.136732373009856</v>
      </c>
      <c r="AS15" s="13">
        <f t="shared" si="51"/>
        <v>0.141954130151035</v>
      </c>
      <c r="AT15" s="17">
        <f t="shared" si="6"/>
        <v>0.0931866064710309</v>
      </c>
      <c r="AU15" s="17">
        <f t="shared" si="7"/>
        <v>0.10951980898479</v>
      </c>
      <c r="AZ15" s="3"/>
      <c r="BA15" s="7" t="s">
        <v>234</v>
      </c>
      <c r="BB15" s="8">
        <v>801.2</v>
      </c>
      <c r="BC15" s="13">
        <v>773.8</v>
      </c>
      <c r="BD15" s="13">
        <v>738.2</v>
      </c>
      <c r="BE15" s="13">
        <v>728.5</v>
      </c>
      <c r="BF15" s="13">
        <v>721.4</v>
      </c>
      <c r="BG15" s="13">
        <v>761.3</v>
      </c>
      <c r="BH15" s="13">
        <v>728.5</v>
      </c>
      <c r="BI15" s="13">
        <v>728.5</v>
      </c>
      <c r="BJ15" s="5"/>
      <c r="BK15" s="5"/>
      <c r="BL15" s="11"/>
      <c r="BM15" s="11"/>
      <c r="BN15" s="11"/>
      <c r="BO15" s="11"/>
    </row>
    <row r="16" ht="15.5" spans="1:67">
      <c r="A16" s="3"/>
      <c r="B16" s="7" t="s">
        <v>235</v>
      </c>
      <c r="C16" s="8">
        <f t="shared" ref="C16:J16" si="52">BB16/1000</f>
        <v>0.3021</v>
      </c>
      <c r="D16" s="8">
        <f t="shared" si="52"/>
        <v>0.2654</v>
      </c>
      <c r="E16" s="8">
        <f t="shared" si="52"/>
        <v>0.2502</v>
      </c>
      <c r="F16" s="8">
        <f t="shared" si="52"/>
        <v>0.246</v>
      </c>
      <c r="G16" s="8">
        <f t="shared" si="52"/>
        <v>0.2408</v>
      </c>
      <c r="H16" s="8">
        <f t="shared" si="52"/>
        <v>0.2506</v>
      </c>
      <c r="I16" s="8">
        <f t="shared" si="52"/>
        <v>0.246</v>
      </c>
      <c r="J16" s="8">
        <f t="shared" si="52"/>
        <v>0.246</v>
      </c>
      <c r="K16" s="5"/>
      <c r="L16" s="5"/>
      <c r="M16" s="11">
        <v>5.937</v>
      </c>
      <c r="N16" s="11">
        <v>5.845</v>
      </c>
      <c r="O16" s="11">
        <v>5.575</v>
      </c>
      <c r="P16" s="11">
        <v>5.276</v>
      </c>
      <c r="Q16" s="11">
        <v>5.363</v>
      </c>
      <c r="R16" s="11">
        <v>6.645</v>
      </c>
      <c r="S16" s="11">
        <v>5.654</v>
      </c>
      <c r="T16" s="11"/>
      <c r="U16" s="3"/>
      <c r="V16" s="7" t="s">
        <v>235</v>
      </c>
      <c r="W16" s="13">
        <f t="shared" ref="W16:AC16" si="53">D16/M16</f>
        <v>0.0447027118073101</v>
      </c>
      <c r="X16" s="13">
        <f t="shared" si="53"/>
        <v>0.0428058169375535</v>
      </c>
      <c r="Y16" s="13">
        <f t="shared" si="53"/>
        <v>0.0441255605381166</v>
      </c>
      <c r="Z16" s="13">
        <f t="shared" si="53"/>
        <v>0.0456406368460955</v>
      </c>
      <c r="AA16" s="13">
        <f t="shared" si="53"/>
        <v>0.0467275778482193</v>
      </c>
      <c r="AB16" s="16">
        <f t="shared" si="53"/>
        <v>0.037020316027088</v>
      </c>
      <c r="AC16" s="16">
        <f t="shared" si="53"/>
        <v>0.0435090201627167</v>
      </c>
      <c r="AD16" s="5"/>
      <c r="AE16" s="5"/>
      <c r="AF16" s="13">
        <f t="shared" ref="AF16:AJ16" si="54">W16</f>
        <v>0.0447027118073101</v>
      </c>
      <c r="AG16" s="13">
        <f t="shared" si="54"/>
        <v>0.0428058169375535</v>
      </c>
      <c r="AH16" s="13">
        <f t="shared" si="54"/>
        <v>0.0441255605381166</v>
      </c>
      <c r="AI16" s="13">
        <f t="shared" si="54"/>
        <v>0.0456406368460955</v>
      </c>
      <c r="AJ16" s="13">
        <f t="shared" si="54"/>
        <v>0.0467275778482193</v>
      </c>
      <c r="AK16" s="17">
        <f t="shared" si="3"/>
        <v>0.0425733634311512</v>
      </c>
      <c r="AL16" s="17">
        <f t="shared" si="4"/>
        <v>0.0500353731871242</v>
      </c>
      <c r="AM16" s="5"/>
      <c r="AN16" s="5"/>
      <c r="AO16" s="13">
        <f t="shared" ref="AO16:AS16" si="55">W16</f>
        <v>0.0447027118073101</v>
      </c>
      <c r="AP16" s="13">
        <f t="shared" si="55"/>
        <v>0.0428058169375535</v>
      </c>
      <c r="AQ16" s="13">
        <f t="shared" si="55"/>
        <v>0.0441255605381166</v>
      </c>
      <c r="AR16" s="13">
        <f t="shared" si="55"/>
        <v>0.0456406368460955</v>
      </c>
      <c r="AS16" s="13">
        <f t="shared" si="55"/>
        <v>0.0467275778482193</v>
      </c>
      <c r="AT16" s="17">
        <f t="shared" si="6"/>
        <v>0.0314672686230248</v>
      </c>
      <c r="AU16" s="17">
        <f t="shared" si="7"/>
        <v>0.0369826671383092</v>
      </c>
      <c r="AZ16" s="3"/>
      <c r="BA16" s="7" t="s">
        <v>235</v>
      </c>
      <c r="BB16" s="8">
        <v>302.1</v>
      </c>
      <c r="BC16" s="13">
        <v>265.4</v>
      </c>
      <c r="BD16" s="13">
        <v>250.2</v>
      </c>
      <c r="BE16" s="13">
        <v>246</v>
      </c>
      <c r="BF16" s="13">
        <v>240.8</v>
      </c>
      <c r="BG16" s="13">
        <v>250.6</v>
      </c>
      <c r="BH16" s="13">
        <v>246</v>
      </c>
      <c r="BI16" s="13">
        <v>246</v>
      </c>
      <c r="BJ16" s="5"/>
      <c r="BK16" s="5"/>
      <c r="BL16" s="11"/>
      <c r="BM16" s="11"/>
      <c r="BN16" s="11"/>
      <c r="BO16" s="11"/>
    </row>
    <row r="17" ht="15.5" spans="1:67">
      <c r="A17" s="3"/>
      <c r="B17" s="7" t="s">
        <v>236</v>
      </c>
      <c r="C17" s="8">
        <f t="shared" ref="C17:J17" si="56">BB17/1000</f>
        <v>0.4137</v>
      </c>
      <c r="D17" s="8">
        <f t="shared" si="56"/>
        <v>0.4304</v>
      </c>
      <c r="E17" s="8">
        <f t="shared" si="56"/>
        <v>0.4127</v>
      </c>
      <c r="F17" s="8">
        <f t="shared" si="56"/>
        <v>0.4081</v>
      </c>
      <c r="G17" s="8">
        <f t="shared" si="56"/>
        <v>0.4037</v>
      </c>
      <c r="H17" s="8">
        <f t="shared" si="56"/>
        <v>0.4311</v>
      </c>
      <c r="I17" s="8">
        <f t="shared" si="56"/>
        <v>0.4081</v>
      </c>
      <c r="J17" s="8">
        <f t="shared" si="56"/>
        <v>0.4081</v>
      </c>
      <c r="K17" s="5"/>
      <c r="L17" s="5"/>
      <c r="M17" s="11">
        <v>5.937</v>
      </c>
      <c r="N17" s="11">
        <v>5.845</v>
      </c>
      <c r="O17" s="11">
        <v>5.575</v>
      </c>
      <c r="P17" s="11">
        <v>5.276</v>
      </c>
      <c r="Q17" s="11">
        <v>5.363</v>
      </c>
      <c r="R17" s="11">
        <v>6.645</v>
      </c>
      <c r="S17" s="11">
        <v>5.654</v>
      </c>
      <c r="T17" s="11"/>
      <c r="U17" s="3"/>
      <c r="V17" s="7" t="s">
        <v>236</v>
      </c>
      <c r="W17" s="13">
        <f t="shared" ref="W17:AC17" si="57">D17/M17</f>
        <v>0.0724945258548088</v>
      </c>
      <c r="X17" s="13">
        <f t="shared" si="57"/>
        <v>0.0706073567151412</v>
      </c>
      <c r="Y17" s="13">
        <f t="shared" si="57"/>
        <v>0.0732017937219731</v>
      </c>
      <c r="Z17" s="13">
        <f t="shared" si="57"/>
        <v>0.076516300227445</v>
      </c>
      <c r="AA17" s="13">
        <f t="shared" si="57"/>
        <v>0.0803841133693828</v>
      </c>
      <c r="AB17" s="16">
        <f t="shared" si="57"/>
        <v>0.0614145974416855</v>
      </c>
      <c r="AC17" s="16">
        <f t="shared" si="57"/>
        <v>0.0721789883268483</v>
      </c>
      <c r="AD17" s="5"/>
      <c r="AE17" s="5"/>
      <c r="AF17" s="13">
        <f t="shared" ref="AF17:AJ17" si="58">W17</f>
        <v>0.0724945258548088</v>
      </c>
      <c r="AG17" s="13">
        <f t="shared" si="58"/>
        <v>0.0706073567151412</v>
      </c>
      <c r="AH17" s="13">
        <f t="shared" si="58"/>
        <v>0.0732017937219731</v>
      </c>
      <c r="AI17" s="13">
        <f t="shared" si="58"/>
        <v>0.076516300227445</v>
      </c>
      <c r="AJ17" s="13">
        <f t="shared" si="58"/>
        <v>0.0803841133693828</v>
      </c>
      <c r="AK17" s="17">
        <f t="shared" si="3"/>
        <v>0.0706267870579383</v>
      </c>
      <c r="AL17" s="17">
        <f t="shared" si="4"/>
        <v>0.0830058365758755</v>
      </c>
      <c r="AM17" s="5"/>
      <c r="AN17" s="5"/>
      <c r="AO17" s="13">
        <f t="shared" ref="AO17:AS17" si="59">W17</f>
        <v>0.0724945258548088</v>
      </c>
      <c r="AP17" s="13">
        <f t="shared" si="59"/>
        <v>0.0706073567151412</v>
      </c>
      <c r="AQ17" s="13">
        <f t="shared" si="59"/>
        <v>0.0732017937219731</v>
      </c>
      <c r="AR17" s="13">
        <f t="shared" si="59"/>
        <v>0.076516300227445</v>
      </c>
      <c r="AS17" s="13">
        <f t="shared" si="59"/>
        <v>0.0803841133693828</v>
      </c>
      <c r="AT17" s="17">
        <f t="shared" si="6"/>
        <v>0.0522024078254327</v>
      </c>
      <c r="AU17" s="17">
        <f t="shared" si="7"/>
        <v>0.061352140077821</v>
      </c>
      <c r="AZ17" s="3"/>
      <c r="BA17" s="7" t="s">
        <v>236</v>
      </c>
      <c r="BB17" s="8">
        <v>413.7</v>
      </c>
      <c r="BC17" s="13">
        <v>430.4</v>
      </c>
      <c r="BD17" s="13">
        <v>412.7</v>
      </c>
      <c r="BE17" s="13">
        <v>408.1</v>
      </c>
      <c r="BF17" s="13">
        <v>403.7</v>
      </c>
      <c r="BG17" s="13">
        <v>431.1</v>
      </c>
      <c r="BH17" s="13">
        <v>408.1</v>
      </c>
      <c r="BI17" s="13">
        <v>408.1</v>
      </c>
      <c r="BJ17" s="5"/>
      <c r="BK17" s="5"/>
      <c r="BL17" s="11"/>
      <c r="BM17" s="11"/>
      <c r="BN17" s="11"/>
      <c r="BO17" s="11"/>
    </row>
    <row r="18" ht="15.5" spans="1:67">
      <c r="A18" s="3"/>
      <c r="B18" s="7" t="s">
        <v>237</v>
      </c>
      <c r="C18" s="8">
        <f t="shared" ref="C18:J18" si="60">BB18/1000</f>
        <v>0.0853</v>
      </c>
      <c r="D18" s="8">
        <f t="shared" si="60"/>
        <v>0.0781</v>
      </c>
      <c r="E18" s="8">
        <f t="shared" si="60"/>
        <v>0.0752</v>
      </c>
      <c r="F18" s="8">
        <f t="shared" si="60"/>
        <v>0.0743</v>
      </c>
      <c r="G18" s="8">
        <f t="shared" si="60"/>
        <v>0.0768</v>
      </c>
      <c r="H18" s="8">
        <f t="shared" si="60"/>
        <v>0.0797</v>
      </c>
      <c r="I18" s="8">
        <f t="shared" si="60"/>
        <v>0.0743</v>
      </c>
      <c r="J18" s="8">
        <f t="shared" si="60"/>
        <v>0.0743</v>
      </c>
      <c r="K18" s="5"/>
      <c r="L18" s="5"/>
      <c r="M18" s="11">
        <v>5.937</v>
      </c>
      <c r="N18" s="11">
        <v>5.845</v>
      </c>
      <c r="O18" s="11">
        <v>5.575</v>
      </c>
      <c r="P18" s="11">
        <v>5.276</v>
      </c>
      <c r="Q18" s="11">
        <v>5.363</v>
      </c>
      <c r="R18" s="11">
        <v>6.645</v>
      </c>
      <c r="S18" s="11">
        <v>5.654</v>
      </c>
      <c r="T18" s="11"/>
      <c r="U18" s="3"/>
      <c r="V18" s="7" t="s">
        <v>237</v>
      </c>
      <c r="W18" s="13">
        <f t="shared" ref="W18:AC18" si="61">D18/M18</f>
        <v>0.0131547919824827</v>
      </c>
      <c r="X18" s="13">
        <f t="shared" si="61"/>
        <v>0.0128656971770744</v>
      </c>
      <c r="Y18" s="13">
        <f t="shared" si="61"/>
        <v>0.0133273542600897</v>
      </c>
      <c r="Z18" s="13">
        <f t="shared" si="61"/>
        <v>0.0145564821834723</v>
      </c>
      <c r="AA18" s="13">
        <f t="shared" si="61"/>
        <v>0.0148610852134999</v>
      </c>
      <c r="AB18" s="16">
        <f t="shared" si="61"/>
        <v>0.0111813393528969</v>
      </c>
      <c r="AC18" s="16">
        <f t="shared" si="61"/>
        <v>0.0131411390166254</v>
      </c>
      <c r="AD18" s="5"/>
      <c r="AE18" s="5"/>
      <c r="AF18" s="13">
        <f t="shared" ref="AF18:AJ18" si="62">W18</f>
        <v>0.0131547919824827</v>
      </c>
      <c r="AG18" s="13">
        <f t="shared" si="62"/>
        <v>0.0128656971770744</v>
      </c>
      <c r="AH18" s="13">
        <f t="shared" si="62"/>
        <v>0.0133273542600897</v>
      </c>
      <c r="AI18" s="13">
        <f t="shared" si="62"/>
        <v>0.0145564821834723</v>
      </c>
      <c r="AJ18" s="13">
        <f t="shared" si="62"/>
        <v>0.0148610852134999</v>
      </c>
      <c r="AK18" s="17">
        <f t="shared" si="3"/>
        <v>0.0128585402558315</v>
      </c>
      <c r="AL18" s="17">
        <f t="shared" si="4"/>
        <v>0.0151123098691192</v>
      </c>
      <c r="AM18" s="5"/>
      <c r="AN18" s="5"/>
      <c r="AO18" s="13">
        <f t="shared" ref="AO18:AS18" si="63">W18</f>
        <v>0.0131547919824827</v>
      </c>
      <c r="AP18" s="13">
        <f t="shared" si="63"/>
        <v>0.0128656971770744</v>
      </c>
      <c r="AQ18" s="13">
        <f t="shared" si="63"/>
        <v>0.0133273542600897</v>
      </c>
      <c r="AR18" s="13">
        <f t="shared" si="63"/>
        <v>0.0145564821834723</v>
      </c>
      <c r="AS18" s="13">
        <f t="shared" si="63"/>
        <v>0.0148610852134999</v>
      </c>
      <c r="AT18" s="17">
        <f t="shared" si="6"/>
        <v>0.00950413844996238</v>
      </c>
      <c r="AU18" s="17">
        <f t="shared" si="7"/>
        <v>0.0111699681641316</v>
      </c>
      <c r="AZ18" s="3"/>
      <c r="BA18" s="7" t="s">
        <v>237</v>
      </c>
      <c r="BB18" s="8">
        <v>85.3</v>
      </c>
      <c r="BC18" s="13">
        <v>78.1</v>
      </c>
      <c r="BD18" s="13">
        <v>75.2</v>
      </c>
      <c r="BE18" s="13">
        <v>74.3</v>
      </c>
      <c r="BF18" s="13">
        <v>76.8</v>
      </c>
      <c r="BG18" s="13">
        <v>79.7</v>
      </c>
      <c r="BH18" s="13">
        <v>74.3</v>
      </c>
      <c r="BI18" s="13">
        <v>74.3</v>
      </c>
      <c r="BJ18" s="5"/>
      <c r="BK18" s="5"/>
      <c r="BL18" s="11"/>
      <c r="BM18" s="11"/>
      <c r="BN18" s="11"/>
      <c r="BO18" s="11"/>
    </row>
    <row r="19" ht="15.5" spans="1:67">
      <c r="A19" s="5"/>
      <c r="B19" s="5"/>
      <c r="C19" s="4"/>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Z19" s="5"/>
      <c r="BA19" s="5"/>
      <c r="BB19" s="4"/>
      <c r="BC19" s="5"/>
      <c r="BD19" s="5"/>
      <c r="BE19" s="5"/>
      <c r="BF19" s="5"/>
      <c r="BG19" s="5"/>
      <c r="BH19" s="5"/>
      <c r="BI19" s="5"/>
      <c r="BJ19" s="5"/>
      <c r="BK19" s="5"/>
      <c r="BL19" s="5"/>
      <c r="BM19" s="5"/>
      <c r="BN19" s="5"/>
      <c r="BO19" s="5"/>
    </row>
    <row r="20" ht="15.5" spans="1:67">
      <c r="A20" s="5"/>
      <c r="B20" s="5"/>
      <c r="C20" s="4"/>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Z20" s="5"/>
      <c r="BA20" s="5"/>
      <c r="BB20" s="4"/>
      <c r="BC20" s="5"/>
      <c r="BD20" s="5"/>
      <c r="BE20" s="5"/>
      <c r="BF20" s="5"/>
      <c r="BG20" s="5"/>
      <c r="BH20" s="5"/>
      <c r="BI20" s="5"/>
      <c r="BJ20" s="5"/>
      <c r="BK20" s="5"/>
      <c r="BL20" s="5"/>
      <c r="BM20" s="5"/>
      <c r="BN20" s="5"/>
      <c r="BO20" s="5"/>
    </row>
    <row r="21" ht="15.5" spans="1:67">
      <c r="A21" s="3" t="s">
        <v>250</v>
      </c>
      <c r="B21" s="3"/>
      <c r="C21" s="3"/>
      <c r="D21" s="3"/>
      <c r="E21" s="3"/>
      <c r="F21" s="3"/>
      <c r="G21" s="3"/>
      <c r="H21" s="3"/>
      <c r="I21" s="3"/>
      <c r="J21" s="3"/>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Z21" s="3" t="s">
        <v>250</v>
      </c>
      <c r="BA21" s="3"/>
      <c r="BB21" s="3"/>
      <c r="BC21" s="3"/>
      <c r="BD21" s="3"/>
      <c r="BE21" s="3"/>
      <c r="BF21" s="3"/>
      <c r="BG21" s="3"/>
      <c r="BH21" s="3"/>
      <c r="BI21" s="3"/>
      <c r="BJ21" s="5"/>
      <c r="BK21" s="5"/>
      <c r="BL21" s="5"/>
      <c r="BM21" s="5"/>
      <c r="BN21" s="5"/>
      <c r="BO21" s="5"/>
    </row>
    <row r="22" ht="15.5" spans="1:67">
      <c r="A22" s="3" t="s">
        <v>221</v>
      </c>
      <c r="B22" s="3" t="s">
        <v>251</v>
      </c>
      <c r="C22" s="3" t="s">
        <v>223</v>
      </c>
      <c r="D22" s="3"/>
      <c r="E22" s="3"/>
      <c r="F22" s="3"/>
      <c r="G22" s="3"/>
      <c r="H22" s="3"/>
      <c r="I22" s="3"/>
      <c r="J22" s="3"/>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Z22" s="3" t="s">
        <v>221</v>
      </c>
      <c r="BA22" s="3" t="s">
        <v>251</v>
      </c>
      <c r="BB22" s="3" t="s">
        <v>223</v>
      </c>
      <c r="BC22" s="3"/>
      <c r="BD22" s="3"/>
      <c r="BE22" s="3"/>
      <c r="BF22" s="3"/>
      <c r="BG22" s="3"/>
      <c r="BH22" s="3"/>
      <c r="BI22" s="3"/>
      <c r="BJ22" s="5"/>
      <c r="BK22" s="5"/>
      <c r="BL22" s="5"/>
      <c r="BM22" s="5"/>
      <c r="BN22" s="5"/>
      <c r="BO22" s="5"/>
    </row>
    <row r="23" ht="30" spans="1:67">
      <c r="A23" s="3"/>
      <c r="B23" s="3"/>
      <c r="C23" s="4" t="s">
        <v>224</v>
      </c>
      <c r="D23" s="5" t="s">
        <v>225</v>
      </c>
      <c r="E23" s="5" t="s">
        <v>226</v>
      </c>
      <c r="F23" s="6" t="s">
        <v>227</v>
      </c>
      <c r="G23" s="5" t="s">
        <v>228</v>
      </c>
      <c r="H23" s="5" t="s">
        <v>229</v>
      </c>
      <c r="I23" s="5" t="s">
        <v>230</v>
      </c>
      <c r="J23" s="5" t="s">
        <v>231</v>
      </c>
      <c r="K23" s="5"/>
      <c r="L23" s="5"/>
      <c r="M23" s="5" t="s">
        <v>225</v>
      </c>
      <c r="N23" s="5" t="s">
        <v>226</v>
      </c>
      <c r="O23" s="5" t="s">
        <v>227</v>
      </c>
      <c r="P23" s="5" t="s">
        <v>228</v>
      </c>
      <c r="Q23" s="5" t="s">
        <v>229</v>
      </c>
      <c r="R23" s="5" t="s">
        <v>230</v>
      </c>
      <c r="S23" s="5" t="s">
        <v>231</v>
      </c>
      <c r="T23" s="5"/>
      <c r="U23" s="5"/>
      <c r="V23" s="12" t="s">
        <v>249</v>
      </c>
      <c r="W23" s="5" t="s">
        <v>225</v>
      </c>
      <c r="X23" s="5" t="s">
        <v>226</v>
      </c>
      <c r="Y23" s="6" t="s">
        <v>227</v>
      </c>
      <c r="Z23" s="5" t="s">
        <v>228</v>
      </c>
      <c r="AA23" s="5" t="s">
        <v>229</v>
      </c>
      <c r="AB23" s="15" t="s">
        <v>230</v>
      </c>
      <c r="AC23" s="15" t="s">
        <v>231</v>
      </c>
      <c r="AD23" s="5"/>
      <c r="AE23" s="5"/>
      <c r="AF23" s="5" t="s">
        <v>225</v>
      </c>
      <c r="AG23" s="5" t="s">
        <v>226</v>
      </c>
      <c r="AH23" s="6" t="s">
        <v>227</v>
      </c>
      <c r="AI23" s="5" t="s">
        <v>228</v>
      </c>
      <c r="AJ23" s="5" t="s">
        <v>229</v>
      </c>
      <c r="AK23" s="15" t="s">
        <v>230</v>
      </c>
      <c r="AL23" s="15" t="s">
        <v>231</v>
      </c>
      <c r="AM23" s="5"/>
      <c r="AN23" s="5"/>
      <c r="AO23" s="5" t="s">
        <v>225</v>
      </c>
      <c r="AP23" s="5" t="s">
        <v>226</v>
      </c>
      <c r="AQ23" s="6" t="s">
        <v>227</v>
      </c>
      <c r="AR23" s="5" t="s">
        <v>228</v>
      </c>
      <c r="AS23" s="5" t="s">
        <v>229</v>
      </c>
      <c r="AT23" s="15" t="s">
        <v>230</v>
      </c>
      <c r="AU23" s="15" t="s">
        <v>231</v>
      </c>
      <c r="AZ23" s="3"/>
      <c r="BA23" s="3"/>
      <c r="BB23" s="4" t="s">
        <v>224</v>
      </c>
      <c r="BC23" s="5" t="s">
        <v>225</v>
      </c>
      <c r="BD23" s="5" t="s">
        <v>226</v>
      </c>
      <c r="BE23" s="6" t="s">
        <v>227</v>
      </c>
      <c r="BF23" s="5" t="s">
        <v>228</v>
      </c>
      <c r="BG23" s="5" t="s">
        <v>229</v>
      </c>
      <c r="BH23" s="5" t="s">
        <v>230</v>
      </c>
      <c r="BI23" s="5" t="s">
        <v>231</v>
      </c>
      <c r="BJ23" s="5"/>
      <c r="BK23" s="5"/>
      <c r="BL23" s="5"/>
      <c r="BM23" s="5"/>
      <c r="BN23" s="5"/>
      <c r="BO23" s="5"/>
    </row>
    <row r="24" ht="15.5" spans="1:67">
      <c r="A24" s="3" t="s">
        <v>232</v>
      </c>
      <c r="B24" s="7" t="s">
        <v>233</v>
      </c>
      <c r="C24" s="8">
        <f t="shared" ref="C24:J24" si="64">BB24/1000</f>
        <v>0.8898</v>
      </c>
      <c r="D24" s="8">
        <f t="shared" si="64"/>
        <v>0.8432</v>
      </c>
      <c r="E24" s="8">
        <f t="shared" si="64"/>
        <v>0.8038</v>
      </c>
      <c r="F24" s="8">
        <f t="shared" si="64"/>
        <v>0.7946</v>
      </c>
      <c r="G24" s="8">
        <f t="shared" si="64"/>
        <v>0.7665</v>
      </c>
      <c r="H24" s="8">
        <f t="shared" si="64"/>
        <v>0.8066</v>
      </c>
      <c r="I24" s="8">
        <f t="shared" si="64"/>
        <v>0.7946</v>
      </c>
      <c r="J24" s="8">
        <f t="shared" si="64"/>
        <v>0.7946</v>
      </c>
      <c r="K24" s="5"/>
      <c r="L24" s="5"/>
      <c r="M24" s="10">
        <v>5.937</v>
      </c>
      <c r="N24" s="10">
        <v>5.845</v>
      </c>
      <c r="O24" s="10">
        <v>5.575</v>
      </c>
      <c r="P24" s="10">
        <v>5.276</v>
      </c>
      <c r="Q24" s="10">
        <v>5.363</v>
      </c>
      <c r="R24" s="10">
        <v>6.645</v>
      </c>
      <c r="S24" s="10">
        <v>5.654</v>
      </c>
      <c r="T24" s="10"/>
      <c r="U24" s="3" t="s">
        <v>232</v>
      </c>
      <c r="V24" s="7" t="s">
        <v>233</v>
      </c>
      <c r="W24" s="13">
        <f t="shared" ref="W24:AC24" si="65">D24/M24</f>
        <v>0.142024591544551</v>
      </c>
      <c r="X24" s="13">
        <f t="shared" si="65"/>
        <v>0.137519247219846</v>
      </c>
      <c r="Y24" s="13">
        <f t="shared" si="65"/>
        <v>0.142529147982063</v>
      </c>
      <c r="Z24" s="13">
        <f t="shared" si="65"/>
        <v>0.145280515542077</v>
      </c>
      <c r="AA24" s="13">
        <f t="shared" si="65"/>
        <v>0.150400895021443</v>
      </c>
      <c r="AB24" s="16">
        <f t="shared" si="65"/>
        <v>0.119578630549285</v>
      </c>
      <c r="AC24" s="16">
        <f t="shared" si="65"/>
        <v>0.140537672444287</v>
      </c>
      <c r="AD24" s="5"/>
      <c r="AE24" s="5"/>
      <c r="AF24" s="13">
        <f t="shared" ref="AF24:AJ24" si="66">W24</f>
        <v>0.142024591544551</v>
      </c>
      <c r="AG24" s="13">
        <f t="shared" si="66"/>
        <v>0.137519247219846</v>
      </c>
      <c r="AH24" s="13">
        <f t="shared" si="66"/>
        <v>0.142529147982063</v>
      </c>
      <c r="AI24" s="13">
        <f t="shared" si="66"/>
        <v>0.145280515542077</v>
      </c>
      <c r="AJ24" s="13">
        <f t="shared" si="66"/>
        <v>0.150400895021443</v>
      </c>
      <c r="AK24" s="17">
        <f t="shared" ref="AK24:AK38" si="67">AB24*1.15</f>
        <v>0.137515425131678</v>
      </c>
      <c r="AL24" s="17">
        <f t="shared" ref="AL24:AL38" si="68">AC24*1.15</f>
        <v>0.16161832331093</v>
      </c>
      <c r="AM24" s="5"/>
      <c r="AN24" s="5"/>
      <c r="AO24" s="13">
        <f t="shared" ref="AO24:AS24" si="69">W24</f>
        <v>0.142024591544551</v>
      </c>
      <c r="AP24" s="13">
        <f t="shared" si="69"/>
        <v>0.137519247219846</v>
      </c>
      <c r="AQ24" s="13">
        <f t="shared" si="69"/>
        <v>0.142529147982063</v>
      </c>
      <c r="AR24" s="13">
        <f t="shared" si="69"/>
        <v>0.145280515542077</v>
      </c>
      <c r="AS24" s="13">
        <f t="shared" si="69"/>
        <v>0.150400895021443</v>
      </c>
      <c r="AT24" s="17">
        <f t="shared" ref="AT24:AT38" si="70">AB24*0.85</f>
        <v>0.101641835966892</v>
      </c>
      <c r="AU24" s="17">
        <f t="shared" ref="AU24:AU38" si="71">AC24*0.85</f>
        <v>0.119457021577644</v>
      </c>
      <c r="AZ24" s="3" t="s">
        <v>232</v>
      </c>
      <c r="BA24" s="7" t="s">
        <v>233</v>
      </c>
      <c r="BB24" s="8">
        <v>889.8</v>
      </c>
      <c r="BC24" s="13">
        <v>843.2</v>
      </c>
      <c r="BD24" s="13">
        <v>803.8</v>
      </c>
      <c r="BE24" s="13">
        <v>794.6</v>
      </c>
      <c r="BF24" s="13">
        <v>766.5</v>
      </c>
      <c r="BG24" s="13">
        <v>806.6</v>
      </c>
      <c r="BH24" s="13">
        <v>794.6</v>
      </c>
      <c r="BI24" s="13">
        <v>794.6</v>
      </c>
      <c r="BJ24" s="5"/>
      <c r="BK24" s="5"/>
      <c r="BL24" s="10"/>
      <c r="BM24" s="10"/>
      <c r="BN24" s="10"/>
      <c r="BO24" s="10"/>
    </row>
    <row r="25" ht="15.5" spans="1:67">
      <c r="A25" s="3"/>
      <c r="B25" s="7" t="s">
        <v>234</v>
      </c>
      <c r="C25" s="8">
        <f t="shared" ref="C25:J25" si="72">BB25/1000</f>
        <v>0.8124</v>
      </c>
      <c r="D25" s="8">
        <f t="shared" si="72"/>
        <v>0.7746</v>
      </c>
      <c r="E25" s="8">
        <f t="shared" si="72"/>
        <v>0.739</v>
      </c>
      <c r="F25" s="8">
        <f t="shared" si="72"/>
        <v>0.7307</v>
      </c>
      <c r="G25" s="8">
        <f t="shared" si="72"/>
        <v>0.7045</v>
      </c>
      <c r="H25" s="8">
        <f t="shared" si="72"/>
        <v>0.7424</v>
      </c>
      <c r="I25" s="8">
        <f t="shared" si="72"/>
        <v>0.7307</v>
      </c>
      <c r="J25" s="8">
        <f t="shared" si="72"/>
        <v>0.7307</v>
      </c>
      <c r="K25" s="5"/>
      <c r="L25" s="5"/>
      <c r="M25" s="11">
        <v>5.937</v>
      </c>
      <c r="N25" s="11">
        <v>5.845</v>
      </c>
      <c r="O25" s="11">
        <v>5.575</v>
      </c>
      <c r="P25" s="11">
        <v>5.276</v>
      </c>
      <c r="Q25" s="11">
        <v>5.363</v>
      </c>
      <c r="R25" s="11">
        <v>6.645</v>
      </c>
      <c r="S25" s="11">
        <v>5.654</v>
      </c>
      <c r="T25" s="11"/>
      <c r="U25" s="3"/>
      <c r="V25" s="7" t="s">
        <v>234</v>
      </c>
      <c r="W25" s="13">
        <f t="shared" ref="W25:AC25" si="73">D25/M25</f>
        <v>0.130469934310258</v>
      </c>
      <c r="X25" s="13">
        <f t="shared" si="73"/>
        <v>0.126432848588537</v>
      </c>
      <c r="Y25" s="13">
        <f t="shared" si="73"/>
        <v>0.131067264573991</v>
      </c>
      <c r="Z25" s="13">
        <f t="shared" si="73"/>
        <v>0.133529188779378</v>
      </c>
      <c r="AA25" s="13">
        <f t="shared" si="73"/>
        <v>0.138429983218348</v>
      </c>
      <c r="AB25" s="16">
        <f t="shared" si="73"/>
        <v>0.109962377727615</v>
      </c>
      <c r="AC25" s="16">
        <f t="shared" si="73"/>
        <v>0.129235939158118</v>
      </c>
      <c r="AD25" s="5"/>
      <c r="AE25" s="5"/>
      <c r="AF25" s="13">
        <f t="shared" ref="AF25:AJ25" si="74">W25</f>
        <v>0.130469934310258</v>
      </c>
      <c r="AG25" s="13">
        <f t="shared" si="74"/>
        <v>0.126432848588537</v>
      </c>
      <c r="AH25" s="13">
        <f t="shared" si="74"/>
        <v>0.131067264573991</v>
      </c>
      <c r="AI25" s="13">
        <f t="shared" si="74"/>
        <v>0.133529188779378</v>
      </c>
      <c r="AJ25" s="13">
        <f t="shared" si="74"/>
        <v>0.138429983218348</v>
      </c>
      <c r="AK25" s="17">
        <f t="shared" si="67"/>
        <v>0.126456734386757</v>
      </c>
      <c r="AL25" s="17">
        <f t="shared" si="68"/>
        <v>0.148621330031836</v>
      </c>
      <c r="AM25" s="5"/>
      <c r="AN25" s="5"/>
      <c r="AO25" s="13">
        <f t="shared" ref="AO25:AS25" si="75">W25</f>
        <v>0.130469934310258</v>
      </c>
      <c r="AP25" s="13">
        <f t="shared" si="75"/>
        <v>0.126432848588537</v>
      </c>
      <c r="AQ25" s="13">
        <f t="shared" si="75"/>
        <v>0.131067264573991</v>
      </c>
      <c r="AR25" s="13">
        <f t="shared" si="75"/>
        <v>0.133529188779378</v>
      </c>
      <c r="AS25" s="13">
        <f t="shared" si="75"/>
        <v>0.138429983218348</v>
      </c>
      <c r="AT25" s="17">
        <f t="shared" si="70"/>
        <v>0.0934680210684725</v>
      </c>
      <c r="AU25" s="17">
        <f t="shared" si="71"/>
        <v>0.1098505482844</v>
      </c>
      <c r="AZ25" s="3"/>
      <c r="BA25" s="7" t="s">
        <v>234</v>
      </c>
      <c r="BB25" s="8">
        <v>812.4</v>
      </c>
      <c r="BC25" s="13">
        <v>774.6</v>
      </c>
      <c r="BD25" s="13">
        <v>739</v>
      </c>
      <c r="BE25" s="13">
        <v>730.7</v>
      </c>
      <c r="BF25" s="13">
        <v>704.5</v>
      </c>
      <c r="BG25" s="13">
        <v>742.4</v>
      </c>
      <c r="BH25" s="13">
        <v>730.7</v>
      </c>
      <c r="BI25" s="13">
        <v>730.7</v>
      </c>
      <c r="BJ25" s="5"/>
      <c r="BK25" s="5"/>
      <c r="BL25" s="11"/>
      <c r="BM25" s="11"/>
      <c r="BN25" s="11"/>
      <c r="BO25" s="11"/>
    </row>
    <row r="26" ht="15.5" spans="1:67">
      <c r="A26" s="3"/>
      <c r="B26" s="7" t="s">
        <v>235</v>
      </c>
      <c r="C26" s="8">
        <f t="shared" ref="C26:J26" si="76">BB26/1000</f>
        <v>0.1699</v>
      </c>
      <c r="D26" s="8">
        <f t="shared" si="76"/>
        <v>0.1497</v>
      </c>
      <c r="E26" s="8">
        <f t="shared" si="76"/>
        <v>0.1418</v>
      </c>
      <c r="F26" s="8">
        <f t="shared" si="76"/>
        <v>0.1399</v>
      </c>
      <c r="G26" s="8">
        <f t="shared" si="76"/>
        <v>0.1359</v>
      </c>
      <c r="H26" s="8">
        <f t="shared" si="76"/>
        <v>0.1408</v>
      </c>
      <c r="I26" s="8">
        <f t="shared" si="76"/>
        <v>0.1399</v>
      </c>
      <c r="J26" s="8">
        <f t="shared" si="76"/>
        <v>0.1399</v>
      </c>
      <c r="K26" s="5"/>
      <c r="L26" s="5"/>
      <c r="M26" s="11">
        <v>5.937</v>
      </c>
      <c r="N26" s="11">
        <v>5.845</v>
      </c>
      <c r="O26" s="11">
        <v>5.575</v>
      </c>
      <c r="P26" s="11">
        <v>5.276</v>
      </c>
      <c r="Q26" s="11">
        <v>5.363</v>
      </c>
      <c r="R26" s="11">
        <v>6.645</v>
      </c>
      <c r="S26" s="11">
        <v>5.654</v>
      </c>
      <c r="T26" s="11"/>
      <c r="U26" s="3"/>
      <c r="V26" s="7" t="s">
        <v>235</v>
      </c>
      <c r="W26" s="13">
        <f t="shared" ref="W26:AC26" si="77">D26/M26</f>
        <v>0.0252147549267307</v>
      </c>
      <c r="X26" s="13">
        <f t="shared" si="77"/>
        <v>0.0242600513259196</v>
      </c>
      <c r="Y26" s="13">
        <f t="shared" si="77"/>
        <v>0.0250941704035874</v>
      </c>
      <c r="Z26" s="13">
        <f t="shared" si="77"/>
        <v>0.0257581501137225</v>
      </c>
      <c r="AA26" s="13">
        <f t="shared" si="77"/>
        <v>0.0262539623345143</v>
      </c>
      <c r="AB26" s="16">
        <f t="shared" si="77"/>
        <v>0.0210534236267871</v>
      </c>
      <c r="AC26" s="16">
        <f t="shared" si="77"/>
        <v>0.0247435443933498</v>
      </c>
      <c r="AD26" s="5"/>
      <c r="AE26" s="5"/>
      <c r="AF26" s="13">
        <f t="shared" ref="AF26:AJ26" si="78">W26</f>
        <v>0.0252147549267307</v>
      </c>
      <c r="AG26" s="13">
        <f t="shared" si="78"/>
        <v>0.0242600513259196</v>
      </c>
      <c r="AH26" s="13">
        <f t="shared" si="78"/>
        <v>0.0250941704035874</v>
      </c>
      <c r="AI26" s="13">
        <f t="shared" si="78"/>
        <v>0.0257581501137225</v>
      </c>
      <c r="AJ26" s="13">
        <f t="shared" si="78"/>
        <v>0.0262539623345143</v>
      </c>
      <c r="AK26" s="17">
        <f t="shared" si="67"/>
        <v>0.0242114371708051</v>
      </c>
      <c r="AL26" s="17">
        <f t="shared" si="68"/>
        <v>0.0284550760523523</v>
      </c>
      <c r="AM26" s="5"/>
      <c r="AN26" s="5"/>
      <c r="AO26" s="13">
        <f t="shared" ref="AO26:AS26" si="79">W26</f>
        <v>0.0252147549267307</v>
      </c>
      <c r="AP26" s="13">
        <f t="shared" si="79"/>
        <v>0.0242600513259196</v>
      </c>
      <c r="AQ26" s="13">
        <f t="shared" si="79"/>
        <v>0.0250941704035874</v>
      </c>
      <c r="AR26" s="13">
        <f t="shared" si="79"/>
        <v>0.0257581501137225</v>
      </c>
      <c r="AS26" s="13">
        <f t="shared" si="79"/>
        <v>0.0262539623345143</v>
      </c>
      <c r="AT26" s="17">
        <f t="shared" si="70"/>
        <v>0.017895410082769</v>
      </c>
      <c r="AU26" s="17">
        <f t="shared" si="71"/>
        <v>0.0210320127343474</v>
      </c>
      <c r="AZ26" s="3"/>
      <c r="BA26" s="7" t="s">
        <v>235</v>
      </c>
      <c r="BB26" s="8">
        <v>169.9</v>
      </c>
      <c r="BC26" s="13">
        <v>149.7</v>
      </c>
      <c r="BD26" s="13">
        <v>141.8</v>
      </c>
      <c r="BE26" s="13">
        <v>139.9</v>
      </c>
      <c r="BF26" s="13">
        <v>135.9</v>
      </c>
      <c r="BG26" s="13">
        <v>140.8</v>
      </c>
      <c r="BH26" s="13">
        <v>139.9</v>
      </c>
      <c r="BI26" s="13">
        <v>139.9</v>
      </c>
      <c r="BJ26" s="5"/>
      <c r="BK26" s="5"/>
      <c r="BL26" s="11"/>
      <c r="BM26" s="11"/>
      <c r="BN26" s="11"/>
      <c r="BO26" s="11"/>
    </row>
    <row r="27" ht="15.5" spans="1:67">
      <c r="A27" s="3"/>
      <c r="B27" s="7" t="s">
        <v>236</v>
      </c>
      <c r="C27" s="8">
        <f t="shared" ref="C27:J27" si="80">BB27/1000</f>
        <v>0.5978</v>
      </c>
      <c r="D27" s="8">
        <f t="shared" si="80"/>
        <v>0.5807</v>
      </c>
      <c r="E27" s="8">
        <f t="shared" si="80"/>
        <v>0.554</v>
      </c>
      <c r="F27" s="8">
        <f t="shared" si="80"/>
        <v>0.5478</v>
      </c>
      <c r="G27" s="8">
        <f t="shared" si="80"/>
        <v>0.526</v>
      </c>
      <c r="H27" s="8">
        <f t="shared" si="80"/>
        <v>0.5575</v>
      </c>
      <c r="I27" s="8">
        <f t="shared" si="80"/>
        <v>0.5478</v>
      </c>
      <c r="J27" s="8">
        <f t="shared" si="80"/>
        <v>0.5478</v>
      </c>
      <c r="K27" s="5"/>
      <c r="L27" s="5"/>
      <c r="M27" s="11">
        <v>5.937</v>
      </c>
      <c r="N27" s="11">
        <v>5.845</v>
      </c>
      <c r="O27" s="11">
        <v>5.575</v>
      </c>
      <c r="P27" s="11">
        <v>5.276</v>
      </c>
      <c r="Q27" s="11">
        <v>5.363</v>
      </c>
      <c r="R27" s="11">
        <v>6.645</v>
      </c>
      <c r="S27" s="11">
        <v>5.654</v>
      </c>
      <c r="T27" s="11"/>
      <c r="U27" s="3"/>
      <c r="V27" s="7" t="s">
        <v>236</v>
      </c>
      <c r="W27" s="13">
        <f t="shared" ref="W27:AC27" si="81">D27/M27</f>
        <v>0.0978103419235304</v>
      </c>
      <c r="X27" s="13">
        <f t="shared" si="81"/>
        <v>0.0947818648417451</v>
      </c>
      <c r="Y27" s="13">
        <f t="shared" si="81"/>
        <v>0.0982600896860986</v>
      </c>
      <c r="Z27" s="13">
        <f t="shared" si="81"/>
        <v>0.099696739954511</v>
      </c>
      <c r="AA27" s="13">
        <f t="shared" si="81"/>
        <v>0.103953011374231</v>
      </c>
      <c r="AB27" s="16">
        <f t="shared" si="81"/>
        <v>0.0824379232505643</v>
      </c>
      <c r="AC27" s="16">
        <f t="shared" si="81"/>
        <v>0.0968871595330739</v>
      </c>
      <c r="AD27" s="5"/>
      <c r="AE27" s="5"/>
      <c r="AF27" s="13">
        <f t="shared" ref="AF27:AJ27" si="82">W27</f>
        <v>0.0978103419235304</v>
      </c>
      <c r="AG27" s="13">
        <f t="shared" si="82"/>
        <v>0.0947818648417451</v>
      </c>
      <c r="AH27" s="13">
        <f t="shared" si="82"/>
        <v>0.0982600896860986</v>
      </c>
      <c r="AI27" s="13">
        <f t="shared" si="82"/>
        <v>0.099696739954511</v>
      </c>
      <c r="AJ27" s="13">
        <f t="shared" si="82"/>
        <v>0.103953011374231</v>
      </c>
      <c r="AK27" s="17">
        <f t="shared" si="67"/>
        <v>0.094803611738149</v>
      </c>
      <c r="AL27" s="17">
        <f t="shared" si="68"/>
        <v>0.111420233463035</v>
      </c>
      <c r="AM27" s="5"/>
      <c r="AN27" s="5"/>
      <c r="AO27" s="13">
        <f t="shared" ref="AO27:AS27" si="83">W27</f>
        <v>0.0978103419235304</v>
      </c>
      <c r="AP27" s="13">
        <f t="shared" si="83"/>
        <v>0.0947818648417451</v>
      </c>
      <c r="AQ27" s="13">
        <f t="shared" si="83"/>
        <v>0.0982600896860986</v>
      </c>
      <c r="AR27" s="13">
        <f t="shared" si="83"/>
        <v>0.099696739954511</v>
      </c>
      <c r="AS27" s="13">
        <f t="shared" si="83"/>
        <v>0.103953011374231</v>
      </c>
      <c r="AT27" s="17">
        <f t="shared" si="70"/>
        <v>0.0700722347629797</v>
      </c>
      <c r="AU27" s="17">
        <f t="shared" si="71"/>
        <v>0.0823540856031128</v>
      </c>
      <c r="AZ27" s="3"/>
      <c r="BA27" s="7" t="s">
        <v>236</v>
      </c>
      <c r="BB27" s="8">
        <v>597.8</v>
      </c>
      <c r="BC27" s="13">
        <v>580.7</v>
      </c>
      <c r="BD27" s="13">
        <v>554</v>
      </c>
      <c r="BE27" s="13">
        <v>547.8</v>
      </c>
      <c r="BF27" s="13">
        <v>526</v>
      </c>
      <c r="BG27" s="13">
        <v>557.5</v>
      </c>
      <c r="BH27" s="13">
        <v>547.8</v>
      </c>
      <c r="BI27" s="13">
        <v>547.8</v>
      </c>
      <c r="BJ27" s="5"/>
      <c r="BK27" s="5"/>
      <c r="BL27" s="11"/>
      <c r="BM27" s="11"/>
      <c r="BN27" s="11"/>
      <c r="BO27" s="11"/>
    </row>
    <row r="28" ht="15.5" spans="1:67">
      <c r="A28" s="3"/>
      <c r="B28" s="7" t="s">
        <v>237</v>
      </c>
      <c r="C28" s="8">
        <f t="shared" ref="C28:J28" si="84">BB28/1000</f>
        <v>0.085</v>
      </c>
      <c r="D28" s="8">
        <f t="shared" si="84"/>
        <v>0.0786</v>
      </c>
      <c r="E28" s="8">
        <f t="shared" si="84"/>
        <v>0.0763</v>
      </c>
      <c r="F28" s="8">
        <f t="shared" si="84"/>
        <v>0.0759</v>
      </c>
      <c r="G28" s="8">
        <f t="shared" si="84"/>
        <v>0.0737</v>
      </c>
      <c r="H28" s="8">
        <f t="shared" si="84"/>
        <v>0.076</v>
      </c>
      <c r="I28" s="8">
        <f t="shared" si="84"/>
        <v>0.0759</v>
      </c>
      <c r="J28" s="8">
        <f t="shared" si="84"/>
        <v>0.0759</v>
      </c>
      <c r="K28" s="5"/>
      <c r="L28" s="5"/>
      <c r="M28" s="11">
        <v>5.937</v>
      </c>
      <c r="N28" s="11">
        <v>5.845</v>
      </c>
      <c r="O28" s="11">
        <v>5.575</v>
      </c>
      <c r="P28" s="11">
        <v>5.276</v>
      </c>
      <c r="Q28" s="11">
        <v>5.363</v>
      </c>
      <c r="R28" s="11">
        <v>6.645</v>
      </c>
      <c r="S28" s="11">
        <v>5.654</v>
      </c>
      <c r="T28" s="11"/>
      <c r="U28" s="3"/>
      <c r="V28" s="7" t="s">
        <v>237</v>
      </c>
      <c r="W28" s="13">
        <f t="shared" ref="W28:AC28" si="85">D28/M28</f>
        <v>0.0132390096008085</v>
      </c>
      <c r="X28" s="13">
        <f t="shared" si="85"/>
        <v>0.0130538922155689</v>
      </c>
      <c r="Y28" s="13">
        <f t="shared" si="85"/>
        <v>0.0136143497757848</v>
      </c>
      <c r="Z28" s="13">
        <f t="shared" si="85"/>
        <v>0.0139689158453374</v>
      </c>
      <c r="AA28" s="13">
        <f t="shared" si="85"/>
        <v>0.0141711728510162</v>
      </c>
      <c r="AB28" s="16">
        <f t="shared" si="85"/>
        <v>0.0114221218961625</v>
      </c>
      <c r="AC28" s="16">
        <f t="shared" si="85"/>
        <v>0.0134241245136187</v>
      </c>
      <c r="AD28" s="5"/>
      <c r="AE28" s="5"/>
      <c r="AF28" s="13">
        <f t="shared" ref="AF28:AJ28" si="86">W28</f>
        <v>0.0132390096008085</v>
      </c>
      <c r="AG28" s="13">
        <f t="shared" si="86"/>
        <v>0.0130538922155689</v>
      </c>
      <c r="AH28" s="13">
        <f t="shared" si="86"/>
        <v>0.0136143497757848</v>
      </c>
      <c r="AI28" s="13">
        <f t="shared" si="86"/>
        <v>0.0139689158453374</v>
      </c>
      <c r="AJ28" s="13">
        <f t="shared" si="86"/>
        <v>0.0141711728510162</v>
      </c>
      <c r="AK28" s="17">
        <f t="shared" si="67"/>
        <v>0.0131354401805869</v>
      </c>
      <c r="AL28" s="17">
        <f t="shared" si="68"/>
        <v>0.0154377431906615</v>
      </c>
      <c r="AM28" s="5"/>
      <c r="AN28" s="5"/>
      <c r="AO28" s="13">
        <f t="shared" ref="AO28:AS28" si="87">W28</f>
        <v>0.0132390096008085</v>
      </c>
      <c r="AP28" s="13">
        <f t="shared" si="87"/>
        <v>0.0130538922155689</v>
      </c>
      <c r="AQ28" s="13">
        <f t="shared" si="87"/>
        <v>0.0136143497757848</v>
      </c>
      <c r="AR28" s="13">
        <f t="shared" si="87"/>
        <v>0.0139689158453374</v>
      </c>
      <c r="AS28" s="13">
        <f t="shared" si="87"/>
        <v>0.0141711728510162</v>
      </c>
      <c r="AT28" s="17">
        <f t="shared" si="70"/>
        <v>0.00970880361173815</v>
      </c>
      <c r="AU28" s="17">
        <f t="shared" si="71"/>
        <v>0.0114105058365759</v>
      </c>
      <c r="AZ28" s="3"/>
      <c r="BA28" s="7" t="s">
        <v>237</v>
      </c>
      <c r="BB28" s="8">
        <v>85</v>
      </c>
      <c r="BC28" s="13">
        <v>78.6</v>
      </c>
      <c r="BD28" s="13">
        <v>76.3</v>
      </c>
      <c r="BE28" s="13">
        <v>75.9</v>
      </c>
      <c r="BF28" s="13">
        <v>73.7</v>
      </c>
      <c r="BG28" s="13">
        <v>76</v>
      </c>
      <c r="BH28" s="13">
        <v>75.9</v>
      </c>
      <c r="BI28" s="13">
        <v>75.9</v>
      </c>
      <c r="BJ28" s="5"/>
      <c r="BK28" s="5"/>
      <c r="BL28" s="11"/>
      <c r="BM28" s="11"/>
      <c r="BN28" s="11"/>
      <c r="BO28" s="11"/>
    </row>
    <row r="29" ht="15.5" spans="1:67">
      <c r="A29" s="3" t="s">
        <v>238</v>
      </c>
      <c r="B29" s="7" t="s">
        <v>233</v>
      </c>
      <c r="C29" s="8">
        <f t="shared" ref="C29:J29" si="88">BB29/1000</f>
        <v>0.9068</v>
      </c>
      <c r="D29" s="8">
        <f t="shared" si="88"/>
        <v>0.8586</v>
      </c>
      <c r="E29" s="8">
        <f t="shared" si="88"/>
        <v>0.8184</v>
      </c>
      <c r="F29" s="8">
        <f t="shared" si="88"/>
        <v>0.8091</v>
      </c>
      <c r="G29" s="8">
        <f t="shared" si="88"/>
        <v>0.7811</v>
      </c>
      <c r="H29" s="8">
        <f t="shared" si="88"/>
        <v>0.8217</v>
      </c>
      <c r="I29" s="8">
        <f t="shared" si="88"/>
        <v>0.8091</v>
      </c>
      <c r="J29" s="8">
        <f t="shared" si="88"/>
        <v>0.8091</v>
      </c>
      <c r="K29" s="5"/>
      <c r="L29" s="5"/>
      <c r="M29" s="11">
        <v>5.937</v>
      </c>
      <c r="N29" s="11">
        <v>5.845</v>
      </c>
      <c r="O29" s="11">
        <v>5.575</v>
      </c>
      <c r="P29" s="11">
        <v>5.276</v>
      </c>
      <c r="Q29" s="11">
        <v>5.363</v>
      </c>
      <c r="R29" s="11">
        <v>6.645</v>
      </c>
      <c r="S29" s="11">
        <v>5.654</v>
      </c>
      <c r="T29" s="11"/>
      <c r="U29" s="3" t="s">
        <v>238</v>
      </c>
      <c r="V29" s="7" t="s">
        <v>233</v>
      </c>
      <c r="W29" s="13">
        <f t="shared" ref="W29:AC29" si="89">D29/M29</f>
        <v>0.144618494188984</v>
      </c>
      <c r="X29" s="13">
        <f t="shared" si="89"/>
        <v>0.140017108639863</v>
      </c>
      <c r="Y29" s="13">
        <f t="shared" si="89"/>
        <v>0.145130044843049</v>
      </c>
      <c r="Z29" s="13">
        <f t="shared" si="89"/>
        <v>0.148047763457165</v>
      </c>
      <c r="AA29" s="13">
        <f t="shared" si="89"/>
        <v>0.153216483311579</v>
      </c>
      <c r="AB29" s="16">
        <f t="shared" si="89"/>
        <v>0.12176072234763</v>
      </c>
      <c r="AC29" s="16">
        <f t="shared" si="89"/>
        <v>0.143102228510789</v>
      </c>
      <c r="AD29" s="5"/>
      <c r="AE29" s="5"/>
      <c r="AF29" s="13">
        <f t="shared" ref="AF29:AJ29" si="90">W29</f>
        <v>0.144618494188984</v>
      </c>
      <c r="AG29" s="13">
        <f t="shared" si="90"/>
        <v>0.140017108639863</v>
      </c>
      <c r="AH29" s="13">
        <f t="shared" si="90"/>
        <v>0.145130044843049</v>
      </c>
      <c r="AI29" s="13">
        <f t="shared" si="90"/>
        <v>0.148047763457165</v>
      </c>
      <c r="AJ29" s="13">
        <f t="shared" si="90"/>
        <v>0.153216483311579</v>
      </c>
      <c r="AK29" s="17">
        <f t="shared" si="67"/>
        <v>0.140024830699774</v>
      </c>
      <c r="AL29" s="17">
        <f t="shared" si="68"/>
        <v>0.164567562787407</v>
      </c>
      <c r="AM29" s="5"/>
      <c r="AN29" s="5"/>
      <c r="AO29" s="13">
        <f t="shared" ref="AO29:AS29" si="91">W29</f>
        <v>0.144618494188984</v>
      </c>
      <c r="AP29" s="13">
        <f t="shared" si="91"/>
        <v>0.140017108639863</v>
      </c>
      <c r="AQ29" s="13">
        <f t="shared" si="91"/>
        <v>0.145130044843049</v>
      </c>
      <c r="AR29" s="13">
        <f t="shared" si="91"/>
        <v>0.148047763457165</v>
      </c>
      <c r="AS29" s="13">
        <f t="shared" si="91"/>
        <v>0.153216483311579</v>
      </c>
      <c r="AT29" s="17">
        <f t="shared" si="70"/>
        <v>0.103496613995485</v>
      </c>
      <c r="AU29" s="17">
        <f t="shared" si="71"/>
        <v>0.12163689423417</v>
      </c>
      <c r="AZ29" s="3" t="s">
        <v>238</v>
      </c>
      <c r="BA29" s="7" t="s">
        <v>233</v>
      </c>
      <c r="BB29" s="8">
        <v>906.8</v>
      </c>
      <c r="BC29" s="13">
        <v>858.6</v>
      </c>
      <c r="BD29" s="13">
        <v>818.4</v>
      </c>
      <c r="BE29" s="13">
        <v>809.1</v>
      </c>
      <c r="BF29" s="13">
        <v>781.1</v>
      </c>
      <c r="BG29" s="13">
        <v>821.7</v>
      </c>
      <c r="BH29" s="13">
        <v>809.1</v>
      </c>
      <c r="BI29" s="13">
        <v>809.1</v>
      </c>
      <c r="BJ29" s="5"/>
      <c r="BK29" s="5"/>
      <c r="BL29" s="11"/>
      <c r="BM29" s="11"/>
      <c r="BN29" s="11"/>
      <c r="BO29" s="11"/>
    </row>
    <row r="30" ht="15.5" spans="1:67">
      <c r="A30" s="3"/>
      <c r="B30" s="7" t="s">
        <v>234</v>
      </c>
      <c r="C30" s="8">
        <f t="shared" ref="C30:J30" si="92">BB30/1000</f>
        <v>0.8303</v>
      </c>
      <c r="D30" s="8">
        <f t="shared" si="92"/>
        <v>0.7909</v>
      </c>
      <c r="E30" s="8">
        <f t="shared" si="92"/>
        <v>0.7545</v>
      </c>
      <c r="F30" s="8">
        <f t="shared" si="92"/>
        <v>0.746</v>
      </c>
      <c r="G30" s="8">
        <f t="shared" si="92"/>
        <v>0.7199</v>
      </c>
      <c r="H30" s="8">
        <f t="shared" si="92"/>
        <v>0.7584</v>
      </c>
      <c r="I30" s="8">
        <f t="shared" si="92"/>
        <v>0.746</v>
      </c>
      <c r="J30" s="8">
        <f t="shared" si="92"/>
        <v>0.746</v>
      </c>
      <c r="K30" s="5"/>
      <c r="L30" s="5"/>
      <c r="M30" s="11">
        <v>5.937</v>
      </c>
      <c r="N30" s="11">
        <v>5.845</v>
      </c>
      <c r="O30" s="11">
        <v>5.575</v>
      </c>
      <c r="P30" s="11">
        <v>5.276</v>
      </c>
      <c r="Q30" s="11">
        <v>5.363</v>
      </c>
      <c r="R30" s="11">
        <v>6.645</v>
      </c>
      <c r="S30" s="11">
        <v>5.654</v>
      </c>
      <c r="T30" s="11"/>
      <c r="U30" s="3"/>
      <c r="V30" s="7" t="s">
        <v>234</v>
      </c>
      <c r="W30" s="13">
        <f t="shared" ref="W30:AC30" si="93">D30/M30</f>
        <v>0.133215428667677</v>
      </c>
      <c r="X30" s="13">
        <f t="shared" si="93"/>
        <v>0.129084687767322</v>
      </c>
      <c r="Y30" s="13">
        <f t="shared" si="93"/>
        <v>0.133811659192825</v>
      </c>
      <c r="Z30" s="13">
        <f t="shared" si="93"/>
        <v>0.13644806671721</v>
      </c>
      <c r="AA30" s="13">
        <f t="shared" si="93"/>
        <v>0.141413388029088</v>
      </c>
      <c r="AB30" s="16">
        <f t="shared" si="93"/>
        <v>0.112264860797592</v>
      </c>
      <c r="AC30" s="16">
        <f t="shared" si="93"/>
        <v>0.131941987973116</v>
      </c>
      <c r="AD30" s="5"/>
      <c r="AE30" s="5"/>
      <c r="AF30" s="13">
        <f t="shared" ref="AF30:AJ30" si="94">W30</f>
        <v>0.133215428667677</v>
      </c>
      <c r="AG30" s="13">
        <f t="shared" si="94"/>
        <v>0.129084687767322</v>
      </c>
      <c r="AH30" s="13">
        <f t="shared" si="94"/>
        <v>0.133811659192825</v>
      </c>
      <c r="AI30" s="13">
        <f t="shared" si="94"/>
        <v>0.13644806671721</v>
      </c>
      <c r="AJ30" s="13">
        <f t="shared" si="94"/>
        <v>0.141413388029088</v>
      </c>
      <c r="AK30" s="17">
        <f t="shared" si="67"/>
        <v>0.129104589917231</v>
      </c>
      <c r="AL30" s="17">
        <f t="shared" si="68"/>
        <v>0.151733286169084</v>
      </c>
      <c r="AM30" s="5"/>
      <c r="AN30" s="5"/>
      <c r="AO30" s="13">
        <f t="shared" ref="AO30:AS30" si="95">W30</f>
        <v>0.133215428667677</v>
      </c>
      <c r="AP30" s="13">
        <f t="shared" si="95"/>
        <v>0.129084687767322</v>
      </c>
      <c r="AQ30" s="13">
        <f t="shared" si="95"/>
        <v>0.133811659192825</v>
      </c>
      <c r="AR30" s="13">
        <f t="shared" si="95"/>
        <v>0.13644806671721</v>
      </c>
      <c r="AS30" s="13">
        <f t="shared" si="95"/>
        <v>0.141413388029088</v>
      </c>
      <c r="AT30" s="17">
        <f t="shared" si="70"/>
        <v>0.0954251316779534</v>
      </c>
      <c r="AU30" s="17">
        <f t="shared" si="71"/>
        <v>0.112150689777149</v>
      </c>
      <c r="AZ30" s="3"/>
      <c r="BA30" s="7" t="s">
        <v>234</v>
      </c>
      <c r="BB30" s="8">
        <v>830.3</v>
      </c>
      <c r="BC30" s="13">
        <v>790.9</v>
      </c>
      <c r="BD30" s="13">
        <v>754.5</v>
      </c>
      <c r="BE30" s="13">
        <v>746</v>
      </c>
      <c r="BF30" s="13">
        <v>719.9</v>
      </c>
      <c r="BG30" s="13">
        <v>758.4</v>
      </c>
      <c r="BH30" s="13">
        <v>746</v>
      </c>
      <c r="BI30" s="13">
        <v>746</v>
      </c>
      <c r="BJ30" s="5"/>
      <c r="BK30" s="5"/>
      <c r="BL30" s="11"/>
      <c r="BM30" s="11"/>
      <c r="BN30" s="11"/>
      <c r="BO30" s="11"/>
    </row>
    <row r="31" ht="15.5" spans="1:67">
      <c r="A31" s="3"/>
      <c r="B31" s="7" t="s">
        <v>235</v>
      </c>
      <c r="C31" s="8">
        <f t="shared" ref="C31:J31" si="96">BB31/1000</f>
        <v>0.2079</v>
      </c>
      <c r="D31" s="8">
        <f t="shared" si="96"/>
        <v>0.1842</v>
      </c>
      <c r="E31" s="8">
        <f t="shared" si="96"/>
        <v>0.1746</v>
      </c>
      <c r="F31" s="8">
        <f t="shared" si="96"/>
        <v>0.1724</v>
      </c>
      <c r="G31" s="8">
        <f t="shared" si="96"/>
        <v>0.1687</v>
      </c>
      <c r="H31" s="8">
        <f t="shared" si="96"/>
        <v>0.1747</v>
      </c>
      <c r="I31" s="8">
        <f t="shared" si="96"/>
        <v>0.1724</v>
      </c>
      <c r="J31" s="8">
        <f t="shared" si="96"/>
        <v>0.1724</v>
      </c>
      <c r="K31" s="5"/>
      <c r="L31" s="5"/>
      <c r="M31" s="11">
        <v>5.937</v>
      </c>
      <c r="N31" s="11">
        <v>5.845</v>
      </c>
      <c r="O31" s="11">
        <v>5.575</v>
      </c>
      <c r="P31" s="11">
        <v>5.276</v>
      </c>
      <c r="Q31" s="11">
        <v>5.363</v>
      </c>
      <c r="R31" s="11">
        <v>6.645</v>
      </c>
      <c r="S31" s="11">
        <v>5.654</v>
      </c>
      <c r="T31" s="11"/>
      <c r="U31" s="3"/>
      <c r="V31" s="7" t="s">
        <v>235</v>
      </c>
      <c r="W31" s="13">
        <f t="shared" ref="W31:AC31" si="97">D31/M31</f>
        <v>0.0310257705912077</v>
      </c>
      <c r="X31" s="13">
        <f t="shared" si="97"/>
        <v>0.0298716852010265</v>
      </c>
      <c r="Y31" s="13">
        <f t="shared" si="97"/>
        <v>0.0309237668161435</v>
      </c>
      <c r="Z31" s="13">
        <f t="shared" si="97"/>
        <v>0.0319749810462472</v>
      </c>
      <c r="AA31" s="13">
        <f t="shared" si="97"/>
        <v>0.0325750512772702</v>
      </c>
      <c r="AB31" s="16">
        <f t="shared" si="97"/>
        <v>0.0259443190368698</v>
      </c>
      <c r="AC31" s="16">
        <f t="shared" si="97"/>
        <v>0.0304916873010258</v>
      </c>
      <c r="AD31" s="5"/>
      <c r="AE31" s="5"/>
      <c r="AF31" s="13">
        <f t="shared" ref="AF31:AJ31" si="98">W31</f>
        <v>0.0310257705912077</v>
      </c>
      <c r="AG31" s="13">
        <f t="shared" si="98"/>
        <v>0.0298716852010265</v>
      </c>
      <c r="AH31" s="13">
        <f t="shared" si="98"/>
        <v>0.0309237668161435</v>
      </c>
      <c r="AI31" s="13">
        <f t="shared" si="98"/>
        <v>0.0319749810462472</v>
      </c>
      <c r="AJ31" s="13">
        <f t="shared" si="98"/>
        <v>0.0325750512772702</v>
      </c>
      <c r="AK31" s="17">
        <f t="shared" si="67"/>
        <v>0.0298359668924003</v>
      </c>
      <c r="AL31" s="17">
        <f t="shared" si="68"/>
        <v>0.0350654403961797</v>
      </c>
      <c r="AM31" s="5"/>
      <c r="AN31" s="5"/>
      <c r="AO31" s="13">
        <f t="shared" ref="AO31:AS31" si="99">W31</f>
        <v>0.0310257705912077</v>
      </c>
      <c r="AP31" s="13">
        <f t="shared" si="99"/>
        <v>0.0298716852010265</v>
      </c>
      <c r="AQ31" s="13">
        <f t="shared" si="99"/>
        <v>0.0309237668161435</v>
      </c>
      <c r="AR31" s="13">
        <f t="shared" si="99"/>
        <v>0.0319749810462472</v>
      </c>
      <c r="AS31" s="13">
        <f t="shared" si="99"/>
        <v>0.0325750512772702</v>
      </c>
      <c r="AT31" s="17">
        <f t="shared" si="70"/>
        <v>0.0220526711813394</v>
      </c>
      <c r="AU31" s="17">
        <f t="shared" si="71"/>
        <v>0.0259179342058719</v>
      </c>
      <c r="AZ31" s="3"/>
      <c r="BA31" s="7" t="s">
        <v>235</v>
      </c>
      <c r="BB31" s="8">
        <v>207.9</v>
      </c>
      <c r="BC31" s="13">
        <v>184.2</v>
      </c>
      <c r="BD31" s="13">
        <v>174.6</v>
      </c>
      <c r="BE31" s="13">
        <v>172.4</v>
      </c>
      <c r="BF31" s="13">
        <v>168.7</v>
      </c>
      <c r="BG31" s="13">
        <v>174.7</v>
      </c>
      <c r="BH31" s="13">
        <v>172.4</v>
      </c>
      <c r="BI31" s="13">
        <v>172.4</v>
      </c>
      <c r="BJ31" s="5"/>
      <c r="BK31" s="5"/>
      <c r="BL31" s="11"/>
      <c r="BM31" s="11"/>
      <c r="BN31" s="11"/>
      <c r="BO31" s="11"/>
    </row>
    <row r="32" ht="15.5" spans="1:67">
      <c r="A32" s="3"/>
      <c r="B32" s="7" t="s">
        <v>236</v>
      </c>
      <c r="C32" s="8">
        <f t="shared" ref="C32:J32" si="100">BB32/1000</f>
        <v>0.5747</v>
      </c>
      <c r="D32" s="8">
        <f t="shared" si="100"/>
        <v>0.5597</v>
      </c>
      <c r="E32" s="8">
        <f t="shared" si="100"/>
        <v>0.534</v>
      </c>
      <c r="F32" s="8">
        <f t="shared" si="100"/>
        <v>0.528</v>
      </c>
      <c r="G32" s="8">
        <f t="shared" si="100"/>
        <v>0.5061</v>
      </c>
      <c r="H32" s="8">
        <f t="shared" si="100"/>
        <v>0.5369</v>
      </c>
      <c r="I32" s="8">
        <f t="shared" si="100"/>
        <v>0.528</v>
      </c>
      <c r="J32" s="8">
        <f t="shared" si="100"/>
        <v>0.528</v>
      </c>
      <c r="K32" s="5"/>
      <c r="L32" s="5"/>
      <c r="M32" s="11">
        <v>5.937</v>
      </c>
      <c r="N32" s="11">
        <v>5.845</v>
      </c>
      <c r="O32" s="11">
        <v>5.575</v>
      </c>
      <c r="P32" s="11">
        <v>5.276</v>
      </c>
      <c r="Q32" s="11">
        <v>5.363</v>
      </c>
      <c r="R32" s="11">
        <v>6.645</v>
      </c>
      <c r="S32" s="11">
        <v>5.654</v>
      </c>
      <c r="T32" s="11"/>
      <c r="U32" s="3"/>
      <c r="V32" s="7" t="s">
        <v>236</v>
      </c>
      <c r="W32" s="13">
        <f t="shared" ref="W32:AC32" si="101">D32/M32</f>
        <v>0.0942732019538488</v>
      </c>
      <c r="X32" s="13">
        <f t="shared" si="101"/>
        <v>0.0913601368691189</v>
      </c>
      <c r="Y32" s="13">
        <f t="shared" si="101"/>
        <v>0.0947085201793722</v>
      </c>
      <c r="Z32" s="13">
        <f t="shared" si="101"/>
        <v>0.0959249431387415</v>
      </c>
      <c r="AA32" s="13">
        <f t="shared" si="101"/>
        <v>0.100111877680403</v>
      </c>
      <c r="AB32" s="16">
        <f t="shared" si="101"/>
        <v>0.0794582392776524</v>
      </c>
      <c r="AC32" s="16">
        <f t="shared" si="101"/>
        <v>0.0933852140077821</v>
      </c>
      <c r="AD32" s="5"/>
      <c r="AE32" s="5"/>
      <c r="AF32" s="13">
        <f t="shared" ref="AF32:AJ32" si="102">W32</f>
        <v>0.0942732019538488</v>
      </c>
      <c r="AG32" s="13">
        <f t="shared" si="102"/>
        <v>0.0913601368691189</v>
      </c>
      <c r="AH32" s="13">
        <f t="shared" si="102"/>
        <v>0.0947085201793722</v>
      </c>
      <c r="AI32" s="13">
        <f t="shared" si="102"/>
        <v>0.0959249431387415</v>
      </c>
      <c r="AJ32" s="13">
        <f t="shared" si="102"/>
        <v>0.100111877680403</v>
      </c>
      <c r="AK32" s="17">
        <f t="shared" si="67"/>
        <v>0.0913769751693002</v>
      </c>
      <c r="AL32" s="17">
        <f t="shared" si="68"/>
        <v>0.107392996108949</v>
      </c>
      <c r="AM32" s="5"/>
      <c r="AN32" s="5"/>
      <c r="AO32" s="13">
        <f t="shared" ref="AO32:AS32" si="103">W32</f>
        <v>0.0942732019538488</v>
      </c>
      <c r="AP32" s="13">
        <f t="shared" si="103"/>
        <v>0.0913601368691189</v>
      </c>
      <c r="AQ32" s="13">
        <f t="shared" si="103"/>
        <v>0.0947085201793722</v>
      </c>
      <c r="AR32" s="13">
        <f t="shared" si="103"/>
        <v>0.0959249431387415</v>
      </c>
      <c r="AS32" s="13">
        <f t="shared" si="103"/>
        <v>0.100111877680403</v>
      </c>
      <c r="AT32" s="17">
        <f t="shared" si="70"/>
        <v>0.0675395033860045</v>
      </c>
      <c r="AU32" s="17">
        <f t="shared" si="71"/>
        <v>0.0793774319066148</v>
      </c>
      <c r="AZ32" s="3"/>
      <c r="BA32" s="7" t="s">
        <v>236</v>
      </c>
      <c r="BB32" s="8">
        <v>574.7</v>
      </c>
      <c r="BC32" s="13">
        <v>559.7</v>
      </c>
      <c r="BD32" s="13">
        <v>534</v>
      </c>
      <c r="BE32" s="13">
        <v>528</v>
      </c>
      <c r="BF32" s="13">
        <v>506.1</v>
      </c>
      <c r="BG32" s="13">
        <v>536.9</v>
      </c>
      <c r="BH32" s="13">
        <v>528</v>
      </c>
      <c r="BI32" s="13">
        <v>528</v>
      </c>
      <c r="BJ32" s="5"/>
      <c r="BK32" s="5"/>
      <c r="BL32" s="11"/>
      <c r="BM32" s="11"/>
      <c r="BN32" s="11"/>
      <c r="BO32" s="11"/>
    </row>
    <row r="33" ht="15.5" spans="1:67">
      <c r="A33" s="3"/>
      <c r="B33" s="7" t="s">
        <v>237</v>
      </c>
      <c r="C33" s="8">
        <f t="shared" ref="C33:J33" si="104">BB33/1000</f>
        <v>0.088</v>
      </c>
      <c r="D33" s="8">
        <f t="shared" si="104"/>
        <v>0.0814</v>
      </c>
      <c r="E33" s="8">
        <f t="shared" si="104"/>
        <v>0.079</v>
      </c>
      <c r="F33" s="8">
        <f t="shared" si="104"/>
        <v>0.0785</v>
      </c>
      <c r="G33" s="8">
        <f t="shared" si="104"/>
        <v>0.0764</v>
      </c>
      <c r="H33" s="8">
        <f t="shared" si="104"/>
        <v>0.0787</v>
      </c>
      <c r="I33" s="8">
        <f t="shared" si="104"/>
        <v>0.0785</v>
      </c>
      <c r="J33" s="8">
        <f t="shared" si="104"/>
        <v>0.0785</v>
      </c>
      <c r="K33" s="5"/>
      <c r="L33" s="5"/>
      <c r="M33" s="11">
        <v>5.937</v>
      </c>
      <c r="N33" s="11">
        <v>5.845</v>
      </c>
      <c r="O33" s="11">
        <v>5.575</v>
      </c>
      <c r="P33" s="11">
        <v>5.276</v>
      </c>
      <c r="Q33" s="11">
        <v>5.363</v>
      </c>
      <c r="R33" s="11">
        <v>6.645</v>
      </c>
      <c r="S33" s="11">
        <v>5.654</v>
      </c>
      <c r="T33" s="11"/>
      <c r="U33" s="3"/>
      <c r="V33" s="7" t="s">
        <v>237</v>
      </c>
      <c r="W33" s="13">
        <f t="shared" ref="W33:AC33" si="105">D33/M33</f>
        <v>0.0137106282634327</v>
      </c>
      <c r="X33" s="13">
        <f t="shared" si="105"/>
        <v>0.0135158254918734</v>
      </c>
      <c r="Y33" s="13">
        <f t="shared" si="105"/>
        <v>0.0140807174887892</v>
      </c>
      <c r="Z33" s="13">
        <f t="shared" si="105"/>
        <v>0.0144806671721001</v>
      </c>
      <c r="AA33" s="13">
        <f t="shared" si="105"/>
        <v>0.0146746224128286</v>
      </c>
      <c r="AB33" s="16">
        <f t="shared" si="105"/>
        <v>0.0118133935289691</v>
      </c>
      <c r="AC33" s="16">
        <f t="shared" si="105"/>
        <v>0.0138839759462328</v>
      </c>
      <c r="AD33" s="5"/>
      <c r="AE33" s="5"/>
      <c r="AF33" s="13">
        <f t="shared" ref="AF33:AJ33" si="106">W33</f>
        <v>0.0137106282634327</v>
      </c>
      <c r="AG33" s="13">
        <f t="shared" si="106"/>
        <v>0.0135158254918734</v>
      </c>
      <c r="AH33" s="13">
        <f t="shared" si="106"/>
        <v>0.0140807174887892</v>
      </c>
      <c r="AI33" s="13">
        <f t="shared" si="106"/>
        <v>0.0144806671721001</v>
      </c>
      <c r="AJ33" s="13">
        <f t="shared" si="106"/>
        <v>0.0146746224128286</v>
      </c>
      <c r="AK33" s="17">
        <f t="shared" si="67"/>
        <v>0.0135854025583145</v>
      </c>
      <c r="AL33" s="17">
        <f t="shared" si="68"/>
        <v>0.0159665723381677</v>
      </c>
      <c r="AM33" s="5"/>
      <c r="AN33" s="5"/>
      <c r="AO33" s="13">
        <f t="shared" ref="AO33:AS33" si="107">W33</f>
        <v>0.0137106282634327</v>
      </c>
      <c r="AP33" s="13">
        <f t="shared" si="107"/>
        <v>0.0135158254918734</v>
      </c>
      <c r="AQ33" s="13">
        <f t="shared" si="107"/>
        <v>0.0140807174887892</v>
      </c>
      <c r="AR33" s="13">
        <f t="shared" si="107"/>
        <v>0.0144806671721001</v>
      </c>
      <c r="AS33" s="13">
        <f t="shared" si="107"/>
        <v>0.0146746224128286</v>
      </c>
      <c r="AT33" s="17">
        <f t="shared" si="70"/>
        <v>0.0100413844996238</v>
      </c>
      <c r="AU33" s="17">
        <f t="shared" si="71"/>
        <v>0.0118013795542978</v>
      </c>
      <c r="AZ33" s="3"/>
      <c r="BA33" s="7" t="s">
        <v>237</v>
      </c>
      <c r="BB33" s="8">
        <v>88</v>
      </c>
      <c r="BC33" s="13">
        <v>81.4</v>
      </c>
      <c r="BD33" s="13">
        <v>79</v>
      </c>
      <c r="BE33" s="13">
        <v>78.5</v>
      </c>
      <c r="BF33" s="13">
        <v>76.4</v>
      </c>
      <c r="BG33" s="13">
        <v>78.7</v>
      </c>
      <c r="BH33" s="13">
        <v>78.5</v>
      </c>
      <c r="BI33" s="13">
        <v>78.5</v>
      </c>
      <c r="BJ33" s="5"/>
      <c r="BK33" s="5"/>
      <c r="BL33" s="11"/>
      <c r="BM33" s="11"/>
      <c r="BN33" s="11"/>
      <c r="BO33" s="11"/>
    </row>
    <row r="34" ht="15.5" spans="1:67">
      <c r="A34" s="3" t="s">
        <v>11</v>
      </c>
      <c r="B34" s="7" t="s">
        <v>233</v>
      </c>
      <c r="C34" s="8">
        <f t="shared" ref="C34:J34" si="108">BB34/1000</f>
        <v>0.9217</v>
      </c>
      <c r="D34" s="8">
        <f t="shared" si="108"/>
        <v>0.8721</v>
      </c>
      <c r="E34" s="8">
        <f t="shared" si="108"/>
        <v>0.8313</v>
      </c>
      <c r="F34" s="8">
        <f t="shared" si="108"/>
        <v>0.8218</v>
      </c>
      <c r="G34" s="8">
        <f t="shared" si="108"/>
        <v>0.794</v>
      </c>
      <c r="H34" s="8">
        <f t="shared" si="108"/>
        <v>0.835</v>
      </c>
      <c r="I34" s="8">
        <f t="shared" si="108"/>
        <v>0.8218</v>
      </c>
      <c r="J34" s="8">
        <f t="shared" si="108"/>
        <v>0.8218</v>
      </c>
      <c r="K34" s="5"/>
      <c r="L34" s="5"/>
      <c r="M34" s="11">
        <v>5.937</v>
      </c>
      <c r="N34" s="11">
        <v>5.845</v>
      </c>
      <c r="O34" s="11">
        <v>5.575</v>
      </c>
      <c r="P34" s="11">
        <v>5.276</v>
      </c>
      <c r="Q34" s="11">
        <v>5.363</v>
      </c>
      <c r="R34" s="11">
        <v>6.645</v>
      </c>
      <c r="S34" s="11">
        <v>5.654</v>
      </c>
      <c r="T34" s="11"/>
      <c r="U34" s="3" t="s">
        <v>11</v>
      </c>
      <c r="V34" s="7" t="s">
        <v>233</v>
      </c>
      <c r="W34" s="13">
        <f t="shared" ref="W34:AC34" si="109">D34/M34</f>
        <v>0.14689236988378</v>
      </c>
      <c r="X34" s="13">
        <f t="shared" si="109"/>
        <v>0.142224123182207</v>
      </c>
      <c r="Y34" s="13">
        <f t="shared" si="109"/>
        <v>0.147408071748879</v>
      </c>
      <c r="Z34" s="13">
        <f t="shared" si="109"/>
        <v>0.15049279757392</v>
      </c>
      <c r="AA34" s="13">
        <f t="shared" si="109"/>
        <v>0.155696438560507</v>
      </c>
      <c r="AB34" s="16">
        <f t="shared" si="109"/>
        <v>0.123671933784801</v>
      </c>
      <c r="AC34" s="16">
        <f t="shared" si="109"/>
        <v>0.145348425893173</v>
      </c>
      <c r="AD34" s="5"/>
      <c r="AE34" s="5"/>
      <c r="AF34" s="13">
        <f t="shared" ref="AF34:AJ34" si="110">W34</f>
        <v>0.14689236988378</v>
      </c>
      <c r="AG34" s="13">
        <f t="shared" si="110"/>
        <v>0.142224123182207</v>
      </c>
      <c r="AH34" s="13">
        <f t="shared" si="110"/>
        <v>0.147408071748879</v>
      </c>
      <c r="AI34" s="13">
        <f t="shared" si="110"/>
        <v>0.15049279757392</v>
      </c>
      <c r="AJ34" s="13">
        <f t="shared" si="110"/>
        <v>0.155696438560507</v>
      </c>
      <c r="AK34" s="17">
        <f t="shared" si="67"/>
        <v>0.142222723852521</v>
      </c>
      <c r="AL34" s="17">
        <f t="shared" si="68"/>
        <v>0.167150689777149</v>
      </c>
      <c r="AM34" s="5"/>
      <c r="AN34" s="5"/>
      <c r="AO34" s="13">
        <f t="shared" ref="AO34:AS34" si="111">W34</f>
        <v>0.14689236988378</v>
      </c>
      <c r="AP34" s="13">
        <f t="shared" si="111"/>
        <v>0.142224123182207</v>
      </c>
      <c r="AQ34" s="13">
        <f t="shared" si="111"/>
        <v>0.147408071748879</v>
      </c>
      <c r="AR34" s="13">
        <f t="shared" si="111"/>
        <v>0.15049279757392</v>
      </c>
      <c r="AS34" s="13">
        <f t="shared" si="111"/>
        <v>0.155696438560507</v>
      </c>
      <c r="AT34" s="17">
        <f t="shared" si="70"/>
        <v>0.105121143717081</v>
      </c>
      <c r="AU34" s="17">
        <f t="shared" si="71"/>
        <v>0.123546162009197</v>
      </c>
      <c r="AZ34" s="3" t="s">
        <v>11</v>
      </c>
      <c r="BA34" s="7" t="s">
        <v>233</v>
      </c>
      <c r="BB34" s="8">
        <v>921.7</v>
      </c>
      <c r="BC34" s="13">
        <v>872.1</v>
      </c>
      <c r="BD34" s="13">
        <v>831.3</v>
      </c>
      <c r="BE34" s="13">
        <v>821.8</v>
      </c>
      <c r="BF34" s="13">
        <v>794</v>
      </c>
      <c r="BG34" s="13">
        <v>835</v>
      </c>
      <c r="BH34" s="13">
        <v>821.8</v>
      </c>
      <c r="BI34" s="13">
        <v>821.8</v>
      </c>
      <c r="BJ34" s="5"/>
      <c r="BK34" s="5"/>
      <c r="BL34" s="11"/>
      <c r="BM34" s="11"/>
      <c r="BN34" s="11"/>
      <c r="BO34" s="11"/>
    </row>
    <row r="35" ht="15.5" spans="1:67">
      <c r="A35" s="3"/>
      <c r="B35" s="7" t="s">
        <v>234</v>
      </c>
      <c r="C35" s="8">
        <f t="shared" ref="C35:J35" si="112">BB35/1000</f>
        <v>0.8422</v>
      </c>
      <c r="D35" s="8">
        <f t="shared" si="112"/>
        <v>0.8018</v>
      </c>
      <c r="E35" s="8">
        <f t="shared" si="112"/>
        <v>0.7648</v>
      </c>
      <c r="F35" s="8">
        <f t="shared" si="112"/>
        <v>0.7562</v>
      </c>
      <c r="G35" s="8">
        <f t="shared" si="112"/>
        <v>0.7302</v>
      </c>
      <c r="H35" s="8">
        <f t="shared" si="112"/>
        <v>0.7691</v>
      </c>
      <c r="I35" s="8">
        <f t="shared" si="112"/>
        <v>0.7562</v>
      </c>
      <c r="J35" s="8">
        <f t="shared" si="112"/>
        <v>0.7562</v>
      </c>
      <c r="K35" s="5"/>
      <c r="L35" s="5"/>
      <c r="M35" s="11">
        <v>5.937</v>
      </c>
      <c r="N35" s="11">
        <v>5.845</v>
      </c>
      <c r="O35" s="11">
        <v>5.575</v>
      </c>
      <c r="P35" s="11">
        <v>5.276</v>
      </c>
      <c r="Q35" s="11">
        <v>5.363</v>
      </c>
      <c r="R35" s="11">
        <v>6.645</v>
      </c>
      <c r="S35" s="11">
        <v>5.654</v>
      </c>
      <c r="T35" s="11"/>
      <c r="U35" s="3"/>
      <c r="V35" s="7" t="s">
        <v>234</v>
      </c>
      <c r="W35" s="13">
        <f t="shared" ref="W35:AC35" si="113">D35/M35</f>
        <v>0.135051372747179</v>
      </c>
      <c r="X35" s="13">
        <f t="shared" si="113"/>
        <v>0.130846877673225</v>
      </c>
      <c r="Y35" s="13">
        <f t="shared" si="113"/>
        <v>0.135641255605381</v>
      </c>
      <c r="Z35" s="13">
        <f t="shared" si="113"/>
        <v>0.138400303260046</v>
      </c>
      <c r="AA35" s="13">
        <f t="shared" si="113"/>
        <v>0.143408539996271</v>
      </c>
      <c r="AB35" s="16">
        <f t="shared" si="113"/>
        <v>0.11379984951091</v>
      </c>
      <c r="AC35" s="16">
        <f t="shared" si="113"/>
        <v>0.133746020516449</v>
      </c>
      <c r="AD35" s="5"/>
      <c r="AE35" s="5"/>
      <c r="AF35" s="13">
        <f t="shared" ref="AF35:AJ35" si="114">W35</f>
        <v>0.135051372747179</v>
      </c>
      <c r="AG35" s="13">
        <f t="shared" si="114"/>
        <v>0.130846877673225</v>
      </c>
      <c r="AH35" s="13">
        <f t="shared" si="114"/>
        <v>0.135641255605381</v>
      </c>
      <c r="AI35" s="13">
        <f t="shared" si="114"/>
        <v>0.138400303260046</v>
      </c>
      <c r="AJ35" s="13">
        <f t="shared" si="114"/>
        <v>0.143408539996271</v>
      </c>
      <c r="AK35" s="17">
        <f t="shared" si="67"/>
        <v>0.130869826937547</v>
      </c>
      <c r="AL35" s="17">
        <f t="shared" si="68"/>
        <v>0.153807923593916</v>
      </c>
      <c r="AM35" s="5"/>
      <c r="AN35" s="5"/>
      <c r="AO35" s="13">
        <f t="shared" ref="AO35:AS35" si="115">W35</f>
        <v>0.135051372747179</v>
      </c>
      <c r="AP35" s="13">
        <f t="shared" si="115"/>
        <v>0.130846877673225</v>
      </c>
      <c r="AQ35" s="13">
        <f t="shared" si="115"/>
        <v>0.135641255605381</v>
      </c>
      <c r="AR35" s="13">
        <f t="shared" si="115"/>
        <v>0.138400303260046</v>
      </c>
      <c r="AS35" s="13">
        <f t="shared" si="115"/>
        <v>0.143408539996271</v>
      </c>
      <c r="AT35" s="17">
        <f t="shared" si="70"/>
        <v>0.0967298720842739</v>
      </c>
      <c r="AU35" s="17">
        <f t="shared" si="71"/>
        <v>0.113684117438981</v>
      </c>
      <c r="AZ35" s="3"/>
      <c r="BA35" s="7" t="s">
        <v>234</v>
      </c>
      <c r="BB35" s="8">
        <v>842.2</v>
      </c>
      <c r="BC35" s="13">
        <v>801.8</v>
      </c>
      <c r="BD35" s="13">
        <v>764.8</v>
      </c>
      <c r="BE35" s="13">
        <v>756.2</v>
      </c>
      <c r="BF35" s="13">
        <v>730.2</v>
      </c>
      <c r="BG35" s="13">
        <v>769.1</v>
      </c>
      <c r="BH35" s="13">
        <v>756.2</v>
      </c>
      <c r="BI35" s="13">
        <v>756.2</v>
      </c>
      <c r="BJ35" s="5"/>
      <c r="BK35" s="5"/>
      <c r="BL35" s="11"/>
      <c r="BM35" s="11"/>
      <c r="BN35" s="11"/>
      <c r="BO35" s="11"/>
    </row>
    <row r="36" ht="15.5" spans="1:67">
      <c r="A36" s="3"/>
      <c r="B36" s="7" t="s">
        <v>235</v>
      </c>
      <c r="C36" s="8">
        <f t="shared" ref="C36:J36" si="116">BB36/1000</f>
        <v>0.2694</v>
      </c>
      <c r="D36" s="8">
        <f t="shared" si="116"/>
        <v>0.2401</v>
      </c>
      <c r="E36" s="8">
        <f t="shared" si="116"/>
        <v>0.2278</v>
      </c>
      <c r="F36" s="8">
        <f t="shared" si="116"/>
        <v>0.2249</v>
      </c>
      <c r="G36" s="8">
        <f t="shared" si="116"/>
        <v>0.2217</v>
      </c>
      <c r="H36" s="8">
        <f t="shared" si="116"/>
        <v>0.2296</v>
      </c>
      <c r="I36" s="8">
        <f t="shared" si="116"/>
        <v>0.2249</v>
      </c>
      <c r="J36" s="8">
        <f t="shared" si="116"/>
        <v>0.2249</v>
      </c>
      <c r="K36" s="5"/>
      <c r="L36" s="5"/>
      <c r="M36" s="11">
        <v>5.937</v>
      </c>
      <c r="N36" s="11">
        <v>5.845</v>
      </c>
      <c r="O36" s="11">
        <v>5.575</v>
      </c>
      <c r="P36" s="11">
        <v>5.276</v>
      </c>
      <c r="Q36" s="11">
        <v>5.363</v>
      </c>
      <c r="R36" s="11">
        <v>6.645</v>
      </c>
      <c r="S36" s="11">
        <v>5.654</v>
      </c>
      <c r="T36" s="11"/>
      <c r="U36" s="3"/>
      <c r="V36" s="7" t="s">
        <v>235</v>
      </c>
      <c r="W36" s="13">
        <f t="shared" ref="W36:AC36" si="117">D36/M36</f>
        <v>0.0404413003200269</v>
      </c>
      <c r="X36" s="13">
        <f t="shared" si="117"/>
        <v>0.0389734816082122</v>
      </c>
      <c r="Y36" s="13">
        <f t="shared" si="117"/>
        <v>0.0403408071748879</v>
      </c>
      <c r="Z36" s="13">
        <f t="shared" si="117"/>
        <v>0.0420204700530705</v>
      </c>
      <c r="AA36" s="13">
        <f t="shared" si="117"/>
        <v>0.0428118590341227</v>
      </c>
      <c r="AB36" s="16">
        <f t="shared" si="117"/>
        <v>0.0338449962377728</v>
      </c>
      <c r="AC36" s="16">
        <f t="shared" si="117"/>
        <v>0.0397771489211178</v>
      </c>
      <c r="AD36" s="5"/>
      <c r="AE36" s="5"/>
      <c r="AF36" s="13">
        <f t="shared" ref="AF36:AJ36" si="118">W36</f>
        <v>0.0404413003200269</v>
      </c>
      <c r="AG36" s="13">
        <f t="shared" si="118"/>
        <v>0.0389734816082122</v>
      </c>
      <c r="AH36" s="13">
        <f t="shared" si="118"/>
        <v>0.0403408071748879</v>
      </c>
      <c r="AI36" s="13">
        <f t="shared" si="118"/>
        <v>0.0420204700530705</v>
      </c>
      <c r="AJ36" s="13">
        <f t="shared" si="118"/>
        <v>0.0428118590341227</v>
      </c>
      <c r="AK36" s="17">
        <f t="shared" si="67"/>
        <v>0.0389217456734387</v>
      </c>
      <c r="AL36" s="17">
        <f t="shared" si="68"/>
        <v>0.0457437212592855</v>
      </c>
      <c r="AM36" s="5"/>
      <c r="AN36" s="5"/>
      <c r="AO36" s="13">
        <f t="shared" ref="AO36:AS36" si="119">W36</f>
        <v>0.0404413003200269</v>
      </c>
      <c r="AP36" s="13">
        <f t="shared" si="119"/>
        <v>0.0389734816082122</v>
      </c>
      <c r="AQ36" s="13">
        <f t="shared" si="119"/>
        <v>0.0403408071748879</v>
      </c>
      <c r="AR36" s="13">
        <f t="shared" si="119"/>
        <v>0.0420204700530705</v>
      </c>
      <c r="AS36" s="13">
        <f t="shared" si="119"/>
        <v>0.0428118590341227</v>
      </c>
      <c r="AT36" s="17">
        <f t="shared" si="70"/>
        <v>0.0287682468021069</v>
      </c>
      <c r="AU36" s="17">
        <f t="shared" si="71"/>
        <v>0.0338105765829501</v>
      </c>
      <c r="AZ36" s="3"/>
      <c r="BA36" s="7" t="s">
        <v>235</v>
      </c>
      <c r="BB36" s="8">
        <v>269.4</v>
      </c>
      <c r="BC36" s="13">
        <v>240.1</v>
      </c>
      <c r="BD36" s="13">
        <v>227.8</v>
      </c>
      <c r="BE36" s="13">
        <v>224.9</v>
      </c>
      <c r="BF36" s="13">
        <v>221.7</v>
      </c>
      <c r="BG36" s="13">
        <v>229.6</v>
      </c>
      <c r="BH36" s="13">
        <v>224.9</v>
      </c>
      <c r="BI36" s="13">
        <v>224.9</v>
      </c>
      <c r="BJ36" s="5"/>
      <c r="BK36" s="5"/>
      <c r="BL36" s="11"/>
      <c r="BM36" s="11"/>
      <c r="BN36" s="11"/>
      <c r="BO36" s="11"/>
    </row>
    <row r="37" ht="15.5" spans="1:67">
      <c r="A37" s="3"/>
      <c r="B37" s="7" t="s">
        <v>236</v>
      </c>
      <c r="C37" s="8">
        <f t="shared" ref="C37:J37" si="120">BB37/1000</f>
        <v>0.5273</v>
      </c>
      <c r="D37" s="8">
        <f t="shared" si="120"/>
        <v>0.5167</v>
      </c>
      <c r="E37" s="8">
        <f t="shared" si="120"/>
        <v>0.4931</v>
      </c>
      <c r="F37" s="8">
        <f t="shared" si="120"/>
        <v>0.4875</v>
      </c>
      <c r="G37" s="8">
        <f t="shared" si="120"/>
        <v>0.4653</v>
      </c>
      <c r="H37" s="8">
        <f t="shared" si="120"/>
        <v>0.4946</v>
      </c>
      <c r="I37" s="8">
        <f t="shared" si="120"/>
        <v>0.4875</v>
      </c>
      <c r="J37" s="8">
        <f t="shared" si="120"/>
        <v>0.4875</v>
      </c>
      <c r="K37" s="5"/>
      <c r="L37" s="5"/>
      <c r="M37" s="11">
        <v>5.937</v>
      </c>
      <c r="N37" s="11">
        <v>5.845</v>
      </c>
      <c r="O37" s="11">
        <v>5.575</v>
      </c>
      <c r="P37" s="11">
        <v>5.276</v>
      </c>
      <c r="Q37" s="11">
        <v>5.363</v>
      </c>
      <c r="R37" s="11">
        <v>6.645</v>
      </c>
      <c r="S37" s="11">
        <v>5.654</v>
      </c>
      <c r="T37" s="11"/>
      <c r="U37" s="3"/>
      <c r="V37" s="7" t="s">
        <v>236</v>
      </c>
      <c r="W37" s="13">
        <f t="shared" ref="W37:AC37" si="121">D37/M37</f>
        <v>0.0870304867778339</v>
      </c>
      <c r="X37" s="13">
        <f t="shared" si="121"/>
        <v>0.0843627031650984</v>
      </c>
      <c r="Y37" s="13">
        <f t="shared" si="121"/>
        <v>0.0874439461883408</v>
      </c>
      <c r="Z37" s="13">
        <f t="shared" si="121"/>
        <v>0.0881918119787718</v>
      </c>
      <c r="AA37" s="13">
        <f t="shared" si="121"/>
        <v>0.0922245012120082</v>
      </c>
      <c r="AB37" s="16">
        <f t="shared" si="121"/>
        <v>0.0733634311512415</v>
      </c>
      <c r="AC37" s="16">
        <f t="shared" si="121"/>
        <v>0.0862221436151397</v>
      </c>
      <c r="AD37" s="5"/>
      <c r="AE37" s="5"/>
      <c r="AF37" s="13">
        <f t="shared" ref="AF37:AJ37" si="122">W37</f>
        <v>0.0870304867778339</v>
      </c>
      <c r="AG37" s="13">
        <f t="shared" si="122"/>
        <v>0.0843627031650984</v>
      </c>
      <c r="AH37" s="13">
        <f t="shared" si="122"/>
        <v>0.0874439461883408</v>
      </c>
      <c r="AI37" s="13">
        <f t="shared" si="122"/>
        <v>0.0881918119787718</v>
      </c>
      <c r="AJ37" s="13">
        <f t="shared" si="122"/>
        <v>0.0922245012120082</v>
      </c>
      <c r="AK37" s="17">
        <f t="shared" si="67"/>
        <v>0.0843679458239278</v>
      </c>
      <c r="AL37" s="17">
        <f t="shared" si="68"/>
        <v>0.0991554651574107</v>
      </c>
      <c r="AM37" s="5"/>
      <c r="AN37" s="5"/>
      <c r="AO37" s="13">
        <f t="shared" ref="AO37:AS37" si="123">W37</f>
        <v>0.0870304867778339</v>
      </c>
      <c r="AP37" s="13">
        <f t="shared" si="123"/>
        <v>0.0843627031650984</v>
      </c>
      <c r="AQ37" s="13">
        <f t="shared" si="123"/>
        <v>0.0874439461883408</v>
      </c>
      <c r="AR37" s="13">
        <f t="shared" si="123"/>
        <v>0.0881918119787718</v>
      </c>
      <c r="AS37" s="13">
        <f t="shared" si="123"/>
        <v>0.0922245012120082</v>
      </c>
      <c r="AT37" s="17">
        <f t="shared" si="70"/>
        <v>0.0623589164785553</v>
      </c>
      <c r="AU37" s="17">
        <f t="shared" si="71"/>
        <v>0.0732888220728688</v>
      </c>
      <c r="AZ37" s="3"/>
      <c r="BA37" s="7" t="s">
        <v>236</v>
      </c>
      <c r="BB37" s="8">
        <v>527.3</v>
      </c>
      <c r="BC37" s="13">
        <v>516.7</v>
      </c>
      <c r="BD37" s="13">
        <v>493.1</v>
      </c>
      <c r="BE37" s="13">
        <v>487.5</v>
      </c>
      <c r="BF37" s="13">
        <v>465.3</v>
      </c>
      <c r="BG37" s="13">
        <v>494.6</v>
      </c>
      <c r="BH37" s="13">
        <v>487.5</v>
      </c>
      <c r="BI37" s="13">
        <v>487.5</v>
      </c>
      <c r="BJ37" s="5"/>
      <c r="BK37" s="5"/>
      <c r="BL37" s="11"/>
      <c r="BM37" s="11"/>
      <c r="BN37" s="11"/>
      <c r="BO37" s="11"/>
    </row>
    <row r="38" ht="15.5" spans="1:67">
      <c r="A38" s="3"/>
      <c r="B38" s="7" t="s">
        <v>237</v>
      </c>
      <c r="C38" s="8">
        <f t="shared" ref="C38:J38" si="124">BB38/1000</f>
        <v>0.0858</v>
      </c>
      <c r="D38" s="8">
        <f t="shared" si="124"/>
        <v>0.0793</v>
      </c>
      <c r="E38" s="8">
        <f t="shared" si="124"/>
        <v>0.0771</v>
      </c>
      <c r="F38" s="8">
        <f t="shared" si="124"/>
        <v>0.0766</v>
      </c>
      <c r="G38" s="8">
        <f t="shared" si="124"/>
        <v>0.0744</v>
      </c>
      <c r="H38" s="8">
        <f t="shared" si="124"/>
        <v>0.0767</v>
      </c>
      <c r="I38" s="8">
        <f t="shared" si="124"/>
        <v>0.0766</v>
      </c>
      <c r="J38" s="8">
        <f t="shared" si="124"/>
        <v>0.0766</v>
      </c>
      <c r="K38" s="5"/>
      <c r="L38" s="5"/>
      <c r="M38" s="11">
        <v>5.937</v>
      </c>
      <c r="N38" s="11">
        <v>5.845</v>
      </c>
      <c r="O38" s="11">
        <v>5.575</v>
      </c>
      <c r="P38" s="11">
        <v>5.276</v>
      </c>
      <c r="Q38" s="11">
        <v>5.363</v>
      </c>
      <c r="R38" s="11">
        <v>6.645</v>
      </c>
      <c r="S38" s="11">
        <v>5.654</v>
      </c>
      <c r="T38" s="11"/>
      <c r="U38" s="3"/>
      <c r="V38" s="7" t="s">
        <v>237</v>
      </c>
      <c r="W38" s="13">
        <f t="shared" ref="W38:AC38" si="125">D38/M38</f>
        <v>0.0133569142664645</v>
      </c>
      <c r="X38" s="13">
        <f t="shared" si="125"/>
        <v>0.0131907613344739</v>
      </c>
      <c r="Y38" s="13">
        <f t="shared" si="125"/>
        <v>0.0137399103139013</v>
      </c>
      <c r="Z38" s="13">
        <f t="shared" si="125"/>
        <v>0.0141015921152388</v>
      </c>
      <c r="AA38" s="13">
        <f t="shared" si="125"/>
        <v>0.0143016968114861</v>
      </c>
      <c r="AB38" s="16">
        <f t="shared" si="125"/>
        <v>0.0115274642588412</v>
      </c>
      <c r="AC38" s="16">
        <f t="shared" si="125"/>
        <v>0.0135479306685532</v>
      </c>
      <c r="AD38" s="5"/>
      <c r="AE38" s="5"/>
      <c r="AF38" s="13">
        <f t="shared" ref="AF38:AJ38" si="126">W38</f>
        <v>0.0133569142664645</v>
      </c>
      <c r="AG38" s="13">
        <f t="shared" si="126"/>
        <v>0.0131907613344739</v>
      </c>
      <c r="AH38" s="13">
        <f t="shared" si="126"/>
        <v>0.0137399103139013</v>
      </c>
      <c r="AI38" s="13">
        <f t="shared" si="126"/>
        <v>0.0141015921152388</v>
      </c>
      <c r="AJ38" s="13">
        <f t="shared" si="126"/>
        <v>0.0143016968114861</v>
      </c>
      <c r="AK38" s="17">
        <f t="shared" si="67"/>
        <v>0.0132565838976674</v>
      </c>
      <c r="AL38" s="17">
        <f t="shared" si="68"/>
        <v>0.0155801202688362</v>
      </c>
      <c r="AM38" s="5"/>
      <c r="AN38" s="5"/>
      <c r="AO38" s="13">
        <f t="shared" ref="AO38:AS38" si="127">W38</f>
        <v>0.0133569142664645</v>
      </c>
      <c r="AP38" s="13">
        <f t="shared" si="127"/>
        <v>0.0131907613344739</v>
      </c>
      <c r="AQ38" s="13">
        <f t="shared" si="127"/>
        <v>0.0137399103139013</v>
      </c>
      <c r="AR38" s="13">
        <f t="shared" si="127"/>
        <v>0.0141015921152388</v>
      </c>
      <c r="AS38" s="13">
        <f t="shared" si="127"/>
        <v>0.0143016968114861</v>
      </c>
      <c r="AT38" s="17">
        <f t="shared" si="70"/>
        <v>0.00979834462001505</v>
      </c>
      <c r="AU38" s="17">
        <f t="shared" si="71"/>
        <v>0.0115157410682703</v>
      </c>
      <c r="AZ38" s="3"/>
      <c r="BA38" s="7" t="s">
        <v>237</v>
      </c>
      <c r="BB38" s="8">
        <v>85.8</v>
      </c>
      <c r="BC38" s="13">
        <v>79.3</v>
      </c>
      <c r="BD38" s="13">
        <v>77.1</v>
      </c>
      <c r="BE38" s="13">
        <v>76.6</v>
      </c>
      <c r="BF38" s="13">
        <v>74.4</v>
      </c>
      <c r="BG38" s="13">
        <v>76.7</v>
      </c>
      <c r="BH38" s="13">
        <v>76.6</v>
      </c>
      <c r="BI38" s="13">
        <v>76.6</v>
      </c>
      <c r="BJ38" s="5"/>
      <c r="BK38" s="5"/>
      <c r="BL38" s="11"/>
      <c r="BM38" s="11"/>
      <c r="BN38" s="11"/>
      <c r="BO38" s="11"/>
    </row>
    <row r="39" ht="15.5" spans="1:67">
      <c r="A39" s="5"/>
      <c r="B39" s="5"/>
      <c r="C39" s="4"/>
      <c r="D39" s="5"/>
      <c r="E39" s="5"/>
      <c r="F39" s="5"/>
      <c r="G39" s="5"/>
      <c r="H39" s="5"/>
      <c r="I39" s="5"/>
      <c r="J39" s="5"/>
      <c r="K39" s="5"/>
      <c r="L39" s="5"/>
      <c r="M39" s="5"/>
      <c r="N39" s="5"/>
      <c r="O39" s="5"/>
      <c r="P39" s="5"/>
      <c r="Q39" s="5"/>
      <c r="R39" s="5"/>
      <c r="S39" s="5"/>
      <c r="T39" s="5"/>
      <c r="AZ39" s="5"/>
      <c r="BA39" s="5"/>
      <c r="BB39" s="4"/>
      <c r="BC39" s="5"/>
      <c r="BD39" s="5"/>
      <c r="BE39" s="5"/>
      <c r="BF39" s="5"/>
      <c r="BG39" s="5"/>
      <c r="BH39" s="5"/>
      <c r="BI39" s="5"/>
      <c r="BJ39" s="5"/>
      <c r="BK39" s="5"/>
      <c r="BL39" s="5"/>
      <c r="BM39" s="5"/>
      <c r="BN39" s="5"/>
      <c r="BO39" s="5"/>
    </row>
    <row r="40" ht="15.5" spans="1:67">
      <c r="A40" s="5"/>
      <c r="B40" s="5"/>
      <c r="C40" s="4"/>
      <c r="D40" s="5"/>
      <c r="E40" s="5"/>
      <c r="F40" s="5"/>
      <c r="G40" s="5"/>
      <c r="H40" s="5"/>
      <c r="I40" s="5"/>
      <c r="J40" s="5"/>
      <c r="K40" s="5"/>
      <c r="L40" s="5"/>
      <c r="M40" s="5"/>
      <c r="N40" s="5"/>
      <c r="O40" s="5"/>
      <c r="P40" s="5"/>
      <c r="Q40" s="5"/>
      <c r="R40" s="5"/>
      <c r="S40" s="5"/>
      <c r="T40" s="5"/>
      <c r="AZ40" s="5"/>
      <c r="BA40" s="5"/>
      <c r="BB40" s="4"/>
      <c r="BC40" s="5"/>
      <c r="BD40" s="5"/>
      <c r="BE40" s="5"/>
      <c r="BF40" s="5"/>
      <c r="BG40" s="5"/>
      <c r="BH40" s="5"/>
      <c r="BI40" s="5"/>
      <c r="BJ40" s="5"/>
      <c r="BK40" s="5"/>
      <c r="BL40" s="5"/>
      <c r="BM40" s="5"/>
      <c r="BN40" s="5"/>
      <c r="BO40" s="5"/>
    </row>
    <row r="41" ht="15.5" spans="1:67">
      <c r="A41" s="3" t="s">
        <v>252</v>
      </c>
      <c r="B41" s="3"/>
      <c r="C41" s="3"/>
      <c r="D41" s="3"/>
      <c r="E41" s="3"/>
      <c r="F41" s="3"/>
      <c r="G41" s="3"/>
      <c r="H41" s="3"/>
      <c r="I41" s="3"/>
      <c r="J41" s="3"/>
      <c r="K41" s="5"/>
      <c r="L41" s="5"/>
      <c r="M41" s="5"/>
      <c r="N41" s="5"/>
      <c r="O41" s="5"/>
      <c r="P41" s="5"/>
      <c r="Q41" s="5"/>
      <c r="R41" s="5"/>
      <c r="S41" s="5"/>
      <c r="T41" s="5"/>
      <c r="AZ41" s="3" t="s">
        <v>252</v>
      </c>
      <c r="BA41" s="3"/>
      <c r="BB41" s="3"/>
      <c r="BC41" s="3"/>
      <c r="BD41" s="3"/>
      <c r="BE41" s="3"/>
      <c r="BF41" s="3"/>
      <c r="BG41" s="3"/>
      <c r="BH41" s="3"/>
      <c r="BI41" s="3"/>
      <c r="BJ41" s="5"/>
      <c r="BK41" s="5"/>
      <c r="BL41" s="5"/>
      <c r="BM41" s="5"/>
      <c r="BN41" s="5"/>
      <c r="BO41" s="5"/>
    </row>
    <row r="42" ht="15.5" spans="1:67">
      <c r="A42" s="3" t="s">
        <v>221</v>
      </c>
      <c r="B42" s="3" t="s">
        <v>251</v>
      </c>
      <c r="C42" s="3" t="s">
        <v>223</v>
      </c>
      <c r="D42" s="3"/>
      <c r="E42" s="3"/>
      <c r="F42" s="3"/>
      <c r="G42" s="3"/>
      <c r="H42" s="3"/>
      <c r="I42" s="3"/>
      <c r="J42" s="3"/>
      <c r="K42" s="5"/>
      <c r="L42" s="5"/>
      <c r="M42" s="5"/>
      <c r="N42" s="5"/>
      <c r="O42" s="5"/>
      <c r="P42" s="5"/>
      <c r="Q42" s="5"/>
      <c r="R42" s="5"/>
      <c r="S42" s="5"/>
      <c r="T42" s="5"/>
      <c r="AZ42" s="3" t="s">
        <v>221</v>
      </c>
      <c r="BA42" s="3" t="s">
        <v>251</v>
      </c>
      <c r="BB42" s="3" t="s">
        <v>223</v>
      </c>
      <c r="BC42" s="3"/>
      <c r="BD42" s="3"/>
      <c r="BE42" s="3"/>
      <c r="BF42" s="3"/>
      <c r="BG42" s="3"/>
      <c r="BH42" s="3"/>
      <c r="BI42" s="3"/>
      <c r="BJ42" s="5"/>
      <c r="BK42" s="5"/>
      <c r="BL42" s="5"/>
      <c r="BM42" s="5"/>
      <c r="BN42" s="5"/>
      <c r="BO42" s="5"/>
    </row>
    <row r="43" ht="30" spans="1:67">
      <c r="A43" s="3"/>
      <c r="B43" s="3"/>
      <c r="C43" s="4" t="s">
        <v>224</v>
      </c>
      <c r="D43" s="5" t="s">
        <v>225</v>
      </c>
      <c r="E43" s="5" t="s">
        <v>226</v>
      </c>
      <c r="F43" s="6" t="s">
        <v>227</v>
      </c>
      <c r="G43" s="5" t="s">
        <v>228</v>
      </c>
      <c r="H43" s="5" t="s">
        <v>229</v>
      </c>
      <c r="I43" s="5" t="s">
        <v>230</v>
      </c>
      <c r="J43" s="5" t="s">
        <v>231</v>
      </c>
      <c r="K43" s="5"/>
      <c r="L43" s="5"/>
      <c r="M43" s="5" t="s">
        <v>225</v>
      </c>
      <c r="N43" s="5" t="s">
        <v>226</v>
      </c>
      <c r="O43" s="5" t="s">
        <v>227</v>
      </c>
      <c r="P43" s="5" t="s">
        <v>228</v>
      </c>
      <c r="Q43" s="5" t="s">
        <v>229</v>
      </c>
      <c r="R43" s="5" t="s">
        <v>230</v>
      </c>
      <c r="S43" s="5" t="s">
        <v>231</v>
      </c>
      <c r="T43" s="5"/>
      <c r="U43" s="5"/>
      <c r="V43" s="12" t="s">
        <v>249</v>
      </c>
      <c r="W43" s="5" t="s">
        <v>225</v>
      </c>
      <c r="X43" s="5" t="s">
        <v>226</v>
      </c>
      <c r="Y43" s="6" t="s">
        <v>227</v>
      </c>
      <c r="Z43" s="5" t="s">
        <v>228</v>
      </c>
      <c r="AA43" s="5" t="s">
        <v>229</v>
      </c>
      <c r="AB43" s="15" t="s">
        <v>230</v>
      </c>
      <c r="AC43" s="15" t="s">
        <v>231</v>
      </c>
      <c r="AD43" s="5"/>
      <c r="AE43" s="5"/>
      <c r="AF43" s="5" t="s">
        <v>225</v>
      </c>
      <c r="AG43" s="5" t="s">
        <v>226</v>
      </c>
      <c r="AH43" s="6" t="s">
        <v>227</v>
      </c>
      <c r="AI43" s="5" t="s">
        <v>228</v>
      </c>
      <c r="AJ43" s="5" t="s">
        <v>229</v>
      </c>
      <c r="AK43" s="15" t="s">
        <v>230</v>
      </c>
      <c r="AL43" s="15" t="s">
        <v>231</v>
      </c>
      <c r="AO43" s="5" t="s">
        <v>225</v>
      </c>
      <c r="AP43" s="5" t="s">
        <v>226</v>
      </c>
      <c r="AQ43" s="6" t="s">
        <v>227</v>
      </c>
      <c r="AR43" s="5" t="s">
        <v>228</v>
      </c>
      <c r="AS43" s="5" t="s">
        <v>229</v>
      </c>
      <c r="AT43" s="15" t="s">
        <v>230</v>
      </c>
      <c r="AU43" s="15" t="s">
        <v>231</v>
      </c>
      <c r="AZ43" s="3"/>
      <c r="BA43" s="3"/>
      <c r="BB43" s="4" t="s">
        <v>224</v>
      </c>
      <c r="BC43" s="5" t="s">
        <v>225</v>
      </c>
      <c r="BD43" s="5" t="s">
        <v>226</v>
      </c>
      <c r="BE43" s="6" t="s">
        <v>227</v>
      </c>
      <c r="BF43" s="5" t="s">
        <v>228</v>
      </c>
      <c r="BG43" s="5" t="s">
        <v>229</v>
      </c>
      <c r="BH43" s="5" t="s">
        <v>230</v>
      </c>
      <c r="BI43" s="5" t="s">
        <v>231</v>
      </c>
      <c r="BJ43" s="5"/>
      <c r="BK43" s="5"/>
      <c r="BL43" s="5"/>
      <c r="BM43" s="5"/>
      <c r="BN43" s="5"/>
      <c r="BO43" s="5"/>
    </row>
    <row r="44" ht="15.5" spans="1:67">
      <c r="A44" s="3" t="s">
        <v>232</v>
      </c>
      <c r="B44" s="7" t="s">
        <v>233</v>
      </c>
      <c r="C44" s="8">
        <f t="shared" ref="C44:J44" si="128">BB44/1000</f>
        <v>0.6652</v>
      </c>
      <c r="D44" s="8">
        <f t="shared" si="128"/>
        <v>0.5864</v>
      </c>
      <c r="E44" s="8">
        <f t="shared" si="128"/>
        <v>0.5679</v>
      </c>
      <c r="F44" s="8">
        <f t="shared" si="128"/>
        <v>0.5636</v>
      </c>
      <c r="G44" s="8">
        <f t="shared" si="128"/>
        <v>0.5409</v>
      </c>
      <c r="H44" s="8">
        <f t="shared" si="128"/>
        <v>0.5521</v>
      </c>
      <c r="I44" s="8">
        <f t="shared" si="128"/>
        <v>0.5636</v>
      </c>
      <c r="J44" s="8">
        <f t="shared" si="128"/>
        <v>0.5636</v>
      </c>
      <c r="K44" s="5"/>
      <c r="L44" s="5"/>
      <c r="M44" s="10">
        <v>5.937</v>
      </c>
      <c r="N44" s="10">
        <v>5.845</v>
      </c>
      <c r="O44" s="10">
        <v>5.575</v>
      </c>
      <c r="P44" s="10">
        <v>5.276</v>
      </c>
      <c r="Q44" s="10">
        <v>5.363</v>
      </c>
      <c r="R44" s="10">
        <v>6.645</v>
      </c>
      <c r="S44" s="10">
        <v>5.654</v>
      </c>
      <c r="T44" s="10"/>
      <c r="U44" s="3" t="s">
        <v>232</v>
      </c>
      <c r="V44" s="7" t="s">
        <v>233</v>
      </c>
      <c r="W44" s="13">
        <f t="shared" ref="W44:AC44" si="129">D44/M44</f>
        <v>0.098770422772444</v>
      </c>
      <c r="X44" s="13">
        <f t="shared" si="129"/>
        <v>0.0971599657827203</v>
      </c>
      <c r="Y44" s="13">
        <f t="shared" si="129"/>
        <v>0.101094170403587</v>
      </c>
      <c r="Z44" s="13">
        <f t="shared" si="129"/>
        <v>0.102520849128127</v>
      </c>
      <c r="AA44" s="13">
        <f t="shared" si="129"/>
        <v>0.102946112250606</v>
      </c>
      <c r="AB44" s="16">
        <f t="shared" si="129"/>
        <v>0.0848156508653123</v>
      </c>
      <c r="AC44" s="16">
        <f t="shared" si="129"/>
        <v>0.0996816413158826</v>
      </c>
      <c r="AD44" s="5"/>
      <c r="AE44" s="5"/>
      <c r="AF44" s="13">
        <f t="shared" ref="AF44:AJ44" si="130">W44</f>
        <v>0.098770422772444</v>
      </c>
      <c r="AG44" s="13">
        <f t="shared" si="130"/>
        <v>0.0971599657827203</v>
      </c>
      <c r="AH44" s="13">
        <f t="shared" si="130"/>
        <v>0.101094170403587</v>
      </c>
      <c r="AI44" s="13">
        <f t="shared" si="130"/>
        <v>0.102520849128127</v>
      </c>
      <c r="AJ44" s="13">
        <f t="shared" si="130"/>
        <v>0.102946112250606</v>
      </c>
      <c r="AK44" s="17">
        <f t="shared" ref="AK44:AK58" si="131">AB44*1.15</f>
        <v>0.0975379984951091</v>
      </c>
      <c r="AL44" s="17">
        <f t="shared" ref="AL44:AL58" si="132">AC44*1.15</f>
        <v>0.114633887513265</v>
      </c>
      <c r="AO44" s="13">
        <f t="shared" ref="AO44:AS44" si="133">W44</f>
        <v>0.098770422772444</v>
      </c>
      <c r="AP44" s="13">
        <f t="shared" si="133"/>
        <v>0.0971599657827203</v>
      </c>
      <c r="AQ44" s="13">
        <f t="shared" si="133"/>
        <v>0.101094170403587</v>
      </c>
      <c r="AR44" s="13">
        <f t="shared" si="133"/>
        <v>0.102520849128127</v>
      </c>
      <c r="AS44" s="13">
        <f t="shared" si="133"/>
        <v>0.102946112250606</v>
      </c>
      <c r="AT44" s="17">
        <f t="shared" ref="AT44:AT58" si="134">AB44*0.85</f>
        <v>0.0720933032355154</v>
      </c>
      <c r="AU44" s="17">
        <f t="shared" ref="AU44:AU58" si="135">AC44*0.85</f>
        <v>0.0847293951185002</v>
      </c>
      <c r="AZ44" s="3" t="s">
        <v>232</v>
      </c>
      <c r="BA44" s="7" t="s">
        <v>233</v>
      </c>
      <c r="BB44" s="8">
        <v>665.2</v>
      </c>
      <c r="BC44" s="13">
        <v>586.4</v>
      </c>
      <c r="BD44" s="13">
        <v>567.9</v>
      </c>
      <c r="BE44" s="13">
        <v>563.6</v>
      </c>
      <c r="BF44" s="13">
        <v>540.9</v>
      </c>
      <c r="BG44" s="13">
        <v>552.1</v>
      </c>
      <c r="BH44" s="13">
        <v>563.6</v>
      </c>
      <c r="BI44" s="13">
        <v>563.6</v>
      </c>
      <c r="BJ44" s="5"/>
      <c r="BK44" s="5"/>
      <c r="BL44" s="10"/>
      <c r="BM44" s="10"/>
      <c r="BN44" s="10"/>
      <c r="BO44" s="10"/>
    </row>
    <row r="45" ht="15.5" spans="1:67">
      <c r="A45" s="3"/>
      <c r="B45" s="7" t="s">
        <v>234</v>
      </c>
      <c r="C45" s="8">
        <f t="shared" ref="C45:J45" si="136">BB45/1000</f>
        <v>0.6092</v>
      </c>
      <c r="D45" s="8">
        <f t="shared" si="136"/>
        <v>0.5396</v>
      </c>
      <c r="E45" s="8">
        <f t="shared" si="136"/>
        <v>0.5232</v>
      </c>
      <c r="F45" s="8">
        <f t="shared" si="136"/>
        <v>0.5193</v>
      </c>
      <c r="G45" s="8">
        <f t="shared" si="136"/>
        <v>0.499</v>
      </c>
      <c r="H45" s="8">
        <f t="shared" si="136"/>
        <v>0.5091</v>
      </c>
      <c r="I45" s="8">
        <f t="shared" si="136"/>
        <v>0.5193</v>
      </c>
      <c r="J45" s="8">
        <f t="shared" si="136"/>
        <v>0.5193</v>
      </c>
      <c r="K45" s="5"/>
      <c r="L45" s="5"/>
      <c r="M45" s="11">
        <v>5.937</v>
      </c>
      <c r="N45" s="11">
        <v>5.845</v>
      </c>
      <c r="O45" s="11">
        <v>5.575</v>
      </c>
      <c r="P45" s="11">
        <v>5.276</v>
      </c>
      <c r="Q45" s="11">
        <v>5.363</v>
      </c>
      <c r="R45" s="11">
        <v>6.645</v>
      </c>
      <c r="S45" s="11">
        <v>5.654</v>
      </c>
      <c r="T45" s="11"/>
      <c r="U45" s="3"/>
      <c r="V45" s="7" t="s">
        <v>234</v>
      </c>
      <c r="W45" s="13">
        <f t="shared" ref="W45:AC45" si="137">D45/M45</f>
        <v>0.0908876536971534</v>
      </c>
      <c r="X45" s="13">
        <f t="shared" si="137"/>
        <v>0.0895124037639008</v>
      </c>
      <c r="Y45" s="13">
        <f t="shared" si="137"/>
        <v>0.0931479820627803</v>
      </c>
      <c r="Z45" s="13">
        <f t="shared" si="137"/>
        <v>0.094579226686884</v>
      </c>
      <c r="AA45" s="13">
        <f t="shared" si="137"/>
        <v>0.0949282118217415</v>
      </c>
      <c r="AB45" s="16">
        <f t="shared" si="137"/>
        <v>0.0781489841986456</v>
      </c>
      <c r="AC45" s="16">
        <f t="shared" si="137"/>
        <v>0.0918464803678811</v>
      </c>
      <c r="AD45" s="5"/>
      <c r="AE45" s="5"/>
      <c r="AF45" s="13">
        <f t="shared" ref="AF45:AJ45" si="138">W45</f>
        <v>0.0908876536971534</v>
      </c>
      <c r="AG45" s="13">
        <f t="shared" si="138"/>
        <v>0.0895124037639008</v>
      </c>
      <c r="AH45" s="13">
        <f t="shared" si="138"/>
        <v>0.0931479820627803</v>
      </c>
      <c r="AI45" s="13">
        <f t="shared" si="138"/>
        <v>0.094579226686884</v>
      </c>
      <c r="AJ45" s="13">
        <f t="shared" si="138"/>
        <v>0.0949282118217415</v>
      </c>
      <c r="AK45" s="17">
        <f t="shared" si="131"/>
        <v>0.0898713318284424</v>
      </c>
      <c r="AL45" s="17">
        <f t="shared" si="132"/>
        <v>0.105623452423063</v>
      </c>
      <c r="AO45" s="13">
        <f t="shared" ref="AO45:AS45" si="139">W45</f>
        <v>0.0908876536971534</v>
      </c>
      <c r="AP45" s="13">
        <f t="shared" si="139"/>
        <v>0.0895124037639008</v>
      </c>
      <c r="AQ45" s="13">
        <f t="shared" si="139"/>
        <v>0.0931479820627803</v>
      </c>
      <c r="AR45" s="13">
        <f t="shared" si="139"/>
        <v>0.094579226686884</v>
      </c>
      <c r="AS45" s="13">
        <f t="shared" si="139"/>
        <v>0.0949282118217415</v>
      </c>
      <c r="AT45" s="17">
        <f t="shared" si="134"/>
        <v>0.0664266365688488</v>
      </c>
      <c r="AU45" s="17">
        <f t="shared" si="135"/>
        <v>0.078069508312699</v>
      </c>
      <c r="AZ45" s="3"/>
      <c r="BA45" s="7" t="s">
        <v>234</v>
      </c>
      <c r="BB45" s="8">
        <v>609.2</v>
      </c>
      <c r="BC45" s="13">
        <v>539.6</v>
      </c>
      <c r="BD45" s="13">
        <v>523.2</v>
      </c>
      <c r="BE45" s="13">
        <v>519.3</v>
      </c>
      <c r="BF45" s="13">
        <v>499</v>
      </c>
      <c r="BG45" s="13">
        <v>509.1</v>
      </c>
      <c r="BH45" s="13">
        <v>519.3</v>
      </c>
      <c r="BI45" s="13">
        <v>519.3</v>
      </c>
      <c r="BJ45" s="5"/>
      <c r="BK45" s="5"/>
      <c r="BL45" s="11"/>
      <c r="BM45" s="11"/>
      <c r="BN45" s="11"/>
      <c r="BO45" s="11"/>
    </row>
    <row r="46" ht="15.5" spans="1:67">
      <c r="A46" s="3"/>
      <c r="B46" s="7" t="s">
        <v>235</v>
      </c>
      <c r="C46" s="8">
        <f t="shared" ref="C46:J46" si="140">BB46/1000</f>
        <v>0.1429</v>
      </c>
      <c r="D46" s="8">
        <f t="shared" si="140"/>
        <v>0.1194</v>
      </c>
      <c r="E46" s="8">
        <f t="shared" si="140"/>
        <v>0.114</v>
      </c>
      <c r="F46" s="8">
        <f t="shared" si="140"/>
        <v>0.1127</v>
      </c>
      <c r="G46" s="8">
        <f t="shared" si="140"/>
        <v>0.1061</v>
      </c>
      <c r="H46" s="8">
        <f t="shared" si="140"/>
        <v>0.1094</v>
      </c>
      <c r="I46" s="8">
        <f t="shared" si="140"/>
        <v>0.1127</v>
      </c>
      <c r="J46" s="8">
        <f t="shared" si="140"/>
        <v>0.1127</v>
      </c>
      <c r="K46" s="5"/>
      <c r="L46" s="5"/>
      <c r="M46" s="11">
        <v>5.937</v>
      </c>
      <c r="N46" s="11">
        <v>5.845</v>
      </c>
      <c r="O46" s="11">
        <v>5.575</v>
      </c>
      <c r="P46" s="11">
        <v>5.276</v>
      </c>
      <c r="Q46" s="11">
        <v>5.363</v>
      </c>
      <c r="R46" s="11">
        <v>6.645</v>
      </c>
      <c r="S46" s="11">
        <v>5.654</v>
      </c>
      <c r="T46" s="11"/>
      <c r="U46" s="3"/>
      <c r="V46" s="7" t="s">
        <v>235</v>
      </c>
      <c r="W46" s="13">
        <f t="shared" ref="W46:AC46" si="141">D46/M46</f>
        <v>0.02011116725619</v>
      </c>
      <c r="X46" s="13">
        <f t="shared" si="141"/>
        <v>0.0195038494439692</v>
      </c>
      <c r="Y46" s="13">
        <f t="shared" si="141"/>
        <v>0.0202152466367713</v>
      </c>
      <c r="Z46" s="13">
        <f t="shared" si="141"/>
        <v>0.0201099317664898</v>
      </c>
      <c r="AA46" s="13">
        <f t="shared" si="141"/>
        <v>0.0203990303934365</v>
      </c>
      <c r="AB46" s="16">
        <f t="shared" si="141"/>
        <v>0.0169601203912716</v>
      </c>
      <c r="AC46" s="16">
        <f t="shared" si="141"/>
        <v>0.0199327909444641</v>
      </c>
      <c r="AD46" s="5"/>
      <c r="AE46" s="5"/>
      <c r="AF46" s="13">
        <f t="shared" ref="AF46:AJ46" si="142">W46</f>
        <v>0.02011116725619</v>
      </c>
      <c r="AG46" s="13">
        <f t="shared" si="142"/>
        <v>0.0195038494439692</v>
      </c>
      <c r="AH46" s="13">
        <f t="shared" si="142"/>
        <v>0.0202152466367713</v>
      </c>
      <c r="AI46" s="13">
        <f t="shared" si="142"/>
        <v>0.0201099317664898</v>
      </c>
      <c r="AJ46" s="13">
        <f t="shared" si="142"/>
        <v>0.0203990303934365</v>
      </c>
      <c r="AK46" s="17">
        <f t="shared" si="131"/>
        <v>0.0195041384499624</v>
      </c>
      <c r="AL46" s="17">
        <f t="shared" si="132"/>
        <v>0.0229227095861337</v>
      </c>
      <c r="AO46" s="13">
        <f t="shared" ref="AO46:AS46" si="143">W46</f>
        <v>0.02011116725619</v>
      </c>
      <c r="AP46" s="13">
        <f t="shared" si="143"/>
        <v>0.0195038494439692</v>
      </c>
      <c r="AQ46" s="13">
        <f t="shared" si="143"/>
        <v>0.0202152466367713</v>
      </c>
      <c r="AR46" s="13">
        <f t="shared" si="143"/>
        <v>0.0201099317664898</v>
      </c>
      <c r="AS46" s="13">
        <f t="shared" si="143"/>
        <v>0.0203990303934365</v>
      </c>
      <c r="AT46" s="17">
        <f t="shared" si="134"/>
        <v>0.0144161023325809</v>
      </c>
      <c r="AU46" s="17">
        <f t="shared" si="135"/>
        <v>0.0169428723027945</v>
      </c>
      <c r="AZ46" s="3"/>
      <c r="BA46" s="7" t="s">
        <v>235</v>
      </c>
      <c r="BB46" s="8">
        <v>142.9</v>
      </c>
      <c r="BC46" s="13">
        <v>119.4</v>
      </c>
      <c r="BD46" s="13">
        <v>114</v>
      </c>
      <c r="BE46" s="13">
        <v>112.7</v>
      </c>
      <c r="BF46" s="13">
        <v>106.1</v>
      </c>
      <c r="BG46" s="13">
        <v>109.4</v>
      </c>
      <c r="BH46" s="13">
        <v>112.7</v>
      </c>
      <c r="BI46" s="13">
        <v>112.7</v>
      </c>
      <c r="BJ46" s="5"/>
      <c r="BK46" s="5"/>
      <c r="BL46" s="11"/>
      <c r="BM46" s="11"/>
      <c r="BN46" s="11"/>
      <c r="BO46" s="11"/>
    </row>
    <row r="47" ht="15.5" spans="1:67">
      <c r="A47" s="3"/>
      <c r="B47" s="7" t="s">
        <v>236</v>
      </c>
      <c r="C47" s="8">
        <f t="shared" ref="C47:J47" si="144">BB47/1000</f>
        <v>0.4256</v>
      </c>
      <c r="D47" s="8">
        <f t="shared" si="144"/>
        <v>0.3807</v>
      </c>
      <c r="E47" s="8">
        <f t="shared" si="144"/>
        <v>0.3703</v>
      </c>
      <c r="F47" s="8">
        <f t="shared" si="144"/>
        <v>0.3679</v>
      </c>
      <c r="G47" s="8">
        <f t="shared" si="144"/>
        <v>0.3552</v>
      </c>
      <c r="H47" s="8">
        <f t="shared" si="144"/>
        <v>0.3613</v>
      </c>
      <c r="I47" s="8">
        <f t="shared" si="144"/>
        <v>0.3679</v>
      </c>
      <c r="J47" s="8">
        <f t="shared" si="144"/>
        <v>0.3679</v>
      </c>
      <c r="K47" s="5"/>
      <c r="L47" s="5"/>
      <c r="M47" s="11">
        <v>5.937</v>
      </c>
      <c r="N47" s="11">
        <v>5.845</v>
      </c>
      <c r="O47" s="11">
        <v>5.575</v>
      </c>
      <c r="P47" s="11">
        <v>5.276</v>
      </c>
      <c r="Q47" s="11">
        <v>5.363</v>
      </c>
      <c r="R47" s="11">
        <v>6.645</v>
      </c>
      <c r="S47" s="11">
        <v>5.654</v>
      </c>
      <c r="T47" s="11"/>
      <c r="U47" s="3"/>
      <c r="V47" s="7" t="s">
        <v>236</v>
      </c>
      <c r="W47" s="13">
        <f t="shared" ref="W47:AC47" si="145">D47/M47</f>
        <v>0.0641232945932289</v>
      </c>
      <c r="X47" s="13">
        <f t="shared" si="145"/>
        <v>0.0633532934131737</v>
      </c>
      <c r="Y47" s="13">
        <f t="shared" si="145"/>
        <v>0.0659910313901345</v>
      </c>
      <c r="Z47" s="13">
        <f t="shared" si="145"/>
        <v>0.0673237300985595</v>
      </c>
      <c r="AA47" s="13">
        <f t="shared" si="145"/>
        <v>0.0673690098825284</v>
      </c>
      <c r="AB47" s="16">
        <f t="shared" si="145"/>
        <v>0.055364936042137</v>
      </c>
      <c r="AC47" s="16">
        <f t="shared" si="145"/>
        <v>0.0650689777148921</v>
      </c>
      <c r="AD47" s="5"/>
      <c r="AE47" s="5"/>
      <c r="AF47" s="13">
        <f t="shared" ref="AF47:AJ47" si="146">W47</f>
        <v>0.0641232945932289</v>
      </c>
      <c r="AG47" s="13">
        <f t="shared" si="146"/>
        <v>0.0633532934131737</v>
      </c>
      <c r="AH47" s="13">
        <f t="shared" si="146"/>
        <v>0.0659910313901345</v>
      </c>
      <c r="AI47" s="13">
        <f t="shared" si="146"/>
        <v>0.0673237300985595</v>
      </c>
      <c r="AJ47" s="13">
        <f t="shared" si="146"/>
        <v>0.0673690098825284</v>
      </c>
      <c r="AK47" s="17">
        <f t="shared" si="131"/>
        <v>0.0636696764484575</v>
      </c>
      <c r="AL47" s="17">
        <f t="shared" si="132"/>
        <v>0.0748293243721259</v>
      </c>
      <c r="AO47" s="13">
        <f t="shared" ref="AO47:AS47" si="147">W47</f>
        <v>0.0641232945932289</v>
      </c>
      <c r="AP47" s="13">
        <f t="shared" si="147"/>
        <v>0.0633532934131737</v>
      </c>
      <c r="AQ47" s="13">
        <f t="shared" si="147"/>
        <v>0.0659910313901345</v>
      </c>
      <c r="AR47" s="13">
        <f t="shared" si="147"/>
        <v>0.0673237300985595</v>
      </c>
      <c r="AS47" s="13">
        <f t="shared" si="147"/>
        <v>0.0673690098825284</v>
      </c>
      <c r="AT47" s="17">
        <f t="shared" si="134"/>
        <v>0.0470601956358164</v>
      </c>
      <c r="AU47" s="17">
        <f t="shared" si="135"/>
        <v>0.0553086310576583</v>
      </c>
      <c r="AZ47" s="3"/>
      <c r="BA47" s="7" t="s">
        <v>236</v>
      </c>
      <c r="BB47" s="8">
        <v>425.6</v>
      </c>
      <c r="BC47" s="13">
        <v>380.7</v>
      </c>
      <c r="BD47" s="13">
        <v>370.3</v>
      </c>
      <c r="BE47" s="13">
        <v>367.9</v>
      </c>
      <c r="BF47" s="13">
        <v>355.2</v>
      </c>
      <c r="BG47" s="13">
        <v>361.3</v>
      </c>
      <c r="BH47" s="13">
        <v>367.9</v>
      </c>
      <c r="BI47" s="13">
        <v>367.9</v>
      </c>
      <c r="BJ47" s="5"/>
      <c r="BK47" s="5"/>
      <c r="BL47" s="11"/>
      <c r="BM47" s="11"/>
      <c r="BN47" s="11"/>
      <c r="BO47" s="11"/>
    </row>
    <row r="48" ht="15.5" spans="1:67">
      <c r="A48" s="3"/>
      <c r="B48" s="7" t="s">
        <v>237</v>
      </c>
      <c r="C48" s="8">
        <f t="shared" ref="C48:J48" si="148">BB48/1000</f>
        <v>0.0846</v>
      </c>
      <c r="D48" s="8">
        <f t="shared" si="148"/>
        <v>0.077</v>
      </c>
      <c r="E48" s="8">
        <f t="shared" si="148"/>
        <v>0.0749</v>
      </c>
      <c r="F48" s="8">
        <f t="shared" si="148"/>
        <v>0.0744</v>
      </c>
      <c r="G48" s="8">
        <f t="shared" si="148"/>
        <v>0.0717</v>
      </c>
      <c r="H48" s="8">
        <f t="shared" si="148"/>
        <v>0.0731</v>
      </c>
      <c r="I48" s="8">
        <f t="shared" si="148"/>
        <v>0.0744</v>
      </c>
      <c r="J48" s="8">
        <f t="shared" si="148"/>
        <v>0.0744</v>
      </c>
      <c r="K48" s="5"/>
      <c r="L48" s="5"/>
      <c r="M48" s="11">
        <v>5.937</v>
      </c>
      <c r="N48" s="11">
        <v>5.845</v>
      </c>
      <c r="O48" s="11">
        <v>5.575</v>
      </c>
      <c r="P48" s="11">
        <v>5.276</v>
      </c>
      <c r="Q48" s="11">
        <v>5.363</v>
      </c>
      <c r="R48" s="11">
        <v>6.645</v>
      </c>
      <c r="S48" s="11">
        <v>5.654</v>
      </c>
      <c r="T48" s="11"/>
      <c r="U48" s="3"/>
      <c r="V48" s="7" t="s">
        <v>237</v>
      </c>
      <c r="W48" s="13">
        <f t="shared" ref="W48:AC48" si="149">D48/M48</f>
        <v>0.0129695132221661</v>
      </c>
      <c r="X48" s="13">
        <f t="shared" si="149"/>
        <v>0.012814371257485</v>
      </c>
      <c r="Y48" s="13">
        <f t="shared" si="149"/>
        <v>0.0133452914798206</v>
      </c>
      <c r="Z48" s="13">
        <f t="shared" si="149"/>
        <v>0.0135898407884761</v>
      </c>
      <c r="AA48" s="13">
        <f t="shared" si="149"/>
        <v>0.0136304307290695</v>
      </c>
      <c r="AB48" s="16">
        <f t="shared" si="149"/>
        <v>0.011196388261851</v>
      </c>
      <c r="AC48" s="16">
        <f t="shared" si="149"/>
        <v>0.0131588256101875</v>
      </c>
      <c r="AD48" s="5"/>
      <c r="AE48" s="5"/>
      <c r="AF48" s="13">
        <f t="shared" ref="AF48:AJ48" si="150">W48</f>
        <v>0.0129695132221661</v>
      </c>
      <c r="AG48" s="13">
        <f t="shared" si="150"/>
        <v>0.012814371257485</v>
      </c>
      <c r="AH48" s="13">
        <f t="shared" si="150"/>
        <v>0.0133452914798206</v>
      </c>
      <c r="AI48" s="13">
        <f t="shared" si="150"/>
        <v>0.0135898407884761</v>
      </c>
      <c r="AJ48" s="13">
        <f t="shared" si="150"/>
        <v>0.0136304307290695</v>
      </c>
      <c r="AK48" s="17">
        <f t="shared" si="131"/>
        <v>0.0128758465011287</v>
      </c>
      <c r="AL48" s="17">
        <f t="shared" si="132"/>
        <v>0.0151326494517156</v>
      </c>
      <c r="AO48" s="13">
        <f t="shared" ref="AO48:AS48" si="151">W48</f>
        <v>0.0129695132221661</v>
      </c>
      <c r="AP48" s="13">
        <f t="shared" si="151"/>
        <v>0.012814371257485</v>
      </c>
      <c r="AQ48" s="13">
        <f t="shared" si="151"/>
        <v>0.0133452914798206</v>
      </c>
      <c r="AR48" s="13">
        <f t="shared" si="151"/>
        <v>0.0135898407884761</v>
      </c>
      <c r="AS48" s="13">
        <f t="shared" si="151"/>
        <v>0.0136304307290695</v>
      </c>
      <c r="AT48" s="17">
        <f t="shared" si="134"/>
        <v>0.00951693002257336</v>
      </c>
      <c r="AU48" s="17">
        <f t="shared" si="135"/>
        <v>0.0111850017686594</v>
      </c>
      <c r="AZ48" s="3"/>
      <c r="BA48" s="7" t="s">
        <v>237</v>
      </c>
      <c r="BB48" s="8">
        <v>84.6</v>
      </c>
      <c r="BC48" s="13">
        <v>77</v>
      </c>
      <c r="BD48" s="13">
        <v>74.9</v>
      </c>
      <c r="BE48" s="13">
        <v>74.4</v>
      </c>
      <c r="BF48" s="13">
        <v>71.7</v>
      </c>
      <c r="BG48" s="13">
        <v>73.1</v>
      </c>
      <c r="BH48" s="13">
        <v>74.4</v>
      </c>
      <c r="BI48" s="13">
        <v>74.4</v>
      </c>
      <c r="BJ48" s="5"/>
      <c r="BK48" s="5"/>
      <c r="BL48" s="11"/>
      <c r="BM48" s="11"/>
      <c r="BN48" s="11"/>
      <c r="BO48" s="11"/>
    </row>
    <row r="49" ht="15.5" spans="1:67">
      <c r="A49" s="3" t="s">
        <v>238</v>
      </c>
      <c r="B49" s="7" t="s">
        <v>233</v>
      </c>
      <c r="C49" s="8">
        <f t="shared" ref="C49:J49" si="152">BB49/1000</f>
        <v>0.6792</v>
      </c>
      <c r="D49" s="8">
        <f t="shared" si="152"/>
        <v>0.5984</v>
      </c>
      <c r="E49" s="8">
        <f t="shared" si="152"/>
        <v>0.5794</v>
      </c>
      <c r="F49" s="8">
        <f t="shared" si="152"/>
        <v>0.575</v>
      </c>
      <c r="G49" s="8">
        <f t="shared" si="152"/>
        <v>0.5517</v>
      </c>
      <c r="H49" s="8">
        <f t="shared" si="152"/>
        <v>0.5632</v>
      </c>
      <c r="I49" s="8">
        <f t="shared" si="152"/>
        <v>0.575</v>
      </c>
      <c r="J49" s="8">
        <f t="shared" si="152"/>
        <v>0.575</v>
      </c>
      <c r="K49" s="5"/>
      <c r="L49" s="5"/>
      <c r="M49" s="11">
        <v>5.937</v>
      </c>
      <c r="N49" s="11">
        <v>5.845</v>
      </c>
      <c r="O49" s="11">
        <v>5.575</v>
      </c>
      <c r="P49" s="11">
        <v>5.276</v>
      </c>
      <c r="Q49" s="11">
        <v>5.363</v>
      </c>
      <c r="R49" s="11">
        <v>6.645</v>
      </c>
      <c r="S49" s="11">
        <v>5.654</v>
      </c>
      <c r="T49" s="11"/>
      <c r="U49" s="3" t="s">
        <v>238</v>
      </c>
      <c r="V49" s="7" t="s">
        <v>233</v>
      </c>
      <c r="W49" s="13">
        <f t="shared" ref="W49:AC49" si="153">D49/M49</f>
        <v>0.100791645612262</v>
      </c>
      <c r="X49" s="13">
        <f t="shared" si="153"/>
        <v>0.0991274593669803</v>
      </c>
      <c r="Y49" s="13">
        <f t="shared" si="153"/>
        <v>0.103139013452915</v>
      </c>
      <c r="Z49" s="13">
        <f t="shared" si="153"/>
        <v>0.104567854435178</v>
      </c>
      <c r="AA49" s="13">
        <f t="shared" si="153"/>
        <v>0.105015849338057</v>
      </c>
      <c r="AB49" s="16">
        <f t="shared" si="153"/>
        <v>0.0865312264860798</v>
      </c>
      <c r="AC49" s="16">
        <f t="shared" si="153"/>
        <v>0.10169791298196</v>
      </c>
      <c r="AD49" s="5"/>
      <c r="AE49" s="5"/>
      <c r="AF49" s="13">
        <f t="shared" ref="AF49:AJ49" si="154">W49</f>
        <v>0.100791645612262</v>
      </c>
      <c r="AG49" s="13">
        <f t="shared" si="154"/>
        <v>0.0991274593669803</v>
      </c>
      <c r="AH49" s="13">
        <f t="shared" si="154"/>
        <v>0.103139013452915</v>
      </c>
      <c r="AI49" s="13">
        <f t="shared" si="154"/>
        <v>0.104567854435178</v>
      </c>
      <c r="AJ49" s="13">
        <f t="shared" si="154"/>
        <v>0.105015849338057</v>
      </c>
      <c r="AK49" s="17">
        <f t="shared" si="131"/>
        <v>0.0995109104589917</v>
      </c>
      <c r="AL49" s="17">
        <f t="shared" si="132"/>
        <v>0.116952599929254</v>
      </c>
      <c r="AO49" s="13">
        <f t="shared" ref="AO49:AS49" si="155">W49</f>
        <v>0.100791645612262</v>
      </c>
      <c r="AP49" s="13">
        <f t="shared" si="155"/>
        <v>0.0991274593669803</v>
      </c>
      <c r="AQ49" s="13">
        <f t="shared" si="155"/>
        <v>0.103139013452915</v>
      </c>
      <c r="AR49" s="13">
        <f t="shared" si="155"/>
        <v>0.104567854435178</v>
      </c>
      <c r="AS49" s="13">
        <f t="shared" si="155"/>
        <v>0.105015849338057</v>
      </c>
      <c r="AT49" s="17">
        <f t="shared" si="134"/>
        <v>0.0735515425131678</v>
      </c>
      <c r="AU49" s="17">
        <f t="shared" si="135"/>
        <v>0.0864432260346657</v>
      </c>
      <c r="AZ49" s="3" t="s">
        <v>238</v>
      </c>
      <c r="BA49" s="7" t="s">
        <v>233</v>
      </c>
      <c r="BB49" s="8">
        <v>679.2</v>
      </c>
      <c r="BC49" s="13">
        <v>598.4</v>
      </c>
      <c r="BD49" s="13">
        <v>579.4</v>
      </c>
      <c r="BE49" s="13">
        <v>575</v>
      </c>
      <c r="BF49" s="13">
        <v>551.7</v>
      </c>
      <c r="BG49" s="13">
        <v>563.2</v>
      </c>
      <c r="BH49" s="13">
        <v>575</v>
      </c>
      <c r="BI49" s="13">
        <v>575</v>
      </c>
      <c r="BJ49" s="5"/>
      <c r="BK49" s="5"/>
      <c r="BL49" s="11"/>
      <c r="BM49" s="11"/>
      <c r="BN49" s="11"/>
      <c r="BO49" s="11"/>
    </row>
    <row r="50" ht="15.5" spans="1:67">
      <c r="A50" s="3"/>
      <c r="B50" s="7" t="s">
        <v>234</v>
      </c>
      <c r="C50" s="8">
        <f t="shared" ref="C50:J50" si="156">BB50/1000</f>
        <v>0.6241</v>
      </c>
      <c r="D50" s="8">
        <f t="shared" si="156"/>
        <v>0.5523</v>
      </c>
      <c r="E50" s="8">
        <f t="shared" si="156"/>
        <v>0.5353</v>
      </c>
      <c r="F50" s="8">
        <f t="shared" si="156"/>
        <v>0.5314</v>
      </c>
      <c r="G50" s="8">
        <f t="shared" si="156"/>
        <v>0.5105</v>
      </c>
      <c r="H50" s="8">
        <f t="shared" si="156"/>
        <v>0.5209</v>
      </c>
      <c r="I50" s="8">
        <f t="shared" si="156"/>
        <v>0.5314</v>
      </c>
      <c r="J50" s="8">
        <f t="shared" si="156"/>
        <v>0.5314</v>
      </c>
      <c r="K50" s="5"/>
      <c r="L50" s="5"/>
      <c r="M50" s="11">
        <v>5.937</v>
      </c>
      <c r="N50" s="11">
        <v>5.845</v>
      </c>
      <c r="O50" s="11">
        <v>5.575</v>
      </c>
      <c r="P50" s="11">
        <v>5.276</v>
      </c>
      <c r="Q50" s="11">
        <v>5.363</v>
      </c>
      <c r="R50" s="11">
        <v>6.645</v>
      </c>
      <c r="S50" s="11">
        <v>5.654</v>
      </c>
      <c r="T50" s="11"/>
      <c r="U50" s="3"/>
      <c r="V50" s="7" t="s">
        <v>234</v>
      </c>
      <c r="W50" s="13">
        <f t="shared" ref="W50:AC50" si="157">D50/M50</f>
        <v>0.0930267812026276</v>
      </c>
      <c r="X50" s="13">
        <f t="shared" si="157"/>
        <v>0.0915825491873396</v>
      </c>
      <c r="Y50" s="13">
        <f t="shared" si="157"/>
        <v>0.0953183856502242</v>
      </c>
      <c r="Z50" s="13">
        <f t="shared" si="157"/>
        <v>0.0967589082638362</v>
      </c>
      <c r="AA50" s="13">
        <f t="shared" si="157"/>
        <v>0.0971284728696625</v>
      </c>
      <c r="AB50" s="16">
        <f t="shared" si="157"/>
        <v>0.0799699021820918</v>
      </c>
      <c r="AC50" s="16">
        <f t="shared" si="157"/>
        <v>0.0939865581888928</v>
      </c>
      <c r="AD50" s="5"/>
      <c r="AE50" s="5"/>
      <c r="AF50" s="13">
        <f t="shared" ref="AF50:AJ50" si="158">W50</f>
        <v>0.0930267812026276</v>
      </c>
      <c r="AG50" s="13">
        <f t="shared" si="158"/>
        <v>0.0915825491873396</v>
      </c>
      <c r="AH50" s="13">
        <f t="shared" si="158"/>
        <v>0.0953183856502242</v>
      </c>
      <c r="AI50" s="13">
        <f t="shared" si="158"/>
        <v>0.0967589082638362</v>
      </c>
      <c r="AJ50" s="13">
        <f t="shared" si="158"/>
        <v>0.0971284728696625</v>
      </c>
      <c r="AK50" s="17">
        <f t="shared" si="131"/>
        <v>0.0919653875094056</v>
      </c>
      <c r="AL50" s="17">
        <f t="shared" si="132"/>
        <v>0.108084541917227</v>
      </c>
      <c r="AO50" s="13">
        <f t="shared" ref="AO50:AS50" si="159">W50</f>
        <v>0.0930267812026276</v>
      </c>
      <c r="AP50" s="13">
        <f t="shared" si="159"/>
        <v>0.0915825491873396</v>
      </c>
      <c r="AQ50" s="13">
        <f t="shared" si="159"/>
        <v>0.0953183856502242</v>
      </c>
      <c r="AR50" s="13">
        <f t="shared" si="159"/>
        <v>0.0967589082638362</v>
      </c>
      <c r="AS50" s="13">
        <f t="shared" si="159"/>
        <v>0.0971284728696625</v>
      </c>
      <c r="AT50" s="17">
        <f t="shared" si="134"/>
        <v>0.067974416854778</v>
      </c>
      <c r="AU50" s="17">
        <f t="shared" si="135"/>
        <v>0.0798885744605589</v>
      </c>
      <c r="AZ50" s="3"/>
      <c r="BA50" s="7" t="s">
        <v>234</v>
      </c>
      <c r="BB50" s="8">
        <v>624.1</v>
      </c>
      <c r="BC50" s="13">
        <v>552.3</v>
      </c>
      <c r="BD50" s="13">
        <v>535.3</v>
      </c>
      <c r="BE50" s="13">
        <v>531.4</v>
      </c>
      <c r="BF50" s="13">
        <v>510.5</v>
      </c>
      <c r="BG50" s="13">
        <v>520.9</v>
      </c>
      <c r="BH50" s="13">
        <v>531.4</v>
      </c>
      <c r="BI50" s="13">
        <v>531.4</v>
      </c>
      <c r="BJ50" s="5"/>
      <c r="BK50" s="5"/>
      <c r="BL50" s="11"/>
      <c r="BM50" s="11"/>
      <c r="BN50" s="11"/>
      <c r="BO50" s="11"/>
    </row>
    <row r="51" ht="15.5" spans="1:67">
      <c r="A51" s="3"/>
      <c r="B51" s="7" t="s">
        <v>235</v>
      </c>
      <c r="C51" s="8">
        <f t="shared" ref="C51:J51" si="160">BB51/1000</f>
        <v>0.1745</v>
      </c>
      <c r="D51" s="8">
        <f t="shared" si="160"/>
        <v>0.1463</v>
      </c>
      <c r="E51" s="8">
        <f t="shared" si="160"/>
        <v>0.1398</v>
      </c>
      <c r="F51" s="8">
        <f t="shared" si="160"/>
        <v>0.1383</v>
      </c>
      <c r="G51" s="8">
        <f t="shared" si="160"/>
        <v>0.1304</v>
      </c>
      <c r="H51" s="8">
        <f t="shared" si="160"/>
        <v>0.1343</v>
      </c>
      <c r="I51" s="8">
        <f t="shared" si="160"/>
        <v>0.1383</v>
      </c>
      <c r="J51" s="8">
        <f t="shared" si="160"/>
        <v>0.1383</v>
      </c>
      <c r="K51" s="5"/>
      <c r="L51" s="5"/>
      <c r="M51" s="11">
        <v>5.937</v>
      </c>
      <c r="N51" s="11">
        <v>5.845</v>
      </c>
      <c r="O51" s="11">
        <v>5.575</v>
      </c>
      <c r="P51" s="11">
        <v>5.276</v>
      </c>
      <c r="Q51" s="11">
        <v>5.363</v>
      </c>
      <c r="R51" s="11">
        <v>6.645</v>
      </c>
      <c r="S51" s="11">
        <v>5.654</v>
      </c>
      <c r="T51" s="11"/>
      <c r="U51" s="3"/>
      <c r="V51" s="7" t="s">
        <v>235</v>
      </c>
      <c r="W51" s="13">
        <f t="shared" ref="W51:AC51" si="161">D51/M51</f>
        <v>0.0246420751221155</v>
      </c>
      <c r="X51" s="13">
        <f t="shared" si="161"/>
        <v>0.023917878528657</v>
      </c>
      <c r="Y51" s="13">
        <f t="shared" si="161"/>
        <v>0.0248071748878924</v>
      </c>
      <c r="Z51" s="13">
        <f t="shared" si="161"/>
        <v>0.0247156937073541</v>
      </c>
      <c r="AA51" s="13">
        <f t="shared" si="161"/>
        <v>0.025041954130151</v>
      </c>
      <c r="AB51" s="16">
        <f t="shared" si="161"/>
        <v>0.0208126410835214</v>
      </c>
      <c r="AC51" s="16">
        <f t="shared" si="161"/>
        <v>0.0244605588963566</v>
      </c>
      <c r="AD51" s="5"/>
      <c r="AE51" s="5"/>
      <c r="AF51" s="13">
        <f t="shared" ref="AF51:AJ51" si="162">W51</f>
        <v>0.0246420751221155</v>
      </c>
      <c r="AG51" s="13">
        <f t="shared" si="162"/>
        <v>0.023917878528657</v>
      </c>
      <c r="AH51" s="13">
        <f t="shared" si="162"/>
        <v>0.0248071748878924</v>
      </c>
      <c r="AI51" s="13">
        <f t="shared" si="162"/>
        <v>0.0247156937073541</v>
      </c>
      <c r="AJ51" s="13">
        <f t="shared" si="162"/>
        <v>0.025041954130151</v>
      </c>
      <c r="AK51" s="17">
        <f t="shared" si="131"/>
        <v>0.0239345372460497</v>
      </c>
      <c r="AL51" s="17">
        <f t="shared" si="132"/>
        <v>0.02812964273081</v>
      </c>
      <c r="AO51" s="13">
        <f t="shared" ref="AO51:AS51" si="163">W51</f>
        <v>0.0246420751221155</v>
      </c>
      <c r="AP51" s="13">
        <f t="shared" si="163"/>
        <v>0.023917878528657</v>
      </c>
      <c r="AQ51" s="13">
        <f t="shared" si="163"/>
        <v>0.0248071748878924</v>
      </c>
      <c r="AR51" s="13">
        <f t="shared" si="163"/>
        <v>0.0247156937073541</v>
      </c>
      <c r="AS51" s="13">
        <f t="shared" si="163"/>
        <v>0.025041954130151</v>
      </c>
      <c r="AT51" s="17">
        <f t="shared" si="134"/>
        <v>0.0176907449209932</v>
      </c>
      <c r="AU51" s="17">
        <f t="shared" si="135"/>
        <v>0.0207914750619031</v>
      </c>
      <c r="AZ51" s="3"/>
      <c r="BA51" s="7" t="s">
        <v>235</v>
      </c>
      <c r="BB51" s="8">
        <v>174.5</v>
      </c>
      <c r="BC51" s="13">
        <v>146.3</v>
      </c>
      <c r="BD51" s="13">
        <v>139.8</v>
      </c>
      <c r="BE51" s="13">
        <v>138.3</v>
      </c>
      <c r="BF51" s="13">
        <v>130.4</v>
      </c>
      <c r="BG51" s="13">
        <v>134.3</v>
      </c>
      <c r="BH51" s="13">
        <v>138.3</v>
      </c>
      <c r="BI51" s="13">
        <v>138.3</v>
      </c>
      <c r="BJ51" s="5"/>
      <c r="BK51" s="5"/>
      <c r="BL51" s="11"/>
      <c r="BM51" s="11"/>
      <c r="BN51" s="11"/>
      <c r="BO51" s="11"/>
    </row>
    <row r="52" ht="15.5" spans="1:67">
      <c r="A52" s="3"/>
      <c r="B52" s="7" t="s">
        <v>236</v>
      </c>
      <c r="C52" s="8">
        <f t="shared" ref="C52:J52" si="164">BB52/1000</f>
        <v>0.4064</v>
      </c>
      <c r="D52" s="8">
        <f t="shared" si="164"/>
        <v>0.3643</v>
      </c>
      <c r="E52" s="8">
        <f t="shared" si="164"/>
        <v>0.3546</v>
      </c>
      <c r="F52" s="8">
        <f t="shared" si="164"/>
        <v>0.3523</v>
      </c>
      <c r="G52" s="8">
        <f t="shared" si="164"/>
        <v>0.3404</v>
      </c>
      <c r="H52" s="8">
        <f t="shared" si="164"/>
        <v>0.3462</v>
      </c>
      <c r="I52" s="8">
        <f t="shared" si="164"/>
        <v>0.3523</v>
      </c>
      <c r="J52" s="8">
        <f t="shared" si="164"/>
        <v>0.3523</v>
      </c>
      <c r="K52" s="5"/>
      <c r="L52" s="5"/>
      <c r="M52" s="11">
        <v>5.937</v>
      </c>
      <c r="N52" s="11">
        <v>5.845</v>
      </c>
      <c r="O52" s="11">
        <v>5.575</v>
      </c>
      <c r="P52" s="11">
        <v>5.276</v>
      </c>
      <c r="Q52" s="11">
        <v>5.363</v>
      </c>
      <c r="R52" s="11">
        <v>6.645</v>
      </c>
      <c r="S52" s="11">
        <v>5.654</v>
      </c>
      <c r="T52" s="11"/>
      <c r="U52" s="3"/>
      <c r="V52" s="7" t="s">
        <v>236</v>
      </c>
      <c r="W52" s="13">
        <f t="shared" ref="W52:AC52" si="165">D52/M52</f>
        <v>0.0613609567121442</v>
      </c>
      <c r="X52" s="13">
        <f t="shared" si="165"/>
        <v>0.0606672369546621</v>
      </c>
      <c r="Y52" s="13">
        <f t="shared" si="165"/>
        <v>0.0631928251121076</v>
      </c>
      <c r="Z52" s="13">
        <f t="shared" si="165"/>
        <v>0.0645185746777862</v>
      </c>
      <c r="AA52" s="13">
        <f t="shared" si="165"/>
        <v>0.0645534215923923</v>
      </c>
      <c r="AB52" s="16">
        <f t="shared" si="165"/>
        <v>0.0530173062452972</v>
      </c>
      <c r="AC52" s="16">
        <f t="shared" si="165"/>
        <v>0.0623098691192076</v>
      </c>
      <c r="AD52" s="5"/>
      <c r="AE52" s="5"/>
      <c r="AF52" s="13">
        <f t="shared" ref="AF52:AJ52" si="166">W52</f>
        <v>0.0613609567121442</v>
      </c>
      <c r="AG52" s="13">
        <f t="shared" si="166"/>
        <v>0.0606672369546621</v>
      </c>
      <c r="AH52" s="13">
        <f t="shared" si="166"/>
        <v>0.0631928251121076</v>
      </c>
      <c r="AI52" s="13">
        <f t="shared" si="166"/>
        <v>0.0645185746777862</v>
      </c>
      <c r="AJ52" s="13">
        <f t="shared" si="166"/>
        <v>0.0645534215923923</v>
      </c>
      <c r="AK52" s="17">
        <f t="shared" si="131"/>
        <v>0.0609699021820918</v>
      </c>
      <c r="AL52" s="17">
        <f t="shared" si="132"/>
        <v>0.0716563494870888</v>
      </c>
      <c r="AO52" s="13">
        <f t="shared" ref="AO52:AS52" si="167">W52</f>
        <v>0.0613609567121442</v>
      </c>
      <c r="AP52" s="13">
        <f t="shared" si="167"/>
        <v>0.0606672369546621</v>
      </c>
      <c r="AQ52" s="13">
        <f t="shared" si="167"/>
        <v>0.0631928251121076</v>
      </c>
      <c r="AR52" s="13">
        <f t="shared" si="167"/>
        <v>0.0645185746777862</v>
      </c>
      <c r="AS52" s="13">
        <f t="shared" si="167"/>
        <v>0.0645534215923923</v>
      </c>
      <c r="AT52" s="17">
        <f t="shared" si="134"/>
        <v>0.0450647103085026</v>
      </c>
      <c r="AU52" s="17">
        <f t="shared" si="135"/>
        <v>0.0529633887513265</v>
      </c>
      <c r="AZ52" s="3"/>
      <c r="BA52" s="7" t="s">
        <v>236</v>
      </c>
      <c r="BB52" s="8">
        <v>406.4</v>
      </c>
      <c r="BC52" s="13">
        <v>364.3</v>
      </c>
      <c r="BD52" s="13">
        <v>354.6</v>
      </c>
      <c r="BE52" s="13">
        <v>352.3</v>
      </c>
      <c r="BF52" s="13">
        <v>340.4</v>
      </c>
      <c r="BG52" s="13">
        <v>346.2</v>
      </c>
      <c r="BH52" s="13">
        <v>352.3</v>
      </c>
      <c r="BI52" s="13">
        <v>352.3</v>
      </c>
      <c r="BJ52" s="5"/>
      <c r="BK52" s="5"/>
      <c r="BL52" s="11"/>
      <c r="BM52" s="11"/>
      <c r="BN52" s="11"/>
      <c r="BO52" s="11"/>
    </row>
    <row r="53" ht="15.5" spans="1:67">
      <c r="A53" s="3"/>
      <c r="B53" s="7" t="s">
        <v>237</v>
      </c>
      <c r="C53" s="8">
        <f t="shared" ref="C53:J53" si="168">BB53/1000</f>
        <v>0.0872</v>
      </c>
      <c r="D53" s="8">
        <f t="shared" si="168"/>
        <v>0.0791</v>
      </c>
      <c r="E53" s="8">
        <f t="shared" si="168"/>
        <v>0.077</v>
      </c>
      <c r="F53" s="8">
        <f t="shared" si="168"/>
        <v>0.0765</v>
      </c>
      <c r="G53" s="8">
        <f t="shared" si="168"/>
        <v>0.0737</v>
      </c>
      <c r="H53" s="8">
        <f t="shared" si="168"/>
        <v>0.0751</v>
      </c>
      <c r="I53" s="8">
        <f t="shared" si="168"/>
        <v>0.0765</v>
      </c>
      <c r="J53" s="8">
        <f t="shared" si="168"/>
        <v>0.0765</v>
      </c>
      <c r="K53" s="5"/>
      <c r="L53" s="5"/>
      <c r="M53" s="11">
        <v>5.937</v>
      </c>
      <c r="N53" s="11">
        <v>5.845</v>
      </c>
      <c r="O53" s="11">
        <v>5.575</v>
      </c>
      <c r="P53" s="11">
        <v>5.276</v>
      </c>
      <c r="Q53" s="11">
        <v>5.363</v>
      </c>
      <c r="R53" s="11">
        <v>6.645</v>
      </c>
      <c r="S53" s="11">
        <v>5.654</v>
      </c>
      <c r="T53" s="11"/>
      <c r="U53" s="3"/>
      <c r="V53" s="7" t="s">
        <v>237</v>
      </c>
      <c r="W53" s="13">
        <f t="shared" ref="W53:AC53" si="169">D53/M53</f>
        <v>0.0133232272191342</v>
      </c>
      <c r="X53" s="13">
        <f t="shared" si="169"/>
        <v>0.0131736526946108</v>
      </c>
      <c r="Y53" s="13">
        <f t="shared" si="169"/>
        <v>0.0137219730941704</v>
      </c>
      <c r="Z53" s="13">
        <f t="shared" si="169"/>
        <v>0.0139689158453374</v>
      </c>
      <c r="AA53" s="13">
        <f t="shared" si="169"/>
        <v>0.0140033563304121</v>
      </c>
      <c r="AB53" s="16">
        <f t="shared" si="169"/>
        <v>0.0115124153498871</v>
      </c>
      <c r="AC53" s="16">
        <f t="shared" si="169"/>
        <v>0.0135302440749912</v>
      </c>
      <c r="AD53" s="5"/>
      <c r="AE53" s="5"/>
      <c r="AF53" s="13">
        <f t="shared" ref="AF53:AJ53" si="170">W53</f>
        <v>0.0133232272191342</v>
      </c>
      <c r="AG53" s="13">
        <f t="shared" si="170"/>
        <v>0.0131736526946108</v>
      </c>
      <c r="AH53" s="13">
        <f t="shared" si="170"/>
        <v>0.0137219730941704</v>
      </c>
      <c r="AI53" s="13">
        <f t="shared" si="170"/>
        <v>0.0139689158453374</v>
      </c>
      <c r="AJ53" s="13">
        <f t="shared" si="170"/>
        <v>0.0140033563304121</v>
      </c>
      <c r="AK53" s="17">
        <f t="shared" si="131"/>
        <v>0.0132392776523702</v>
      </c>
      <c r="AL53" s="17">
        <f t="shared" si="132"/>
        <v>0.0155597806862398</v>
      </c>
      <c r="AO53" s="13">
        <f t="shared" ref="AO53:AS53" si="171">W53</f>
        <v>0.0133232272191342</v>
      </c>
      <c r="AP53" s="13">
        <f t="shared" si="171"/>
        <v>0.0131736526946108</v>
      </c>
      <c r="AQ53" s="13">
        <f t="shared" si="171"/>
        <v>0.0137219730941704</v>
      </c>
      <c r="AR53" s="13">
        <f t="shared" si="171"/>
        <v>0.0139689158453374</v>
      </c>
      <c r="AS53" s="13">
        <f t="shared" si="171"/>
        <v>0.0140033563304121</v>
      </c>
      <c r="AT53" s="17">
        <f t="shared" si="134"/>
        <v>0.00978555304740406</v>
      </c>
      <c r="AU53" s="17">
        <f t="shared" si="135"/>
        <v>0.0115007074637425</v>
      </c>
      <c r="AZ53" s="3"/>
      <c r="BA53" s="7" t="s">
        <v>237</v>
      </c>
      <c r="BB53" s="8">
        <v>87.2</v>
      </c>
      <c r="BC53" s="13">
        <v>79.1</v>
      </c>
      <c r="BD53" s="13">
        <v>77</v>
      </c>
      <c r="BE53" s="13">
        <v>76.5</v>
      </c>
      <c r="BF53" s="13">
        <v>73.7</v>
      </c>
      <c r="BG53" s="13">
        <v>75.1</v>
      </c>
      <c r="BH53" s="13">
        <v>76.5</v>
      </c>
      <c r="BI53" s="13">
        <v>76.5</v>
      </c>
      <c r="BJ53" s="5"/>
      <c r="BK53" s="5"/>
      <c r="BL53" s="11"/>
      <c r="BM53" s="11"/>
      <c r="BN53" s="11"/>
      <c r="BO53" s="11"/>
    </row>
    <row r="54" ht="15.5" spans="1:67">
      <c r="A54" s="3" t="s">
        <v>11</v>
      </c>
      <c r="B54" s="7" t="s">
        <v>233</v>
      </c>
      <c r="C54" s="8">
        <f t="shared" ref="C54:J54" si="172">BB54/1000</f>
        <v>0.6916</v>
      </c>
      <c r="D54" s="8">
        <f t="shared" si="172"/>
        <v>0.6089</v>
      </c>
      <c r="E54" s="8">
        <f t="shared" si="172"/>
        <v>0.5895</v>
      </c>
      <c r="F54" s="8">
        <f t="shared" si="172"/>
        <v>0.585</v>
      </c>
      <c r="G54" s="8">
        <f t="shared" si="172"/>
        <v>0.5612</v>
      </c>
      <c r="H54" s="8">
        <f t="shared" si="172"/>
        <v>0.573</v>
      </c>
      <c r="I54" s="8">
        <f t="shared" si="172"/>
        <v>0.585</v>
      </c>
      <c r="J54" s="8">
        <f t="shared" si="172"/>
        <v>0.585</v>
      </c>
      <c r="K54" s="5"/>
      <c r="L54" s="5"/>
      <c r="M54" s="11">
        <v>5.937</v>
      </c>
      <c r="N54" s="11">
        <v>5.845</v>
      </c>
      <c r="O54" s="11">
        <v>5.575</v>
      </c>
      <c r="P54" s="11">
        <v>5.276</v>
      </c>
      <c r="Q54" s="11">
        <v>5.363</v>
      </c>
      <c r="R54" s="11">
        <v>6.645</v>
      </c>
      <c r="S54" s="11">
        <v>5.654</v>
      </c>
      <c r="T54" s="11"/>
      <c r="U54" s="3" t="s">
        <v>11</v>
      </c>
      <c r="V54" s="7" t="s">
        <v>233</v>
      </c>
      <c r="W54" s="13">
        <f t="shared" ref="W54:AC54" si="173">D54/M54</f>
        <v>0.102560215597103</v>
      </c>
      <c r="X54" s="13">
        <f t="shared" si="173"/>
        <v>0.100855431993157</v>
      </c>
      <c r="Y54" s="13">
        <f t="shared" si="173"/>
        <v>0.104932735426009</v>
      </c>
      <c r="Z54" s="13">
        <f t="shared" si="173"/>
        <v>0.106368460955269</v>
      </c>
      <c r="AA54" s="13">
        <f t="shared" si="173"/>
        <v>0.106843184784635</v>
      </c>
      <c r="AB54" s="16">
        <f t="shared" si="173"/>
        <v>0.0880361173814898</v>
      </c>
      <c r="AC54" s="16">
        <f t="shared" si="173"/>
        <v>0.103466572338168</v>
      </c>
      <c r="AD54" s="5"/>
      <c r="AE54" s="5"/>
      <c r="AF54" s="13">
        <f t="shared" ref="AF54:AJ54" si="174">W54</f>
        <v>0.102560215597103</v>
      </c>
      <c r="AG54" s="13">
        <f t="shared" si="174"/>
        <v>0.100855431993157</v>
      </c>
      <c r="AH54" s="13">
        <f t="shared" si="174"/>
        <v>0.104932735426009</v>
      </c>
      <c r="AI54" s="13">
        <f t="shared" si="174"/>
        <v>0.106368460955269</v>
      </c>
      <c r="AJ54" s="13">
        <f t="shared" si="174"/>
        <v>0.106843184784635</v>
      </c>
      <c r="AK54" s="17">
        <f t="shared" si="131"/>
        <v>0.101241534988713</v>
      </c>
      <c r="AL54" s="17">
        <f t="shared" si="132"/>
        <v>0.118986558188893</v>
      </c>
      <c r="AO54" s="13">
        <f t="shared" ref="AO54:AS54" si="175">W54</f>
        <v>0.102560215597103</v>
      </c>
      <c r="AP54" s="13">
        <f t="shared" si="175"/>
        <v>0.100855431993157</v>
      </c>
      <c r="AQ54" s="13">
        <f t="shared" si="175"/>
        <v>0.104932735426009</v>
      </c>
      <c r="AR54" s="13">
        <f t="shared" si="175"/>
        <v>0.106368460955269</v>
      </c>
      <c r="AS54" s="13">
        <f t="shared" si="175"/>
        <v>0.106843184784635</v>
      </c>
      <c r="AT54" s="17">
        <f t="shared" si="134"/>
        <v>0.0748306997742664</v>
      </c>
      <c r="AU54" s="17">
        <f t="shared" si="135"/>
        <v>0.0879465864874425</v>
      </c>
      <c r="AZ54" s="3" t="s">
        <v>11</v>
      </c>
      <c r="BA54" s="7" t="s">
        <v>233</v>
      </c>
      <c r="BB54" s="8">
        <v>691.6</v>
      </c>
      <c r="BC54" s="13">
        <v>608.9</v>
      </c>
      <c r="BD54" s="13">
        <v>589.5</v>
      </c>
      <c r="BE54" s="13">
        <v>585</v>
      </c>
      <c r="BF54" s="13">
        <v>561.2</v>
      </c>
      <c r="BG54" s="13">
        <v>573</v>
      </c>
      <c r="BH54" s="13">
        <v>585</v>
      </c>
      <c r="BI54" s="13">
        <v>585</v>
      </c>
      <c r="BJ54" s="5"/>
      <c r="BK54" s="5"/>
      <c r="BL54" s="11"/>
      <c r="BM54" s="11"/>
      <c r="BN54" s="11"/>
      <c r="BO54" s="11"/>
    </row>
    <row r="55" ht="15.5" spans="1:67">
      <c r="A55" s="3"/>
      <c r="B55" s="7" t="s">
        <v>234</v>
      </c>
      <c r="C55" s="8">
        <f t="shared" ref="C55:J55" si="176">BB55/1000</f>
        <v>0.634</v>
      </c>
      <c r="D55" s="8">
        <f t="shared" si="176"/>
        <v>0.5608</v>
      </c>
      <c r="E55" s="8">
        <f t="shared" si="176"/>
        <v>0.5435</v>
      </c>
      <c r="F55" s="8">
        <f t="shared" si="176"/>
        <v>0.5394</v>
      </c>
      <c r="G55" s="8">
        <f t="shared" si="176"/>
        <v>0.5181</v>
      </c>
      <c r="H55" s="8">
        <f t="shared" si="176"/>
        <v>0.5287</v>
      </c>
      <c r="I55" s="8">
        <f t="shared" si="176"/>
        <v>0.5394</v>
      </c>
      <c r="J55" s="8">
        <f t="shared" si="176"/>
        <v>0.5394</v>
      </c>
      <c r="K55" s="5"/>
      <c r="L55" s="5"/>
      <c r="M55" s="11">
        <v>5.937</v>
      </c>
      <c r="N55" s="11">
        <v>5.845</v>
      </c>
      <c r="O55" s="11">
        <v>5.575</v>
      </c>
      <c r="P55" s="11">
        <v>5.276</v>
      </c>
      <c r="Q55" s="11">
        <v>5.363</v>
      </c>
      <c r="R55" s="11">
        <v>6.645</v>
      </c>
      <c r="S55" s="11">
        <v>5.654</v>
      </c>
      <c r="T55" s="11"/>
      <c r="U55" s="3"/>
      <c r="V55" s="7" t="s">
        <v>234</v>
      </c>
      <c r="W55" s="13">
        <f t="shared" ref="W55:AC55" si="177">D55/M55</f>
        <v>0.0944584807141654</v>
      </c>
      <c r="X55" s="13">
        <f t="shared" si="177"/>
        <v>0.0929854576561163</v>
      </c>
      <c r="Y55" s="13">
        <f t="shared" si="177"/>
        <v>0.0967533632286995</v>
      </c>
      <c r="Z55" s="13">
        <f t="shared" si="177"/>
        <v>0.098199393479909</v>
      </c>
      <c r="AA55" s="13">
        <f t="shared" si="177"/>
        <v>0.0985828827148984</v>
      </c>
      <c r="AB55" s="16">
        <f t="shared" si="177"/>
        <v>0.0811738148984199</v>
      </c>
      <c r="AC55" s="16">
        <f t="shared" si="177"/>
        <v>0.0954014856738592</v>
      </c>
      <c r="AD55" s="5"/>
      <c r="AE55" s="5"/>
      <c r="AF55" s="13">
        <f t="shared" ref="AF55:AJ55" si="178">W55</f>
        <v>0.0944584807141654</v>
      </c>
      <c r="AG55" s="13">
        <f t="shared" si="178"/>
        <v>0.0929854576561163</v>
      </c>
      <c r="AH55" s="13">
        <f t="shared" si="178"/>
        <v>0.0967533632286995</v>
      </c>
      <c r="AI55" s="13">
        <f t="shared" si="178"/>
        <v>0.098199393479909</v>
      </c>
      <c r="AJ55" s="13">
        <f t="shared" si="178"/>
        <v>0.0985828827148984</v>
      </c>
      <c r="AK55" s="17">
        <f t="shared" si="131"/>
        <v>0.0933498871331828</v>
      </c>
      <c r="AL55" s="17">
        <f t="shared" si="132"/>
        <v>0.109711708524938</v>
      </c>
      <c r="AO55" s="13">
        <f t="shared" ref="AO55:AS55" si="179">W55</f>
        <v>0.0944584807141654</v>
      </c>
      <c r="AP55" s="13">
        <f t="shared" si="179"/>
        <v>0.0929854576561163</v>
      </c>
      <c r="AQ55" s="13">
        <f t="shared" si="179"/>
        <v>0.0967533632286995</v>
      </c>
      <c r="AR55" s="13">
        <f t="shared" si="179"/>
        <v>0.098199393479909</v>
      </c>
      <c r="AS55" s="13">
        <f t="shared" si="179"/>
        <v>0.0985828827148984</v>
      </c>
      <c r="AT55" s="17">
        <f t="shared" si="134"/>
        <v>0.0689977426636569</v>
      </c>
      <c r="AU55" s="17">
        <f t="shared" si="135"/>
        <v>0.0810912628227803</v>
      </c>
      <c r="AZ55" s="3"/>
      <c r="BA55" s="7" t="s">
        <v>234</v>
      </c>
      <c r="BB55" s="8">
        <v>634</v>
      </c>
      <c r="BC55" s="13">
        <v>560.8</v>
      </c>
      <c r="BD55" s="13">
        <v>543.5</v>
      </c>
      <c r="BE55" s="13">
        <v>539.4</v>
      </c>
      <c r="BF55" s="13">
        <v>518.1</v>
      </c>
      <c r="BG55" s="13">
        <v>528.7</v>
      </c>
      <c r="BH55" s="13">
        <v>539.4</v>
      </c>
      <c r="BI55" s="13">
        <v>539.4</v>
      </c>
      <c r="BJ55" s="5"/>
      <c r="BK55" s="5"/>
      <c r="BL55" s="11"/>
      <c r="BM55" s="11"/>
      <c r="BN55" s="11"/>
      <c r="BO55" s="11"/>
    </row>
    <row r="56" ht="15.5" spans="1:67">
      <c r="A56" s="3"/>
      <c r="B56" s="7" t="s">
        <v>235</v>
      </c>
      <c r="C56" s="8">
        <f t="shared" ref="C56:J56" si="180">BB56/1000</f>
        <v>0.2256</v>
      </c>
      <c r="D56" s="8">
        <f t="shared" si="180"/>
        <v>0.1898</v>
      </c>
      <c r="E56" s="8">
        <f t="shared" si="180"/>
        <v>0.1816</v>
      </c>
      <c r="F56" s="8">
        <f t="shared" si="180"/>
        <v>0.1797</v>
      </c>
      <c r="G56" s="8">
        <f t="shared" si="180"/>
        <v>0.1697</v>
      </c>
      <c r="H56" s="8">
        <f t="shared" si="180"/>
        <v>0.1747</v>
      </c>
      <c r="I56" s="8">
        <f t="shared" si="180"/>
        <v>0.1797</v>
      </c>
      <c r="J56" s="8">
        <f t="shared" si="180"/>
        <v>0.1797</v>
      </c>
      <c r="K56" s="5"/>
      <c r="L56" s="5"/>
      <c r="M56" s="11">
        <v>5.937</v>
      </c>
      <c r="N56" s="11">
        <v>5.845</v>
      </c>
      <c r="O56" s="11">
        <v>5.575</v>
      </c>
      <c r="P56" s="11">
        <v>5.276</v>
      </c>
      <c r="Q56" s="11">
        <v>5.363</v>
      </c>
      <c r="R56" s="11">
        <v>6.645</v>
      </c>
      <c r="S56" s="11">
        <v>5.654</v>
      </c>
      <c r="T56" s="11"/>
      <c r="U56" s="3"/>
      <c r="V56" s="7" t="s">
        <v>235</v>
      </c>
      <c r="W56" s="13">
        <f t="shared" ref="W56:AC56" si="181">D56/M56</f>
        <v>0.0319690079164561</v>
      </c>
      <c r="X56" s="13">
        <f t="shared" si="181"/>
        <v>0.0310692899914457</v>
      </c>
      <c r="Y56" s="13">
        <f t="shared" si="181"/>
        <v>0.0322331838565022</v>
      </c>
      <c r="Z56" s="13">
        <f t="shared" si="181"/>
        <v>0.0321645185746778</v>
      </c>
      <c r="AA56" s="13">
        <f t="shared" si="181"/>
        <v>0.0325750512772702</v>
      </c>
      <c r="AB56" s="16">
        <f t="shared" si="181"/>
        <v>0.0270428893905192</v>
      </c>
      <c r="AC56" s="16">
        <f t="shared" si="181"/>
        <v>0.0317828086310577</v>
      </c>
      <c r="AD56" s="5"/>
      <c r="AE56" s="5"/>
      <c r="AF56" s="13">
        <f t="shared" ref="AF56:AJ56" si="182">W56</f>
        <v>0.0319690079164561</v>
      </c>
      <c r="AG56" s="13">
        <f t="shared" si="182"/>
        <v>0.0310692899914457</v>
      </c>
      <c r="AH56" s="13">
        <f t="shared" si="182"/>
        <v>0.0322331838565022</v>
      </c>
      <c r="AI56" s="13">
        <f t="shared" si="182"/>
        <v>0.0321645185746778</v>
      </c>
      <c r="AJ56" s="13">
        <f t="shared" si="182"/>
        <v>0.0325750512772702</v>
      </c>
      <c r="AK56" s="17">
        <f t="shared" si="131"/>
        <v>0.0310993227990971</v>
      </c>
      <c r="AL56" s="17">
        <f t="shared" si="132"/>
        <v>0.0365502299257163</v>
      </c>
      <c r="AO56" s="13">
        <f t="shared" ref="AO56:AS56" si="183">W56</f>
        <v>0.0319690079164561</v>
      </c>
      <c r="AP56" s="13">
        <f t="shared" si="183"/>
        <v>0.0310692899914457</v>
      </c>
      <c r="AQ56" s="13">
        <f t="shared" si="183"/>
        <v>0.0322331838565022</v>
      </c>
      <c r="AR56" s="13">
        <f t="shared" si="183"/>
        <v>0.0321645185746778</v>
      </c>
      <c r="AS56" s="13">
        <f t="shared" si="183"/>
        <v>0.0325750512772702</v>
      </c>
      <c r="AT56" s="17">
        <f t="shared" si="134"/>
        <v>0.0229864559819413</v>
      </c>
      <c r="AU56" s="17">
        <f t="shared" si="135"/>
        <v>0.027015387336399</v>
      </c>
      <c r="AZ56" s="3"/>
      <c r="BA56" s="7" t="s">
        <v>235</v>
      </c>
      <c r="BB56" s="8">
        <v>225.6</v>
      </c>
      <c r="BC56" s="13">
        <v>189.8</v>
      </c>
      <c r="BD56" s="13">
        <v>181.6</v>
      </c>
      <c r="BE56" s="13">
        <v>179.7</v>
      </c>
      <c r="BF56" s="13">
        <v>169.7</v>
      </c>
      <c r="BG56" s="13">
        <v>174.7</v>
      </c>
      <c r="BH56" s="13">
        <v>179.7</v>
      </c>
      <c r="BI56" s="13">
        <v>179.7</v>
      </c>
      <c r="BJ56" s="5"/>
      <c r="BK56" s="5"/>
      <c r="BL56" s="11"/>
      <c r="BM56" s="11"/>
      <c r="BN56" s="11"/>
      <c r="BO56" s="11"/>
    </row>
    <row r="57" ht="15.5" spans="1:67">
      <c r="A57" s="3"/>
      <c r="B57" s="7" t="s">
        <v>236</v>
      </c>
      <c r="C57" s="8">
        <f t="shared" ref="C57:J57" si="184">BB57/1000</f>
        <v>0.3671</v>
      </c>
      <c r="D57" s="8">
        <f t="shared" si="184"/>
        <v>0.3308</v>
      </c>
      <c r="E57" s="8">
        <f t="shared" si="184"/>
        <v>0.3224</v>
      </c>
      <c r="F57" s="8">
        <f t="shared" si="184"/>
        <v>0.3205</v>
      </c>
      <c r="G57" s="8">
        <f t="shared" si="184"/>
        <v>0.3101</v>
      </c>
      <c r="H57" s="8">
        <f t="shared" si="184"/>
        <v>0.3151</v>
      </c>
      <c r="I57" s="8">
        <f t="shared" si="184"/>
        <v>0.3205</v>
      </c>
      <c r="J57" s="8">
        <f t="shared" si="184"/>
        <v>0.3205</v>
      </c>
      <c r="K57" s="5"/>
      <c r="L57" s="5"/>
      <c r="M57" s="11">
        <v>5.937</v>
      </c>
      <c r="N57" s="11">
        <v>5.845</v>
      </c>
      <c r="O57" s="11">
        <v>5.575</v>
      </c>
      <c r="P57" s="11">
        <v>5.276</v>
      </c>
      <c r="Q57" s="11">
        <v>5.363</v>
      </c>
      <c r="R57" s="11">
        <v>6.645</v>
      </c>
      <c r="S57" s="11">
        <v>5.654</v>
      </c>
      <c r="T57" s="11"/>
      <c r="U57" s="3"/>
      <c r="V57" s="7" t="s">
        <v>236</v>
      </c>
      <c r="W57" s="13">
        <f t="shared" ref="W57:AC57" si="185">D57/M57</f>
        <v>0.0557183762843187</v>
      </c>
      <c r="X57" s="13">
        <f t="shared" si="185"/>
        <v>0.055158254918734</v>
      </c>
      <c r="Y57" s="13">
        <f t="shared" si="185"/>
        <v>0.0574887892376682</v>
      </c>
      <c r="Z57" s="13">
        <f t="shared" si="185"/>
        <v>0.0587755875663381</v>
      </c>
      <c r="AA57" s="13">
        <f t="shared" si="185"/>
        <v>0.0587544284915159</v>
      </c>
      <c r="AB57" s="16">
        <f t="shared" si="185"/>
        <v>0.0482317531978932</v>
      </c>
      <c r="AC57" s="16">
        <f t="shared" si="185"/>
        <v>0.0566855323664662</v>
      </c>
      <c r="AD57" s="5"/>
      <c r="AE57" s="5"/>
      <c r="AF57" s="13">
        <f t="shared" ref="AF57:AJ57" si="186">W57</f>
        <v>0.0557183762843187</v>
      </c>
      <c r="AG57" s="13">
        <f t="shared" si="186"/>
        <v>0.055158254918734</v>
      </c>
      <c r="AH57" s="13">
        <f t="shared" si="186"/>
        <v>0.0574887892376682</v>
      </c>
      <c r="AI57" s="13">
        <f t="shared" si="186"/>
        <v>0.0587755875663381</v>
      </c>
      <c r="AJ57" s="13">
        <f t="shared" si="186"/>
        <v>0.0587544284915159</v>
      </c>
      <c r="AK57" s="17">
        <f t="shared" si="131"/>
        <v>0.0554665161775771</v>
      </c>
      <c r="AL57" s="17">
        <f t="shared" si="132"/>
        <v>0.0651883622214361</v>
      </c>
      <c r="AO57" s="13">
        <f t="shared" ref="AO57:AS57" si="187">W57</f>
        <v>0.0557183762843187</v>
      </c>
      <c r="AP57" s="13">
        <f t="shared" si="187"/>
        <v>0.055158254918734</v>
      </c>
      <c r="AQ57" s="13">
        <f t="shared" si="187"/>
        <v>0.0574887892376682</v>
      </c>
      <c r="AR57" s="13">
        <f t="shared" si="187"/>
        <v>0.0587755875663381</v>
      </c>
      <c r="AS57" s="13">
        <f t="shared" si="187"/>
        <v>0.0587544284915159</v>
      </c>
      <c r="AT57" s="17">
        <f t="shared" si="134"/>
        <v>0.0409969902182092</v>
      </c>
      <c r="AU57" s="17">
        <f t="shared" si="135"/>
        <v>0.0481827025114963</v>
      </c>
      <c r="AZ57" s="3"/>
      <c r="BA57" s="7" t="s">
        <v>236</v>
      </c>
      <c r="BB57" s="8">
        <v>367.1</v>
      </c>
      <c r="BC57" s="13">
        <v>330.8</v>
      </c>
      <c r="BD57" s="13">
        <v>322.4</v>
      </c>
      <c r="BE57" s="13">
        <v>320.5</v>
      </c>
      <c r="BF57" s="13">
        <v>310.1</v>
      </c>
      <c r="BG57" s="13">
        <v>315.1</v>
      </c>
      <c r="BH57" s="13">
        <v>320.5</v>
      </c>
      <c r="BI57" s="13">
        <v>320.5</v>
      </c>
      <c r="BJ57" s="5"/>
      <c r="BK57" s="5"/>
      <c r="BL57" s="11"/>
      <c r="BM57" s="11"/>
      <c r="BN57" s="11"/>
      <c r="BO57" s="11"/>
    </row>
    <row r="58" ht="15.5" spans="1:67">
      <c r="A58" s="3"/>
      <c r="B58" s="7" t="s">
        <v>237</v>
      </c>
      <c r="C58" s="8">
        <f t="shared" ref="C58:J58" si="188">BB58/1000</f>
        <v>0.0853</v>
      </c>
      <c r="D58" s="8">
        <f t="shared" si="188"/>
        <v>0.0775</v>
      </c>
      <c r="E58" s="8">
        <f t="shared" si="188"/>
        <v>0.0755</v>
      </c>
      <c r="F58" s="8">
        <f t="shared" si="188"/>
        <v>0.075</v>
      </c>
      <c r="G58" s="8">
        <f t="shared" si="188"/>
        <v>0.0722</v>
      </c>
      <c r="H58" s="8">
        <f t="shared" si="188"/>
        <v>0.0736</v>
      </c>
      <c r="I58" s="8">
        <f t="shared" si="188"/>
        <v>0.075</v>
      </c>
      <c r="J58" s="8">
        <f t="shared" si="188"/>
        <v>0.075</v>
      </c>
      <c r="K58" s="5"/>
      <c r="L58" s="5"/>
      <c r="M58" s="11">
        <v>5.937</v>
      </c>
      <c r="N58" s="11">
        <v>5.845</v>
      </c>
      <c r="O58" s="11">
        <v>5.575</v>
      </c>
      <c r="P58" s="11">
        <v>5.276</v>
      </c>
      <c r="Q58" s="11">
        <v>5.363</v>
      </c>
      <c r="R58" s="11">
        <v>6.645</v>
      </c>
      <c r="S58" s="11">
        <v>5.654</v>
      </c>
      <c r="T58" s="11"/>
      <c r="U58" s="3"/>
      <c r="V58" s="7" t="s">
        <v>237</v>
      </c>
      <c r="W58" s="13">
        <f t="shared" ref="W58:AC58" si="189">D58/M58</f>
        <v>0.0130537308404918</v>
      </c>
      <c r="X58" s="13">
        <f t="shared" si="189"/>
        <v>0.0129170230966638</v>
      </c>
      <c r="Y58" s="13">
        <f t="shared" si="189"/>
        <v>0.0134529147982063</v>
      </c>
      <c r="Z58" s="13">
        <f t="shared" si="189"/>
        <v>0.0136846095526914</v>
      </c>
      <c r="AA58" s="13">
        <f t="shared" si="189"/>
        <v>0.0137236621294052</v>
      </c>
      <c r="AB58" s="16">
        <f t="shared" si="189"/>
        <v>0.0112866817155756</v>
      </c>
      <c r="AC58" s="16">
        <f t="shared" si="189"/>
        <v>0.01326494517156</v>
      </c>
      <c r="AD58" s="5"/>
      <c r="AE58" s="5"/>
      <c r="AF58" s="13">
        <f t="shared" ref="AF58:AJ58" si="190">W58</f>
        <v>0.0130537308404918</v>
      </c>
      <c r="AG58" s="13">
        <f t="shared" si="190"/>
        <v>0.0129170230966638</v>
      </c>
      <c r="AH58" s="13">
        <f t="shared" si="190"/>
        <v>0.0134529147982063</v>
      </c>
      <c r="AI58" s="13">
        <f t="shared" si="190"/>
        <v>0.0136846095526914</v>
      </c>
      <c r="AJ58" s="13">
        <f t="shared" si="190"/>
        <v>0.0137236621294052</v>
      </c>
      <c r="AK58" s="17">
        <f t="shared" si="131"/>
        <v>0.012979683972912</v>
      </c>
      <c r="AL58" s="17">
        <f t="shared" si="132"/>
        <v>0.0152546869472939</v>
      </c>
      <c r="AO58" s="13">
        <f t="shared" ref="AO58:AS58" si="191">W58</f>
        <v>0.0130537308404918</v>
      </c>
      <c r="AP58" s="13">
        <f t="shared" si="191"/>
        <v>0.0129170230966638</v>
      </c>
      <c r="AQ58" s="13">
        <f t="shared" si="191"/>
        <v>0.0134529147982063</v>
      </c>
      <c r="AR58" s="13">
        <f t="shared" si="191"/>
        <v>0.0136846095526914</v>
      </c>
      <c r="AS58" s="13">
        <f t="shared" si="191"/>
        <v>0.0137236621294052</v>
      </c>
      <c r="AT58" s="17">
        <f t="shared" si="134"/>
        <v>0.00959367945823928</v>
      </c>
      <c r="AU58" s="17">
        <f t="shared" si="135"/>
        <v>0.011275203395826</v>
      </c>
      <c r="AZ58" s="3"/>
      <c r="BA58" s="7" t="s">
        <v>237</v>
      </c>
      <c r="BB58" s="8">
        <v>85.3</v>
      </c>
      <c r="BC58" s="13">
        <v>77.5</v>
      </c>
      <c r="BD58" s="13">
        <v>75.5</v>
      </c>
      <c r="BE58" s="13">
        <v>75</v>
      </c>
      <c r="BF58" s="13">
        <v>72.2</v>
      </c>
      <c r="BG58" s="13">
        <v>73.6</v>
      </c>
      <c r="BH58" s="13">
        <v>75</v>
      </c>
      <c r="BI58" s="13">
        <v>75</v>
      </c>
      <c r="BJ58" s="5"/>
      <c r="BK58" s="5"/>
      <c r="BL58" s="11"/>
      <c r="BM58" s="11"/>
      <c r="BN58" s="11"/>
      <c r="BO58" s="11"/>
    </row>
    <row r="59" ht="15.5" spans="1:67">
      <c r="A59" s="5"/>
      <c r="B59" s="5"/>
      <c r="C59" s="4"/>
      <c r="D59" s="5"/>
      <c r="E59" s="5"/>
      <c r="F59" s="5"/>
      <c r="G59" s="5"/>
      <c r="H59" s="5"/>
      <c r="I59" s="5"/>
      <c r="J59" s="5"/>
      <c r="K59" s="5"/>
      <c r="L59" s="5"/>
      <c r="M59" s="5"/>
      <c r="N59" s="5"/>
      <c r="O59" s="5"/>
      <c r="P59" s="5"/>
      <c r="Q59" s="5"/>
      <c r="R59" s="5"/>
      <c r="S59" s="5"/>
      <c r="T59" s="5"/>
      <c r="AZ59" s="5"/>
      <c r="BA59" s="5"/>
      <c r="BB59" s="4"/>
      <c r="BC59" s="5"/>
      <c r="BD59" s="5"/>
      <c r="BE59" s="5"/>
      <c r="BF59" s="5"/>
      <c r="BG59" s="5"/>
      <c r="BH59" s="5"/>
      <c r="BI59" s="5"/>
      <c r="BJ59" s="5"/>
      <c r="BK59" s="5"/>
      <c r="BL59" s="5"/>
      <c r="BM59" s="5"/>
      <c r="BN59" s="5"/>
      <c r="BO59" s="5"/>
    </row>
    <row r="60" ht="15.5" spans="1:67">
      <c r="A60" s="5" t="s">
        <v>239</v>
      </c>
      <c r="B60" s="5"/>
      <c r="C60" s="4"/>
      <c r="D60" s="5"/>
      <c r="E60" s="5"/>
      <c r="F60" s="5"/>
      <c r="G60" s="5"/>
      <c r="H60" s="5"/>
      <c r="I60" s="5"/>
      <c r="J60" s="5"/>
      <c r="K60" s="5"/>
      <c r="L60" s="5"/>
      <c r="M60" s="5"/>
      <c r="N60" s="5"/>
      <c r="O60" s="5"/>
      <c r="P60" s="5"/>
      <c r="Q60" s="5"/>
      <c r="R60" s="5"/>
      <c r="S60" s="5"/>
      <c r="T60" s="5"/>
      <c r="AZ60" s="5" t="s">
        <v>239</v>
      </c>
      <c r="BA60" s="5"/>
      <c r="BB60" s="4"/>
      <c r="BC60" s="5"/>
      <c r="BD60" s="5"/>
      <c r="BE60" s="5"/>
      <c r="BF60" s="5"/>
      <c r="BG60" s="5"/>
      <c r="BH60" s="5"/>
      <c r="BI60" s="5"/>
      <c r="BJ60" s="5"/>
      <c r="BK60" s="5"/>
      <c r="BL60" s="5"/>
      <c r="BM60" s="5"/>
      <c r="BN60" s="5"/>
      <c r="BO60" s="5"/>
    </row>
    <row r="61" ht="15.5" spans="1:67">
      <c r="A61" s="5" t="s">
        <v>253</v>
      </c>
      <c r="B61" s="5"/>
      <c r="C61" s="4"/>
      <c r="D61" s="5"/>
      <c r="E61" s="5"/>
      <c r="F61" s="5"/>
      <c r="G61" s="5"/>
      <c r="H61" s="5"/>
      <c r="I61" s="5"/>
      <c r="J61" s="5"/>
      <c r="K61" s="5"/>
      <c r="L61" s="5"/>
      <c r="M61" s="5"/>
      <c r="N61" s="5"/>
      <c r="O61" s="5"/>
      <c r="P61" s="5"/>
      <c r="Q61" s="5"/>
      <c r="R61" s="5"/>
      <c r="S61" s="5"/>
      <c r="T61" s="5"/>
      <c r="AZ61" s="5" t="s">
        <v>253</v>
      </c>
      <c r="BA61" s="5"/>
      <c r="BB61" s="4"/>
      <c r="BC61" s="5"/>
      <c r="BD61" s="5"/>
      <c r="BE61" s="5"/>
      <c r="BF61" s="5"/>
      <c r="BG61" s="5"/>
      <c r="BH61" s="5"/>
      <c r="BI61" s="5"/>
      <c r="BJ61" s="5"/>
      <c r="BK61" s="5"/>
      <c r="BL61" s="5"/>
      <c r="BM61" s="5"/>
      <c r="BN61" s="5"/>
      <c r="BO61" s="5"/>
    </row>
    <row r="62" ht="15.5" spans="1:67">
      <c r="A62" s="5" t="s">
        <v>254</v>
      </c>
      <c r="B62" s="5"/>
      <c r="C62" s="4"/>
      <c r="D62" s="5"/>
      <c r="E62" s="5"/>
      <c r="F62" s="5"/>
      <c r="G62" s="5"/>
      <c r="H62" s="5"/>
      <c r="I62" s="5"/>
      <c r="J62" s="5"/>
      <c r="K62" s="5"/>
      <c r="L62" s="5"/>
      <c r="M62" s="5"/>
      <c r="N62" s="5"/>
      <c r="O62" s="5"/>
      <c r="P62" s="5"/>
      <c r="Q62" s="5"/>
      <c r="R62" s="5"/>
      <c r="S62" s="5"/>
      <c r="T62" s="5"/>
      <c r="AZ62" s="5" t="s">
        <v>254</v>
      </c>
      <c r="BA62" s="5"/>
      <c r="BB62" s="4"/>
      <c r="BC62" s="5"/>
      <c r="BD62" s="5"/>
      <c r="BE62" s="5"/>
      <c r="BF62" s="5"/>
      <c r="BG62" s="5"/>
      <c r="BH62" s="5"/>
      <c r="BI62" s="5"/>
      <c r="BJ62" s="5"/>
      <c r="BK62" s="5"/>
      <c r="BL62" s="5"/>
      <c r="BM62" s="5"/>
      <c r="BN62" s="5"/>
      <c r="BO62" s="5"/>
    </row>
    <row r="71" ht="15.5" spans="21:47">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row>
    <row r="72" ht="15.5" spans="21:47">
      <c r="U72" s="5"/>
      <c r="V72" s="5"/>
      <c r="W72" s="5" t="s">
        <v>225</v>
      </c>
      <c r="X72" s="5" t="s">
        <v>226</v>
      </c>
      <c r="Y72" s="6" t="s">
        <v>227</v>
      </c>
      <c r="Z72" s="5" t="s">
        <v>228</v>
      </c>
      <c r="AA72" s="5" t="s">
        <v>229</v>
      </c>
      <c r="AB72" s="15" t="s">
        <v>230</v>
      </c>
      <c r="AC72" s="15" t="s">
        <v>231</v>
      </c>
      <c r="AD72" s="5"/>
      <c r="AE72" s="5"/>
      <c r="AF72" s="5" t="s">
        <v>225</v>
      </c>
      <c r="AG72" s="5" t="s">
        <v>226</v>
      </c>
      <c r="AH72" s="6" t="s">
        <v>227</v>
      </c>
      <c r="AI72" s="5" t="s">
        <v>228</v>
      </c>
      <c r="AJ72" s="5" t="s">
        <v>229</v>
      </c>
      <c r="AK72" s="15" t="s">
        <v>230</v>
      </c>
      <c r="AL72" s="15" t="s">
        <v>231</v>
      </c>
      <c r="AM72" s="5"/>
      <c r="AN72" s="5"/>
      <c r="AO72" s="5" t="s">
        <v>225</v>
      </c>
      <c r="AP72" s="5" t="s">
        <v>226</v>
      </c>
      <c r="AQ72" s="6" t="s">
        <v>227</v>
      </c>
      <c r="AR72" s="5" t="s">
        <v>228</v>
      </c>
      <c r="AS72" s="5" t="s">
        <v>229</v>
      </c>
      <c r="AT72" s="15" t="s">
        <v>230</v>
      </c>
      <c r="AU72" s="15" t="s">
        <v>231</v>
      </c>
    </row>
    <row r="73" spans="21:47">
      <c r="U73" s="3" t="s">
        <v>232</v>
      </c>
      <c r="V73" s="18" t="s">
        <v>105</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
      <c r="V74" s="19" t="s">
        <v>255</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
      <c r="V75" s="18" t="s">
        <v>256</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
      <c r="V76" s="18" t="s">
        <v>257</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 t="s">
        <v>238</v>
      </c>
      <c r="V77" s="18" t="s">
        <v>105</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
      <c r="V78" s="19" t="s">
        <v>255</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5" spans="21:47">
      <c r="U79" s="3"/>
      <c r="V79" s="18" t="s">
        <v>256</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5"/>
      <c r="AE79" s="5"/>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5"/>
      <c r="AN79" s="5"/>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5" spans="21:47">
      <c r="U80" s="3"/>
      <c r="V80" s="18" t="s">
        <v>257</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5"/>
      <c r="AE80" s="5"/>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5"/>
      <c r="AN80" s="5"/>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5" spans="21:47">
      <c r="U81" s="3" t="s">
        <v>258</v>
      </c>
      <c r="V81" s="18" t="s">
        <v>105</v>
      </c>
      <c r="W81" s="5">
        <f t="shared" ref="W81:AC81" si="216">W14-W15</f>
        <v>0.010830385716692</v>
      </c>
      <c r="X81" s="5">
        <f t="shared" si="216"/>
        <v>0.0104020530367836</v>
      </c>
      <c r="Y81" s="5">
        <f t="shared" si="216"/>
        <v>0.0107085201793722</v>
      </c>
      <c r="Z81" s="5">
        <f t="shared" si="216"/>
        <v>0.0117702805155421</v>
      </c>
      <c r="AA81" s="5">
        <f t="shared" si="216"/>
        <v>0.011933619242961</v>
      </c>
      <c r="AB81" s="5">
        <f t="shared" si="216"/>
        <v>0.00898419864559818</v>
      </c>
      <c r="AC81" s="5">
        <f t="shared" si="216"/>
        <v>0.0105588963565617</v>
      </c>
      <c r="AD81" s="5"/>
      <c r="AE81" s="5"/>
      <c r="AF81" s="5">
        <f t="shared" ref="AF81:AL81" si="217">AF14-AF15</f>
        <v>0.010830385716692</v>
      </c>
      <c r="AG81" s="5">
        <f t="shared" si="217"/>
        <v>0.0104020530367836</v>
      </c>
      <c r="AH81" s="5">
        <f t="shared" si="217"/>
        <v>0.0107085201793722</v>
      </c>
      <c r="AI81" s="5">
        <f t="shared" si="217"/>
        <v>0.0117702805155421</v>
      </c>
      <c r="AJ81" s="5">
        <f t="shared" si="217"/>
        <v>0.011933619242961</v>
      </c>
      <c r="AK81" s="5">
        <f t="shared" si="217"/>
        <v>0.0103318284424379</v>
      </c>
      <c r="AL81" s="5">
        <f t="shared" si="217"/>
        <v>0.012142730810046</v>
      </c>
      <c r="AM81" s="5"/>
      <c r="AN81" s="5"/>
      <c r="AO81" s="5">
        <f t="shared" ref="AO81:AU81" si="218">AO14-AO15</f>
        <v>0.010830385716692</v>
      </c>
      <c r="AP81" s="5">
        <f t="shared" si="218"/>
        <v>0.0104020530367836</v>
      </c>
      <c r="AQ81" s="5">
        <f t="shared" si="218"/>
        <v>0.0107085201793722</v>
      </c>
      <c r="AR81" s="5">
        <f t="shared" si="218"/>
        <v>0.0117702805155421</v>
      </c>
      <c r="AS81" s="5">
        <f t="shared" si="218"/>
        <v>0.011933619242961</v>
      </c>
      <c r="AT81" s="5">
        <f t="shared" si="218"/>
        <v>0.00763656884875846</v>
      </c>
      <c r="AU81" s="5">
        <f t="shared" si="218"/>
        <v>0.00897506190307747</v>
      </c>
    </row>
    <row r="82" ht="15.5" spans="21:47">
      <c r="U82" s="3"/>
      <c r="V82" s="19" t="s">
        <v>255</v>
      </c>
      <c r="W82" s="5">
        <f t="shared" ref="W82:AC82" si="219">W16</f>
        <v>0.0447027118073101</v>
      </c>
      <c r="X82" s="5">
        <f t="shared" si="219"/>
        <v>0.0428058169375535</v>
      </c>
      <c r="Y82" s="5">
        <f t="shared" si="219"/>
        <v>0.0441255605381166</v>
      </c>
      <c r="Z82" s="5">
        <f t="shared" si="219"/>
        <v>0.0456406368460955</v>
      </c>
      <c r="AA82" s="5">
        <f t="shared" si="219"/>
        <v>0.0467275778482193</v>
      </c>
      <c r="AB82" s="5">
        <f t="shared" si="219"/>
        <v>0.037020316027088</v>
      </c>
      <c r="AC82" s="5">
        <f t="shared" si="219"/>
        <v>0.0435090201627167</v>
      </c>
      <c r="AD82" s="5"/>
      <c r="AE82" s="5"/>
      <c r="AF82" s="5">
        <f t="shared" ref="AF82:AL82" si="220">AF16</f>
        <v>0.0447027118073101</v>
      </c>
      <c r="AG82" s="5">
        <f t="shared" si="220"/>
        <v>0.0428058169375535</v>
      </c>
      <c r="AH82" s="5">
        <f t="shared" si="220"/>
        <v>0.0441255605381166</v>
      </c>
      <c r="AI82" s="5">
        <f t="shared" si="220"/>
        <v>0.0456406368460955</v>
      </c>
      <c r="AJ82" s="5">
        <f t="shared" si="220"/>
        <v>0.0467275778482193</v>
      </c>
      <c r="AK82" s="5">
        <f t="shared" si="220"/>
        <v>0.0425733634311512</v>
      </c>
      <c r="AL82" s="5">
        <f t="shared" si="220"/>
        <v>0.0500353731871242</v>
      </c>
      <c r="AM82" s="5"/>
      <c r="AN82" s="5"/>
      <c r="AO82" s="5">
        <f t="shared" ref="AO82:AU82" si="221">AO16</f>
        <v>0.0447027118073101</v>
      </c>
      <c r="AP82" s="5">
        <f t="shared" si="221"/>
        <v>0.0428058169375535</v>
      </c>
      <c r="AQ82" s="5">
        <f t="shared" si="221"/>
        <v>0.0441255605381166</v>
      </c>
      <c r="AR82" s="5">
        <f t="shared" si="221"/>
        <v>0.0456406368460955</v>
      </c>
      <c r="AS82" s="5">
        <f t="shared" si="221"/>
        <v>0.0467275778482193</v>
      </c>
      <c r="AT82" s="5">
        <f t="shared" si="221"/>
        <v>0.0314672686230248</v>
      </c>
      <c r="AU82" s="5">
        <f t="shared" si="221"/>
        <v>0.0369826671383092</v>
      </c>
    </row>
    <row r="83" ht="15.5" spans="21:47">
      <c r="U83" s="3"/>
      <c r="V83" s="18" t="s">
        <v>256</v>
      </c>
      <c r="W83" s="5">
        <f t="shared" ref="W83:AC83" si="222">W17</f>
        <v>0.0724945258548088</v>
      </c>
      <c r="X83" s="5">
        <f t="shared" si="222"/>
        <v>0.0706073567151412</v>
      </c>
      <c r="Y83" s="5">
        <f t="shared" si="222"/>
        <v>0.0732017937219731</v>
      </c>
      <c r="Z83" s="5">
        <f t="shared" si="222"/>
        <v>0.076516300227445</v>
      </c>
      <c r="AA83" s="5">
        <f t="shared" si="222"/>
        <v>0.0803841133693828</v>
      </c>
      <c r="AB83" s="5">
        <f t="shared" si="222"/>
        <v>0.0614145974416855</v>
      </c>
      <c r="AC83" s="5">
        <f t="shared" si="222"/>
        <v>0.0721789883268483</v>
      </c>
      <c r="AD83" s="5"/>
      <c r="AE83" s="5"/>
      <c r="AF83" s="5">
        <f t="shared" ref="AF83:AL83" si="223">AF17</f>
        <v>0.0724945258548088</v>
      </c>
      <c r="AG83" s="5">
        <f t="shared" si="223"/>
        <v>0.0706073567151412</v>
      </c>
      <c r="AH83" s="5">
        <f t="shared" si="223"/>
        <v>0.0732017937219731</v>
      </c>
      <c r="AI83" s="5">
        <f t="shared" si="223"/>
        <v>0.076516300227445</v>
      </c>
      <c r="AJ83" s="5">
        <f t="shared" si="223"/>
        <v>0.0803841133693828</v>
      </c>
      <c r="AK83" s="5">
        <f t="shared" si="223"/>
        <v>0.0706267870579383</v>
      </c>
      <c r="AL83" s="5">
        <f t="shared" si="223"/>
        <v>0.0830058365758755</v>
      </c>
      <c r="AM83" s="5"/>
      <c r="AN83" s="5"/>
      <c r="AO83" s="5">
        <f t="shared" ref="AO83:AU83" si="224">AO17</f>
        <v>0.0724945258548088</v>
      </c>
      <c r="AP83" s="5">
        <f t="shared" si="224"/>
        <v>0.0706073567151412</v>
      </c>
      <c r="AQ83" s="5">
        <f t="shared" si="224"/>
        <v>0.0732017937219731</v>
      </c>
      <c r="AR83" s="5">
        <f t="shared" si="224"/>
        <v>0.076516300227445</v>
      </c>
      <c r="AS83" s="5">
        <f t="shared" si="224"/>
        <v>0.0803841133693828</v>
      </c>
      <c r="AT83" s="5">
        <f t="shared" si="224"/>
        <v>0.0522024078254327</v>
      </c>
      <c r="AU83" s="5">
        <f t="shared" si="224"/>
        <v>0.061352140077821</v>
      </c>
    </row>
    <row r="84" ht="15.5" spans="21:47">
      <c r="U84" s="3"/>
      <c r="V84" s="18" t="s">
        <v>257</v>
      </c>
      <c r="W84" s="5">
        <f t="shared" ref="W84:AC84" si="225">W18</f>
        <v>0.0131547919824827</v>
      </c>
      <c r="X84" s="5">
        <f t="shared" si="225"/>
        <v>0.0128656971770744</v>
      </c>
      <c r="Y84" s="5">
        <f t="shared" si="225"/>
        <v>0.0133273542600897</v>
      </c>
      <c r="Z84" s="5">
        <f t="shared" si="225"/>
        <v>0.0145564821834723</v>
      </c>
      <c r="AA84" s="5">
        <f t="shared" si="225"/>
        <v>0.0148610852134999</v>
      </c>
      <c r="AB84" s="5">
        <f t="shared" si="225"/>
        <v>0.0111813393528969</v>
      </c>
      <c r="AC84" s="5">
        <f t="shared" si="225"/>
        <v>0.0131411390166254</v>
      </c>
      <c r="AD84" s="5"/>
      <c r="AE84" s="5"/>
      <c r="AF84" s="5">
        <f t="shared" ref="AF84:AL84" si="226">AF18</f>
        <v>0.0131547919824827</v>
      </c>
      <c r="AG84" s="5">
        <f t="shared" si="226"/>
        <v>0.0128656971770744</v>
      </c>
      <c r="AH84" s="5">
        <f t="shared" si="226"/>
        <v>0.0133273542600897</v>
      </c>
      <c r="AI84" s="5">
        <f t="shared" si="226"/>
        <v>0.0145564821834723</v>
      </c>
      <c r="AJ84" s="5">
        <f t="shared" si="226"/>
        <v>0.0148610852134999</v>
      </c>
      <c r="AK84" s="5">
        <f t="shared" si="226"/>
        <v>0.0128585402558315</v>
      </c>
      <c r="AL84" s="5">
        <f t="shared" si="226"/>
        <v>0.0151123098691192</v>
      </c>
      <c r="AM84" s="5"/>
      <c r="AN84" s="5"/>
      <c r="AO84" s="5">
        <f t="shared" ref="AO84:AU84" si="227">AO18</f>
        <v>0.0131547919824827</v>
      </c>
      <c r="AP84" s="5">
        <f t="shared" si="227"/>
        <v>0.0128656971770744</v>
      </c>
      <c r="AQ84" s="5">
        <f t="shared" si="227"/>
        <v>0.0133273542600897</v>
      </c>
      <c r="AR84" s="5">
        <f t="shared" si="227"/>
        <v>0.0145564821834723</v>
      </c>
      <c r="AS84" s="5">
        <f t="shared" si="227"/>
        <v>0.0148610852134999</v>
      </c>
      <c r="AT84" s="5">
        <f t="shared" si="227"/>
        <v>0.00950413844996238</v>
      </c>
      <c r="AU84" s="5">
        <f t="shared" si="227"/>
        <v>0.0111699681641316</v>
      </c>
    </row>
    <row r="85" ht="15.5" spans="21:47">
      <c r="U85" s="26" t="s">
        <v>232</v>
      </c>
      <c r="V85" s="18" t="s">
        <v>105</v>
      </c>
      <c r="W85" s="20">
        <f t="shared" ref="W85:AC85" si="228">W73</f>
        <v>0.0105103587670541</v>
      </c>
      <c r="X85" s="20">
        <f t="shared" si="228"/>
        <v>0.0100940975192472</v>
      </c>
      <c r="Y85" s="20">
        <f t="shared" si="228"/>
        <v>0.0103856502242152</v>
      </c>
      <c r="Z85" s="20">
        <f t="shared" si="228"/>
        <v>0.0114291129643669</v>
      </c>
      <c r="AA85" s="20">
        <f t="shared" si="228"/>
        <v>0.0115979862017528</v>
      </c>
      <c r="AB85" s="20">
        <f t="shared" si="228"/>
        <v>0.00871331828442437</v>
      </c>
      <c r="AC85" s="20">
        <f t="shared" si="228"/>
        <v>0.0102405376724443</v>
      </c>
      <c r="AD85" s="5"/>
      <c r="AE85" s="5"/>
      <c r="AF85" s="20">
        <f t="shared" ref="AF85:AL85" si="229">AF73</f>
        <v>0.0105103587670541</v>
      </c>
      <c r="AG85" s="20">
        <f t="shared" si="229"/>
        <v>0.0100940975192472</v>
      </c>
      <c r="AH85" s="20">
        <f t="shared" si="229"/>
        <v>0.0103856502242152</v>
      </c>
      <c r="AI85" s="20">
        <f t="shared" si="229"/>
        <v>0.0114291129643669</v>
      </c>
      <c r="AJ85" s="20">
        <f t="shared" si="229"/>
        <v>0.0115979862017528</v>
      </c>
      <c r="AK85" s="20">
        <f t="shared" si="229"/>
        <v>0.010020316027088</v>
      </c>
      <c r="AL85" s="20">
        <f t="shared" si="229"/>
        <v>0.0117766183233109</v>
      </c>
      <c r="AM85" s="5"/>
      <c r="AN85" s="5"/>
      <c r="AO85" s="20">
        <f t="shared" ref="AO85:AU85" si="230">AO73</f>
        <v>0.0105103587670541</v>
      </c>
      <c r="AP85" s="20">
        <f t="shared" si="230"/>
        <v>0.0100940975192472</v>
      </c>
      <c r="AQ85" s="20">
        <f t="shared" si="230"/>
        <v>0.0103856502242152</v>
      </c>
      <c r="AR85" s="20">
        <f t="shared" si="230"/>
        <v>0.0114291129643669</v>
      </c>
      <c r="AS85" s="20">
        <f t="shared" si="230"/>
        <v>0.0115979862017528</v>
      </c>
      <c r="AT85" s="20">
        <f t="shared" si="230"/>
        <v>0.00740632054176073</v>
      </c>
      <c r="AU85" s="20">
        <f t="shared" si="230"/>
        <v>0.00870445702157763</v>
      </c>
    </row>
    <row r="86" ht="15.5" spans="21:47">
      <c r="U86" s="26"/>
      <c r="V86" s="19" t="s">
        <v>255</v>
      </c>
      <c r="W86" s="20">
        <f t="shared" ref="W86:AC86" si="231">W74</f>
        <v>0.0289203301330638</v>
      </c>
      <c r="X86" s="20">
        <f t="shared" si="231"/>
        <v>0.0275620188195039</v>
      </c>
      <c r="Y86" s="20">
        <f t="shared" si="231"/>
        <v>0.028322869955157</v>
      </c>
      <c r="Z86" s="20">
        <f t="shared" si="231"/>
        <v>0.0288286580742987</v>
      </c>
      <c r="AA86" s="20">
        <f t="shared" si="231"/>
        <v>0.0296102927465971</v>
      </c>
      <c r="AB86" s="20">
        <f t="shared" si="231"/>
        <v>0.0237622272385252</v>
      </c>
      <c r="AC86" s="20">
        <f t="shared" si="231"/>
        <v>0.0279271312345242</v>
      </c>
      <c r="AD86" s="5"/>
      <c r="AE86" s="5"/>
      <c r="AF86" s="20">
        <f t="shared" ref="AF86:AL86" si="232">AF74</f>
        <v>0.0289203301330638</v>
      </c>
      <c r="AG86" s="20">
        <f t="shared" si="232"/>
        <v>0.0275620188195039</v>
      </c>
      <c r="AH86" s="20">
        <f t="shared" si="232"/>
        <v>0.028322869955157</v>
      </c>
      <c r="AI86" s="20">
        <f t="shared" si="232"/>
        <v>0.0288286580742987</v>
      </c>
      <c r="AJ86" s="20">
        <f t="shared" si="232"/>
        <v>0.0296102927465971</v>
      </c>
      <c r="AK86" s="20">
        <f t="shared" si="232"/>
        <v>0.027326561324304</v>
      </c>
      <c r="AL86" s="20">
        <f t="shared" si="232"/>
        <v>0.0321162009197029</v>
      </c>
      <c r="AM86" s="5"/>
      <c r="AN86" s="5"/>
      <c r="AO86" s="20">
        <f t="shared" ref="AO86:AU86" si="233">AO74</f>
        <v>0.0289203301330638</v>
      </c>
      <c r="AP86" s="20">
        <f t="shared" si="233"/>
        <v>0.0275620188195039</v>
      </c>
      <c r="AQ86" s="20">
        <f t="shared" si="233"/>
        <v>0.028322869955157</v>
      </c>
      <c r="AR86" s="20">
        <f t="shared" si="233"/>
        <v>0.0288286580742987</v>
      </c>
      <c r="AS86" s="20">
        <f t="shared" si="233"/>
        <v>0.0296102927465971</v>
      </c>
      <c r="AT86" s="20">
        <f t="shared" si="233"/>
        <v>0.0201978931527464</v>
      </c>
      <c r="AU86" s="20">
        <f t="shared" si="233"/>
        <v>0.0237380615493456</v>
      </c>
    </row>
    <row r="87" ht="15.5" spans="21:47">
      <c r="U87" s="26"/>
      <c r="V87" s="18" t="s">
        <v>256</v>
      </c>
      <c r="W87" s="20">
        <f t="shared" ref="W87:AC87" si="234">W75</f>
        <v>0.0836617820448038</v>
      </c>
      <c r="X87" s="20">
        <f t="shared" si="234"/>
        <v>0.0814029084687767</v>
      </c>
      <c r="Y87" s="20">
        <f t="shared" si="234"/>
        <v>0.0843946188340807</v>
      </c>
      <c r="Z87" s="20">
        <f t="shared" si="234"/>
        <v>0.0884192570128886</v>
      </c>
      <c r="AA87" s="20">
        <f t="shared" si="234"/>
        <v>0.092485549132948</v>
      </c>
      <c r="AB87" s="20">
        <f t="shared" si="234"/>
        <v>0.0708051166290444</v>
      </c>
      <c r="AC87" s="20">
        <f t="shared" si="234"/>
        <v>0.0832154227095861</v>
      </c>
      <c r="AD87" s="5"/>
      <c r="AE87" s="5"/>
      <c r="AF87" s="20">
        <f t="shared" ref="AF87:AL87" si="235">AF75</f>
        <v>0.0836617820448038</v>
      </c>
      <c r="AG87" s="20">
        <f t="shared" si="235"/>
        <v>0.0814029084687767</v>
      </c>
      <c r="AH87" s="20">
        <f t="shared" si="235"/>
        <v>0.0843946188340807</v>
      </c>
      <c r="AI87" s="20">
        <f t="shared" si="235"/>
        <v>0.0884192570128886</v>
      </c>
      <c r="AJ87" s="20">
        <f t="shared" si="235"/>
        <v>0.092485549132948</v>
      </c>
      <c r="AK87" s="20">
        <f t="shared" si="235"/>
        <v>0.0814258841234011</v>
      </c>
      <c r="AL87" s="20">
        <f t="shared" si="235"/>
        <v>0.0956977361160241</v>
      </c>
      <c r="AM87" s="5"/>
      <c r="AN87" s="5"/>
      <c r="AO87" s="20">
        <f t="shared" ref="AO87:AU87" si="236">AO75</f>
        <v>0.0836617820448038</v>
      </c>
      <c r="AP87" s="20">
        <f t="shared" si="236"/>
        <v>0.0814029084687767</v>
      </c>
      <c r="AQ87" s="20">
        <f t="shared" si="236"/>
        <v>0.0843946188340807</v>
      </c>
      <c r="AR87" s="20">
        <f t="shared" si="236"/>
        <v>0.0884192570128886</v>
      </c>
      <c r="AS87" s="20">
        <f t="shared" si="236"/>
        <v>0.092485549132948</v>
      </c>
      <c r="AT87" s="20">
        <f t="shared" si="236"/>
        <v>0.0601843491346877</v>
      </c>
      <c r="AU87" s="20">
        <f t="shared" si="236"/>
        <v>0.0707331093031482</v>
      </c>
    </row>
    <row r="88" ht="15.5" spans="21:47">
      <c r="U88" s="26"/>
      <c r="V88" s="18" t="s">
        <v>257</v>
      </c>
      <c r="W88" s="20">
        <f t="shared" ref="W88:AC88" si="237">W76</f>
        <v>0.0130200437931615</v>
      </c>
      <c r="X88" s="20">
        <f t="shared" si="237"/>
        <v>0.0127459366980325</v>
      </c>
      <c r="Y88" s="20">
        <f t="shared" si="237"/>
        <v>0.0132017937219731</v>
      </c>
      <c r="Z88" s="20">
        <f t="shared" si="237"/>
        <v>0.0144238059135709</v>
      </c>
      <c r="AA88" s="20">
        <f t="shared" si="237"/>
        <v>0.0147119149729629</v>
      </c>
      <c r="AB88" s="20">
        <f t="shared" si="237"/>
        <v>0.0110759969902182</v>
      </c>
      <c r="AC88" s="20">
        <f t="shared" si="237"/>
        <v>0.0130173328616908</v>
      </c>
      <c r="AD88" s="5"/>
      <c r="AE88" s="5"/>
      <c r="AF88" s="20">
        <f t="shared" ref="AF88:AL88" si="238">AF76</f>
        <v>0.0130200437931615</v>
      </c>
      <c r="AG88" s="20">
        <f t="shared" si="238"/>
        <v>0.0127459366980325</v>
      </c>
      <c r="AH88" s="20">
        <f t="shared" si="238"/>
        <v>0.0132017937219731</v>
      </c>
      <c r="AI88" s="20">
        <f t="shared" si="238"/>
        <v>0.0144238059135709</v>
      </c>
      <c r="AJ88" s="20">
        <f t="shared" si="238"/>
        <v>0.0147119149729629</v>
      </c>
      <c r="AK88" s="20">
        <f t="shared" si="238"/>
        <v>0.0127373965387509</v>
      </c>
      <c r="AL88" s="20">
        <f t="shared" si="238"/>
        <v>0.0149699327909445</v>
      </c>
      <c r="AM88" s="5"/>
      <c r="AN88" s="5"/>
      <c r="AO88" s="20">
        <f t="shared" ref="AO88:AU88" si="239">AO76</f>
        <v>0.0130200437931615</v>
      </c>
      <c r="AP88" s="20">
        <f t="shared" si="239"/>
        <v>0.0127459366980325</v>
      </c>
      <c r="AQ88" s="20">
        <f t="shared" si="239"/>
        <v>0.0132017937219731</v>
      </c>
      <c r="AR88" s="20">
        <f t="shared" si="239"/>
        <v>0.0144238059135709</v>
      </c>
      <c r="AS88" s="20">
        <f t="shared" si="239"/>
        <v>0.0147119149729629</v>
      </c>
      <c r="AT88" s="20">
        <f t="shared" si="239"/>
        <v>0.00941459744168548</v>
      </c>
      <c r="AU88" s="20">
        <f t="shared" si="239"/>
        <v>0.0110647329324372</v>
      </c>
    </row>
    <row r="89" ht="15.5" spans="21:47">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row>
    <row r="90" ht="15.5" spans="21:47">
      <c r="U90" s="5"/>
      <c r="V90" s="5"/>
      <c r="W90" s="5"/>
      <c r="X90" s="5"/>
      <c r="Y90" s="5"/>
      <c r="Z90" s="5"/>
      <c r="AA90" s="5"/>
      <c r="AB90" s="5"/>
      <c r="AC90" s="5"/>
      <c r="AD90" s="5"/>
      <c r="AE90" s="5"/>
      <c r="AF90" s="5"/>
      <c r="AG90" s="5"/>
      <c r="AH90" s="5"/>
      <c r="AI90" s="5"/>
      <c r="AJ90" s="5"/>
      <c r="AK90" s="5"/>
      <c r="AL90" s="5"/>
      <c r="AM90" s="5"/>
      <c r="AN90" s="5"/>
      <c r="AO90" s="5"/>
      <c r="AP90" s="5"/>
      <c r="AQ90" s="5"/>
      <c r="AR90" s="5"/>
      <c r="AS90" s="5"/>
      <c r="AT90" s="5"/>
      <c r="AU90" s="5"/>
    </row>
    <row r="91" ht="15.5" spans="21:47">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row>
    <row r="92" ht="15.5" spans="21:47">
      <c r="U92" s="5"/>
      <c r="V92" s="5"/>
      <c r="W92" s="5" t="s">
        <v>225</v>
      </c>
      <c r="X92" s="5" t="s">
        <v>226</v>
      </c>
      <c r="Y92" s="6" t="s">
        <v>227</v>
      </c>
      <c r="Z92" s="5" t="s">
        <v>228</v>
      </c>
      <c r="AA92" s="5" t="s">
        <v>229</v>
      </c>
      <c r="AB92" s="15" t="s">
        <v>230</v>
      </c>
      <c r="AC92" s="15" t="s">
        <v>231</v>
      </c>
      <c r="AD92" s="5"/>
      <c r="AE92" s="5"/>
      <c r="AF92" s="5" t="s">
        <v>225</v>
      </c>
      <c r="AG92" s="5" t="s">
        <v>226</v>
      </c>
      <c r="AH92" s="6" t="s">
        <v>227</v>
      </c>
      <c r="AI92" s="5" t="s">
        <v>228</v>
      </c>
      <c r="AJ92" s="5" t="s">
        <v>229</v>
      </c>
      <c r="AK92" s="15" t="s">
        <v>230</v>
      </c>
      <c r="AL92" s="15" t="s">
        <v>231</v>
      </c>
      <c r="AM92" s="5"/>
      <c r="AN92" s="5"/>
      <c r="AO92" s="5" t="s">
        <v>225</v>
      </c>
      <c r="AP92" s="5" t="s">
        <v>226</v>
      </c>
      <c r="AQ92" s="6" t="s">
        <v>227</v>
      </c>
      <c r="AR92" s="5" t="s">
        <v>228</v>
      </c>
      <c r="AS92" s="5" t="s">
        <v>229</v>
      </c>
      <c r="AT92" s="15" t="s">
        <v>230</v>
      </c>
      <c r="AU92" s="15" t="s">
        <v>231</v>
      </c>
    </row>
    <row r="93" spans="21:47">
      <c r="U93" s="3" t="s">
        <v>232</v>
      </c>
      <c r="V93" s="18" t="s">
        <v>105</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
      <c r="V94" s="19" t="s">
        <v>255</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
      <c r="V95" s="18" t="s">
        <v>256</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
      <c r="V96" s="18" t="s">
        <v>257</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 t="s">
        <v>238</v>
      </c>
      <c r="V97" s="18" t="s">
        <v>105</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
      <c r="V98" s="19" t="s">
        <v>255</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5" spans="21:47">
      <c r="U99" s="3"/>
      <c r="V99" s="18" t="s">
        <v>256</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5"/>
      <c r="AE99" s="5"/>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5"/>
      <c r="AN99" s="5"/>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5" spans="21:47">
      <c r="U100" s="3"/>
      <c r="V100" s="18" t="s">
        <v>257</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5"/>
      <c r="AE100" s="5"/>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5"/>
      <c r="AN100" s="5"/>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5" spans="21:47">
      <c r="U101" s="3" t="s">
        <v>258</v>
      </c>
      <c r="V101" s="18" t="s">
        <v>105</v>
      </c>
      <c r="W101" s="5">
        <f t="shared" ref="W101:AC101" si="264">W34-W35</f>
        <v>0.011840997136601</v>
      </c>
      <c r="X101" s="5">
        <f t="shared" si="264"/>
        <v>0.011377245508982</v>
      </c>
      <c r="Y101" s="5">
        <f t="shared" si="264"/>
        <v>0.0117668161434977</v>
      </c>
      <c r="Z101" s="5">
        <f t="shared" si="264"/>
        <v>0.0120924943138741</v>
      </c>
      <c r="AA101" s="5">
        <f t="shared" si="264"/>
        <v>0.0122878985642364</v>
      </c>
      <c r="AB101" s="5">
        <f t="shared" si="264"/>
        <v>0.00987208427389014</v>
      </c>
      <c r="AC101" s="5">
        <f t="shared" si="264"/>
        <v>0.0116024053767244</v>
      </c>
      <c r="AD101" s="5"/>
      <c r="AE101" s="5"/>
      <c r="AF101" s="5">
        <f t="shared" ref="AF101:AL101" si="265">AF34-AF35</f>
        <v>0.011840997136601</v>
      </c>
      <c r="AG101" s="5">
        <f t="shared" si="265"/>
        <v>0.011377245508982</v>
      </c>
      <c r="AH101" s="5">
        <f t="shared" si="265"/>
        <v>0.0117668161434977</v>
      </c>
      <c r="AI101" s="5">
        <f t="shared" si="265"/>
        <v>0.0120924943138741</v>
      </c>
      <c r="AJ101" s="5">
        <f t="shared" si="265"/>
        <v>0.0122878985642364</v>
      </c>
      <c r="AK101" s="5">
        <f t="shared" si="265"/>
        <v>0.0113528969149737</v>
      </c>
      <c r="AL101" s="5">
        <f t="shared" si="265"/>
        <v>0.0133427661832331</v>
      </c>
      <c r="AM101" s="5"/>
      <c r="AN101" s="5"/>
      <c r="AO101" s="5">
        <f t="shared" ref="AO101:AU101" si="266">AO34-AO35</f>
        <v>0.011840997136601</v>
      </c>
      <c r="AP101" s="5">
        <f t="shared" si="266"/>
        <v>0.011377245508982</v>
      </c>
      <c r="AQ101" s="5">
        <f t="shared" si="266"/>
        <v>0.0117668161434977</v>
      </c>
      <c r="AR101" s="5">
        <f t="shared" si="266"/>
        <v>0.0120924943138741</v>
      </c>
      <c r="AS101" s="5">
        <f t="shared" si="266"/>
        <v>0.0122878985642364</v>
      </c>
      <c r="AT101" s="5">
        <f t="shared" si="266"/>
        <v>0.00839127163280662</v>
      </c>
      <c r="AU101" s="5">
        <f t="shared" si="266"/>
        <v>0.00986204457021578</v>
      </c>
    </row>
    <row r="102" ht="15.5" spans="21:47">
      <c r="U102" s="3"/>
      <c r="V102" s="19" t="s">
        <v>255</v>
      </c>
      <c r="W102" s="5">
        <f t="shared" ref="W102:AC102" si="267">W36</f>
        <v>0.0404413003200269</v>
      </c>
      <c r="X102" s="5">
        <f t="shared" si="267"/>
        <v>0.0389734816082122</v>
      </c>
      <c r="Y102" s="5">
        <f t="shared" si="267"/>
        <v>0.0403408071748879</v>
      </c>
      <c r="Z102" s="5">
        <f t="shared" si="267"/>
        <v>0.0420204700530705</v>
      </c>
      <c r="AA102" s="5">
        <f t="shared" si="267"/>
        <v>0.0428118590341227</v>
      </c>
      <c r="AB102" s="5">
        <f t="shared" si="267"/>
        <v>0.0338449962377728</v>
      </c>
      <c r="AC102" s="5">
        <f t="shared" si="267"/>
        <v>0.0397771489211178</v>
      </c>
      <c r="AD102" s="5"/>
      <c r="AE102" s="5"/>
      <c r="AF102" s="5">
        <f t="shared" ref="AF102:AL102" si="268">AF36</f>
        <v>0.0404413003200269</v>
      </c>
      <c r="AG102" s="5">
        <f t="shared" si="268"/>
        <v>0.0389734816082122</v>
      </c>
      <c r="AH102" s="5">
        <f t="shared" si="268"/>
        <v>0.0403408071748879</v>
      </c>
      <c r="AI102" s="5">
        <f t="shared" si="268"/>
        <v>0.0420204700530705</v>
      </c>
      <c r="AJ102" s="5">
        <f t="shared" si="268"/>
        <v>0.0428118590341227</v>
      </c>
      <c r="AK102" s="5">
        <f t="shared" si="268"/>
        <v>0.0389217456734387</v>
      </c>
      <c r="AL102" s="5">
        <f t="shared" si="268"/>
        <v>0.0457437212592855</v>
      </c>
      <c r="AM102" s="5"/>
      <c r="AN102" s="5"/>
      <c r="AO102" s="5">
        <f t="shared" ref="AO102:AU102" si="269">AO36</f>
        <v>0.0404413003200269</v>
      </c>
      <c r="AP102" s="5">
        <f t="shared" si="269"/>
        <v>0.0389734816082122</v>
      </c>
      <c r="AQ102" s="5">
        <f t="shared" si="269"/>
        <v>0.0403408071748879</v>
      </c>
      <c r="AR102" s="5">
        <f t="shared" si="269"/>
        <v>0.0420204700530705</v>
      </c>
      <c r="AS102" s="5">
        <f t="shared" si="269"/>
        <v>0.0428118590341227</v>
      </c>
      <c r="AT102" s="5">
        <f t="shared" si="269"/>
        <v>0.0287682468021069</v>
      </c>
      <c r="AU102" s="5">
        <f t="shared" si="269"/>
        <v>0.0338105765829501</v>
      </c>
    </row>
    <row r="103" ht="15.5" spans="21:47">
      <c r="U103" s="3"/>
      <c r="V103" s="18" t="s">
        <v>256</v>
      </c>
      <c r="W103" s="5">
        <f t="shared" ref="W103:AC103" si="270">W37</f>
        <v>0.0870304867778339</v>
      </c>
      <c r="X103" s="5">
        <f t="shared" si="270"/>
        <v>0.0843627031650984</v>
      </c>
      <c r="Y103" s="5">
        <f t="shared" si="270"/>
        <v>0.0874439461883408</v>
      </c>
      <c r="Z103" s="5">
        <f t="shared" si="270"/>
        <v>0.0881918119787718</v>
      </c>
      <c r="AA103" s="5">
        <f t="shared" si="270"/>
        <v>0.0922245012120082</v>
      </c>
      <c r="AB103" s="5">
        <f t="shared" si="270"/>
        <v>0.0733634311512415</v>
      </c>
      <c r="AC103" s="5">
        <f t="shared" si="270"/>
        <v>0.0862221436151397</v>
      </c>
      <c r="AD103" s="5"/>
      <c r="AE103" s="5"/>
      <c r="AF103" s="5">
        <f t="shared" ref="AF103:AL103" si="271">AF37</f>
        <v>0.0870304867778339</v>
      </c>
      <c r="AG103" s="5">
        <f t="shared" si="271"/>
        <v>0.0843627031650984</v>
      </c>
      <c r="AH103" s="5">
        <f t="shared" si="271"/>
        <v>0.0874439461883408</v>
      </c>
      <c r="AI103" s="5">
        <f t="shared" si="271"/>
        <v>0.0881918119787718</v>
      </c>
      <c r="AJ103" s="5">
        <f t="shared" si="271"/>
        <v>0.0922245012120082</v>
      </c>
      <c r="AK103" s="5">
        <f t="shared" si="271"/>
        <v>0.0843679458239278</v>
      </c>
      <c r="AL103" s="5">
        <f t="shared" si="271"/>
        <v>0.0991554651574107</v>
      </c>
      <c r="AM103" s="5"/>
      <c r="AN103" s="5"/>
      <c r="AO103" s="5">
        <f t="shared" ref="AO103:AU103" si="272">AO37</f>
        <v>0.0870304867778339</v>
      </c>
      <c r="AP103" s="5">
        <f t="shared" si="272"/>
        <v>0.0843627031650984</v>
      </c>
      <c r="AQ103" s="5">
        <f t="shared" si="272"/>
        <v>0.0874439461883408</v>
      </c>
      <c r="AR103" s="5">
        <f t="shared" si="272"/>
        <v>0.0881918119787718</v>
      </c>
      <c r="AS103" s="5">
        <f t="shared" si="272"/>
        <v>0.0922245012120082</v>
      </c>
      <c r="AT103" s="5">
        <f t="shared" si="272"/>
        <v>0.0623589164785553</v>
      </c>
      <c r="AU103" s="5">
        <f t="shared" si="272"/>
        <v>0.0732888220728688</v>
      </c>
    </row>
    <row r="104" ht="15.5" spans="21:47">
      <c r="U104" s="3"/>
      <c r="V104" s="18" t="s">
        <v>257</v>
      </c>
      <c r="W104" s="5">
        <f t="shared" ref="W104:AC104" si="273">W38</f>
        <v>0.0133569142664645</v>
      </c>
      <c r="X104" s="5">
        <f t="shared" si="273"/>
        <v>0.0131907613344739</v>
      </c>
      <c r="Y104" s="5">
        <f t="shared" si="273"/>
        <v>0.0137399103139013</v>
      </c>
      <c r="Z104" s="5">
        <f t="shared" si="273"/>
        <v>0.0141015921152388</v>
      </c>
      <c r="AA104" s="5">
        <f t="shared" si="273"/>
        <v>0.0143016968114861</v>
      </c>
      <c r="AB104" s="5">
        <f t="shared" si="273"/>
        <v>0.0115274642588412</v>
      </c>
      <c r="AC104" s="5">
        <f t="shared" si="273"/>
        <v>0.0135479306685532</v>
      </c>
      <c r="AD104" s="5"/>
      <c r="AE104" s="5"/>
      <c r="AF104" s="5">
        <f t="shared" ref="AF104:AL104" si="274">AF38</f>
        <v>0.0133569142664645</v>
      </c>
      <c r="AG104" s="5">
        <f t="shared" si="274"/>
        <v>0.0131907613344739</v>
      </c>
      <c r="AH104" s="5">
        <f t="shared" si="274"/>
        <v>0.0137399103139013</v>
      </c>
      <c r="AI104" s="5">
        <f t="shared" si="274"/>
        <v>0.0141015921152388</v>
      </c>
      <c r="AJ104" s="5">
        <f t="shared" si="274"/>
        <v>0.0143016968114861</v>
      </c>
      <c r="AK104" s="5">
        <f t="shared" si="274"/>
        <v>0.0132565838976674</v>
      </c>
      <c r="AL104" s="5">
        <f t="shared" si="274"/>
        <v>0.0155801202688362</v>
      </c>
      <c r="AM104" s="5"/>
      <c r="AN104" s="5"/>
      <c r="AO104" s="5">
        <f t="shared" ref="AO104:AU104" si="275">AO38</f>
        <v>0.0133569142664645</v>
      </c>
      <c r="AP104" s="5">
        <f t="shared" si="275"/>
        <v>0.0131907613344739</v>
      </c>
      <c r="AQ104" s="5">
        <f t="shared" si="275"/>
        <v>0.0137399103139013</v>
      </c>
      <c r="AR104" s="5">
        <f t="shared" si="275"/>
        <v>0.0141015921152388</v>
      </c>
      <c r="AS104" s="5">
        <f t="shared" si="275"/>
        <v>0.0143016968114861</v>
      </c>
      <c r="AT104" s="5">
        <f t="shared" si="275"/>
        <v>0.00979834462001505</v>
      </c>
      <c r="AU104" s="5">
        <f t="shared" si="275"/>
        <v>0.0115157410682703</v>
      </c>
    </row>
    <row r="105" ht="15.5" spans="21:47">
      <c r="U105" s="26" t="s">
        <v>232</v>
      </c>
      <c r="V105" s="18" t="s">
        <v>105</v>
      </c>
      <c r="W105" s="20">
        <f t="shared" ref="W105:AC105" si="276">W93</f>
        <v>0.0115546572342934</v>
      </c>
      <c r="X105" s="20">
        <f t="shared" si="276"/>
        <v>0.0110863986313088</v>
      </c>
      <c r="Y105" s="20">
        <f t="shared" si="276"/>
        <v>0.0114618834080717</v>
      </c>
      <c r="Z105" s="20">
        <f t="shared" si="276"/>
        <v>0.011751326762699</v>
      </c>
      <c r="AA105" s="20">
        <f t="shared" si="276"/>
        <v>0.0119709118030953</v>
      </c>
      <c r="AB105" s="20">
        <f t="shared" si="276"/>
        <v>0.00961625282167042</v>
      </c>
      <c r="AC105" s="20">
        <f t="shared" si="276"/>
        <v>0.0113017332861691</v>
      </c>
      <c r="AD105" s="5"/>
      <c r="AE105" s="5"/>
      <c r="AF105" s="20">
        <f t="shared" ref="AF105:AL105" si="277">AF93</f>
        <v>0.0115546572342934</v>
      </c>
      <c r="AG105" s="20">
        <f t="shared" si="277"/>
        <v>0.0110863986313088</v>
      </c>
      <c r="AH105" s="20">
        <f t="shared" si="277"/>
        <v>0.0114618834080717</v>
      </c>
      <c r="AI105" s="20">
        <f t="shared" si="277"/>
        <v>0.011751326762699</v>
      </c>
      <c r="AJ105" s="20">
        <f t="shared" si="277"/>
        <v>0.0119709118030953</v>
      </c>
      <c r="AK105" s="20">
        <f t="shared" si="277"/>
        <v>0.011058690744921</v>
      </c>
      <c r="AL105" s="20">
        <f t="shared" si="277"/>
        <v>0.0129969932790944</v>
      </c>
      <c r="AM105" s="5"/>
      <c r="AN105" s="5"/>
      <c r="AO105" s="20">
        <f t="shared" ref="AO105:AU105" si="278">AO93</f>
        <v>0.0115546572342934</v>
      </c>
      <c r="AP105" s="20">
        <f t="shared" si="278"/>
        <v>0.0110863986313088</v>
      </c>
      <c r="AQ105" s="20">
        <f t="shared" si="278"/>
        <v>0.0114618834080717</v>
      </c>
      <c r="AR105" s="20">
        <f t="shared" si="278"/>
        <v>0.011751326762699</v>
      </c>
      <c r="AS105" s="20">
        <f t="shared" si="278"/>
        <v>0.0119709118030953</v>
      </c>
      <c r="AT105" s="20">
        <f t="shared" si="278"/>
        <v>0.00817381489841985</v>
      </c>
      <c r="AU105" s="20">
        <f t="shared" si="278"/>
        <v>0.00960647329324371</v>
      </c>
    </row>
    <row r="106" ht="15.5" spans="21:47">
      <c r="U106" s="26"/>
      <c r="V106" s="19" t="s">
        <v>255</v>
      </c>
      <c r="W106" s="20">
        <f t="shared" ref="W106:AC106" si="279">W94</f>
        <v>0.0252147549267307</v>
      </c>
      <c r="X106" s="20">
        <f t="shared" si="279"/>
        <v>0.0242600513259196</v>
      </c>
      <c r="Y106" s="20">
        <f t="shared" si="279"/>
        <v>0.0250941704035874</v>
      </c>
      <c r="Z106" s="20">
        <f t="shared" si="279"/>
        <v>0.0257581501137225</v>
      </c>
      <c r="AA106" s="20">
        <f t="shared" si="279"/>
        <v>0.0262539623345143</v>
      </c>
      <c r="AB106" s="20">
        <f t="shared" si="279"/>
        <v>0.0210534236267871</v>
      </c>
      <c r="AC106" s="20">
        <f t="shared" si="279"/>
        <v>0.0247435443933498</v>
      </c>
      <c r="AD106" s="5"/>
      <c r="AE106" s="5"/>
      <c r="AF106" s="20">
        <f t="shared" ref="AF106:AL106" si="280">AF94</f>
        <v>0.0252147549267307</v>
      </c>
      <c r="AG106" s="20">
        <f t="shared" si="280"/>
        <v>0.0242600513259196</v>
      </c>
      <c r="AH106" s="20">
        <f t="shared" si="280"/>
        <v>0.0250941704035874</v>
      </c>
      <c r="AI106" s="20">
        <f t="shared" si="280"/>
        <v>0.0257581501137225</v>
      </c>
      <c r="AJ106" s="20">
        <f t="shared" si="280"/>
        <v>0.0262539623345143</v>
      </c>
      <c r="AK106" s="20">
        <f t="shared" si="280"/>
        <v>0.0242114371708051</v>
      </c>
      <c r="AL106" s="20">
        <f t="shared" si="280"/>
        <v>0.0284550760523523</v>
      </c>
      <c r="AM106" s="5"/>
      <c r="AN106" s="5"/>
      <c r="AO106" s="20">
        <f t="shared" ref="AO106:AU106" si="281">AO94</f>
        <v>0.0252147549267307</v>
      </c>
      <c r="AP106" s="20">
        <f t="shared" si="281"/>
        <v>0.0242600513259196</v>
      </c>
      <c r="AQ106" s="20">
        <f t="shared" si="281"/>
        <v>0.0250941704035874</v>
      </c>
      <c r="AR106" s="20">
        <f t="shared" si="281"/>
        <v>0.0257581501137225</v>
      </c>
      <c r="AS106" s="20">
        <f t="shared" si="281"/>
        <v>0.0262539623345143</v>
      </c>
      <c r="AT106" s="20">
        <f t="shared" si="281"/>
        <v>0.017895410082769</v>
      </c>
      <c r="AU106" s="20">
        <f t="shared" si="281"/>
        <v>0.0210320127343474</v>
      </c>
    </row>
    <row r="107" ht="15.5" spans="21:47">
      <c r="U107" s="26"/>
      <c r="V107" s="18" t="s">
        <v>256</v>
      </c>
      <c r="W107" s="20">
        <f t="shared" ref="W107:AC107" si="282">W95</f>
        <v>0.0978103419235304</v>
      </c>
      <c r="X107" s="20">
        <f t="shared" si="282"/>
        <v>0.0947818648417451</v>
      </c>
      <c r="Y107" s="20">
        <f t="shared" si="282"/>
        <v>0.0982600896860986</v>
      </c>
      <c r="Z107" s="20">
        <f t="shared" si="282"/>
        <v>0.099696739954511</v>
      </c>
      <c r="AA107" s="20">
        <f t="shared" si="282"/>
        <v>0.103953011374231</v>
      </c>
      <c r="AB107" s="20">
        <f t="shared" si="282"/>
        <v>0.0824379232505643</v>
      </c>
      <c r="AC107" s="20">
        <f t="shared" si="282"/>
        <v>0.0968871595330739</v>
      </c>
      <c r="AD107" s="5"/>
      <c r="AE107" s="5"/>
      <c r="AF107" s="20">
        <f t="shared" ref="AF107:AL107" si="283">AF95</f>
        <v>0.0978103419235304</v>
      </c>
      <c r="AG107" s="20">
        <f t="shared" si="283"/>
        <v>0.0947818648417451</v>
      </c>
      <c r="AH107" s="20">
        <f t="shared" si="283"/>
        <v>0.0982600896860986</v>
      </c>
      <c r="AI107" s="20">
        <f t="shared" si="283"/>
        <v>0.099696739954511</v>
      </c>
      <c r="AJ107" s="20">
        <f t="shared" si="283"/>
        <v>0.103953011374231</v>
      </c>
      <c r="AK107" s="20">
        <f t="shared" si="283"/>
        <v>0.094803611738149</v>
      </c>
      <c r="AL107" s="20">
        <f t="shared" si="283"/>
        <v>0.111420233463035</v>
      </c>
      <c r="AM107" s="5"/>
      <c r="AN107" s="5"/>
      <c r="AO107" s="20">
        <f t="shared" ref="AO107:AU107" si="284">AO95</f>
        <v>0.0978103419235304</v>
      </c>
      <c r="AP107" s="20">
        <f t="shared" si="284"/>
        <v>0.0947818648417451</v>
      </c>
      <c r="AQ107" s="20">
        <f t="shared" si="284"/>
        <v>0.0982600896860986</v>
      </c>
      <c r="AR107" s="20">
        <f t="shared" si="284"/>
        <v>0.099696739954511</v>
      </c>
      <c r="AS107" s="20">
        <f t="shared" si="284"/>
        <v>0.103953011374231</v>
      </c>
      <c r="AT107" s="20">
        <f t="shared" si="284"/>
        <v>0.0700722347629797</v>
      </c>
      <c r="AU107" s="20">
        <f t="shared" si="284"/>
        <v>0.0823540856031128</v>
      </c>
    </row>
    <row r="108" ht="15.5" spans="21:47">
      <c r="U108" s="26"/>
      <c r="V108" s="18" t="s">
        <v>257</v>
      </c>
      <c r="W108" s="20">
        <f t="shared" ref="W108:AC108" si="285">W96</f>
        <v>0.0132390096008085</v>
      </c>
      <c r="X108" s="20">
        <f t="shared" si="285"/>
        <v>0.0130538922155689</v>
      </c>
      <c r="Y108" s="20">
        <f t="shared" si="285"/>
        <v>0.0136143497757848</v>
      </c>
      <c r="Z108" s="20">
        <f t="shared" si="285"/>
        <v>0.0139689158453374</v>
      </c>
      <c r="AA108" s="20">
        <f t="shared" si="285"/>
        <v>0.0141711728510162</v>
      </c>
      <c r="AB108" s="20">
        <f t="shared" si="285"/>
        <v>0.0114221218961625</v>
      </c>
      <c r="AC108" s="20">
        <f t="shared" si="285"/>
        <v>0.0134241245136187</v>
      </c>
      <c r="AD108" s="5"/>
      <c r="AE108" s="5"/>
      <c r="AF108" s="20">
        <f t="shared" ref="AF108:AL108" si="286">AF96</f>
        <v>0.0132390096008085</v>
      </c>
      <c r="AG108" s="20">
        <f t="shared" si="286"/>
        <v>0.0130538922155689</v>
      </c>
      <c r="AH108" s="20">
        <f t="shared" si="286"/>
        <v>0.0136143497757848</v>
      </c>
      <c r="AI108" s="20">
        <f t="shared" si="286"/>
        <v>0.0139689158453374</v>
      </c>
      <c r="AJ108" s="20">
        <f t="shared" si="286"/>
        <v>0.0141711728510162</v>
      </c>
      <c r="AK108" s="20">
        <f t="shared" si="286"/>
        <v>0.0131354401805869</v>
      </c>
      <c r="AL108" s="20">
        <f t="shared" si="286"/>
        <v>0.0154377431906615</v>
      </c>
      <c r="AM108" s="5"/>
      <c r="AN108" s="5"/>
      <c r="AO108" s="20">
        <f t="shared" ref="AO108:AU108" si="287">AO96</f>
        <v>0.0132390096008085</v>
      </c>
      <c r="AP108" s="20">
        <f t="shared" si="287"/>
        <v>0.0130538922155689</v>
      </c>
      <c r="AQ108" s="20">
        <f t="shared" si="287"/>
        <v>0.0136143497757848</v>
      </c>
      <c r="AR108" s="20">
        <f t="shared" si="287"/>
        <v>0.0139689158453374</v>
      </c>
      <c r="AS108" s="20">
        <f t="shared" si="287"/>
        <v>0.0141711728510162</v>
      </c>
      <c r="AT108" s="20">
        <f t="shared" si="287"/>
        <v>0.00970880361173815</v>
      </c>
      <c r="AU108" s="20">
        <f t="shared" si="287"/>
        <v>0.0114105058365759</v>
      </c>
    </row>
    <row r="112" ht="15.5" spans="21:47">
      <c r="U112" s="5"/>
      <c r="V112" s="5"/>
      <c r="W112" s="5" t="s">
        <v>225</v>
      </c>
      <c r="X112" s="5" t="s">
        <v>226</v>
      </c>
      <c r="Y112" s="6" t="s">
        <v>227</v>
      </c>
      <c r="Z112" s="5" t="s">
        <v>228</v>
      </c>
      <c r="AA112" s="5" t="s">
        <v>229</v>
      </c>
      <c r="AB112" s="15" t="s">
        <v>230</v>
      </c>
      <c r="AC112" s="15" t="s">
        <v>231</v>
      </c>
      <c r="AD112" s="5"/>
      <c r="AE112" s="5"/>
      <c r="AF112" s="5" t="s">
        <v>225</v>
      </c>
      <c r="AG112" s="5" t="s">
        <v>226</v>
      </c>
      <c r="AH112" s="6" t="s">
        <v>227</v>
      </c>
      <c r="AI112" s="5" t="s">
        <v>228</v>
      </c>
      <c r="AJ112" s="5" t="s">
        <v>229</v>
      </c>
      <c r="AK112" s="15" t="s">
        <v>230</v>
      </c>
      <c r="AL112" s="15" t="s">
        <v>231</v>
      </c>
      <c r="AM112" s="5"/>
      <c r="AN112" s="5"/>
      <c r="AO112" s="5" t="s">
        <v>225</v>
      </c>
      <c r="AP112" s="5" t="s">
        <v>226</v>
      </c>
      <c r="AQ112" s="6" t="s">
        <v>227</v>
      </c>
      <c r="AR112" s="5" t="s">
        <v>228</v>
      </c>
      <c r="AS112" s="5" t="s">
        <v>229</v>
      </c>
      <c r="AT112" s="15" t="s">
        <v>230</v>
      </c>
      <c r="AU112" s="15" t="s">
        <v>231</v>
      </c>
    </row>
    <row r="113" spans="21:47">
      <c r="U113" s="3" t="s">
        <v>232</v>
      </c>
      <c r="V113" s="18" t="s">
        <v>105</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
      <c r="V114" s="19" t="s">
        <v>255</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
      <c r="V115" s="18" t="s">
        <v>256</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
      <c r="V116" s="18" t="s">
        <v>257</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 t="s">
        <v>238</v>
      </c>
      <c r="V117" s="18" t="s">
        <v>105</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
      <c r="V118" s="19" t="s">
        <v>255</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5" spans="21:47">
      <c r="U119" s="3"/>
      <c r="V119" s="18" t="s">
        <v>256</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5"/>
      <c r="AE119" s="5"/>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5"/>
      <c r="AN119" s="5"/>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5" spans="21:47">
      <c r="U120" s="3"/>
      <c r="V120" s="18" t="s">
        <v>257</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5"/>
      <c r="AE120" s="5"/>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5"/>
      <c r="AN120" s="5"/>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5" spans="21:47">
      <c r="U121" s="3" t="s">
        <v>258</v>
      </c>
      <c r="V121" s="18" t="s">
        <v>105</v>
      </c>
      <c r="W121" s="5">
        <f t="shared" ref="W121:AC121" si="312">W54-W55</f>
        <v>0.00810173488293751</v>
      </c>
      <c r="X121" s="5">
        <f t="shared" si="312"/>
        <v>0.00786997433704022</v>
      </c>
      <c r="Y121" s="5">
        <f t="shared" si="312"/>
        <v>0.00817937219730942</v>
      </c>
      <c r="Z121" s="5">
        <f t="shared" si="312"/>
        <v>0.00816906747536013</v>
      </c>
      <c r="AA121" s="5">
        <f t="shared" si="312"/>
        <v>0.00826030206973706</v>
      </c>
      <c r="AB121" s="5">
        <f t="shared" si="312"/>
        <v>0.00686230248306997</v>
      </c>
      <c r="AC121" s="5">
        <f t="shared" si="312"/>
        <v>0.00806508666430845</v>
      </c>
      <c r="AD121" s="5"/>
      <c r="AE121" s="5"/>
      <c r="AF121" s="5">
        <f t="shared" ref="AF121:AL121" si="313">AF54-AF55</f>
        <v>0.00810173488293751</v>
      </c>
      <c r="AG121" s="5">
        <f t="shared" si="313"/>
        <v>0.00786997433704022</v>
      </c>
      <c r="AH121" s="5">
        <f t="shared" si="313"/>
        <v>0.00817937219730942</v>
      </c>
      <c r="AI121" s="5">
        <f t="shared" si="313"/>
        <v>0.00816906747536013</v>
      </c>
      <c r="AJ121" s="5">
        <f t="shared" si="313"/>
        <v>0.00826030206973706</v>
      </c>
      <c r="AK121" s="5">
        <f t="shared" si="313"/>
        <v>0.00789164785553047</v>
      </c>
      <c r="AL121" s="5">
        <f t="shared" si="313"/>
        <v>0.00927484966395473</v>
      </c>
      <c r="AM121" s="5"/>
      <c r="AN121" s="5"/>
      <c r="AO121" s="5">
        <f t="shared" ref="AO121:AU121" si="314">AO54-AO55</f>
        <v>0.00810173488293751</v>
      </c>
      <c r="AP121" s="5">
        <f t="shared" si="314"/>
        <v>0.00786997433704022</v>
      </c>
      <c r="AQ121" s="5">
        <f t="shared" si="314"/>
        <v>0.00817937219730942</v>
      </c>
      <c r="AR121" s="5">
        <f t="shared" si="314"/>
        <v>0.00816906747536013</v>
      </c>
      <c r="AS121" s="5">
        <f t="shared" si="314"/>
        <v>0.00826030206973706</v>
      </c>
      <c r="AT121" s="5">
        <f t="shared" si="314"/>
        <v>0.00583295711060948</v>
      </c>
      <c r="AU121" s="5">
        <f t="shared" si="314"/>
        <v>0.00685532366466218</v>
      </c>
    </row>
    <row r="122" ht="15.5" spans="21:47">
      <c r="U122" s="3"/>
      <c r="V122" s="19" t="s">
        <v>255</v>
      </c>
      <c r="W122" s="5">
        <f t="shared" ref="W122:AC122" si="315">W56</f>
        <v>0.0319690079164561</v>
      </c>
      <c r="X122" s="5">
        <f t="shared" si="315"/>
        <v>0.0310692899914457</v>
      </c>
      <c r="Y122" s="5">
        <f t="shared" si="315"/>
        <v>0.0322331838565022</v>
      </c>
      <c r="Z122" s="5">
        <f t="shared" si="315"/>
        <v>0.0321645185746778</v>
      </c>
      <c r="AA122" s="5">
        <f t="shared" si="315"/>
        <v>0.0325750512772702</v>
      </c>
      <c r="AB122" s="5">
        <f t="shared" si="315"/>
        <v>0.0270428893905192</v>
      </c>
      <c r="AC122" s="5">
        <f t="shared" si="315"/>
        <v>0.0317828086310577</v>
      </c>
      <c r="AD122" s="5"/>
      <c r="AE122" s="5"/>
      <c r="AF122" s="5">
        <f t="shared" ref="AF122:AL122" si="316">AF56</f>
        <v>0.0319690079164561</v>
      </c>
      <c r="AG122" s="5">
        <f t="shared" si="316"/>
        <v>0.0310692899914457</v>
      </c>
      <c r="AH122" s="5">
        <f t="shared" si="316"/>
        <v>0.0322331838565022</v>
      </c>
      <c r="AI122" s="5">
        <f t="shared" si="316"/>
        <v>0.0321645185746778</v>
      </c>
      <c r="AJ122" s="5">
        <f t="shared" si="316"/>
        <v>0.0325750512772702</v>
      </c>
      <c r="AK122" s="5">
        <f t="shared" si="316"/>
        <v>0.0310993227990971</v>
      </c>
      <c r="AL122" s="5">
        <f t="shared" si="316"/>
        <v>0.0365502299257163</v>
      </c>
      <c r="AM122" s="5"/>
      <c r="AN122" s="5"/>
      <c r="AO122" s="5">
        <f t="shared" ref="AO122:AU122" si="317">AO56</f>
        <v>0.0319690079164561</v>
      </c>
      <c r="AP122" s="5">
        <f t="shared" si="317"/>
        <v>0.0310692899914457</v>
      </c>
      <c r="AQ122" s="5">
        <f t="shared" si="317"/>
        <v>0.0322331838565022</v>
      </c>
      <c r="AR122" s="5">
        <f t="shared" si="317"/>
        <v>0.0321645185746778</v>
      </c>
      <c r="AS122" s="5">
        <f t="shared" si="317"/>
        <v>0.0325750512772702</v>
      </c>
      <c r="AT122" s="5">
        <f t="shared" si="317"/>
        <v>0.0229864559819413</v>
      </c>
      <c r="AU122" s="5">
        <f t="shared" si="317"/>
        <v>0.027015387336399</v>
      </c>
    </row>
    <row r="123" ht="15.5" spans="21:47">
      <c r="U123" s="3"/>
      <c r="V123" s="18" t="s">
        <v>256</v>
      </c>
      <c r="W123" s="5">
        <f t="shared" ref="W123:AC123" si="318">W57</f>
        <v>0.0557183762843187</v>
      </c>
      <c r="X123" s="5">
        <f t="shared" si="318"/>
        <v>0.055158254918734</v>
      </c>
      <c r="Y123" s="5">
        <f t="shared" si="318"/>
        <v>0.0574887892376682</v>
      </c>
      <c r="Z123" s="5">
        <f t="shared" si="318"/>
        <v>0.0587755875663381</v>
      </c>
      <c r="AA123" s="5">
        <f t="shared" si="318"/>
        <v>0.0587544284915159</v>
      </c>
      <c r="AB123" s="5">
        <f t="shared" si="318"/>
        <v>0.0482317531978932</v>
      </c>
      <c r="AC123" s="5">
        <f t="shared" si="318"/>
        <v>0.0566855323664662</v>
      </c>
      <c r="AD123" s="5"/>
      <c r="AE123" s="5"/>
      <c r="AF123" s="5">
        <f t="shared" ref="AF123:AL123" si="319">AF57</f>
        <v>0.0557183762843187</v>
      </c>
      <c r="AG123" s="5">
        <f t="shared" si="319"/>
        <v>0.055158254918734</v>
      </c>
      <c r="AH123" s="5">
        <f t="shared" si="319"/>
        <v>0.0574887892376682</v>
      </c>
      <c r="AI123" s="5">
        <f t="shared" si="319"/>
        <v>0.0587755875663381</v>
      </c>
      <c r="AJ123" s="5">
        <f t="shared" si="319"/>
        <v>0.0587544284915159</v>
      </c>
      <c r="AK123" s="5">
        <f t="shared" si="319"/>
        <v>0.0554665161775771</v>
      </c>
      <c r="AL123" s="5">
        <f t="shared" si="319"/>
        <v>0.0651883622214361</v>
      </c>
      <c r="AM123" s="5"/>
      <c r="AN123" s="5"/>
      <c r="AO123" s="5">
        <f t="shared" ref="AO123:AU123" si="320">AO57</f>
        <v>0.0557183762843187</v>
      </c>
      <c r="AP123" s="5">
        <f t="shared" si="320"/>
        <v>0.055158254918734</v>
      </c>
      <c r="AQ123" s="5">
        <f t="shared" si="320"/>
        <v>0.0574887892376682</v>
      </c>
      <c r="AR123" s="5">
        <f t="shared" si="320"/>
        <v>0.0587755875663381</v>
      </c>
      <c r="AS123" s="5">
        <f t="shared" si="320"/>
        <v>0.0587544284915159</v>
      </c>
      <c r="AT123" s="5">
        <f t="shared" si="320"/>
        <v>0.0409969902182092</v>
      </c>
      <c r="AU123" s="5">
        <f t="shared" si="320"/>
        <v>0.0481827025114963</v>
      </c>
    </row>
    <row r="124" ht="15.5" spans="21:47">
      <c r="U124" s="3"/>
      <c r="V124" s="18" t="s">
        <v>257</v>
      </c>
      <c r="W124" s="5">
        <f t="shared" ref="W124:AC124" si="321">W58</f>
        <v>0.0130537308404918</v>
      </c>
      <c r="X124" s="5">
        <f t="shared" si="321"/>
        <v>0.0129170230966638</v>
      </c>
      <c r="Y124" s="5">
        <f t="shared" si="321"/>
        <v>0.0134529147982063</v>
      </c>
      <c r="Z124" s="5">
        <f t="shared" si="321"/>
        <v>0.0136846095526914</v>
      </c>
      <c r="AA124" s="5">
        <f t="shared" si="321"/>
        <v>0.0137236621294052</v>
      </c>
      <c r="AB124" s="5">
        <f t="shared" si="321"/>
        <v>0.0112866817155756</v>
      </c>
      <c r="AC124" s="5">
        <f t="shared" si="321"/>
        <v>0.01326494517156</v>
      </c>
      <c r="AD124" s="5"/>
      <c r="AE124" s="5"/>
      <c r="AF124" s="5">
        <f t="shared" ref="AF124:AL124" si="322">AF58</f>
        <v>0.0130537308404918</v>
      </c>
      <c r="AG124" s="5">
        <f t="shared" si="322"/>
        <v>0.0129170230966638</v>
      </c>
      <c r="AH124" s="5">
        <f t="shared" si="322"/>
        <v>0.0134529147982063</v>
      </c>
      <c r="AI124" s="5">
        <f t="shared" si="322"/>
        <v>0.0136846095526914</v>
      </c>
      <c r="AJ124" s="5">
        <f t="shared" si="322"/>
        <v>0.0137236621294052</v>
      </c>
      <c r="AK124" s="5">
        <f t="shared" si="322"/>
        <v>0.012979683972912</v>
      </c>
      <c r="AL124" s="5">
        <f t="shared" si="322"/>
        <v>0.0152546869472939</v>
      </c>
      <c r="AM124" s="5"/>
      <c r="AN124" s="5"/>
      <c r="AO124" s="5">
        <f t="shared" ref="AO124:AU124" si="323">AO58</f>
        <v>0.0130537308404918</v>
      </c>
      <c r="AP124" s="5">
        <f t="shared" si="323"/>
        <v>0.0129170230966638</v>
      </c>
      <c r="AQ124" s="5">
        <f t="shared" si="323"/>
        <v>0.0134529147982063</v>
      </c>
      <c r="AR124" s="5">
        <f t="shared" si="323"/>
        <v>0.0136846095526914</v>
      </c>
      <c r="AS124" s="5">
        <f t="shared" si="323"/>
        <v>0.0137236621294052</v>
      </c>
      <c r="AT124" s="5">
        <f t="shared" si="323"/>
        <v>0.00959367945823928</v>
      </c>
      <c r="AU124" s="5">
        <f t="shared" si="323"/>
        <v>0.011275203395826</v>
      </c>
    </row>
    <row r="125" ht="15.5" spans="21:47">
      <c r="U125" s="26" t="s">
        <v>232</v>
      </c>
      <c r="V125" s="18" t="s">
        <v>105</v>
      </c>
      <c r="W125" s="20">
        <f t="shared" ref="W125:AC125" si="324">W113</f>
        <v>0.00788276907529056</v>
      </c>
      <c r="X125" s="20">
        <f t="shared" si="324"/>
        <v>0.00764756201881948</v>
      </c>
      <c r="Y125" s="20">
        <f t="shared" si="324"/>
        <v>0.00794618834080718</v>
      </c>
      <c r="Z125" s="20">
        <f t="shared" si="324"/>
        <v>0.00794162244124336</v>
      </c>
      <c r="AA125" s="20">
        <f t="shared" si="324"/>
        <v>0.00801790042886445</v>
      </c>
      <c r="AB125" s="20">
        <f t="shared" si="324"/>
        <v>0.00666666666666667</v>
      </c>
      <c r="AC125" s="20">
        <f t="shared" si="324"/>
        <v>0.00783516094800141</v>
      </c>
      <c r="AD125" s="5"/>
      <c r="AE125" s="5"/>
      <c r="AF125" s="20">
        <f t="shared" ref="AF125:AL125" si="325">AF113</f>
        <v>0.00788276907529056</v>
      </c>
      <c r="AG125" s="20">
        <f t="shared" si="325"/>
        <v>0.00764756201881948</v>
      </c>
      <c r="AH125" s="20">
        <f t="shared" si="325"/>
        <v>0.00794618834080718</v>
      </c>
      <c r="AI125" s="20">
        <f t="shared" si="325"/>
        <v>0.00794162244124336</v>
      </c>
      <c r="AJ125" s="20">
        <f t="shared" si="325"/>
        <v>0.00801790042886445</v>
      </c>
      <c r="AK125" s="20">
        <f t="shared" si="325"/>
        <v>0.00766666666666667</v>
      </c>
      <c r="AL125" s="20">
        <f t="shared" si="325"/>
        <v>0.00901043509020162</v>
      </c>
      <c r="AM125" s="5"/>
      <c r="AN125" s="5"/>
      <c r="AO125" s="20">
        <f t="shared" ref="AO125:AU125" si="326">AO113</f>
        <v>0.00788276907529056</v>
      </c>
      <c r="AP125" s="20">
        <f t="shared" si="326"/>
        <v>0.00764756201881948</v>
      </c>
      <c r="AQ125" s="20">
        <f t="shared" si="326"/>
        <v>0.00794618834080718</v>
      </c>
      <c r="AR125" s="20">
        <f t="shared" si="326"/>
        <v>0.00794162244124336</v>
      </c>
      <c r="AS125" s="20">
        <f t="shared" si="326"/>
        <v>0.00801790042886445</v>
      </c>
      <c r="AT125" s="20">
        <f t="shared" si="326"/>
        <v>0.00566666666666667</v>
      </c>
      <c r="AU125" s="20">
        <f t="shared" si="326"/>
        <v>0.00665988680580119</v>
      </c>
    </row>
    <row r="126" ht="15.5" spans="21:47">
      <c r="U126" s="26"/>
      <c r="V126" s="19" t="s">
        <v>255</v>
      </c>
      <c r="W126" s="20">
        <f t="shared" ref="W126:AC126" si="327">W114</f>
        <v>0.02011116725619</v>
      </c>
      <c r="X126" s="20">
        <f t="shared" si="327"/>
        <v>0.0195038494439692</v>
      </c>
      <c r="Y126" s="20">
        <f t="shared" si="327"/>
        <v>0.0202152466367713</v>
      </c>
      <c r="Z126" s="20">
        <f t="shared" si="327"/>
        <v>0.0201099317664898</v>
      </c>
      <c r="AA126" s="20">
        <f t="shared" si="327"/>
        <v>0.0203990303934365</v>
      </c>
      <c r="AB126" s="20">
        <f t="shared" si="327"/>
        <v>0.0169601203912716</v>
      </c>
      <c r="AC126" s="20">
        <f t="shared" si="327"/>
        <v>0.0199327909444641</v>
      </c>
      <c r="AD126" s="5"/>
      <c r="AE126" s="5"/>
      <c r="AF126" s="20">
        <f t="shared" ref="AF126:AL126" si="328">AF114</f>
        <v>0.02011116725619</v>
      </c>
      <c r="AG126" s="20">
        <f t="shared" si="328"/>
        <v>0.0195038494439692</v>
      </c>
      <c r="AH126" s="20">
        <f t="shared" si="328"/>
        <v>0.0202152466367713</v>
      </c>
      <c r="AI126" s="20">
        <f t="shared" si="328"/>
        <v>0.0201099317664898</v>
      </c>
      <c r="AJ126" s="20">
        <f t="shared" si="328"/>
        <v>0.0203990303934365</v>
      </c>
      <c r="AK126" s="20">
        <f t="shared" si="328"/>
        <v>0.0195041384499624</v>
      </c>
      <c r="AL126" s="20">
        <f t="shared" si="328"/>
        <v>0.0229227095861337</v>
      </c>
      <c r="AM126" s="5"/>
      <c r="AN126" s="5"/>
      <c r="AO126" s="20">
        <f t="shared" ref="AO126:AU126" si="329">AO114</f>
        <v>0.02011116725619</v>
      </c>
      <c r="AP126" s="20">
        <f t="shared" si="329"/>
        <v>0.0195038494439692</v>
      </c>
      <c r="AQ126" s="20">
        <f t="shared" si="329"/>
        <v>0.0202152466367713</v>
      </c>
      <c r="AR126" s="20">
        <f t="shared" si="329"/>
        <v>0.0201099317664898</v>
      </c>
      <c r="AS126" s="20">
        <f t="shared" si="329"/>
        <v>0.0203990303934365</v>
      </c>
      <c r="AT126" s="20">
        <f t="shared" si="329"/>
        <v>0.0144161023325809</v>
      </c>
      <c r="AU126" s="20">
        <f t="shared" si="329"/>
        <v>0.0169428723027945</v>
      </c>
    </row>
    <row r="127" ht="15.5" spans="21:47">
      <c r="U127" s="26"/>
      <c r="V127" s="18" t="s">
        <v>256</v>
      </c>
      <c r="W127" s="20">
        <f t="shared" ref="W127:AC127" si="330">W115</f>
        <v>0.0641232945932289</v>
      </c>
      <c r="X127" s="20">
        <f t="shared" si="330"/>
        <v>0.0633532934131737</v>
      </c>
      <c r="Y127" s="20">
        <f t="shared" si="330"/>
        <v>0.0659910313901345</v>
      </c>
      <c r="Z127" s="20">
        <f t="shared" si="330"/>
        <v>0.0673237300985595</v>
      </c>
      <c r="AA127" s="20">
        <f t="shared" si="330"/>
        <v>0.0673690098825284</v>
      </c>
      <c r="AB127" s="20">
        <f t="shared" si="330"/>
        <v>0.055364936042137</v>
      </c>
      <c r="AC127" s="20">
        <f t="shared" si="330"/>
        <v>0.0650689777148921</v>
      </c>
      <c r="AD127" s="5"/>
      <c r="AE127" s="5"/>
      <c r="AF127" s="20">
        <f t="shared" ref="AF127:AL127" si="331">AF115</f>
        <v>0.0641232945932289</v>
      </c>
      <c r="AG127" s="20">
        <f t="shared" si="331"/>
        <v>0.0633532934131737</v>
      </c>
      <c r="AH127" s="20">
        <f t="shared" si="331"/>
        <v>0.0659910313901345</v>
      </c>
      <c r="AI127" s="20">
        <f t="shared" si="331"/>
        <v>0.0673237300985595</v>
      </c>
      <c r="AJ127" s="20">
        <f t="shared" si="331"/>
        <v>0.0673690098825284</v>
      </c>
      <c r="AK127" s="20">
        <f t="shared" si="331"/>
        <v>0.0636696764484575</v>
      </c>
      <c r="AL127" s="20">
        <f t="shared" si="331"/>
        <v>0.0748293243721259</v>
      </c>
      <c r="AM127" s="5"/>
      <c r="AN127" s="5"/>
      <c r="AO127" s="20">
        <f t="shared" ref="AO127:AU127" si="332">AO115</f>
        <v>0.0641232945932289</v>
      </c>
      <c r="AP127" s="20">
        <f t="shared" si="332"/>
        <v>0.0633532934131737</v>
      </c>
      <c r="AQ127" s="20">
        <f t="shared" si="332"/>
        <v>0.0659910313901345</v>
      </c>
      <c r="AR127" s="20">
        <f t="shared" si="332"/>
        <v>0.0673237300985595</v>
      </c>
      <c r="AS127" s="20">
        <f t="shared" si="332"/>
        <v>0.0673690098825284</v>
      </c>
      <c r="AT127" s="20">
        <f t="shared" si="332"/>
        <v>0.0470601956358164</v>
      </c>
      <c r="AU127" s="20">
        <f t="shared" si="332"/>
        <v>0.0553086310576583</v>
      </c>
    </row>
    <row r="128" ht="15.5" spans="21:47">
      <c r="U128" s="26"/>
      <c r="V128" s="18" t="s">
        <v>257</v>
      </c>
      <c r="W128" s="20">
        <f t="shared" ref="W128:AC128" si="333">W116</f>
        <v>0.0129695132221661</v>
      </c>
      <c r="X128" s="20">
        <f t="shared" si="333"/>
        <v>0.012814371257485</v>
      </c>
      <c r="Y128" s="20">
        <f t="shared" si="333"/>
        <v>0.0133452914798206</v>
      </c>
      <c r="Z128" s="20">
        <f t="shared" si="333"/>
        <v>0.0135898407884761</v>
      </c>
      <c r="AA128" s="20">
        <f t="shared" si="333"/>
        <v>0.0136304307290695</v>
      </c>
      <c r="AB128" s="20">
        <f t="shared" si="333"/>
        <v>0.011196388261851</v>
      </c>
      <c r="AC128" s="20">
        <f t="shared" si="333"/>
        <v>0.0131588256101875</v>
      </c>
      <c r="AD128" s="5"/>
      <c r="AE128" s="5"/>
      <c r="AF128" s="20">
        <f t="shared" ref="AF128:AL128" si="334">AF116</f>
        <v>0.0129695132221661</v>
      </c>
      <c r="AG128" s="20">
        <f t="shared" si="334"/>
        <v>0.012814371257485</v>
      </c>
      <c r="AH128" s="20">
        <f t="shared" si="334"/>
        <v>0.0133452914798206</v>
      </c>
      <c r="AI128" s="20">
        <f t="shared" si="334"/>
        <v>0.0135898407884761</v>
      </c>
      <c r="AJ128" s="20">
        <f t="shared" si="334"/>
        <v>0.0136304307290695</v>
      </c>
      <c r="AK128" s="20">
        <f t="shared" si="334"/>
        <v>0.0128758465011287</v>
      </c>
      <c r="AL128" s="20">
        <f t="shared" si="334"/>
        <v>0.0151326494517156</v>
      </c>
      <c r="AM128" s="5"/>
      <c r="AN128" s="5"/>
      <c r="AO128" s="20">
        <f t="shared" ref="AO128:AU128" si="335">AO116</f>
        <v>0.0129695132221661</v>
      </c>
      <c r="AP128" s="20">
        <f t="shared" si="335"/>
        <v>0.012814371257485</v>
      </c>
      <c r="AQ128" s="20">
        <f t="shared" si="335"/>
        <v>0.0133452914798206</v>
      </c>
      <c r="AR128" s="20">
        <f t="shared" si="335"/>
        <v>0.0135898407884761</v>
      </c>
      <c r="AS128" s="20">
        <f t="shared" si="335"/>
        <v>0.0136304307290695</v>
      </c>
      <c r="AT128" s="20">
        <f t="shared" si="335"/>
        <v>0.00951693002257336</v>
      </c>
      <c r="AU128" s="20">
        <f t="shared" si="335"/>
        <v>0.0111850017686594</v>
      </c>
    </row>
    <row r="160" ht="15.5" spans="21:47">
      <c r="U160" s="21"/>
      <c r="V160" s="22" t="s">
        <v>208</v>
      </c>
      <c r="W160" s="21"/>
      <c r="X160" s="23"/>
      <c r="Y160" s="21"/>
      <c r="Z160" s="22" t="s">
        <v>208</v>
      </c>
      <c r="AA160" s="21"/>
      <c r="AB160" s="23"/>
      <c r="AC160" s="21"/>
      <c r="AD160" s="22" t="s">
        <v>208</v>
      </c>
      <c r="AE160" s="21"/>
      <c r="AF160" s="23"/>
      <c r="AG160" s="21"/>
      <c r="AH160" s="22" t="s">
        <v>208</v>
      </c>
      <c r="AI160" s="21"/>
      <c r="AJ160" s="23"/>
      <c r="AK160" s="21"/>
      <c r="AL160" s="22" t="s">
        <v>208</v>
      </c>
      <c r="AM160" s="21"/>
      <c r="AN160" s="23"/>
      <c r="AO160" s="21"/>
      <c r="AP160" s="22" t="s">
        <v>208</v>
      </c>
      <c r="AQ160" s="21"/>
      <c r="AR160" s="23"/>
      <c r="AS160" s="21"/>
      <c r="AT160" s="22" t="s">
        <v>208</v>
      </c>
      <c r="AU160" s="21"/>
    </row>
    <row r="161" ht="15.5" spans="21:47">
      <c r="U161" s="22" t="s">
        <v>64</v>
      </c>
      <c r="V161" s="22" t="s">
        <v>95</v>
      </c>
      <c r="W161" s="22" t="s">
        <v>25</v>
      </c>
      <c r="X161" s="23"/>
      <c r="Y161" s="22" t="s">
        <v>64</v>
      </c>
      <c r="Z161" s="22" t="s">
        <v>95</v>
      </c>
      <c r="AA161" s="22" t="s">
        <v>25</v>
      </c>
      <c r="AB161" s="23"/>
      <c r="AC161" s="22" t="s">
        <v>64</v>
      </c>
      <c r="AD161" s="22" t="s">
        <v>95</v>
      </c>
      <c r="AE161" s="22" t="s">
        <v>25</v>
      </c>
      <c r="AF161" s="23"/>
      <c r="AG161" s="22" t="s">
        <v>64</v>
      </c>
      <c r="AH161" s="22" t="s">
        <v>95</v>
      </c>
      <c r="AI161" s="22" t="s">
        <v>25</v>
      </c>
      <c r="AJ161" s="23"/>
      <c r="AK161" s="22" t="s">
        <v>64</v>
      </c>
      <c r="AL161" s="22" t="s">
        <v>95</v>
      </c>
      <c r="AM161" s="22" t="s">
        <v>25</v>
      </c>
      <c r="AN161" s="23"/>
      <c r="AO161" s="22" t="s">
        <v>64</v>
      </c>
      <c r="AP161" s="22" t="s">
        <v>95</v>
      </c>
      <c r="AQ161" s="22" t="s">
        <v>25</v>
      </c>
      <c r="AR161" s="23"/>
      <c r="AS161" s="22" t="s">
        <v>64</v>
      </c>
      <c r="AT161" s="22" t="s">
        <v>95</v>
      </c>
      <c r="AU161" s="22" t="s">
        <v>25</v>
      </c>
    </row>
    <row r="162" ht="15.5" spans="21:47">
      <c r="U162" s="23" t="s">
        <v>182</v>
      </c>
      <c r="V162" s="24" t="s">
        <v>210</v>
      </c>
      <c r="W162" s="23">
        <f t="shared" ref="W162:W165" si="336">W85</f>
        <v>0.0105103587670541</v>
      </c>
      <c r="X162" s="23"/>
      <c r="Y162" s="23" t="s">
        <v>183</v>
      </c>
      <c r="Z162" s="24" t="s">
        <v>210</v>
      </c>
      <c r="AA162" s="23">
        <f t="shared" ref="AA162:AA165" si="337">X85</f>
        <v>0.0100940975192472</v>
      </c>
      <c r="AB162" s="23"/>
      <c r="AC162" s="23" t="s">
        <v>184</v>
      </c>
      <c r="AD162" s="24" t="s">
        <v>210</v>
      </c>
      <c r="AE162" s="23">
        <f t="shared" ref="AE162:AE165" si="338">Y85</f>
        <v>0.0103856502242152</v>
      </c>
      <c r="AF162" s="23"/>
      <c r="AG162" s="23" t="s">
        <v>185</v>
      </c>
      <c r="AH162" s="24" t="s">
        <v>210</v>
      </c>
      <c r="AI162" s="23">
        <f t="shared" ref="AI162:AI165" si="339">Z85</f>
        <v>0.0114291129643669</v>
      </c>
      <c r="AJ162" s="23"/>
      <c r="AK162" s="23" t="s">
        <v>181</v>
      </c>
      <c r="AL162" s="24" t="s">
        <v>210</v>
      </c>
      <c r="AM162" s="23">
        <f t="shared" ref="AM162:AM165" si="340">AA85</f>
        <v>0.0115979862017528</v>
      </c>
      <c r="AN162" s="23"/>
      <c r="AO162" s="23" t="s">
        <v>180</v>
      </c>
      <c r="AP162" s="24" t="s">
        <v>210</v>
      </c>
      <c r="AQ162" s="23">
        <f t="shared" ref="AQ162:AQ165" si="341">AB85</f>
        <v>0.00871331828442437</v>
      </c>
      <c r="AR162" s="23"/>
      <c r="AS162" s="23" t="s">
        <v>179</v>
      </c>
      <c r="AT162" s="24" t="s">
        <v>210</v>
      </c>
      <c r="AU162" s="23">
        <f t="shared" ref="AU162:AU165" si="342">AC85</f>
        <v>0.0102405376724443</v>
      </c>
    </row>
    <row r="163" ht="15.5" spans="21:47">
      <c r="U163" s="23" t="str">
        <f>U162</f>
        <v>PyroRecy-NMC111</v>
      </c>
      <c r="V163" s="24" t="s">
        <v>217</v>
      </c>
      <c r="W163" s="23">
        <f t="shared" si="336"/>
        <v>0.0289203301330638</v>
      </c>
      <c r="X163" s="23"/>
      <c r="Y163" s="23" t="str">
        <f t="shared" ref="Y163:Y165" si="343">Y162</f>
        <v>PyroRecy-NMC532</v>
      </c>
      <c r="Z163" s="24" t="s">
        <v>217</v>
      </c>
      <c r="AA163" s="23">
        <f t="shared" si="337"/>
        <v>0.0275620188195039</v>
      </c>
      <c r="AB163" s="23"/>
      <c r="AC163" s="23" t="str">
        <f t="shared" ref="AC163:AC165" si="344">AC162</f>
        <v>PyroRecy-NMC622</v>
      </c>
      <c r="AD163" s="24" t="s">
        <v>217</v>
      </c>
      <c r="AE163" s="23">
        <f t="shared" si="338"/>
        <v>0.028322869955157</v>
      </c>
      <c r="AF163" s="23"/>
      <c r="AG163" s="23" t="str">
        <f t="shared" ref="AG163:AG165" si="345">AG162</f>
        <v>PyroRecy-NMC811</v>
      </c>
      <c r="AH163" s="24" t="s">
        <v>217</v>
      </c>
      <c r="AI163" s="23">
        <f t="shared" si="339"/>
        <v>0.0288286580742987</v>
      </c>
      <c r="AJ163" s="23"/>
      <c r="AK163" s="23" t="str">
        <f t="shared" ref="AK163:AK165" si="346">AK162</f>
        <v>PyroRecy-NCA</v>
      </c>
      <c r="AL163" s="24" t="s">
        <v>217</v>
      </c>
      <c r="AM163" s="23">
        <f t="shared" si="340"/>
        <v>0.0296102927465971</v>
      </c>
      <c r="AN163" s="23"/>
      <c r="AO163" s="23" t="str">
        <f t="shared" ref="AO163:AO165" si="347">AO162</f>
        <v>PyroRecy-LMO</v>
      </c>
      <c r="AP163" s="24" t="s">
        <v>217</v>
      </c>
      <c r="AQ163" s="23">
        <f t="shared" si="341"/>
        <v>0.0237622272385252</v>
      </c>
      <c r="AR163" s="23"/>
      <c r="AS163" s="23" t="str">
        <f t="shared" ref="AS163:AS165" si="348">AS162</f>
        <v>PyroRecy-LFP</v>
      </c>
      <c r="AT163" s="24" t="s">
        <v>217</v>
      </c>
      <c r="AU163" s="23">
        <f t="shared" si="342"/>
        <v>0.0279271312345242</v>
      </c>
    </row>
    <row r="164" ht="15.5" spans="21:47">
      <c r="U164" s="23" t="str">
        <f>U163</f>
        <v>PyroRecy-NMC111</v>
      </c>
      <c r="V164" s="24" t="s">
        <v>218</v>
      </c>
      <c r="W164" s="23">
        <f t="shared" si="336"/>
        <v>0.0836617820448038</v>
      </c>
      <c r="X164" s="23"/>
      <c r="Y164" s="23" t="str">
        <f t="shared" si="343"/>
        <v>PyroRecy-NMC532</v>
      </c>
      <c r="Z164" s="24" t="s">
        <v>218</v>
      </c>
      <c r="AA164" s="23">
        <f t="shared" si="337"/>
        <v>0.0814029084687767</v>
      </c>
      <c r="AB164" s="23"/>
      <c r="AC164" s="23" t="str">
        <f t="shared" si="344"/>
        <v>PyroRecy-NMC622</v>
      </c>
      <c r="AD164" s="24" t="s">
        <v>218</v>
      </c>
      <c r="AE164" s="23">
        <f t="shared" si="338"/>
        <v>0.0843946188340807</v>
      </c>
      <c r="AF164" s="23"/>
      <c r="AG164" s="23" t="str">
        <f t="shared" si="345"/>
        <v>PyroRecy-NMC811</v>
      </c>
      <c r="AH164" s="24" t="s">
        <v>218</v>
      </c>
      <c r="AI164" s="23">
        <f t="shared" si="339"/>
        <v>0.0884192570128886</v>
      </c>
      <c r="AJ164" s="23"/>
      <c r="AK164" s="23" t="str">
        <f t="shared" si="346"/>
        <v>PyroRecy-NCA</v>
      </c>
      <c r="AL164" s="24" t="s">
        <v>218</v>
      </c>
      <c r="AM164" s="23">
        <f t="shared" si="340"/>
        <v>0.092485549132948</v>
      </c>
      <c r="AN164" s="23"/>
      <c r="AO164" s="23" t="str">
        <f t="shared" si="347"/>
        <v>PyroRecy-LMO</v>
      </c>
      <c r="AP164" s="24" t="s">
        <v>218</v>
      </c>
      <c r="AQ164" s="23">
        <f t="shared" si="341"/>
        <v>0.0708051166290444</v>
      </c>
      <c r="AR164" s="23"/>
      <c r="AS164" s="23" t="str">
        <f t="shared" si="348"/>
        <v>PyroRecy-LFP</v>
      </c>
      <c r="AT164" s="24" t="s">
        <v>218</v>
      </c>
      <c r="AU164" s="23">
        <f t="shared" si="342"/>
        <v>0.0832154227095861</v>
      </c>
    </row>
    <row r="165" ht="15.5" spans="21:47">
      <c r="U165" s="23" t="str">
        <f>U164</f>
        <v>PyroRecy-NMC111</v>
      </c>
      <c r="V165" s="24" t="s">
        <v>219</v>
      </c>
      <c r="W165" s="23">
        <f t="shared" si="336"/>
        <v>0.0130200437931615</v>
      </c>
      <c r="X165" s="25"/>
      <c r="Y165" s="23" t="str">
        <f t="shared" si="343"/>
        <v>PyroRecy-NMC532</v>
      </c>
      <c r="Z165" s="24" t="s">
        <v>219</v>
      </c>
      <c r="AA165" s="23">
        <f t="shared" si="337"/>
        <v>0.0127459366980325</v>
      </c>
      <c r="AB165" s="25"/>
      <c r="AC165" s="23" t="str">
        <f t="shared" si="344"/>
        <v>PyroRecy-NMC622</v>
      </c>
      <c r="AD165" s="24" t="s">
        <v>219</v>
      </c>
      <c r="AE165" s="23">
        <f t="shared" si="338"/>
        <v>0.0132017937219731</v>
      </c>
      <c r="AF165" s="25"/>
      <c r="AG165" s="23" t="str">
        <f t="shared" si="345"/>
        <v>PyroRecy-NMC811</v>
      </c>
      <c r="AH165" s="24" t="s">
        <v>219</v>
      </c>
      <c r="AI165" s="23">
        <f t="shared" si="339"/>
        <v>0.0144238059135709</v>
      </c>
      <c r="AJ165" s="25"/>
      <c r="AK165" s="23" t="str">
        <f t="shared" si="346"/>
        <v>PyroRecy-NCA</v>
      </c>
      <c r="AL165" s="24" t="s">
        <v>219</v>
      </c>
      <c r="AM165" s="23">
        <f t="shared" si="340"/>
        <v>0.0147119149729629</v>
      </c>
      <c r="AN165" s="25"/>
      <c r="AO165" s="23" t="str">
        <f t="shared" si="347"/>
        <v>PyroRecy-LMO</v>
      </c>
      <c r="AP165" s="24" t="s">
        <v>219</v>
      </c>
      <c r="AQ165" s="23">
        <f t="shared" si="341"/>
        <v>0.0110759969902182</v>
      </c>
      <c r="AR165" s="25"/>
      <c r="AS165" s="23" t="str">
        <f t="shared" si="348"/>
        <v>PyroRecy-LFP</v>
      </c>
      <c r="AT165" s="24" t="s">
        <v>219</v>
      </c>
      <c r="AU165" s="23">
        <f t="shared" si="342"/>
        <v>0.0130173328616908</v>
      </c>
    </row>
    <row r="166" ht="15.5" spans="21:47">
      <c r="U166" s="25"/>
      <c r="V166" s="25"/>
      <c r="W166" s="25"/>
      <c r="X166" s="25"/>
      <c r="Y166" s="25"/>
      <c r="Z166" s="25"/>
      <c r="AA166" s="25"/>
      <c r="AB166" s="25"/>
      <c r="AC166" s="25"/>
      <c r="AD166" s="25"/>
      <c r="AE166" s="25"/>
      <c r="AF166" s="25"/>
      <c r="AG166" s="25"/>
      <c r="AH166" s="25"/>
      <c r="AI166" s="25"/>
      <c r="AJ166" s="25"/>
      <c r="AK166" s="25"/>
      <c r="AL166" s="25"/>
      <c r="AM166" s="25"/>
      <c r="AN166" s="25"/>
      <c r="AO166" s="25"/>
      <c r="AP166" s="25"/>
      <c r="AQ166" s="25"/>
      <c r="AR166" s="25"/>
      <c r="AS166" s="25"/>
      <c r="AT166" s="25"/>
      <c r="AU166" s="25"/>
    </row>
    <row r="167" ht="15.5" spans="21:47">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row>
    <row r="168" ht="15.5" spans="21:47">
      <c r="U168" s="5"/>
      <c r="V168" s="5"/>
      <c r="W168" s="5"/>
      <c r="X168" s="5"/>
      <c r="Y168" s="5"/>
      <c r="Z168" s="5"/>
      <c r="AA168" s="5"/>
      <c r="AB168" s="5"/>
      <c r="AC168" s="5"/>
      <c r="AD168" s="5"/>
      <c r="AE168" s="5"/>
      <c r="AF168" s="5"/>
      <c r="AG168" s="5"/>
      <c r="AH168" s="5"/>
      <c r="AI168" s="5"/>
      <c r="AJ168" s="5"/>
      <c r="AK168" s="5"/>
      <c r="AL168" s="5"/>
      <c r="AM168" s="5"/>
      <c r="AN168" s="5"/>
      <c r="AO168" s="5"/>
      <c r="AP168" s="5"/>
      <c r="AQ168" s="5"/>
      <c r="AR168" s="5"/>
      <c r="AS168" s="5"/>
      <c r="AT168" s="5"/>
      <c r="AU168" s="5"/>
    </row>
    <row r="169" ht="15.5" spans="21:47">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row>
    <row r="170" ht="15.5" spans="21:47">
      <c r="U170" s="5"/>
      <c r="V170" s="5"/>
      <c r="W170" s="5"/>
      <c r="X170" s="5"/>
      <c r="Y170" s="5"/>
      <c r="Z170" s="5"/>
      <c r="AA170" s="5"/>
      <c r="AB170" s="5"/>
      <c r="AC170" s="5"/>
      <c r="AD170" s="5"/>
      <c r="AE170" s="5"/>
      <c r="AF170" s="5"/>
      <c r="AG170" s="5"/>
      <c r="AH170" s="5"/>
      <c r="AI170" s="5"/>
      <c r="AJ170" s="5"/>
      <c r="AK170" s="5"/>
      <c r="AL170" s="5"/>
      <c r="AM170" s="5"/>
      <c r="AN170" s="5"/>
      <c r="AO170" s="5"/>
      <c r="AP170" s="5"/>
      <c r="AQ170" s="5"/>
      <c r="AR170" s="5"/>
      <c r="AS170" s="5"/>
      <c r="AT170" s="5"/>
      <c r="AU170" s="5"/>
    </row>
    <row r="171" ht="15.5" spans="21:47">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row>
    <row r="172" ht="15.5" spans="21:47">
      <c r="U172" s="21"/>
      <c r="V172" s="22" t="s">
        <v>208</v>
      </c>
      <c r="W172" s="21"/>
      <c r="X172" s="23"/>
      <c r="Y172" s="21"/>
      <c r="Z172" s="22" t="s">
        <v>208</v>
      </c>
      <c r="AA172" s="21"/>
      <c r="AB172" s="23"/>
      <c r="AC172" s="21"/>
      <c r="AD172" s="22" t="s">
        <v>208</v>
      </c>
      <c r="AE172" s="21"/>
      <c r="AF172" s="23"/>
      <c r="AG172" s="21"/>
      <c r="AH172" s="22" t="s">
        <v>208</v>
      </c>
      <c r="AI172" s="21"/>
      <c r="AJ172" s="23"/>
      <c r="AK172" s="21"/>
      <c r="AL172" s="22" t="s">
        <v>208</v>
      </c>
      <c r="AM172" s="21"/>
      <c r="AN172" s="23"/>
      <c r="AO172" s="21"/>
      <c r="AP172" s="22" t="s">
        <v>208</v>
      </c>
      <c r="AQ172" s="21"/>
      <c r="AR172" s="23"/>
      <c r="AS172" s="21"/>
      <c r="AT172" s="22" t="s">
        <v>208</v>
      </c>
      <c r="AU172" s="21"/>
    </row>
    <row r="173" ht="15.5" spans="21:47">
      <c r="U173" s="22" t="s">
        <v>64</v>
      </c>
      <c r="V173" s="22" t="s">
        <v>95</v>
      </c>
      <c r="W173" s="22" t="s">
        <v>25</v>
      </c>
      <c r="X173" s="23"/>
      <c r="Y173" s="22" t="s">
        <v>64</v>
      </c>
      <c r="Z173" s="22" t="s">
        <v>95</v>
      </c>
      <c r="AA173" s="22" t="s">
        <v>25</v>
      </c>
      <c r="AB173" s="23"/>
      <c r="AC173" s="22" t="s">
        <v>64</v>
      </c>
      <c r="AD173" s="22" t="s">
        <v>95</v>
      </c>
      <c r="AE173" s="22" t="s">
        <v>25</v>
      </c>
      <c r="AF173" s="23"/>
      <c r="AG173" s="22" t="s">
        <v>64</v>
      </c>
      <c r="AH173" s="22" t="s">
        <v>95</v>
      </c>
      <c r="AI173" s="22" t="s">
        <v>25</v>
      </c>
      <c r="AJ173" s="23"/>
      <c r="AK173" s="22" t="s">
        <v>64</v>
      </c>
      <c r="AL173" s="22" t="s">
        <v>95</v>
      </c>
      <c r="AM173" s="22" t="s">
        <v>25</v>
      </c>
      <c r="AN173" s="23"/>
      <c r="AO173" s="22" t="s">
        <v>64</v>
      </c>
      <c r="AP173" s="22" t="s">
        <v>95</v>
      </c>
      <c r="AQ173" s="22" t="s">
        <v>25</v>
      </c>
      <c r="AR173" s="23"/>
      <c r="AS173" s="22" t="s">
        <v>64</v>
      </c>
      <c r="AT173" s="22" t="s">
        <v>95</v>
      </c>
      <c r="AU173" s="22" t="s">
        <v>25</v>
      </c>
    </row>
    <row r="174" ht="15.5" spans="21:47">
      <c r="U174" s="23" t="s">
        <v>189</v>
      </c>
      <c r="V174" s="24" t="s">
        <v>210</v>
      </c>
      <c r="W174" s="23">
        <f t="shared" ref="W174:W177" si="349">W105</f>
        <v>0.0115546572342934</v>
      </c>
      <c r="X174" s="23"/>
      <c r="Y174" s="23" t="s">
        <v>190</v>
      </c>
      <c r="Z174" s="24" t="s">
        <v>210</v>
      </c>
      <c r="AA174" s="23">
        <f t="shared" ref="AA174:AA177" si="350">X105</f>
        <v>0.0110863986313088</v>
      </c>
      <c r="AB174" s="23"/>
      <c r="AC174" s="23" t="s">
        <v>191</v>
      </c>
      <c r="AD174" s="24" t="s">
        <v>210</v>
      </c>
      <c r="AE174" s="23">
        <f t="shared" ref="AE174:AE177" si="351">Y105</f>
        <v>0.0114618834080717</v>
      </c>
      <c r="AF174" s="23"/>
      <c r="AG174" s="23" t="s">
        <v>192</v>
      </c>
      <c r="AH174" s="24" t="s">
        <v>210</v>
      </c>
      <c r="AI174" s="23">
        <f t="shared" ref="AI174:AI177" si="352">Z105</f>
        <v>0.011751326762699</v>
      </c>
      <c r="AJ174" s="23"/>
      <c r="AK174" s="23" t="s">
        <v>188</v>
      </c>
      <c r="AL174" s="24" t="s">
        <v>210</v>
      </c>
      <c r="AM174" s="23">
        <f t="shared" ref="AM174:AM177" si="353">AA105</f>
        <v>0.0119709118030953</v>
      </c>
      <c r="AN174" s="23"/>
      <c r="AO174" s="23" t="s">
        <v>187</v>
      </c>
      <c r="AP174" s="24" t="s">
        <v>210</v>
      </c>
      <c r="AQ174" s="23">
        <f t="shared" ref="AQ174:AQ177" si="354">AB105</f>
        <v>0.00961625282167042</v>
      </c>
      <c r="AR174" s="23"/>
      <c r="AS174" s="23" t="s">
        <v>186</v>
      </c>
      <c r="AT174" s="24" t="s">
        <v>210</v>
      </c>
      <c r="AU174" s="23">
        <f t="shared" ref="AU174:AU177" si="355">AC105</f>
        <v>0.0113017332861691</v>
      </c>
    </row>
    <row r="175" ht="15.5" spans="21:47">
      <c r="U175" s="23" t="str">
        <f t="shared" ref="U175:U177" si="356">U174</f>
        <v>HydRecy-NMC111</v>
      </c>
      <c r="V175" s="24" t="s">
        <v>217</v>
      </c>
      <c r="W175" s="23">
        <f t="shared" si="349"/>
        <v>0.0252147549267307</v>
      </c>
      <c r="X175" s="23"/>
      <c r="Y175" s="23" t="str">
        <f t="shared" ref="Y175:Y177" si="357">Y174</f>
        <v>HydRecy-NMC532</v>
      </c>
      <c r="Z175" s="24" t="s">
        <v>217</v>
      </c>
      <c r="AA175" s="23">
        <f t="shared" si="350"/>
        <v>0.0242600513259196</v>
      </c>
      <c r="AB175" s="23"/>
      <c r="AC175" s="23" t="str">
        <f t="shared" ref="AC175:AC177" si="358">AC174</f>
        <v>HydRecy-NMC622</v>
      </c>
      <c r="AD175" s="24" t="s">
        <v>217</v>
      </c>
      <c r="AE175" s="23">
        <f t="shared" si="351"/>
        <v>0.0250941704035874</v>
      </c>
      <c r="AF175" s="23"/>
      <c r="AG175" s="23" t="str">
        <f t="shared" ref="AG175:AG177" si="359">AG174</f>
        <v>HydRecy-NMC811</v>
      </c>
      <c r="AH175" s="24" t="s">
        <v>217</v>
      </c>
      <c r="AI175" s="23">
        <f t="shared" si="352"/>
        <v>0.0257581501137225</v>
      </c>
      <c r="AJ175" s="23"/>
      <c r="AK175" s="23" t="str">
        <f t="shared" ref="AK175:AK177" si="360">AK174</f>
        <v>HydRecy-NCA</v>
      </c>
      <c r="AL175" s="24" t="s">
        <v>217</v>
      </c>
      <c r="AM175" s="23">
        <f t="shared" si="353"/>
        <v>0.0262539623345143</v>
      </c>
      <c r="AN175" s="23"/>
      <c r="AO175" s="23" t="str">
        <f t="shared" ref="AO175:AO177" si="361">AO174</f>
        <v>HydRecy-LMO</v>
      </c>
      <c r="AP175" s="24" t="s">
        <v>217</v>
      </c>
      <c r="AQ175" s="23">
        <f t="shared" si="354"/>
        <v>0.0210534236267871</v>
      </c>
      <c r="AR175" s="23"/>
      <c r="AS175" s="23" t="str">
        <f t="shared" ref="AS175:AS177" si="362">AS174</f>
        <v>HydRecy-LFP</v>
      </c>
      <c r="AT175" s="24" t="s">
        <v>217</v>
      </c>
      <c r="AU175" s="23">
        <f t="shared" si="355"/>
        <v>0.0247435443933498</v>
      </c>
    </row>
    <row r="176" ht="15.5" spans="21:47">
      <c r="U176" s="23" t="str">
        <f t="shared" si="356"/>
        <v>HydRecy-NMC111</v>
      </c>
      <c r="V176" s="24" t="s">
        <v>218</v>
      </c>
      <c r="W176" s="23">
        <f t="shared" si="349"/>
        <v>0.0978103419235304</v>
      </c>
      <c r="X176" s="23"/>
      <c r="Y176" s="23" t="str">
        <f t="shared" si="357"/>
        <v>HydRecy-NMC532</v>
      </c>
      <c r="Z176" s="24" t="s">
        <v>218</v>
      </c>
      <c r="AA176" s="23">
        <f t="shared" si="350"/>
        <v>0.0947818648417451</v>
      </c>
      <c r="AB176" s="23"/>
      <c r="AC176" s="23" t="str">
        <f t="shared" si="358"/>
        <v>HydRecy-NMC622</v>
      </c>
      <c r="AD176" s="24" t="s">
        <v>218</v>
      </c>
      <c r="AE176" s="23">
        <f t="shared" si="351"/>
        <v>0.0982600896860986</v>
      </c>
      <c r="AF176" s="23"/>
      <c r="AG176" s="23" t="str">
        <f t="shared" si="359"/>
        <v>HydRecy-NMC811</v>
      </c>
      <c r="AH176" s="24" t="s">
        <v>218</v>
      </c>
      <c r="AI176" s="23">
        <f t="shared" si="352"/>
        <v>0.099696739954511</v>
      </c>
      <c r="AJ176" s="23"/>
      <c r="AK176" s="23" t="str">
        <f t="shared" si="360"/>
        <v>HydRecy-NCA</v>
      </c>
      <c r="AL176" s="24" t="s">
        <v>218</v>
      </c>
      <c r="AM176" s="23">
        <f t="shared" si="353"/>
        <v>0.103953011374231</v>
      </c>
      <c r="AN176" s="23"/>
      <c r="AO176" s="23" t="str">
        <f t="shared" si="361"/>
        <v>HydRecy-LMO</v>
      </c>
      <c r="AP176" s="24" t="s">
        <v>218</v>
      </c>
      <c r="AQ176" s="23">
        <f t="shared" si="354"/>
        <v>0.0824379232505643</v>
      </c>
      <c r="AR176" s="23"/>
      <c r="AS176" s="23" t="str">
        <f t="shared" si="362"/>
        <v>HydRecy-LFP</v>
      </c>
      <c r="AT176" s="24" t="s">
        <v>218</v>
      </c>
      <c r="AU176" s="23">
        <f t="shared" si="355"/>
        <v>0.0968871595330739</v>
      </c>
    </row>
    <row r="177" ht="15.5" spans="21:47">
      <c r="U177" s="23" t="str">
        <f t="shared" si="356"/>
        <v>HydRecy-NMC111</v>
      </c>
      <c r="V177" s="24" t="s">
        <v>219</v>
      </c>
      <c r="W177" s="23">
        <f t="shared" si="349"/>
        <v>0.0132390096008085</v>
      </c>
      <c r="X177" s="25"/>
      <c r="Y177" s="23" t="str">
        <f t="shared" si="357"/>
        <v>HydRecy-NMC532</v>
      </c>
      <c r="Z177" s="24" t="s">
        <v>219</v>
      </c>
      <c r="AA177" s="23">
        <f t="shared" si="350"/>
        <v>0.0130538922155689</v>
      </c>
      <c r="AB177" s="25"/>
      <c r="AC177" s="23" t="str">
        <f t="shared" si="358"/>
        <v>HydRecy-NMC622</v>
      </c>
      <c r="AD177" s="24" t="s">
        <v>219</v>
      </c>
      <c r="AE177" s="23">
        <f t="shared" si="351"/>
        <v>0.0136143497757848</v>
      </c>
      <c r="AF177" s="25"/>
      <c r="AG177" s="23" t="str">
        <f t="shared" si="359"/>
        <v>HydRecy-NMC811</v>
      </c>
      <c r="AH177" s="24" t="s">
        <v>219</v>
      </c>
      <c r="AI177" s="23">
        <f t="shared" si="352"/>
        <v>0.0139689158453374</v>
      </c>
      <c r="AJ177" s="25"/>
      <c r="AK177" s="23" t="str">
        <f t="shared" si="360"/>
        <v>HydRecy-NCA</v>
      </c>
      <c r="AL177" s="24" t="s">
        <v>219</v>
      </c>
      <c r="AM177" s="23">
        <f t="shared" si="353"/>
        <v>0.0141711728510162</v>
      </c>
      <c r="AN177" s="25"/>
      <c r="AO177" s="23" t="str">
        <f t="shared" si="361"/>
        <v>HydRecy-LMO</v>
      </c>
      <c r="AP177" s="24" t="s">
        <v>219</v>
      </c>
      <c r="AQ177" s="23">
        <f t="shared" si="354"/>
        <v>0.0114221218961625</v>
      </c>
      <c r="AR177" s="25"/>
      <c r="AS177" s="23" t="str">
        <f t="shared" si="362"/>
        <v>HydRecy-LFP</v>
      </c>
      <c r="AT177" s="24" t="s">
        <v>219</v>
      </c>
      <c r="AU177" s="23">
        <f t="shared" si="355"/>
        <v>0.0134241245136187</v>
      </c>
    </row>
    <row r="178" ht="15.5" spans="21:47">
      <c r="U178" s="25"/>
      <c r="V178" s="25"/>
      <c r="W178" s="25"/>
      <c r="X178" s="25"/>
      <c r="Y178" s="25"/>
      <c r="Z178" s="25"/>
      <c r="AA178" s="25"/>
      <c r="AB178" s="25"/>
      <c r="AC178" s="25"/>
      <c r="AD178" s="25"/>
      <c r="AE178" s="25"/>
      <c r="AF178" s="25"/>
      <c r="AG178" s="25"/>
      <c r="AH178" s="25"/>
      <c r="AI178" s="25"/>
      <c r="AJ178" s="25"/>
      <c r="AK178" s="25"/>
      <c r="AL178" s="25"/>
      <c r="AM178" s="25"/>
      <c r="AN178" s="25"/>
      <c r="AO178" s="25"/>
      <c r="AP178" s="25"/>
      <c r="AQ178" s="25"/>
      <c r="AR178" s="25"/>
      <c r="AS178" s="25"/>
      <c r="AT178" s="25"/>
      <c r="AU178" s="25"/>
    </row>
    <row r="183" ht="15.5" spans="21:47">
      <c r="U183" s="21"/>
      <c r="V183" s="22" t="s">
        <v>208</v>
      </c>
      <c r="W183" s="21"/>
      <c r="X183" s="23"/>
      <c r="Y183" s="21"/>
      <c r="Z183" s="22" t="s">
        <v>208</v>
      </c>
      <c r="AA183" s="21"/>
      <c r="AB183" s="23"/>
      <c r="AC183" s="21"/>
      <c r="AD183" s="22" t="s">
        <v>208</v>
      </c>
      <c r="AE183" s="21"/>
      <c r="AF183" s="23"/>
      <c r="AG183" s="21"/>
      <c r="AH183" s="22" t="s">
        <v>208</v>
      </c>
      <c r="AI183" s="21"/>
      <c r="AJ183" s="23"/>
      <c r="AK183" s="21"/>
      <c r="AL183" s="22" t="s">
        <v>208</v>
      </c>
      <c r="AM183" s="21"/>
      <c r="AN183" s="23"/>
      <c r="AO183" s="21"/>
      <c r="AP183" s="22" t="s">
        <v>208</v>
      </c>
      <c r="AQ183" s="21"/>
      <c r="AR183" s="23"/>
      <c r="AS183" s="21"/>
      <c r="AT183" s="22" t="s">
        <v>208</v>
      </c>
      <c r="AU183" s="21"/>
    </row>
    <row r="184" ht="15.5" spans="21:47">
      <c r="U184" s="22" t="s">
        <v>64</v>
      </c>
      <c r="V184" s="22" t="s">
        <v>95</v>
      </c>
      <c r="W184" s="22" t="s">
        <v>25</v>
      </c>
      <c r="X184" s="23"/>
      <c r="Y184" s="22" t="s">
        <v>64</v>
      </c>
      <c r="Z184" s="22" t="s">
        <v>95</v>
      </c>
      <c r="AA184" s="22" t="s">
        <v>25</v>
      </c>
      <c r="AB184" s="23"/>
      <c r="AC184" s="22" t="s">
        <v>64</v>
      </c>
      <c r="AD184" s="22" t="s">
        <v>95</v>
      </c>
      <c r="AE184" s="22" t="s">
        <v>25</v>
      </c>
      <c r="AF184" s="23"/>
      <c r="AG184" s="22" t="s">
        <v>64</v>
      </c>
      <c r="AH184" s="22" t="s">
        <v>95</v>
      </c>
      <c r="AI184" s="22" t="s">
        <v>25</v>
      </c>
      <c r="AJ184" s="23"/>
      <c r="AK184" s="22" t="s">
        <v>64</v>
      </c>
      <c r="AL184" s="22" t="s">
        <v>95</v>
      </c>
      <c r="AM184" s="22" t="s">
        <v>25</v>
      </c>
      <c r="AN184" s="23"/>
      <c r="AO184" s="22" t="s">
        <v>64</v>
      </c>
      <c r="AP184" s="22" t="s">
        <v>95</v>
      </c>
      <c r="AQ184" s="22" t="s">
        <v>25</v>
      </c>
      <c r="AR184" s="23"/>
      <c r="AS184" s="22" t="s">
        <v>64</v>
      </c>
      <c r="AT184" s="22" t="s">
        <v>95</v>
      </c>
      <c r="AU184" s="22" t="s">
        <v>25</v>
      </c>
    </row>
    <row r="185" ht="15.5" spans="21:47">
      <c r="U185" s="23" t="s">
        <v>196</v>
      </c>
      <c r="V185" s="24" t="s">
        <v>210</v>
      </c>
      <c r="W185" s="23">
        <f t="shared" ref="W185:W188" si="363">W125</f>
        <v>0.00788276907529056</v>
      </c>
      <c r="X185" s="23"/>
      <c r="Y185" s="23" t="s">
        <v>197</v>
      </c>
      <c r="Z185" s="24" t="s">
        <v>210</v>
      </c>
      <c r="AA185" s="23">
        <f t="shared" ref="AA185:AA188" si="364">X125</f>
        <v>0.00764756201881948</v>
      </c>
      <c r="AB185" s="23"/>
      <c r="AC185" s="23" t="s">
        <v>198</v>
      </c>
      <c r="AD185" s="24" t="s">
        <v>210</v>
      </c>
      <c r="AE185" s="23">
        <f t="shared" ref="AE185:AE188" si="365">Y125</f>
        <v>0.00794618834080718</v>
      </c>
      <c r="AF185" s="23"/>
      <c r="AG185" s="23" t="s">
        <v>199</v>
      </c>
      <c r="AH185" s="24" t="s">
        <v>210</v>
      </c>
      <c r="AI185" s="23">
        <f t="shared" ref="AI185:AI188" si="366">Z125</f>
        <v>0.00794162244124336</v>
      </c>
      <c r="AJ185" s="23"/>
      <c r="AK185" s="23" t="s">
        <v>195</v>
      </c>
      <c r="AL185" s="24" t="s">
        <v>210</v>
      </c>
      <c r="AM185" s="23">
        <f t="shared" ref="AM185:AM188" si="367">AA125</f>
        <v>0.00801790042886445</v>
      </c>
      <c r="AN185" s="23"/>
      <c r="AO185" s="23" t="s">
        <v>194</v>
      </c>
      <c r="AP185" s="24" t="s">
        <v>210</v>
      </c>
      <c r="AQ185" s="23">
        <f t="shared" ref="AQ185:AQ188" si="368">AB125</f>
        <v>0.00666666666666667</v>
      </c>
      <c r="AR185" s="23"/>
      <c r="AS185" s="23" t="s">
        <v>193</v>
      </c>
      <c r="AT185" s="24" t="s">
        <v>210</v>
      </c>
      <c r="AU185" s="23">
        <f t="shared" ref="AU185:AU188" si="369">AC125</f>
        <v>0.00783516094800141</v>
      </c>
    </row>
    <row r="186" ht="15.5" spans="21:47">
      <c r="U186" s="23" t="str">
        <f t="shared" ref="U186:U188" si="370">U185</f>
        <v>DirRecy-NMC111</v>
      </c>
      <c r="V186" s="24" t="s">
        <v>217</v>
      </c>
      <c r="W186" s="23">
        <f t="shared" si="363"/>
        <v>0.02011116725619</v>
      </c>
      <c r="X186" s="23"/>
      <c r="Y186" s="23" t="str">
        <f t="shared" ref="Y186:Y188" si="371">Y185</f>
        <v>DirRecy-NMC532</v>
      </c>
      <c r="Z186" s="24" t="s">
        <v>217</v>
      </c>
      <c r="AA186" s="23">
        <f t="shared" si="364"/>
        <v>0.0195038494439692</v>
      </c>
      <c r="AB186" s="23"/>
      <c r="AC186" s="23" t="str">
        <f t="shared" ref="AC186:AC188" si="372">AC185</f>
        <v>DirRecy-NMC622</v>
      </c>
      <c r="AD186" s="24" t="s">
        <v>217</v>
      </c>
      <c r="AE186" s="23">
        <f t="shared" si="365"/>
        <v>0.0202152466367713</v>
      </c>
      <c r="AF186" s="23"/>
      <c r="AG186" s="23" t="str">
        <f t="shared" ref="AG186:AG188" si="373">AG185</f>
        <v>DirRecy-NMC811</v>
      </c>
      <c r="AH186" s="24" t="s">
        <v>217</v>
      </c>
      <c r="AI186" s="23">
        <f t="shared" si="366"/>
        <v>0.0201099317664898</v>
      </c>
      <c r="AJ186" s="23"/>
      <c r="AK186" s="23" t="str">
        <f t="shared" ref="AK186:AK188" si="374">AK185</f>
        <v>DirRecy-NCA</v>
      </c>
      <c r="AL186" s="24" t="s">
        <v>217</v>
      </c>
      <c r="AM186" s="23">
        <f t="shared" si="367"/>
        <v>0.0203990303934365</v>
      </c>
      <c r="AN186" s="23"/>
      <c r="AO186" s="23" t="str">
        <f t="shared" ref="AO186:AO188" si="375">AO185</f>
        <v>DirRecy-LMO</v>
      </c>
      <c r="AP186" s="24" t="s">
        <v>217</v>
      </c>
      <c r="AQ186" s="23">
        <f t="shared" si="368"/>
        <v>0.0169601203912716</v>
      </c>
      <c r="AR186" s="23"/>
      <c r="AS186" s="23" t="str">
        <f t="shared" ref="AS186:AS188" si="376">AS185</f>
        <v>DirRecy-LFP</v>
      </c>
      <c r="AT186" s="24" t="s">
        <v>217</v>
      </c>
      <c r="AU186" s="23">
        <f t="shared" si="369"/>
        <v>0.0199327909444641</v>
      </c>
    </row>
    <row r="187" ht="15.5" spans="21:47">
      <c r="U187" s="23" t="str">
        <f t="shared" si="370"/>
        <v>DirRecy-NMC111</v>
      </c>
      <c r="V187" s="24" t="s">
        <v>218</v>
      </c>
      <c r="W187" s="23">
        <f t="shared" si="363"/>
        <v>0.0641232945932289</v>
      </c>
      <c r="X187" s="23"/>
      <c r="Y187" s="23" t="str">
        <f t="shared" si="371"/>
        <v>DirRecy-NMC532</v>
      </c>
      <c r="Z187" s="24" t="s">
        <v>218</v>
      </c>
      <c r="AA187" s="23">
        <f t="shared" si="364"/>
        <v>0.0633532934131737</v>
      </c>
      <c r="AB187" s="23"/>
      <c r="AC187" s="23" t="str">
        <f t="shared" si="372"/>
        <v>DirRecy-NMC622</v>
      </c>
      <c r="AD187" s="24" t="s">
        <v>218</v>
      </c>
      <c r="AE187" s="23">
        <f t="shared" si="365"/>
        <v>0.0659910313901345</v>
      </c>
      <c r="AF187" s="23"/>
      <c r="AG187" s="23" t="str">
        <f t="shared" si="373"/>
        <v>DirRecy-NMC811</v>
      </c>
      <c r="AH187" s="24" t="s">
        <v>218</v>
      </c>
      <c r="AI187" s="23">
        <f t="shared" si="366"/>
        <v>0.0673237300985595</v>
      </c>
      <c r="AJ187" s="23"/>
      <c r="AK187" s="23" t="str">
        <f t="shared" si="374"/>
        <v>DirRecy-NCA</v>
      </c>
      <c r="AL187" s="24" t="s">
        <v>218</v>
      </c>
      <c r="AM187" s="23">
        <f t="shared" si="367"/>
        <v>0.0673690098825284</v>
      </c>
      <c r="AN187" s="23"/>
      <c r="AO187" s="23" t="str">
        <f t="shared" si="375"/>
        <v>DirRecy-LMO</v>
      </c>
      <c r="AP187" s="24" t="s">
        <v>218</v>
      </c>
      <c r="AQ187" s="23">
        <f t="shared" si="368"/>
        <v>0.055364936042137</v>
      </c>
      <c r="AR187" s="23"/>
      <c r="AS187" s="23" t="str">
        <f t="shared" si="376"/>
        <v>DirRecy-LFP</v>
      </c>
      <c r="AT187" s="24" t="s">
        <v>218</v>
      </c>
      <c r="AU187" s="23">
        <f t="shared" si="369"/>
        <v>0.0650689777148921</v>
      </c>
    </row>
    <row r="188" ht="15.5" spans="21:47">
      <c r="U188" s="23" t="str">
        <f t="shared" si="370"/>
        <v>DirRecy-NMC111</v>
      </c>
      <c r="V188" s="24" t="s">
        <v>219</v>
      </c>
      <c r="W188" s="23">
        <f t="shared" si="363"/>
        <v>0.0129695132221661</v>
      </c>
      <c r="X188" s="25"/>
      <c r="Y188" s="23" t="str">
        <f t="shared" si="371"/>
        <v>DirRecy-NMC532</v>
      </c>
      <c r="Z188" s="24" t="s">
        <v>219</v>
      </c>
      <c r="AA188" s="23">
        <f t="shared" si="364"/>
        <v>0.012814371257485</v>
      </c>
      <c r="AB188" s="25"/>
      <c r="AC188" s="23" t="str">
        <f t="shared" si="372"/>
        <v>DirRecy-NMC622</v>
      </c>
      <c r="AD188" s="24" t="s">
        <v>219</v>
      </c>
      <c r="AE188" s="23">
        <f t="shared" si="365"/>
        <v>0.0133452914798206</v>
      </c>
      <c r="AF188" s="25"/>
      <c r="AG188" s="23" t="str">
        <f t="shared" si="373"/>
        <v>DirRecy-NMC811</v>
      </c>
      <c r="AH188" s="24" t="s">
        <v>219</v>
      </c>
      <c r="AI188" s="23">
        <f t="shared" si="366"/>
        <v>0.0135898407884761</v>
      </c>
      <c r="AJ188" s="25"/>
      <c r="AK188" s="23" t="str">
        <f t="shared" si="374"/>
        <v>DirRecy-NCA</v>
      </c>
      <c r="AL188" s="24" t="s">
        <v>219</v>
      </c>
      <c r="AM188" s="23">
        <f t="shared" si="367"/>
        <v>0.0136304307290695</v>
      </c>
      <c r="AN188" s="25"/>
      <c r="AO188" s="23" t="str">
        <f t="shared" si="375"/>
        <v>DirRecy-LMO</v>
      </c>
      <c r="AP188" s="24" t="s">
        <v>219</v>
      </c>
      <c r="AQ188" s="23">
        <f t="shared" si="368"/>
        <v>0.011196388261851</v>
      </c>
      <c r="AR188" s="25"/>
      <c r="AS188" s="23" t="str">
        <f t="shared" si="376"/>
        <v>DirRecy-LFP</v>
      </c>
      <c r="AT188" s="24" t="s">
        <v>219</v>
      </c>
      <c r="AU188" s="23">
        <f t="shared" si="369"/>
        <v>0.0131588256101875</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188"/>
  <sheetViews>
    <sheetView zoomScale="29" zoomScaleNormal="29" topLeftCell="BA126" workbookViewId="0">
      <selection activeCell="BV209" sqref="BV209"/>
    </sheetView>
  </sheetViews>
  <sheetFormatPr defaultColWidth="8.72727272727273" defaultRowHeight="14.5"/>
  <cols>
    <col min="1" max="1" width="8.72727272727273" style="1"/>
    <col min="2" max="2" width="43.8181818181818" style="1" customWidth="1"/>
    <col min="3" max="20" width="8.72727272727273" style="1"/>
    <col min="21" max="21" width="19.2727272727273" style="1" customWidth="1"/>
    <col min="22" max="22" width="25.5454545454545" style="1" customWidth="1"/>
    <col min="23" max="23" width="19.9090909090909" style="1" customWidth="1"/>
    <col min="24" max="29" width="15.2727272727273" style="1"/>
    <col min="30" max="30" width="8.72727272727273" style="1"/>
    <col min="31" max="31" width="14" style="1"/>
    <col min="32" max="38" width="15.2727272727273" style="1"/>
    <col min="39" max="39" width="14" style="1"/>
    <col min="40" max="40" width="8.72727272727273" style="1"/>
    <col min="41" max="47" width="15.2727272727273" style="1"/>
    <col min="48" max="48" width="8.72727272727273" style="1"/>
    <col min="49" max="49" width="14" style="1"/>
    <col min="50" max="67" width="8.72727272727273" style="1"/>
    <col min="68" max="16384" width="8.72727272727273" style="2"/>
  </cols>
  <sheetData>
    <row r="1" ht="15.5" spans="1:67">
      <c r="A1" s="3" t="s">
        <v>241</v>
      </c>
      <c r="B1" s="3"/>
      <c r="C1" s="3"/>
      <c r="D1" s="3"/>
      <c r="E1" s="3"/>
      <c r="F1" s="3"/>
      <c r="G1" s="3"/>
      <c r="H1" s="3"/>
      <c r="I1" s="3"/>
      <c r="J1" s="3"/>
      <c r="K1" s="5"/>
      <c r="L1" s="5" t="s">
        <v>242</v>
      </c>
      <c r="M1" s="5"/>
      <c r="N1" s="5"/>
      <c r="O1" s="5"/>
      <c r="P1" s="5"/>
      <c r="Q1" s="5"/>
      <c r="R1" s="5"/>
      <c r="S1" s="5"/>
      <c r="T1" s="5"/>
      <c r="U1" s="5"/>
      <c r="V1" s="5"/>
      <c r="W1" s="5" t="s">
        <v>243</v>
      </c>
      <c r="X1" s="5"/>
      <c r="Y1" s="5"/>
      <c r="Z1" s="5"/>
      <c r="AA1" s="5"/>
      <c r="AB1" s="14" t="s">
        <v>244</v>
      </c>
      <c r="AC1" s="14"/>
      <c r="AD1" s="5"/>
      <c r="AE1" s="5"/>
      <c r="AF1" s="5" t="s">
        <v>245</v>
      </c>
      <c r="AG1" s="5"/>
      <c r="AH1" s="5"/>
      <c r="AI1" s="5"/>
      <c r="AJ1" s="5"/>
      <c r="AK1" s="5"/>
      <c r="AL1" s="5"/>
      <c r="AM1" s="5"/>
      <c r="AN1" s="5"/>
      <c r="AO1" s="5" t="s">
        <v>246</v>
      </c>
      <c r="AP1" s="5"/>
      <c r="AQ1" s="5"/>
      <c r="AR1" s="5"/>
      <c r="AS1" s="5"/>
      <c r="AT1" s="5"/>
      <c r="AU1" s="5"/>
      <c r="AZ1" s="3" t="s">
        <v>241</v>
      </c>
      <c r="BA1" s="3"/>
      <c r="BB1" s="3"/>
      <c r="BC1" s="3"/>
      <c r="BD1" s="3"/>
      <c r="BE1" s="3"/>
      <c r="BF1" s="3"/>
      <c r="BG1" s="3"/>
      <c r="BH1" s="3"/>
      <c r="BI1" s="3"/>
      <c r="BJ1" s="5"/>
      <c r="BK1" s="5"/>
      <c r="BL1" s="5"/>
      <c r="BM1" s="5"/>
      <c r="BN1" s="5"/>
      <c r="BO1" s="5"/>
    </row>
    <row r="2" ht="30" spans="1:67">
      <c r="A2" s="3" t="s">
        <v>221</v>
      </c>
      <c r="B2" s="3" t="s">
        <v>247</v>
      </c>
      <c r="C2" s="3" t="s">
        <v>223</v>
      </c>
      <c r="D2" s="3"/>
      <c r="E2" s="3"/>
      <c r="F2" s="3"/>
      <c r="G2" s="3"/>
      <c r="H2" s="3"/>
      <c r="I2" s="3"/>
      <c r="J2" s="3"/>
      <c r="K2" s="5"/>
      <c r="L2" s="5"/>
      <c r="M2" s="5"/>
      <c r="N2" s="5"/>
      <c r="O2" s="5"/>
      <c r="P2" s="5"/>
      <c r="Q2" s="5"/>
      <c r="R2" s="5"/>
      <c r="S2" s="5"/>
      <c r="T2" s="5"/>
      <c r="U2" s="5"/>
      <c r="V2" s="12" t="s">
        <v>248</v>
      </c>
      <c r="W2" s="5"/>
      <c r="X2" s="5"/>
      <c r="Y2" s="5"/>
      <c r="Z2" s="5"/>
      <c r="AA2" s="5"/>
      <c r="AB2" s="5"/>
      <c r="AC2" s="5"/>
      <c r="AD2" s="5"/>
      <c r="AE2" s="5"/>
      <c r="AF2" s="5"/>
      <c r="AG2" s="5"/>
      <c r="AH2" s="5"/>
      <c r="AI2" s="5"/>
      <c r="AJ2" s="5"/>
      <c r="AK2" s="5"/>
      <c r="AL2" s="5"/>
      <c r="AM2" s="5"/>
      <c r="AN2" s="5"/>
      <c r="AO2" s="5"/>
      <c r="AP2" s="5"/>
      <c r="AQ2" s="5"/>
      <c r="AR2" s="5"/>
      <c r="AS2" s="5"/>
      <c r="AT2" s="5"/>
      <c r="AU2" s="5"/>
      <c r="AZ2" s="3" t="s">
        <v>221</v>
      </c>
      <c r="BA2" s="3" t="s">
        <v>247</v>
      </c>
      <c r="BB2" s="3" t="s">
        <v>223</v>
      </c>
      <c r="BC2" s="3"/>
      <c r="BD2" s="3"/>
      <c r="BE2" s="3"/>
      <c r="BF2" s="3"/>
      <c r="BG2" s="3"/>
      <c r="BH2" s="3"/>
      <c r="BI2" s="3"/>
      <c r="BJ2" s="5"/>
      <c r="BK2" s="5"/>
      <c r="BL2" s="5"/>
      <c r="BM2" s="5"/>
      <c r="BN2" s="5"/>
      <c r="BO2" s="5"/>
    </row>
    <row r="3" ht="30" spans="1:67">
      <c r="A3" s="3"/>
      <c r="B3" s="3"/>
      <c r="C3" s="4" t="s">
        <v>224</v>
      </c>
      <c r="D3" s="5" t="s">
        <v>225</v>
      </c>
      <c r="E3" s="5" t="s">
        <v>226</v>
      </c>
      <c r="F3" s="6" t="s">
        <v>227</v>
      </c>
      <c r="G3" s="5" t="s">
        <v>228</v>
      </c>
      <c r="H3" s="5" t="s">
        <v>229</v>
      </c>
      <c r="I3" s="5" t="s">
        <v>230</v>
      </c>
      <c r="J3" s="5" t="s">
        <v>231</v>
      </c>
      <c r="K3" s="5"/>
      <c r="L3" s="9" t="s">
        <v>224</v>
      </c>
      <c r="M3" s="5" t="s">
        <v>225</v>
      </c>
      <c r="N3" s="5" t="s">
        <v>226</v>
      </c>
      <c r="O3" s="5" t="s">
        <v>227</v>
      </c>
      <c r="P3" s="5" t="s">
        <v>228</v>
      </c>
      <c r="Q3" s="5" t="s">
        <v>229</v>
      </c>
      <c r="R3" s="5" t="s">
        <v>230</v>
      </c>
      <c r="S3" s="5" t="s">
        <v>231</v>
      </c>
      <c r="T3" s="5"/>
      <c r="U3" s="5"/>
      <c r="V3" s="12" t="s">
        <v>249</v>
      </c>
      <c r="W3" s="5" t="s">
        <v>225</v>
      </c>
      <c r="X3" s="5" t="s">
        <v>226</v>
      </c>
      <c r="Y3" s="6" t="s">
        <v>227</v>
      </c>
      <c r="Z3" s="5" t="s">
        <v>228</v>
      </c>
      <c r="AA3" s="5" t="s">
        <v>229</v>
      </c>
      <c r="AB3" s="15" t="s">
        <v>230</v>
      </c>
      <c r="AC3" s="15" t="s">
        <v>231</v>
      </c>
      <c r="AD3" s="5"/>
      <c r="AE3" s="5"/>
      <c r="AF3" s="5" t="s">
        <v>225</v>
      </c>
      <c r="AG3" s="5" t="s">
        <v>226</v>
      </c>
      <c r="AH3" s="6" t="s">
        <v>227</v>
      </c>
      <c r="AI3" s="5" t="s">
        <v>228</v>
      </c>
      <c r="AJ3" s="5" t="s">
        <v>229</v>
      </c>
      <c r="AK3" s="15" t="s">
        <v>230</v>
      </c>
      <c r="AL3" s="15" t="s">
        <v>231</v>
      </c>
      <c r="AM3" s="5"/>
      <c r="AN3" s="5"/>
      <c r="AO3" s="5" t="s">
        <v>225</v>
      </c>
      <c r="AP3" s="5" t="s">
        <v>226</v>
      </c>
      <c r="AQ3" s="6" t="s">
        <v>227</v>
      </c>
      <c r="AR3" s="5" t="s">
        <v>228</v>
      </c>
      <c r="AS3" s="5" t="s">
        <v>229</v>
      </c>
      <c r="AT3" s="15" t="s">
        <v>230</v>
      </c>
      <c r="AU3" s="15" t="s">
        <v>231</v>
      </c>
      <c r="AZ3" s="3"/>
      <c r="BA3" s="3"/>
      <c r="BB3" s="4" t="s">
        <v>224</v>
      </c>
      <c r="BC3" s="5" t="s">
        <v>225</v>
      </c>
      <c r="BD3" s="5" t="s">
        <v>226</v>
      </c>
      <c r="BE3" s="6" t="s">
        <v>227</v>
      </c>
      <c r="BF3" s="5" t="s">
        <v>228</v>
      </c>
      <c r="BG3" s="5" t="s">
        <v>229</v>
      </c>
      <c r="BH3" s="5" t="s">
        <v>230</v>
      </c>
      <c r="BI3" s="5" t="s">
        <v>231</v>
      </c>
      <c r="BJ3" s="5"/>
      <c r="BK3" s="9"/>
      <c r="BL3" s="5"/>
      <c r="BM3" s="5"/>
      <c r="BN3" s="5"/>
      <c r="BO3" s="5"/>
    </row>
    <row r="4" ht="15.5" spans="1:67">
      <c r="A4" s="3" t="s">
        <v>232</v>
      </c>
      <c r="B4" s="7" t="s">
        <v>233</v>
      </c>
      <c r="C4" s="8">
        <f t="shared" ref="C4:J4" si="0">BB4/1000</f>
        <v>0.8374</v>
      </c>
      <c r="D4" s="8">
        <f t="shared" si="0"/>
        <v>0.8081</v>
      </c>
      <c r="E4" s="8">
        <f t="shared" si="0"/>
        <v>0.7705</v>
      </c>
      <c r="F4" s="8">
        <f t="shared" si="0"/>
        <v>0.76</v>
      </c>
      <c r="G4" s="8">
        <f t="shared" si="0"/>
        <v>0.7551</v>
      </c>
      <c r="H4" s="8">
        <f t="shared" si="0"/>
        <v>0.796</v>
      </c>
      <c r="I4" s="8">
        <f t="shared" si="0"/>
        <v>0.76</v>
      </c>
      <c r="J4" s="8">
        <f t="shared" si="0"/>
        <v>0.76</v>
      </c>
      <c r="K4" s="5"/>
      <c r="L4" s="9"/>
      <c r="M4" s="10">
        <v>5.937</v>
      </c>
      <c r="N4" s="10">
        <v>5.845</v>
      </c>
      <c r="O4" s="10">
        <v>5.575</v>
      </c>
      <c r="P4" s="10">
        <v>5.276</v>
      </c>
      <c r="Q4" s="10">
        <v>5.363</v>
      </c>
      <c r="R4" s="10">
        <v>6.645</v>
      </c>
      <c r="S4" s="10">
        <v>5.654</v>
      </c>
      <c r="T4" s="10"/>
      <c r="U4" s="3" t="s">
        <v>232</v>
      </c>
      <c r="V4" s="7" t="s">
        <v>233</v>
      </c>
      <c r="W4" s="13">
        <f t="shared" ref="W4:AC4" si="1">D4/M4</f>
        <v>0.136112514738083</v>
      </c>
      <c r="X4" s="13">
        <f t="shared" si="1"/>
        <v>0.131822070145423</v>
      </c>
      <c r="Y4" s="13">
        <f t="shared" si="1"/>
        <v>0.136322869955157</v>
      </c>
      <c r="Z4" s="13">
        <f t="shared" si="1"/>
        <v>0.143119787717968</v>
      </c>
      <c r="AA4" s="13">
        <f t="shared" si="1"/>
        <v>0.148424389334328</v>
      </c>
      <c r="AB4" s="16">
        <f t="shared" si="1"/>
        <v>0.114371708051166</v>
      </c>
      <c r="AC4" s="16">
        <f t="shared" si="1"/>
        <v>0.134418111071808</v>
      </c>
      <c r="AD4" s="5"/>
      <c r="AE4" s="5"/>
      <c r="AF4" s="13">
        <f t="shared" ref="AF4:AJ4" si="2">W4</f>
        <v>0.136112514738083</v>
      </c>
      <c r="AG4" s="13">
        <f t="shared" si="2"/>
        <v>0.131822070145423</v>
      </c>
      <c r="AH4" s="13">
        <f t="shared" si="2"/>
        <v>0.136322869955157</v>
      </c>
      <c r="AI4" s="13">
        <f t="shared" si="2"/>
        <v>0.143119787717968</v>
      </c>
      <c r="AJ4" s="13">
        <f t="shared" si="2"/>
        <v>0.148424389334328</v>
      </c>
      <c r="AK4" s="17">
        <f t="shared" ref="AK4:AK18" si="3">AB4*1.15</f>
        <v>0.131527464258841</v>
      </c>
      <c r="AL4" s="17">
        <f t="shared" ref="AL4:AL18" si="4">AC4*1.15</f>
        <v>0.154580827732579</v>
      </c>
      <c r="AM4" s="5"/>
      <c r="AN4" s="5"/>
      <c r="AO4" s="13">
        <f t="shared" ref="AO4:AS4" si="5">W4</f>
        <v>0.136112514738083</v>
      </c>
      <c r="AP4" s="13">
        <f t="shared" si="5"/>
        <v>0.131822070145423</v>
      </c>
      <c r="AQ4" s="13">
        <f t="shared" si="5"/>
        <v>0.136322869955157</v>
      </c>
      <c r="AR4" s="13">
        <f t="shared" si="5"/>
        <v>0.143119787717968</v>
      </c>
      <c r="AS4" s="13">
        <f t="shared" si="5"/>
        <v>0.148424389334328</v>
      </c>
      <c r="AT4" s="17">
        <f t="shared" ref="AT4:AT18" si="6">AB4*0.85</f>
        <v>0.0972159518434914</v>
      </c>
      <c r="AU4" s="17">
        <f t="shared" ref="AU4:AU18" si="7">AC4*0.85</f>
        <v>0.114255394411036</v>
      </c>
      <c r="AZ4" s="3" t="s">
        <v>232</v>
      </c>
      <c r="BA4" s="7" t="s">
        <v>233</v>
      </c>
      <c r="BB4" s="8">
        <v>837.4</v>
      </c>
      <c r="BC4" s="13">
        <v>808.1</v>
      </c>
      <c r="BD4" s="13">
        <v>770.5</v>
      </c>
      <c r="BE4" s="13">
        <v>760</v>
      </c>
      <c r="BF4" s="13">
        <v>755.1</v>
      </c>
      <c r="BG4" s="13">
        <v>796</v>
      </c>
      <c r="BH4" s="13">
        <v>760</v>
      </c>
      <c r="BI4" s="13">
        <v>760</v>
      </c>
      <c r="BJ4" s="5"/>
      <c r="BK4" s="9"/>
      <c r="BL4" s="10"/>
      <c r="BM4" s="10"/>
      <c r="BN4" s="10"/>
      <c r="BO4" s="10"/>
    </row>
    <row r="5" ht="15.5" spans="1:67">
      <c r="A5" s="3"/>
      <c r="B5" s="7" t="s">
        <v>234</v>
      </c>
      <c r="C5" s="8">
        <f t="shared" ref="C5:J5" si="8">BB5/1000</f>
        <v>0.7701</v>
      </c>
      <c r="D5" s="8">
        <f t="shared" si="8"/>
        <v>0.7457</v>
      </c>
      <c r="E5" s="8">
        <f t="shared" si="8"/>
        <v>0.7115</v>
      </c>
      <c r="F5" s="8">
        <f t="shared" si="8"/>
        <v>0.7021</v>
      </c>
      <c r="G5" s="8">
        <f t="shared" si="8"/>
        <v>0.6948</v>
      </c>
      <c r="H5" s="8">
        <f t="shared" si="8"/>
        <v>0.7338</v>
      </c>
      <c r="I5" s="8">
        <f t="shared" si="8"/>
        <v>0.7021</v>
      </c>
      <c r="J5" s="8">
        <f t="shared" si="8"/>
        <v>0.7021</v>
      </c>
      <c r="K5" s="5"/>
      <c r="L5" s="5"/>
      <c r="M5" s="11">
        <v>5.937</v>
      </c>
      <c r="N5" s="11">
        <v>5.845</v>
      </c>
      <c r="O5" s="11">
        <v>5.575</v>
      </c>
      <c r="P5" s="11">
        <v>5.276</v>
      </c>
      <c r="Q5" s="11">
        <v>5.363</v>
      </c>
      <c r="R5" s="11">
        <v>6.645</v>
      </c>
      <c r="S5" s="11">
        <v>5.654</v>
      </c>
      <c r="T5" s="11"/>
      <c r="U5" s="3"/>
      <c r="V5" s="7" t="s">
        <v>234</v>
      </c>
      <c r="W5" s="13">
        <f t="shared" ref="W5:AC5" si="9">D5/M5</f>
        <v>0.125602155971029</v>
      </c>
      <c r="X5" s="13">
        <f t="shared" si="9"/>
        <v>0.121727972626176</v>
      </c>
      <c r="Y5" s="13">
        <f t="shared" si="9"/>
        <v>0.125937219730942</v>
      </c>
      <c r="Z5" s="13">
        <f t="shared" si="9"/>
        <v>0.131690674753601</v>
      </c>
      <c r="AA5" s="13">
        <f t="shared" si="9"/>
        <v>0.136826403132575</v>
      </c>
      <c r="AB5" s="16">
        <f t="shared" si="9"/>
        <v>0.105658389766742</v>
      </c>
      <c r="AC5" s="16">
        <f t="shared" si="9"/>
        <v>0.124177573399363</v>
      </c>
      <c r="AD5" s="5"/>
      <c r="AE5" s="5"/>
      <c r="AF5" s="13">
        <f t="shared" ref="AF5:AJ5" si="10">W5</f>
        <v>0.125602155971029</v>
      </c>
      <c r="AG5" s="13">
        <f t="shared" si="10"/>
        <v>0.121727972626176</v>
      </c>
      <c r="AH5" s="13">
        <f t="shared" si="10"/>
        <v>0.125937219730942</v>
      </c>
      <c r="AI5" s="13">
        <f t="shared" si="10"/>
        <v>0.131690674753601</v>
      </c>
      <c r="AJ5" s="13">
        <f t="shared" si="10"/>
        <v>0.136826403132575</v>
      </c>
      <c r="AK5" s="17">
        <f t="shared" si="3"/>
        <v>0.121507148231753</v>
      </c>
      <c r="AL5" s="17">
        <f t="shared" si="4"/>
        <v>0.142804209409268</v>
      </c>
      <c r="AM5" s="5"/>
      <c r="AN5" s="5"/>
      <c r="AO5" s="13">
        <f t="shared" ref="AO5:AS5" si="11">W5</f>
        <v>0.125602155971029</v>
      </c>
      <c r="AP5" s="13">
        <f t="shared" si="11"/>
        <v>0.121727972626176</v>
      </c>
      <c r="AQ5" s="13">
        <f t="shared" si="11"/>
        <v>0.125937219730942</v>
      </c>
      <c r="AR5" s="13">
        <f t="shared" si="11"/>
        <v>0.131690674753601</v>
      </c>
      <c r="AS5" s="13">
        <f t="shared" si="11"/>
        <v>0.136826403132575</v>
      </c>
      <c r="AT5" s="17">
        <f t="shared" si="6"/>
        <v>0.0898096313017306</v>
      </c>
      <c r="AU5" s="17">
        <f t="shared" si="7"/>
        <v>0.105550937389459</v>
      </c>
      <c r="AZ5" s="3"/>
      <c r="BA5" s="7" t="s">
        <v>234</v>
      </c>
      <c r="BB5" s="8">
        <v>770.1</v>
      </c>
      <c r="BC5" s="13">
        <v>745.7</v>
      </c>
      <c r="BD5" s="13">
        <v>711.5</v>
      </c>
      <c r="BE5" s="13">
        <v>702.1</v>
      </c>
      <c r="BF5" s="13">
        <v>694.8</v>
      </c>
      <c r="BG5" s="13">
        <v>733.8</v>
      </c>
      <c r="BH5" s="13">
        <v>702.1</v>
      </c>
      <c r="BI5" s="13">
        <v>702.1</v>
      </c>
      <c r="BJ5" s="5"/>
      <c r="BK5" s="5"/>
      <c r="BL5" s="11"/>
      <c r="BM5" s="11"/>
      <c r="BN5" s="11"/>
      <c r="BO5" s="11"/>
    </row>
    <row r="6" ht="15.5" spans="1:67">
      <c r="A6" s="3"/>
      <c r="B6" s="7" t="s">
        <v>235</v>
      </c>
      <c r="C6" s="8">
        <f t="shared" ref="C6:J6" si="12">BB6/1000</f>
        <v>0.1986</v>
      </c>
      <c r="D6" s="8">
        <f t="shared" si="12"/>
        <v>0.1717</v>
      </c>
      <c r="E6" s="8">
        <f t="shared" si="12"/>
        <v>0.1611</v>
      </c>
      <c r="F6" s="8">
        <f t="shared" si="12"/>
        <v>0.1579</v>
      </c>
      <c r="G6" s="8">
        <f t="shared" si="12"/>
        <v>0.1521</v>
      </c>
      <c r="H6" s="8">
        <f t="shared" si="12"/>
        <v>0.1588</v>
      </c>
      <c r="I6" s="8">
        <f t="shared" si="12"/>
        <v>0.1579</v>
      </c>
      <c r="J6" s="8">
        <f t="shared" si="12"/>
        <v>0.1579</v>
      </c>
      <c r="K6" s="5"/>
      <c r="L6" s="5"/>
      <c r="M6" s="11">
        <v>5.937</v>
      </c>
      <c r="N6" s="11">
        <v>5.845</v>
      </c>
      <c r="O6" s="11">
        <v>5.575</v>
      </c>
      <c r="P6" s="11">
        <v>5.276</v>
      </c>
      <c r="Q6" s="11">
        <v>5.363</v>
      </c>
      <c r="R6" s="11">
        <v>6.645</v>
      </c>
      <c r="S6" s="11">
        <v>5.654</v>
      </c>
      <c r="T6" s="11"/>
      <c r="U6" s="3"/>
      <c r="V6" s="7" t="s">
        <v>235</v>
      </c>
      <c r="W6" s="13">
        <f t="shared" ref="W6:AC6" si="13">D6/M6</f>
        <v>0.0289203301330638</v>
      </c>
      <c r="X6" s="13">
        <f t="shared" si="13"/>
        <v>0.0275620188195039</v>
      </c>
      <c r="Y6" s="13">
        <f t="shared" si="13"/>
        <v>0.028322869955157</v>
      </c>
      <c r="Z6" s="13">
        <f t="shared" si="13"/>
        <v>0.0288286580742987</v>
      </c>
      <c r="AA6" s="13">
        <f t="shared" si="13"/>
        <v>0.0296102927465971</v>
      </c>
      <c r="AB6" s="16">
        <f t="shared" si="13"/>
        <v>0.0237622272385252</v>
      </c>
      <c r="AC6" s="16">
        <f t="shared" si="13"/>
        <v>0.0279271312345242</v>
      </c>
      <c r="AD6" s="5"/>
      <c r="AE6" s="5"/>
      <c r="AF6" s="13">
        <f t="shared" ref="AF6:AJ6" si="14">W6</f>
        <v>0.0289203301330638</v>
      </c>
      <c r="AG6" s="13">
        <f t="shared" si="14"/>
        <v>0.0275620188195039</v>
      </c>
      <c r="AH6" s="13">
        <f t="shared" si="14"/>
        <v>0.028322869955157</v>
      </c>
      <c r="AI6" s="13">
        <f t="shared" si="14"/>
        <v>0.0288286580742987</v>
      </c>
      <c r="AJ6" s="13">
        <f t="shared" si="14"/>
        <v>0.0296102927465971</v>
      </c>
      <c r="AK6" s="17">
        <f t="shared" si="3"/>
        <v>0.027326561324304</v>
      </c>
      <c r="AL6" s="17">
        <f t="shared" si="4"/>
        <v>0.0321162009197029</v>
      </c>
      <c r="AM6" s="5"/>
      <c r="AN6" s="5"/>
      <c r="AO6" s="13">
        <f t="shared" ref="AO6:AS6" si="15">W6</f>
        <v>0.0289203301330638</v>
      </c>
      <c r="AP6" s="13">
        <f t="shared" si="15"/>
        <v>0.0275620188195039</v>
      </c>
      <c r="AQ6" s="13">
        <f t="shared" si="15"/>
        <v>0.028322869955157</v>
      </c>
      <c r="AR6" s="13">
        <f t="shared" si="15"/>
        <v>0.0288286580742987</v>
      </c>
      <c r="AS6" s="13">
        <f t="shared" si="15"/>
        <v>0.0296102927465971</v>
      </c>
      <c r="AT6" s="17">
        <f t="shared" si="6"/>
        <v>0.0201978931527464</v>
      </c>
      <c r="AU6" s="17">
        <f t="shared" si="7"/>
        <v>0.0237380615493456</v>
      </c>
      <c r="AZ6" s="3"/>
      <c r="BA6" s="7" t="s">
        <v>235</v>
      </c>
      <c r="BB6" s="8">
        <v>198.6</v>
      </c>
      <c r="BC6" s="13">
        <v>171.7</v>
      </c>
      <c r="BD6" s="13">
        <v>161.1</v>
      </c>
      <c r="BE6" s="13">
        <v>157.9</v>
      </c>
      <c r="BF6" s="13">
        <v>152.1</v>
      </c>
      <c r="BG6" s="13">
        <v>158.8</v>
      </c>
      <c r="BH6" s="13">
        <v>157.9</v>
      </c>
      <c r="BI6" s="13">
        <v>157.9</v>
      </c>
      <c r="BJ6" s="5"/>
      <c r="BK6" s="5"/>
      <c r="BL6" s="11"/>
      <c r="BM6" s="11"/>
      <c r="BN6" s="11"/>
      <c r="BO6" s="11"/>
    </row>
    <row r="7" ht="15.5" spans="1:67">
      <c r="A7" s="3"/>
      <c r="B7" s="7" t="s">
        <v>236</v>
      </c>
      <c r="C7" s="8">
        <f t="shared" ref="C7:J7" si="16">BB7/1000</f>
        <v>0.487</v>
      </c>
      <c r="D7" s="8">
        <f t="shared" si="16"/>
        <v>0.4967</v>
      </c>
      <c r="E7" s="8">
        <f t="shared" si="16"/>
        <v>0.4758</v>
      </c>
      <c r="F7" s="8">
        <f t="shared" si="16"/>
        <v>0.4705</v>
      </c>
      <c r="G7" s="8">
        <f t="shared" si="16"/>
        <v>0.4665</v>
      </c>
      <c r="H7" s="8">
        <f t="shared" si="16"/>
        <v>0.496</v>
      </c>
      <c r="I7" s="8">
        <f t="shared" si="16"/>
        <v>0.4705</v>
      </c>
      <c r="J7" s="8">
        <f t="shared" si="16"/>
        <v>0.4705</v>
      </c>
      <c r="K7" s="5"/>
      <c r="L7" s="5"/>
      <c r="M7" s="11">
        <v>5.937</v>
      </c>
      <c r="N7" s="11">
        <v>5.845</v>
      </c>
      <c r="O7" s="11">
        <v>5.575</v>
      </c>
      <c r="P7" s="11">
        <v>5.276</v>
      </c>
      <c r="Q7" s="11">
        <v>5.363</v>
      </c>
      <c r="R7" s="11">
        <v>6.645</v>
      </c>
      <c r="S7" s="11">
        <v>5.654</v>
      </c>
      <c r="T7" s="11"/>
      <c r="U7" s="3"/>
      <c r="V7" s="7" t="s">
        <v>236</v>
      </c>
      <c r="W7" s="13">
        <f t="shared" ref="W7:AC7" si="17">D7/M7</f>
        <v>0.0836617820448038</v>
      </c>
      <c r="X7" s="13">
        <f t="shared" si="17"/>
        <v>0.0814029084687767</v>
      </c>
      <c r="Y7" s="13">
        <f t="shared" si="17"/>
        <v>0.0843946188340807</v>
      </c>
      <c r="Z7" s="13">
        <f t="shared" si="17"/>
        <v>0.0884192570128886</v>
      </c>
      <c r="AA7" s="13">
        <f t="shared" si="17"/>
        <v>0.092485549132948</v>
      </c>
      <c r="AB7" s="16">
        <f t="shared" si="17"/>
        <v>0.0708051166290444</v>
      </c>
      <c r="AC7" s="16">
        <f t="shared" si="17"/>
        <v>0.0832154227095861</v>
      </c>
      <c r="AD7" s="5"/>
      <c r="AE7" s="5"/>
      <c r="AF7" s="13">
        <f t="shared" ref="AF7:AJ7" si="18">W7</f>
        <v>0.0836617820448038</v>
      </c>
      <c r="AG7" s="13">
        <f t="shared" si="18"/>
        <v>0.0814029084687767</v>
      </c>
      <c r="AH7" s="13">
        <f t="shared" si="18"/>
        <v>0.0843946188340807</v>
      </c>
      <c r="AI7" s="13">
        <f t="shared" si="18"/>
        <v>0.0884192570128886</v>
      </c>
      <c r="AJ7" s="13">
        <f t="shared" si="18"/>
        <v>0.092485549132948</v>
      </c>
      <c r="AK7" s="17">
        <f t="shared" si="3"/>
        <v>0.0814258841234011</v>
      </c>
      <c r="AL7" s="17">
        <f t="shared" si="4"/>
        <v>0.0956977361160241</v>
      </c>
      <c r="AM7" s="5"/>
      <c r="AN7" s="5"/>
      <c r="AO7" s="13">
        <f t="shared" ref="AO7:AS7" si="19">W7</f>
        <v>0.0836617820448038</v>
      </c>
      <c r="AP7" s="13">
        <f t="shared" si="19"/>
        <v>0.0814029084687767</v>
      </c>
      <c r="AQ7" s="13">
        <f t="shared" si="19"/>
        <v>0.0843946188340807</v>
      </c>
      <c r="AR7" s="13">
        <f t="shared" si="19"/>
        <v>0.0884192570128886</v>
      </c>
      <c r="AS7" s="13">
        <f t="shared" si="19"/>
        <v>0.092485549132948</v>
      </c>
      <c r="AT7" s="17">
        <f t="shared" si="6"/>
        <v>0.0601843491346877</v>
      </c>
      <c r="AU7" s="17">
        <f t="shared" si="7"/>
        <v>0.0707331093031482</v>
      </c>
      <c r="AZ7" s="3"/>
      <c r="BA7" s="7" t="s">
        <v>236</v>
      </c>
      <c r="BB7" s="8">
        <v>487</v>
      </c>
      <c r="BC7" s="13">
        <v>496.7</v>
      </c>
      <c r="BD7" s="13">
        <v>475.8</v>
      </c>
      <c r="BE7" s="13">
        <v>470.5</v>
      </c>
      <c r="BF7" s="13">
        <v>466.5</v>
      </c>
      <c r="BG7" s="13">
        <v>496</v>
      </c>
      <c r="BH7" s="13">
        <v>470.5</v>
      </c>
      <c r="BI7" s="13">
        <v>470.5</v>
      </c>
      <c r="BJ7" s="5"/>
      <c r="BK7" s="5"/>
      <c r="BL7" s="11"/>
      <c r="BM7" s="11"/>
      <c r="BN7" s="11"/>
      <c r="BO7" s="11"/>
    </row>
    <row r="8" ht="15.5" spans="1:67">
      <c r="A8" s="3"/>
      <c r="B8" s="7" t="s">
        <v>237</v>
      </c>
      <c r="C8" s="8">
        <f t="shared" ref="C8:J8" si="20">BB8/1000</f>
        <v>0.0845</v>
      </c>
      <c r="D8" s="8">
        <f t="shared" si="20"/>
        <v>0.0773</v>
      </c>
      <c r="E8" s="8">
        <f t="shared" si="20"/>
        <v>0.0745</v>
      </c>
      <c r="F8" s="8">
        <f t="shared" si="20"/>
        <v>0.0736</v>
      </c>
      <c r="G8" s="8">
        <f t="shared" si="20"/>
        <v>0.0761</v>
      </c>
      <c r="H8" s="8">
        <f t="shared" si="20"/>
        <v>0.0789</v>
      </c>
      <c r="I8" s="8">
        <f t="shared" si="20"/>
        <v>0.0736</v>
      </c>
      <c r="J8" s="8">
        <f t="shared" si="20"/>
        <v>0.0736</v>
      </c>
      <c r="K8" s="5"/>
      <c r="L8" s="5"/>
      <c r="M8" s="11">
        <v>5.937</v>
      </c>
      <c r="N8" s="11">
        <v>5.845</v>
      </c>
      <c r="O8" s="11">
        <v>5.575</v>
      </c>
      <c r="P8" s="11">
        <v>5.276</v>
      </c>
      <c r="Q8" s="11">
        <v>5.363</v>
      </c>
      <c r="R8" s="11">
        <v>6.645</v>
      </c>
      <c r="S8" s="11">
        <v>5.654</v>
      </c>
      <c r="T8" s="11"/>
      <c r="U8" s="3"/>
      <c r="V8" s="7" t="s">
        <v>237</v>
      </c>
      <c r="W8" s="13">
        <f t="shared" ref="W8:AC8" si="21">D8/M8</f>
        <v>0.0130200437931615</v>
      </c>
      <c r="X8" s="13">
        <f t="shared" si="21"/>
        <v>0.0127459366980325</v>
      </c>
      <c r="Y8" s="13">
        <f t="shared" si="21"/>
        <v>0.0132017937219731</v>
      </c>
      <c r="Z8" s="13">
        <f t="shared" si="21"/>
        <v>0.0144238059135709</v>
      </c>
      <c r="AA8" s="13">
        <f t="shared" si="21"/>
        <v>0.0147119149729629</v>
      </c>
      <c r="AB8" s="16">
        <f t="shared" si="21"/>
        <v>0.0110759969902182</v>
      </c>
      <c r="AC8" s="16">
        <f t="shared" si="21"/>
        <v>0.0130173328616908</v>
      </c>
      <c r="AD8" s="5"/>
      <c r="AE8" s="5"/>
      <c r="AF8" s="13">
        <f t="shared" ref="AF8:AJ8" si="22">W8</f>
        <v>0.0130200437931615</v>
      </c>
      <c r="AG8" s="13">
        <f t="shared" si="22"/>
        <v>0.0127459366980325</v>
      </c>
      <c r="AH8" s="13">
        <f t="shared" si="22"/>
        <v>0.0132017937219731</v>
      </c>
      <c r="AI8" s="13">
        <f t="shared" si="22"/>
        <v>0.0144238059135709</v>
      </c>
      <c r="AJ8" s="13">
        <f t="shared" si="22"/>
        <v>0.0147119149729629</v>
      </c>
      <c r="AK8" s="17">
        <f t="shared" si="3"/>
        <v>0.0127373965387509</v>
      </c>
      <c r="AL8" s="17">
        <f t="shared" si="4"/>
        <v>0.0149699327909445</v>
      </c>
      <c r="AM8" s="5"/>
      <c r="AN8" s="5"/>
      <c r="AO8" s="13">
        <f t="shared" ref="AO8:AS8" si="23">W8</f>
        <v>0.0130200437931615</v>
      </c>
      <c r="AP8" s="13">
        <f t="shared" si="23"/>
        <v>0.0127459366980325</v>
      </c>
      <c r="AQ8" s="13">
        <f t="shared" si="23"/>
        <v>0.0132017937219731</v>
      </c>
      <c r="AR8" s="13">
        <f t="shared" si="23"/>
        <v>0.0144238059135709</v>
      </c>
      <c r="AS8" s="13">
        <f t="shared" si="23"/>
        <v>0.0147119149729629</v>
      </c>
      <c r="AT8" s="17">
        <f t="shared" si="6"/>
        <v>0.00941459744168548</v>
      </c>
      <c r="AU8" s="17">
        <f t="shared" si="7"/>
        <v>0.0110647329324372</v>
      </c>
      <c r="AZ8" s="3"/>
      <c r="BA8" s="7" t="s">
        <v>237</v>
      </c>
      <c r="BB8" s="8">
        <v>84.5</v>
      </c>
      <c r="BC8" s="13">
        <v>77.3</v>
      </c>
      <c r="BD8" s="13">
        <v>74.5</v>
      </c>
      <c r="BE8" s="13">
        <v>73.6</v>
      </c>
      <c r="BF8" s="13">
        <v>76.1</v>
      </c>
      <c r="BG8" s="13">
        <v>78.9</v>
      </c>
      <c r="BH8" s="13">
        <v>73.6</v>
      </c>
      <c r="BI8" s="13">
        <v>73.6</v>
      </c>
      <c r="BJ8" s="5"/>
      <c r="BK8" s="5"/>
      <c r="BL8" s="11"/>
      <c r="BM8" s="11"/>
      <c r="BN8" s="11"/>
      <c r="BO8" s="11"/>
    </row>
    <row r="9" ht="15.5" spans="1:67">
      <c r="A9" s="3" t="s">
        <v>238</v>
      </c>
      <c r="B9" s="7" t="s">
        <v>233</v>
      </c>
      <c r="C9" s="8">
        <f t="shared" ref="C9:J9" si="24">BB9/1000</f>
        <v>0.855</v>
      </c>
      <c r="D9" s="8">
        <f t="shared" si="24"/>
        <v>0.8241</v>
      </c>
      <c r="E9" s="8">
        <f t="shared" si="24"/>
        <v>0.7857</v>
      </c>
      <c r="F9" s="8">
        <f t="shared" si="24"/>
        <v>0.775</v>
      </c>
      <c r="G9" s="8">
        <f t="shared" si="24"/>
        <v>0.7702</v>
      </c>
      <c r="H9" s="8">
        <f t="shared" si="24"/>
        <v>0.8116</v>
      </c>
      <c r="I9" s="8">
        <f t="shared" si="24"/>
        <v>0.775</v>
      </c>
      <c r="J9" s="8">
        <f t="shared" si="24"/>
        <v>0.775</v>
      </c>
      <c r="K9" s="5"/>
      <c r="L9" s="5"/>
      <c r="M9" s="11">
        <v>5.937</v>
      </c>
      <c r="N9" s="11">
        <v>5.845</v>
      </c>
      <c r="O9" s="11">
        <v>5.575</v>
      </c>
      <c r="P9" s="11">
        <v>5.276</v>
      </c>
      <c r="Q9" s="11">
        <v>5.363</v>
      </c>
      <c r="R9" s="11">
        <v>6.645</v>
      </c>
      <c r="S9" s="11">
        <v>5.654</v>
      </c>
      <c r="T9" s="11"/>
      <c r="U9" s="3" t="s">
        <v>238</v>
      </c>
      <c r="V9" s="7" t="s">
        <v>233</v>
      </c>
      <c r="W9" s="13">
        <f t="shared" ref="W9:AC9" si="25">D9/M9</f>
        <v>0.138807478524507</v>
      </c>
      <c r="X9" s="13">
        <f t="shared" si="25"/>
        <v>0.134422583404619</v>
      </c>
      <c r="Y9" s="13">
        <f t="shared" si="25"/>
        <v>0.139013452914798</v>
      </c>
      <c r="Z9" s="13">
        <f t="shared" si="25"/>
        <v>0.145981804397271</v>
      </c>
      <c r="AA9" s="13">
        <f t="shared" si="25"/>
        <v>0.1513332090248</v>
      </c>
      <c r="AB9" s="16">
        <f t="shared" si="25"/>
        <v>0.116629044394281</v>
      </c>
      <c r="AC9" s="16">
        <f t="shared" si="25"/>
        <v>0.13707110010612</v>
      </c>
      <c r="AD9" s="5"/>
      <c r="AE9" s="5"/>
      <c r="AF9" s="13">
        <f t="shared" ref="AF9:AJ9" si="26">W9</f>
        <v>0.138807478524507</v>
      </c>
      <c r="AG9" s="13">
        <f t="shared" si="26"/>
        <v>0.134422583404619</v>
      </c>
      <c r="AH9" s="13">
        <f t="shared" si="26"/>
        <v>0.139013452914798</v>
      </c>
      <c r="AI9" s="13">
        <f t="shared" si="26"/>
        <v>0.145981804397271</v>
      </c>
      <c r="AJ9" s="13">
        <f t="shared" si="26"/>
        <v>0.1513332090248</v>
      </c>
      <c r="AK9" s="17">
        <f t="shared" si="3"/>
        <v>0.134123401053424</v>
      </c>
      <c r="AL9" s="17">
        <f t="shared" si="4"/>
        <v>0.157631765122037</v>
      </c>
      <c r="AM9" s="5"/>
      <c r="AN9" s="5"/>
      <c r="AO9" s="13">
        <f t="shared" ref="AO9:AS9" si="27">W9</f>
        <v>0.138807478524507</v>
      </c>
      <c r="AP9" s="13">
        <f t="shared" si="27"/>
        <v>0.134422583404619</v>
      </c>
      <c r="AQ9" s="13">
        <f t="shared" si="27"/>
        <v>0.139013452914798</v>
      </c>
      <c r="AR9" s="13">
        <f t="shared" si="27"/>
        <v>0.145981804397271</v>
      </c>
      <c r="AS9" s="13">
        <f t="shared" si="27"/>
        <v>0.1513332090248</v>
      </c>
      <c r="AT9" s="17">
        <f t="shared" si="6"/>
        <v>0.0991346877351392</v>
      </c>
      <c r="AU9" s="17">
        <f t="shared" si="7"/>
        <v>0.116510435090202</v>
      </c>
      <c r="AZ9" s="3" t="s">
        <v>238</v>
      </c>
      <c r="BA9" s="7" t="s">
        <v>233</v>
      </c>
      <c r="BB9" s="8">
        <v>855</v>
      </c>
      <c r="BC9" s="13">
        <v>824.1</v>
      </c>
      <c r="BD9" s="13">
        <v>785.7</v>
      </c>
      <c r="BE9" s="13">
        <v>775</v>
      </c>
      <c r="BF9" s="13">
        <v>770.2</v>
      </c>
      <c r="BG9" s="13">
        <v>811.6</v>
      </c>
      <c r="BH9" s="13">
        <v>775</v>
      </c>
      <c r="BI9" s="13">
        <v>775</v>
      </c>
      <c r="BJ9" s="5"/>
      <c r="BK9" s="5"/>
      <c r="BL9" s="11"/>
      <c r="BM9" s="11"/>
      <c r="BN9" s="11"/>
      <c r="BO9" s="11"/>
    </row>
    <row r="10" ht="15.5" spans="1:67">
      <c r="A10" s="3"/>
      <c r="B10" s="7" t="s">
        <v>234</v>
      </c>
      <c r="C10" s="8">
        <f t="shared" ref="C10:J10" si="28">BB10/1000</f>
        <v>0.7888</v>
      </c>
      <c r="D10" s="8">
        <f t="shared" si="28"/>
        <v>0.7626</v>
      </c>
      <c r="E10" s="8">
        <f t="shared" si="28"/>
        <v>0.7275</v>
      </c>
      <c r="F10" s="8">
        <f t="shared" si="28"/>
        <v>0.7179</v>
      </c>
      <c r="G10" s="8">
        <f t="shared" si="28"/>
        <v>0.7107</v>
      </c>
      <c r="H10" s="8">
        <f t="shared" si="28"/>
        <v>0.7503</v>
      </c>
      <c r="I10" s="8">
        <f t="shared" si="28"/>
        <v>0.7179</v>
      </c>
      <c r="J10" s="8">
        <f t="shared" si="28"/>
        <v>0.7179</v>
      </c>
      <c r="K10" s="5"/>
      <c r="L10" s="5"/>
      <c r="M10" s="11">
        <v>5.937</v>
      </c>
      <c r="N10" s="11">
        <v>5.845</v>
      </c>
      <c r="O10" s="11">
        <v>5.575</v>
      </c>
      <c r="P10" s="11">
        <v>5.276</v>
      </c>
      <c r="Q10" s="11">
        <v>5.363</v>
      </c>
      <c r="R10" s="11">
        <v>6.645</v>
      </c>
      <c r="S10" s="11">
        <v>5.654</v>
      </c>
      <c r="T10" s="11"/>
      <c r="U10" s="3"/>
      <c r="V10" s="7" t="s">
        <v>234</v>
      </c>
      <c r="W10" s="13">
        <f t="shared" ref="W10:AC10" si="29">D10/M10</f>
        <v>0.12844871147044</v>
      </c>
      <c r="X10" s="13">
        <f t="shared" si="29"/>
        <v>0.124465355004277</v>
      </c>
      <c r="Y10" s="13">
        <f t="shared" si="29"/>
        <v>0.12877130044843</v>
      </c>
      <c r="Z10" s="13">
        <f t="shared" si="29"/>
        <v>0.134704321455648</v>
      </c>
      <c r="AA10" s="13">
        <f t="shared" si="29"/>
        <v>0.139903039343651</v>
      </c>
      <c r="AB10" s="16">
        <f t="shared" si="29"/>
        <v>0.10803611738149</v>
      </c>
      <c r="AC10" s="16">
        <f t="shared" si="29"/>
        <v>0.126972055182172</v>
      </c>
      <c r="AD10" s="5"/>
      <c r="AE10" s="5"/>
      <c r="AF10" s="13">
        <f t="shared" ref="AF10:AJ10" si="30">W10</f>
        <v>0.12844871147044</v>
      </c>
      <c r="AG10" s="13">
        <f t="shared" si="30"/>
        <v>0.124465355004277</v>
      </c>
      <c r="AH10" s="13">
        <f t="shared" si="30"/>
        <v>0.12877130044843</v>
      </c>
      <c r="AI10" s="13">
        <f t="shared" si="30"/>
        <v>0.134704321455648</v>
      </c>
      <c r="AJ10" s="13">
        <f t="shared" si="30"/>
        <v>0.139903039343651</v>
      </c>
      <c r="AK10" s="17">
        <f t="shared" si="3"/>
        <v>0.124241534988713</v>
      </c>
      <c r="AL10" s="17">
        <f t="shared" si="4"/>
        <v>0.146017863459498</v>
      </c>
      <c r="AM10" s="5"/>
      <c r="AN10" s="5"/>
      <c r="AO10" s="13">
        <f t="shared" ref="AO10:AS10" si="31">W10</f>
        <v>0.12844871147044</v>
      </c>
      <c r="AP10" s="13">
        <f t="shared" si="31"/>
        <v>0.124465355004277</v>
      </c>
      <c r="AQ10" s="13">
        <f t="shared" si="31"/>
        <v>0.12877130044843</v>
      </c>
      <c r="AR10" s="13">
        <f t="shared" si="31"/>
        <v>0.134704321455648</v>
      </c>
      <c r="AS10" s="13">
        <f t="shared" si="31"/>
        <v>0.139903039343651</v>
      </c>
      <c r="AT10" s="17">
        <f t="shared" si="6"/>
        <v>0.0918306997742664</v>
      </c>
      <c r="AU10" s="17">
        <f t="shared" si="7"/>
        <v>0.107926246904846</v>
      </c>
      <c r="AZ10" s="3"/>
      <c r="BA10" s="7" t="s">
        <v>234</v>
      </c>
      <c r="BB10" s="8">
        <v>788.8</v>
      </c>
      <c r="BC10" s="13">
        <v>762.6</v>
      </c>
      <c r="BD10" s="13">
        <v>727.5</v>
      </c>
      <c r="BE10" s="13">
        <v>717.9</v>
      </c>
      <c r="BF10" s="13">
        <v>710.7</v>
      </c>
      <c r="BG10" s="13">
        <v>750.3</v>
      </c>
      <c r="BH10" s="13">
        <v>717.9</v>
      </c>
      <c r="BI10" s="13">
        <v>717.9</v>
      </c>
      <c r="BJ10" s="5"/>
      <c r="BK10" s="5"/>
      <c r="BL10" s="11"/>
      <c r="BM10" s="11"/>
      <c r="BN10" s="11"/>
      <c r="BO10" s="11"/>
    </row>
    <row r="11" ht="15.5" spans="1:67">
      <c r="A11" s="3"/>
      <c r="B11" s="7" t="s">
        <v>235</v>
      </c>
      <c r="C11" s="8">
        <f t="shared" ref="C11:J11" si="32">BB11/1000</f>
        <v>0.2381</v>
      </c>
      <c r="D11" s="8">
        <f t="shared" si="32"/>
        <v>0.2075</v>
      </c>
      <c r="E11" s="8">
        <f t="shared" si="32"/>
        <v>0.1951</v>
      </c>
      <c r="F11" s="8">
        <f t="shared" si="32"/>
        <v>0.1916</v>
      </c>
      <c r="G11" s="8">
        <f t="shared" si="32"/>
        <v>0.186</v>
      </c>
      <c r="H11" s="8">
        <f t="shared" si="32"/>
        <v>0.1938</v>
      </c>
      <c r="I11" s="8">
        <f t="shared" si="32"/>
        <v>0.1916</v>
      </c>
      <c r="J11" s="8">
        <f t="shared" si="32"/>
        <v>0.1916</v>
      </c>
      <c r="K11" s="5"/>
      <c r="L11" s="5"/>
      <c r="M11" s="11">
        <v>5.937</v>
      </c>
      <c r="N11" s="11">
        <v>5.845</v>
      </c>
      <c r="O11" s="11">
        <v>5.575</v>
      </c>
      <c r="P11" s="11">
        <v>5.276</v>
      </c>
      <c r="Q11" s="11">
        <v>5.363</v>
      </c>
      <c r="R11" s="11">
        <v>6.645</v>
      </c>
      <c r="S11" s="11">
        <v>5.654</v>
      </c>
      <c r="T11" s="11"/>
      <c r="U11" s="3"/>
      <c r="V11" s="7" t="s">
        <v>235</v>
      </c>
      <c r="W11" s="13">
        <f t="shared" ref="W11:AC11" si="33">D11/M11</f>
        <v>0.0349503116051878</v>
      </c>
      <c r="X11" s="13">
        <f t="shared" si="33"/>
        <v>0.0333789563729684</v>
      </c>
      <c r="Y11" s="13">
        <f t="shared" si="33"/>
        <v>0.0343677130044843</v>
      </c>
      <c r="Z11" s="13">
        <f t="shared" si="33"/>
        <v>0.035253980288097</v>
      </c>
      <c r="AA11" s="13">
        <f t="shared" si="33"/>
        <v>0.0361364907700914</v>
      </c>
      <c r="AB11" s="16">
        <f t="shared" si="33"/>
        <v>0.0288337095560572</v>
      </c>
      <c r="AC11" s="16">
        <f t="shared" si="33"/>
        <v>0.0338875132649452</v>
      </c>
      <c r="AD11" s="5"/>
      <c r="AE11" s="5"/>
      <c r="AF11" s="13">
        <f t="shared" ref="AF11:AJ11" si="34">W11</f>
        <v>0.0349503116051878</v>
      </c>
      <c r="AG11" s="13">
        <f t="shared" si="34"/>
        <v>0.0333789563729684</v>
      </c>
      <c r="AH11" s="13">
        <f t="shared" si="34"/>
        <v>0.0343677130044843</v>
      </c>
      <c r="AI11" s="13">
        <f t="shared" si="34"/>
        <v>0.035253980288097</v>
      </c>
      <c r="AJ11" s="13">
        <f t="shared" si="34"/>
        <v>0.0361364907700914</v>
      </c>
      <c r="AK11" s="17">
        <f t="shared" si="3"/>
        <v>0.0331587659894658</v>
      </c>
      <c r="AL11" s="17">
        <f t="shared" si="4"/>
        <v>0.0389706402546869</v>
      </c>
      <c r="AM11" s="5"/>
      <c r="AN11" s="5"/>
      <c r="AO11" s="13">
        <f t="shared" ref="AO11:AS11" si="35">W11</f>
        <v>0.0349503116051878</v>
      </c>
      <c r="AP11" s="13">
        <f t="shared" si="35"/>
        <v>0.0333789563729684</v>
      </c>
      <c r="AQ11" s="13">
        <f t="shared" si="35"/>
        <v>0.0343677130044843</v>
      </c>
      <c r="AR11" s="13">
        <f t="shared" si="35"/>
        <v>0.035253980288097</v>
      </c>
      <c r="AS11" s="13">
        <f t="shared" si="35"/>
        <v>0.0361364907700914</v>
      </c>
      <c r="AT11" s="17">
        <f t="shared" si="6"/>
        <v>0.0245086531226486</v>
      </c>
      <c r="AU11" s="17">
        <f t="shared" si="7"/>
        <v>0.0288043862752034</v>
      </c>
      <c r="AZ11" s="3"/>
      <c r="BA11" s="7" t="s">
        <v>235</v>
      </c>
      <c r="BB11" s="8">
        <v>238.1</v>
      </c>
      <c r="BC11" s="13">
        <v>207.5</v>
      </c>
      <c r="BD11" s="13">
        <v>195.1</v>
      </c>
      <c r="BE11" s="13">
        <v>191.6</v>
      </c>
      <c r="BF11" s="13">
        <v>186</v>
      </c>
      <c r="BG11" s="13">
        <v>193.8</v>
      </c>
      <c r="BH11" s="13">
        <v>191.6</v>
      </c>
      <c r="BI11" s="13">
        <v>191.6</v>
      </c>
      <c r="BJ11" s="5"/>
      <c r="BK11" s="5"/>
      <c r="BL11" s="11"/>
      <c r="BM11" s="11"/>
      <c r="BN11" s="11"/>
      <c r="BO11" s="11"/>
    </row>
    <row r="12" ht="15.5" spans="1:67">
      <c r="A12" s="3"/>
      <c r="B12" s="7" t="s">
        <v>236</v>
      </c>
      <c r="C12" s="8">
        <f t="shared" ref="C12:J12" si="36">BB12/1000</f>
        <v>0.4629</v>
      </c>
      <c r="D12" s="8">
        <f t="shared" si="36"/>
        <v>0.4749</v>
      </c>
      <c r="E12" s="8">
        <f t="shared" si="36"/>
        <v>0.4551</v>
      </c>
      <c r="F12" s="8">
        <f t="shared" si="36"/>
        <v>0.45</v>
      </c>
      <c r="G12" s="8">
        <f t="shared" si="36"/>
        <v>0.4459</v>
      </c>
      <c r="H12" s="8">
        <f t="shared" si="36"/>
        <v>0.4747</v>
      </c>
      <c r="I12" s="8">
        <f t="shared" si="36"/>
        <v>0.45</v>
      </c>
      <c r="J12" s="8">
        <f t="shared" si="36"/>
        <v>0.45</v>
      </c>
      <c r="K12" s="5"/>
      <c r="L12" s="5"/>
      <c r="M12" s="11">
        <v>5.937</v>
      </c>
      <c r="N12" s="11">
        <v>5.845</v>
      </c>
      <c r="O12" s="11">
        <v>5.575</v>
      </c>
      <c r="P12" s="11">
        <v>5.276</v>
      </c>
      <c r="Q12" s="11">
        <v>5.363</v>
      </c>
      <c r="R12" s="11">
        <v>6.645</v>
      </c>
      <c r="S12" s="11">
        <v>5.654</v>
      </c>
      <c r="T12" s="11"/>
      <c r="U12" s="3"/>
      <c r="V12" s="7" t="s">
        <v>236</v>
      </c>
      <c r="W12" s="13">
        <f t="shared" ref="W12:AC12" si="37">D12/M12</f>
        <v>0.0799898938858009</v>
      </c>
      <c r="X12" s="13">
        <f t="shared" si="37"/>
        <v>0.0778614200171086</v>
      </c>
      <c r="Y12" s="13">
        <f t="shared" si="37"/>
        <v>0.0807174887892377</v>
      </c>
      <c r="Z12" s="13">
        <f t="shared" si="37"/>
        <v>0.0845147839272176</v>
      </c>
      <c r="AA12" s="13">
        <f t="shared" si="37"/>
        <v>0.08851389147865</v>
      </c>
      <c r="AB12" s="16">
        <f t="shared" si="37"/>
        <v>0.0677200902934537</v>
      </c>
      <c r="AC12" s="16">
        <f t="shared" si="37"/>
        <v>0.0795896710293598</v>
      </c>
      <c r="AD12" s="5"/>
      <c r="AE12" s="5"/>
      <c r="AF12" s="13">
        <f t="shared" ref="AF12:AJ12" si="38">W12</f>
        <v>0.0799898938858009</v>
      </c>
      <c r="AG12" s="13">
        <f t="shared" si="38"/>
        <v>0.0778614200171086</v>
      </c>
      <c r="AH12" s="13">
        <f t="shared" si="38"/>
        <v>0.0807174887892377</v>
      </c>
      <c r="AI12" s="13">
        <f t="shared" si="38"/>
        <v>0.0845147839272176</v>
      </c>
      <c r="AJ12" s="13">
        <f t="shared" si="38"/>
        <v>0.08851389147865</v>
      </c>
      <c r="AK12" s="17">
        <f t="shared" si="3"/>
        <v>0.0778781038374718</v>
      </c>
      <c r="AL12" s="17">
        <f t="shared" si="4"/>
        <v>0.0915281216837637</v>
      </c>
      <c r="AM12" s="5"/>
      <c r="AN12" s="5"/>
      <c r="AO12" s="13">
        <f t="shared" ref="AO12:AS12" si="39">W12</f>
        <v>0.0799898938858009</v>
      </c>
      <c r="AP12" s="13">
        <f t="shared" si="39"/>
        <v>0.0778614200171086</v>
      </c>
      <c r="AQ12" s="13">
        <f t="shared" si="39"/>
        <v>0.0807174887892377</v>
      </c>
      <c r="AR12" s="13">
        <f t="shared" si="39"/>
        <v>0.0845147839272176</v>
      </c>
      <c r="AS12" s="13">
        <f t="shared" si="39"/>
        <v>0.08851389147865</v>
      </c>
      <c r="AT12" s="17">
        <f t="shared" si="6"/>
        <v>0.0575620767494357</v>
      </c>
      <c r="AU12" s="17">
        <f t="shared" si="7"/>
        <v>0.0676512203749558</v>
      </c>
      <c r="AZ12" s="3"/>
      <c r="BA12" s="7" t="s">
        <v>236</v>
      </c>
      <c r="BB12" s="8">
        <v>462.9</v>
      </c>
      <c r="BC12" s="13">
        <v>474.9</v>
      </c>
      <c r="BD12" s="13">
        <v>455.1</v>
      </c>
      <c r="BE12" s="13">
        <v>450</v>
      </c>
      <c r="BF12" s="13">
        <v>445.9</v>
      </c>
      <c r="BG12" s="13">
        <v>474.7</v>
      </c>
      <c r="BH12" s="13">
        <v>450</v>
      </c>
      <c r="BI12" s="13">
        <v>450</v>
      </c>
      <c r="BJ12" s="5"/>
      <c r="BK12" s="5"/>
      <c r="BL12" s="11"/>
      <c r="BM12" s="11"/>
      <c r="BN12" s="11"/>
      <c r="BO12" s="11"/>
    </row>
    <row r="13" ht="15.5" spans="1:67">
      <c r="A13" s="3"/>
      <c r="B13" s="7" t="s">
        <v>237</v>
      </c>
      <c r="C13" s="8">
        <f t="shared" ref="C13:J13" si="40">BB13/1000</f>
        <v>0.0877</v>
      </c>
      <c r="D13" s="8">
        <f t="shared" si="40"/>
        <v>0.0802</v>
      </c>
      <c r="E13" s="8">
        <f t="shared" si="40"/>
        <v>0.0772</v>
      </c>
      <c r="F13" s="8">
        <f t="shared" si="40"/>
        <v>0.0763</v>
      </c>
      <c r="G13" s="8">
        <f t="shared" si="40"/>
        <v>0.0789</v>
      </c>
      <c r="H13" s="8">
        <f t="shared" si="40"/>
        <v>0.0817</v>
      </c>
      <c r="I13" s="8">
        <f t="shared" si="40"/>
        <v>0.0763</v>
      </c>
      <c r="J13" s="8">
        <f t="shared" si="40"/>
        <v>0.0763</v>
      </c>
      <c r="K13" s="5"/>
      <c r="L13" s="5"/>
      <c r="M13" s="11">
        <v>5.937</v>
      </c>
      <c r="N13" s="11">
        <v>5.845</v>
      </c>
      <c r="O13" s="11">
        <v>5.575</v>
      </c>
      <c r="P13" s="11">
        <v>5.276</v>
      </c>
      <c r="Q13" s="11">
        <v>5.363</v>
      </c>
      <c r="R13" s="11">
        <v>6.645</v>
      </c>
      <c r="S13" s="11">
        <v>5.654</v>
      </c>
      <c r="T13" s="11"/>
      <c r="U13" s="3"/>
      <c r="V13" s="7" t="s">
        <v>237</v>
      </c>
      <c r="W13" s="13">
        <f t="shared" ref="W13:AC13" si="41">D13/M13</f>
        <v>0.0135085059794509</v>
      </c>
      <c r="X13" s="13">
        <f t="shared" si="41"/>
        <v>0.013207869974337</v>
      </c>
      <c r="Y13" s="13">
        <f t="shared" si="41"/>
        <v>0.0136860986547085</v>
      </c>
      <c r="Z13" s="13">
        <f t="shared" si="41"/>
        <v>0.0149545109931767</v>
      </c>
      <c r="AA13" s="13">
        <f t="shared" si="41"/>
        <v>0.0152340108148424</v>
      </c>
      <c r="AB13" s="16">
        <f t="shared" si="41"/>
        <v>0.0114823175319789</v>
      </c>
      <c r="AC13" s="16">
        <f t="shared" si="41"/>
        <v>0.013494870887867</v>
      </c>
      <c r="AD13" s="5"/>
      <c r="AE13" s="5"/>
      <c r="AF13" s="13">
        <f t="shared" ref="AF13:AJ13" si="42">W13</f>
        <v>0.0135085059794509</v>
      </c>
      <c r="AG13" s="13">
        <f t="shared" si="42"/>
        <v>0.013207869974337</v>
      </c>
      <c r="AH13" s="13">
        <f t="shared" si="42"/>
        <v>0.0136860986547085</v>
      </c>
      <c r="AI13" s="13">
        <f t="shared" si="42"/>
        <v>0.0149545109931767</v>
      </c>
      <c r="AJ13" s="13">
        <f t="shared" si="42"/>
        <v>0.0152340108148424</v>
      </c>
      <c r="AK13" s="17">
        <f t="shared" si="3"/>
        <v>0.0132046651617758</v>
      </c>
      <c r="AL13" s="17">
        <f t="shared" si="4"/>
        <v>0.015519101521047</v>
      </c>
      <c r="AM13" s="5"/>
      <c r="AN13" s="5"/>
      <c r="AO13" s="13">
        <f t="shared" ref="AO13:AS13" si="43">W13</f>
        <v>0.0135085059794509</v>
      </c>
      <c r="AP13" s="13">
        <f t="shared" si="43"/>
        <v>0.013207869974337</v>
      </c>
      <c r="AQ13" s="13">
        <f t="shared" si="43"/>
        <v>0.0136860986547085</v>
      </c>
      <c r="AR13" s="13">
        <f t="shared" si="43"/>
        <v>0.0149545109931767</v>
      </c>
      <c r="AS13" s="13">
        <f t="shared" si="43"/>
        <v>0.0152340108148424</v>
      </c>
      <c r="AT13" s="17">
        <f t="shared" si="6"/>
        <v>0.00975996990218209</v>
      </c>
      <c r="AU13" s="17">
        <f t="shared" si="7"/>
        <v>0.0114706402546869</v>
      </c>
      <c r="AZ13" s="3"/>
      <c r="BA13" s="7" t="s">
        <v>237</v>
      </c>
      <c r="BB13" s="8">
        <v>87.7</v>
      </c>
      <c r="BC13" s="13">
        <v>80.2</v>
      </c>
      <c r="BD13" s="13">
        <v>77.2</v>
      </c>
      <c r="BE13" s="13">
        <v>76.3</v>
      </c>
      <c r="BF13" s="13">
        <v>78.9</v>
      </c>
      <c r="BG13" s="13">
        <v>81.7</v>
      </c>
      <c r="BH13" s="13">
        <v>76.3</v>
      </c>
      <c r="BI13" s="13">
        <v>76.3</v>
      </c>
      <c r="BJ13" s="5"/>
      <c r="BK13" s="5"/>
      <c r="BL13" s="11"/>
      <c r="BM13" s="11"/>
      <c r="BN13" s="11"/>
      <c r="BO13" s="11"/>
    </row>
    <row r="14" ht="15.5" spans="1:67">
      <c r="A14" s="3" t="s">
        <v>11</v>
      </c>
      <c r="B14" s="7" t="s">
        <v>233</v>
      </c>
      <c r="C14" s="8">
        <f t="shared" ref="C14:J14" si="44">BB14/1000</f>
        <v>0.8705</v>
      </c>
      <c r="D14" s="8">
        <f t="shared" si="44"/>
        <v>0.8381</v>
      </c>
      <c r="E14" s="8">
        <f t="shared" si="44"/>
        <v>0.799</v>
      </c>
      <c r="F14" s="8">
        <f t="shared" si="44"/>
        <v>0.7882</v>
      </c>
      <c r="G14" s="8">
        <f t="shared" si="44"/>
        <v>0.7835</v>
      </c>
      <c r="H14" s="8">
        <f t="shared" si="44"/>
        <v>0.8253</v>
      </c>
      <c r="I14" s="8">
        <f t="shared" si="44"/>
        <v>0.7882</v>
      </c>
      <c r="J14" s="8">
        <f t="shared" si="44"/>
        <v>0.7882</v>
      </c>
      <c r="K14" s="5"/>
      <c r="L14" s="5"/>
      <c r="M14" s="11">
        <v>5.937</v>
      </c>
      <c r="N14" s="11">
        <v>5.845</v>
      </c>
      <c r="O14" s="11">
        <v>5.575</v>
      </c>
      <c r="P14" s="11">
        <v>5.276</v>
      </c>
      <c r="Q14" s="11">
        <v>5.363</v>
      </c>
      <c r="R14" s="11">
        <v>6.645</v>
      </c>
      <c r="S14" s="11">
        <v>5.654</v>
      </c>
      <c r="T14" s="11"/>
      <c r="U14" s="3" t="s">
        <v>11</v>
      </c>
      <c r="V14" s="7" t="s">
        <v>233</v>
      </c>
      <c r="W14" s="13">
        <f t="shared" ref="W14:AC14" si="45">D14/M14</f>
        <v>0.141165571837628</v>
      </c>
      <c r="X14" s="13">
        <f t="shared" si="45"/>
        <v>0.136698032506416</v>
      </c>
      <c r="Y14" s="13">
        <f t="shared" si="45"/>
        <v>0.141381165919283</v>
      </c>
      <c r="Z14" s="13">
        <f t="shared" si="45"/>
        <v>0.148502653525398</v>
      </c>
      <c r="AA14" s="13">
        <f t="shared" si="45"/>
        <v>0.153887749393996</v>
      </c>
      <c r="AB14" s="16">
        <f t="shared" si="45"/>
        <v>0.118615500376223</v>
      </c>
      <c r="AC14" s="16">
        <f t="shared" si="45"/>
        <v>0.139405730456314</v>
      </c>
      <c r="AD14" s="5"/>
      <c r="AE14" s="5"/>
      <c r="AF14" s="13">
        <f t="shared" ref="AF14:AJ14" si="46">W14</f>
        <v>0.141165571837628</v>
      </c>
      <c r="AG14" s="13">
        <f t="shared" si="46"/>
        <v>0.136698032506416</v>
      </c>
      <c r="AH14" s="13">
        <f t="shared" si="46"/>
        <v>0.141381165919283</v>
      </c>
      <c r="AI14" s="13">
        <f t="shared" si="46"/>
        <v>0.148502653525398</v>
      </c>
      <c r="AJ14" s="13">
        <f t="shared" si="46"/>
        <v>0.153887749393996</v>
      </c>
      <c r="AK14" s="17">
        <f t="shared" si="3"/>
        <v>0.136407825432656</v>
      </c>
      <c r="AL14" s="17">
        <f t="shared" si="4"/>
        <v>0.160316590024761</v>
      </c>
      <c r="AM14" s="5"/>
      <c r="AN14" s="5"/>
      <c r="AO14" s="13">
        <f t="shared" ref="AO14:AS14" si="47">W14</f>
        <v>0.141165571837628</v>
      </c>
      <c r="AP14" s="13">
        <f t="shared" si="47"/>
        <v>0.136698032506416</v>
      </c>
      <c r="AQ14" s="13">
        <f t="shared" si="47"/>
        <v>0.141381165919283</v>
      </c>
      <c r="AR14" s="13">
        <f t="shared" si="47"/>
        <v>0.148502653525398</v>
      </c>
      <c r="AS14" s="13">
        <f t="shared" si="47"/>
        <v>0.153887749393996</v>
      </c>
      <c r="AT14" s="17">
        <f t="shared" si="6"/>
        <v>0.100823175319789</v>
      </c>
      <c r="AU14" s="17">
        <f t="shared" si="7"/>
        <v>0.118494870887867</v>
      </c>
      <c r="AZ14" s="3" t="s">
        <v>11</v>
      </c>
      <c r="BA14" s="7" t="s">
        <v>233</v>
      </c>
      <c r="BB14" s="8">
        <v>870.5</v>
      </c>
      <c r="BC14" s="13">
        <v>838.1</v>
      </c>
      <c r="BD14" s="13">
        <v>799</v>
      </c>
      <c r="BE14" s="13">
        <v>788.2</v>
      </c>
      <c r="BF14" s="13">
        <v>783.5</v>
      </c>
      <c r="BG14" s="13">
        <v>825.3</v>
      </c>
      <c r="BH14" s="13">
        <v>788.2</v>
      </c>
      <c r="BI14" s="13">
        <v>788.2</v>
      </c>
      <c r="BJ14" s="5"/>
      <c r="BK14" s="5"/>
      <c r="BL14" s="11"/>
      <c r="BM14" s="11"/>
      <c r="BN14" s="11"/>
      <c r="BO14" s="11"/>
    </row>
    <row r="15" ht="15.5" spans="1:67">
      <c r="A15" s="3"/>
      <c r="B15" s="7" t="s">
        <v>234</v>
      </c>
      <c r="C15" s="8">
        <f t="shared" ref="C15:J15" si="48">BB15/1000</f>
        <v>0.8012</v>
      </c>
      <c r="D15" s="8">
        <f t="shared" si="48"/>
        <v>0.7738</v>
      </c>
      <c r="E15" s="8">
        <f t="shared" si="48"/>
        <v>0.7382</v>
      </c>
      <c r="F15" s="8">
        <f t="shared" si="48"/>
        <v>0.7285</v>
      </c>
      <c r="G15" s="8">
        <f t="shared" si="48"/>
        <v>0.7214</v>
      </c>
      <c r="H15" s="8">
        <f t="shared" si="48"/>
        <v>0.7613</v>
      </c>
      <c r="I15" s="8">
        <f t="shared" si="48"/>
        <v>0.7285</v>
      </c>
      <c r="J15" s="8">
        <f t="shared" si="48"/>
        <v>0.7285</v>
      </c>
      <c r="K15" s="5"/>
      <c r="L15" s="5"/>
      <c r="M15" s="11">
        <v>5.937</v>
      </c>
      <c r="N15" s="11">
        <v>5.845</v>
      </c>
      <c r="O15" s="11">
        <v>5.575</v>
      </c>
      <c r="P15" s="11">
        <v>5.276</v>
      </c>
      <c r="Q15" s="11">
        <v>5.363</v>
      </c>
      <c r="R15" s="11">
        <v>6.645</v>
      </c>
      <c r="S15" s="11">
        <v>5.654</v>
      </c>
      <c r="T15" s="11"/>
      <c r="U15" s="3"/>
      <c r="V15" s="7" t="s">
        <v>234</v>
      </c>
      <c r="W15" s="13">
        <f t="shared" ref="W15:AC15" si="49">D15/M15</f>
        <v>0.130335186120936</v>
      </c>
      <c r="X15" s="13">
        <f t="shared" si="49"/>
        <v>0.126295979469632</v>
      </c>
      <c r="Y15" s="13">
        <f t="shared" si="49"/>
        <v>0.13067264573991</v>
      </c>
      <c r="Z15" s="13">
        <f t="shared" si="49"/>
        <v>0.136732373009856</v>
      </c>
      <c r="AA15" s="13">
        <f t="shared" si="49"/>
        <v>0.141954130151035</v>
      </c>
      <c r="AB15" s="16">
        <f t="shared" si="49"/>
        <v>0.109631301730625</v>
      </c>
      <c r="AC15" s="16">
        <f t="shared" si="49"/>
        <v>0.128846834099752</v>
      </c>
      <c r="AD15" s="5"/>
      <c r="AE15" s="5"/>
      <c r="AF15" s="13">
        <f t="shared" ref="AF15:AJ15" si="50">W15</f>
        <v>0.130335186120936</v>
      </c>
      <c r="AG15" s="13">
        <f t="shared" si="50"/>
        <v>0.126295979469632</v>
      </c>
      <c r="AH15" s="13">
        <f t="shared" si="50"/>
        <v>0.13067264573991</v>
      </c>
      <c r="AI15" s="13">
        <f t="shared" si="50"/>
        <v>0.136732373009856</v>
      </c>
      <c r="AJ15" s="13">
        <f t="shared" si="50"/>
        <v>0.141954130151035</v>
      </c>
      <c r="AK15" s="17">
        <f t="shared" si="3"/>
        <v>0.126075996990218</v>
      </c>
      <c r="AL15" s="17">
        <f t="shared" si="4"/>
        <v>0.148173859214715</v>
      </c>
      <c r="AM15" s="5"/>
      <c r="AN15" s="5"/>
      <c r="AO15" s="13">
        <f t="shared" ref="AO15:AS15" si="51">W15</f>
        <v>0.130335186120936</v>
      </c>
      <c r="AP15" s="13">
        <f t="shared" si="51"/>
        <v>0.126295979469632</v>
      </c>
      <c r="AQ15" s="13">
        <f t="shared" si="51"/>
        <v>0.13067264573991</v>
      </c>
      <c r="AR15" s="13">
        <f t="shared" si="51"/>
        <v>0.136732373009856</v>
      </c>
      <c r="AS15" s="13">
        <f t="shared" si="51"/>
        <v>0.141954130151035</v>
      </c>
      <c r="AT15" s="17">
        <f t="shared" si="6"/>
        <v>0.0931866064710309</v>
      </c>
      <c r="AU15" s="17">
        <f t="shared" si="7"/>
        <v>0.10951980898479</v>
      </c>
      <c r="AZ15" s="3"/>
      <c r="BA15" s="7" t="s">
        <v>234</v>
      </c>
      <c r="BB15" s="8">
        <v>801.2</v>
      </c>
      <c r="BC15" s="13">
        <v>773.8</v>
      </c>
      <c r="BD15" s="13">
        <v>738.2</v>
      </c>
      <c r="BE15" s="13">
        <v>728.5</v>
      </c>
      <c r="BF15" s="13">
        <v>721.4</v>
      </c>
      <c r="BG15" s="13">
        <v>761.3</v>
      </c>
      <c r="BH15" s="13">
        <v>728.5</v>
      </c>
      <c r="BI15" s="13">
        <v>728.5</v>
      </c>
      <c r="BJ15" s="5"/>
      <c r="BK15" s="5"/>
      <c r="BL15" s="11"/>
      <c r="BM15" s="11"/>
      <c r="BN15" s="11"/>
      <c r="BO15" s="11"/>
    </row>
    <row r="16" ht="15.5" spans="1:67">
      <c r="A16" s="3"/>
      <c r="B16" s="7" t="s">
        <v>235</v>
      </c>
      <c r="C16" s="8">
        <f t="shared" ref="C16:J16" si="52">BB16/1000</f>
        <v>0.3021</v>
      </c>
      <c r="D16" s="8">
        <f t="shared" si="52"/>
        <v>0.2654</v>
      </c>
      <c r="E16" s="8">
        <f t="shared" si="52"/>
        <v>0.2502</v>
      </c>
      <c r="F16" s="8">
        <f t="shared" si="52"/>
        <v>0.246</v>
      </c>
      <c r="G16" s="8">
        <f t="shared" si="52"/>
        <v>0.2408</v>
      </c>
      <c r="H16" s="8">
        <f t="shared" si="52"/>
        <v>0.2506</v>
      </c>
      <c r="I16" s="8">
        <f t="shared" si="52"/>
        <v>0.246</v>
      </c>
      <c r="J16" s="8">
        <f t="shared" si="52"/>
        <v>0.246</v>
      </c>
      <c r="K16" s="5"/>
      <c r="L16" s="5"/>
      <c r="M16" s="11">
        <v>5.937</v>
      </c>
      <c r="N16" s="11">
        <v>5.845</v>
      </c>
      <c r="O16" s="11">
        <v>5.575</v>
      </c>
      <c r="P16" s="11">
        <v>5.276</v>
      </c>
      <c r="Q16" s="11">
        <v>5.363</v>
      </c>
      <c r="R16" s="11">
        <v>6.645</v>
      </c>
      <c r="S16" s="11">
        <v>5.654</v>
      </c>
      <c r="T16" s="11"/>
      <c r="U16" s="3"/>
      <c r="V16" s="7" t="s">
        <v>235</v>
      </c>
      <c r="W16" s="13">
        <f t="shared" ref="W16:AC16" si="53">D16/M16</f>
        <v>0.0447027118073101</v>
      </c>
      <c r="X16" s="13">
        <f t="shared" si="53"/>
        <v>0.0428058169375535</v>
      </c>
      <c r="Y16" s="13">
        <f t="shared" si="53"/>
        <v>0.0441255605381166</v>
      </c>
      <c r="Z16" s="13">
        <f t="shared" si="53"/>
        <v>0.0456406368460955</v>
      </c>
      <c r="AA16" s="13">
        <f t="shared" si="53"/>
        <v>0.0467275778482193</v>
      </c>
      <c r="AB16" s="16">
        <f t="shared" si="53"/>
        <v>0.037020316027088</v>
      </c>
      <c r="AC16" s="16">
        <f t="shared" si="53"/>
        <v>0.0435090201627167</v>
      </c>
      <c r="AD16" s="5"/>
      <c r="AE16" s="5"/>
      <c r="AF16" s="13">
        <f t="shared" ref="AF16:AJ16" si="54">W16</f>
        <v>0.0447027118073101</v>
      </c>
      <c r="AG16" s="13">
        <f t="shared" si="54"/>
        <v>0.0428058169375535</v>
      </c>
      <c r="AH16" s="13">
        <f t="shared" si="54"/>
        <v>0.0441255605381166</v>
      </c>
      <c r="AI16" s="13">
        <f t="shared" si="54"/>
        <v>0.0456406368460955</v>
      </c>
      <c r="AJ16" s="13">
        <f t="shared" si="54"/>
        <v>0.0467275778482193</v>
      </c>
      <c r="AK16" s="17">
        <f t="shared" si="3"/>
        <v>0.0425733634311512</v>
      </c>
      <c r="AL16" s="17">
        <f t="shared" si="4"/>
        <v>0.0500353731871242</v>
      </c>
      <c r="AM16" s="5"/>
      <c r="AN16" s="5"/>
      <c r="AO16" s="13">
        <f t="shared" ref="AO16:AS16" si="55">W16</f>
        <v>0.0447027118073101</v>
      </c>
      <c r="AP16" s="13">
        <f t="shared" si="55"/>
        <v>0.0428058169375535</v>
      </c>
      <c r="AQ16" s="13">
        <f t="shared" si="55"/>
        <v>0.0441255605381166</v>
      </c>
      <c r="AR16" s="13">
        <f t="shared" si="55"/>
        <v>0.0456406368460955</v>
      </c>
      <c r="AS16" s="13">
        <f t="shared" si="55"/>
        <v>0.0467275778482193</v>
      </c>
      <c r="AT16" s="17">
        <f t="shared" si="6"/>
        <v>0.0314672686230248</v>
      </c>
      <c r="AU16" s="17">
        <f t="shared" si="7"/>
        <v>0.0369826671383092</v>
      </c>
      <c r="AZ16" s="3"/>
      <c r="BA16" s="7" t="s">
        <v>235</v>
      </c>
      <c r="BB16" s="8">
        <v>302.1</v>
      </c>
      <c r="BC16" s="13">
        <v>265.4</v>
      </c>
      <c r="BD16" s="13">
        <v>250.2</v>
      </c>
      <c r="BE16" s="13">
        <v>246</v>
      </c>
      <c r="BF16" s="13">
        <v>240.8</v>
      </c>
      <c r="BG16" s="13">
        <v>250.6</v>
      </c>
      <c r="BH16" s="13">
        <v>246</v>
      </c>
      <c r="BI16" s="13">
        <v>246</v>
      </c>
      <c r="BJ16" s="5"/>
      <c r="BK16" s="5"/>
      <c r="BL16" s="11"/>
      <c r="BM16" s="11"/>
      <c r="BN16" s="11"/>
      <c r="BO16" s="11"/>
    </row>
    <row r="17" ht="15.5" spans="1:67">
      <c r="A17" s="3"/>
      <c r="B17" s="7" t="s">
        <v>236</v>
      </c>
      <c r="C17" s="8">
        <f t="shared" ref="C17:J17" si="56">BB17/1000</f>
        <v>0.4137</v>
      </c>
      <c r="D17" s="8">
        <f t="shared" si="56"/>
        <v>0.4304</v>
      </c>
      <c r="E17" s="8">
        <f t="shared" si="56"/>
        <v>0.4127</v>
      </c>
      <c r="F17" s="8">
        <f t="shared" si="56"/>
        <v>0.4081</v>
      </c>
      <c r="G17" s="8">
        <f t="shared" si="56"/>
        <v>0.4037</v>
      </c>
      <c r="H17" s="8">
        <f t="shared" si="56"/>
        <v>0.4311</v>
      </c>
      <c r="I17" s="8">
        <f t="shared" si="56"/>
        <v>0.4081</v>
      </c>
      <c r="J17" s="8">
        <f t="shared" si="56"/>
        <v>0.4081</v>
      </c>
      <c r="K17" s="5"/>
      <c r="L17" s="5"/>
      <c r="M17" s="11">
        <v>5.937</v>
      </c>
      <c r="N17" s="11">
        <v>5.845</v>
      </c>
      <c r="O17" s="11">
        <v>5.575</v>
      </c>
      <c r="P17" s="11">
        <v>5.276</v>
      </c>
      <c r="Q17" s="11">
        <v>5.363</v>
      </c>
      <c r="R17" s="11">
        <v>6.645</v>
      </c>
      <c r="S17" s="11">
        <v>5.654</v>
      </c>
      <c r="T17" s="11"/>
      <c r="U17" s="3"/>
      <c r="V17" s="7" t="s">
        <v>236</v>
      </c>
      <c r="W17" s="13">
        <f t="shared" ref="W17:AC17" si="57">D17/M17</f>
        <v>0.0724945258548088</v>
      </c>
      <c r="X17" s="13">
        <f t="shared" si="57"/>
        <v>0.0706073567151412</v>
      </c>
      <c r="Y17" s="13">
        <f t="shared" si="57"/>
        <v>0.0732017937219731</v>
      </c>
      <c r="Z17" s="13">
        <f t="shared" si="57"/>
        <v>0.076516300227445</v>
      </c>
      <c r="AA17" s="13">
        <f t="shared" si="57"/>
        <v>0.0803841133693828</v>
      </c>
      <c r="AB17" s="16">
        <f t="shared" si="57"/>
        <v>0.0614145974416855</v>
      </c>
      <c r="AC17" s="16">
        <f t="shared" si="57"/>
        <v>0.0721789883268483</v>
      </c>
      <c r="AD17" s="5"/>
      <c r="AE17" s="5"/>
      <c r="AF17" s="13">
        <f t="shared" ref="AF17:AJ17" si="58">W17</f>
        <v>0.0724945258548088</v>
      </c>
      <c r="AG17" s="13">
        <f t="shared" si="58"/>
        <v>0.0706073567151412</v>
      </c>
      <c r="AH17" s="13">
        <f t="shared" si="58"/>
        <v>0.0732017937219731</v>
      </c>
      <c r="AI17" s="13">
        <f t="shared" si="58"/>
        <v>0.076516300227445</v>
      </c>
      <c r="AJ17" s="13">
        <f t="shared" si="58"/>
        <v>0.0803841133693828</v>
      </c>
      <c r="AK17" s="17">
        <f t="shared" si="3"/>
        <v>0.0706267870579383</v>
      </c>
      <c r="AL17" s="17">
        <f t="shared" si="4"/>
        <v>0.0830058365758755</v>
      </c>
      <c r="AM17" s="5"/>
      <c r="AN17" s="5"/>
      <c r="AO17" s="13">
        <f t="shared" ref="AO17:AS17" si="59">W17</f>
        <v>0.0724945258548088</v>
      </c>
      <c r="AP17" s="13">
        <f t="shared" si="59"/>
        <v>0.0706073567151412</v>
      </c>
      <c r="AQ17" s="13">
        <f t="shared" si="59"/>
        <v>0.0732017937219731</v>
      </c>
      <c r="AR17" s="13">
        <f t="shared" si="59"/>
        <v>0.076516300227445</v>
      </c>
      <c r="AS17" s="13">
        <f t="shared" si="59"/>
        <v>0.0803841133693828</v>
      </c>
      <c r="AT17" s="17">
        <f t="shared" si="6"/>
        <v>0.0522024078254327</v>
      </c>
      <c r="AU17" s="17">
        <f t="shared" si="7"/>
        <v>0.061352140077821</v>
      </c>
      <c r="AZ17" s="3"/>
      <c r="BA17" s="7" t="s">
        <v>236</v>
      </c>
      <c r="BB17" s="8">
        <v>413.7</v>
      </c>
      <c r="BC17" s="13">
        <v>430.4</v>
      </c>
      <c r="BD17" s="13">
        <v>412.7</v>
      </c>
      <c r="BE17" s="13">
        <v>408.1</v>
      </c>
      <c r="BF17" s="13">
        <v>403.7</v>
      </c>
      <c r="BG17" s="13">
        <v>431.1</v>
      </c>
      <c r="BH17" s="13">
        <v>408.1</v>
      </c>
      <c r="BI17" s="13">
        <v>408.1</v>
      </c>
      <c r="BJ17" s="5"/>
      <c r="BK17" s="5"/>
      <c r="BL17" s="11"/>
      <c r="BM17" s="11"/>
      <c r="BN17" s="11"/>
      <c r="BO17" s="11"/>
    </row>
    <row r="18" ht="15.5" spans="1:67">
      <c r="A18" s="3"/>
      <c r="B18" s="7" t="s">
        <v>237</v>
      </c>
      <c r="C18" s="8">
        <f t="shared" ref="C18:J18" si="60">BB18/1000</f>
        <v>0.0853</v>
      </c>
      <c r="D18" s="8">
        <f t="shared" si="60"/>
        <v>0.0781</v>
      </c>
      <c r="E18" s="8">
        <f t="shared" si="60"/>
        <v>0.0752</v>
      </c>
      <c r="F18" s="8">
        <f t="shared" si="60"/>
        <v>0.0743</v>
      </c>
      <c r="G18" s="8">
        <f t="shared" si="60"/>
        <v>0.0768</v>
      </c>
      <c r="H18" s="8">
        <f t="shared" si="60"/>
        <v>0.0797</v>
      </c>
      <c r="I18" s="8">
        <f t="shared" si="60"/>
        <v>0.0743</v>
      </c>
      <c r="J18" s="8">
        <f t="shared" si="60"/>
        <v>0.0743</v>
      </c>
      <c r="K18" s="5"/>
      <c r="L18" s="5"/>
      <c r="M18" s="11">
        <v>5.937</v>
      </c>
      <c r="N18" s="11">
        <v>5.845</v>
      </c>
      <c r="O18" s="11">
        <v>5.575</v>
      </c>
      <c r="P18" s="11">
        <v>5.276</v>
      </c>
      <c r="Q18" s="11">
        <v>5.363</v>
      </c>
      <c r="R18" s="11">
        <v>6.645</v>
      </c>
      <c r="S18" s="11">
        <v>5.654</v>
      </c>
      <c r="T18" s="11"/>
      <c r="U18" s="3"/>
      <c r="V18" s="7" t="s">
        <v>237</v>
      </c>
      <c r="W18" s="13">
        <f t="shared" ref="W18:AC18" si="61">D18/M18</f>
        <v>0.0131547919824827</v>
      </c>
      <c r="X18" s="13">
        <f t="shared" si="61"/>
        <v>0.0128656971770744</v>
      </c>
      <c r="Y18" s="13">
        <f t="shared" si="61"/>
        <v>0.0133273542600897</v>
      </c>
      <c r="Z18" s="13">
        <f t="shared" si="61"/>
        <v>0.0145564821834723</v>
      </c>
      <c r="AA18" s="13">
        <f t="shared" si="61"/>
        <v>0.0148610852134999</v>
      </c>
      <c r="AB18" s="16">
        <f t="shared" si="61"/>
        <v>0.0111813393528969</v>
      </c>
      <c r="AC18" s="16">
        <f t="shared" si="61"/>
        <v>0.0131411390166254</v>
      </c>
      <c r="AD18" s="5"/>
      <c r="AE18" s="5"/>
      <c r="AF18" s="13">
        <f t="shared" ref="AF18:AJ18" si="62">W18</f>
        <v>0.0131547919824827</v>
      </c>
      <c r="AG18" s="13">
        <f t="shared" si="62"/>
        <v>0.0128656971770744</v>
      </c>
      <c r="AH18" s="13">
        <f t="shared" si="62"/>
        <v>0.0133273542600897</v>
      </c>
      <c r="AI18" s="13">
        <f t="shared" si="62"/>
        <v>0.0145564821834723</v>
      </c>
      <c r="AJ18" s="13">
        <f t="shared" si="62"/>
        <v>0.0148610852134999</v>
      </c>
      <c r="AK18" s="17">
        <f t="shared" si="3"/>
        <v>0.0128585402558315</v>
      </c>
      <c r="AL18" s="17">
        <f t="shared" si="4"/>
        <v>0.0151123098691192</v>
      </c>
      <c r="AM18" s="5"/>
      <c r="AN18" s="5"/>
      <c r="AO18" s="13">
        <f t="shared" ref="AO18:AS18" si="63">W18</f>
        <v>0.0131547919824827</v>
      </c>
      <c r="AP18" s="13">
        <f t="shared" si="63"/>
        <v>0.0128656971770744</v>
      </c>
      <c r="AQ18" s="13">
        <f t="shared" si="63"/>
        <v>0.0133273542600897</v>
      </c>
      <c r="AR18" s="13">
        <f t="shared" si="63"/>
        <v>0.0145564821834723</v>
      </c>
      <c r="AS18" s="13">
        <f t="shared" si="63"/>
        <v>0.0148610852134999</v>
      </c>
      <c r="AT18" s="17">
        <f t="shared" si="6"/>
        <v>0.00950413844996238</v>
      </c>
      <c r="AU18" s="17">
        <f t="shared" si="7"/>
        <v>0.0111699681641316</v>
      </c>
      <c r="AZ18" s="3"/>
      <c r="BA18" s="7" t="s">
        <v>237</v>
      </c>
      <c r="BB18" s="8">
        <v>85.3</v>
      </c>
      <c r="BC18" s="13">
        <v>78.1</v>
      </c>
      <c r="BD18" s="13">
        <v>75.2</v>
      </c>
      <c r="BE18" s="13">
        <v>74.3</v>
      </c>
      <c r="BF18" s="13">
        <v>76.8</v>
      </c>
      <c r="BG18" s="13">
        <v>79.7</v>
      </c>
      <c r="BH18" s="13">
        <v>74.3</v>
      </c>
      <c r="BI18" s="13">
        <v>74.3</v>
      </c>
      <c r="BJ18" s="5"/>
      <c r="BK18" s="5"/>
      <c r="BL18" s="11"/>
      <c r="BM18" s="11"/>
      <c r="BN18" s="11"/>
      <c r="BO18" s="11"/>
    </row>
    <row r="19" ht="15.5" spans="1:67">
      <c r="A19" s="5"/>
      <c r="B19" s="5"/>
      <c r="C19" s="4"/>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Z19" s="5"/>
      <c r="BA19" s="5"/>
      <c r="BB19" s="4"/>
      <c r="BC19" s="5"/>
      <c r="BD19" s="5"/>
      <c r="BE19" s="5"/>
      <c r="BF19" s="5"/>
      <c r="BG19" s="5"/>
      <c r="BH19" s="5"/>
      <c r="BI19" s="5"/>
      <c r="BJ19" s="5"/>
      <c r="BK19" s="5"/>
      <c r="BL19" s="5"/>
      <c r="BM19" s="5"/>
      <c r="BN19" s="5"/>
      <c r="BO19" s="5"/>
    </row>
    <row r="20" ht="15.5" spans="1:67">
      <c r="A20" s="5"/>
      <c r="B20" s="5"/>
      <c r="C20" s="4"/>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Z20" s="5"/>
      <c r="BA20" s="5"/>
      <c r="BB20" s="4"/>
      <c r="BC20" s="5"/>
      <c r="BD20" s="5"/>
      <c r="BE20" s="5"/>
      <c r="BF20" s="5"/>
      <c r="BG20" s="5"/>
      <c r="BH20" s="5"/>
      <c r="BI20" s="5"/>
      <c r="BJ20" s="5"/>
      <c r="BK20" s="5"/>
      <c r="BL20" s="5"/>
      <c r="BM20" s="5"/>
      <c r="BN20" s="5"/>
      <c r="BO20" s="5"/>
    </row>
    <row r="21" ht="15.5" spans="1:67">
      <c r="A21" s="3" t="s">
        <v>250</v>
      </c>
      <c r="B21" s="3"/>
      <c r="C21" s="3"/>
      <c r="D21" s="3"/>
      <c r="E21" s="3"/>
      <c r="F21" s="3"/>
      <c r="G21" s="3"/>
      <c r="H21" s="3"/>
      <c r="I21" s="3"/>
      <c r="J21" s="3"/>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Z21" s="3" t="s">
        <v>250</v>
      </c>
      <c r="BA21" s="3"/>
      <c r="BB21" s="3"/>
      <c r="BC21" s="3"/>
      <c r="BD21" s="3"/>
      <c r="BE21" s="3"/>
      <c r="BF21" s="3"/>
      <c r="BG21" s="3"/>
      <c r="BH21" s="3"/>
      <c r="BI21" s="3"/>
      <c r="BJ21" s="5"/>
      <c r="BK21" s="5"/>
      <c r="BL21" s="5"/>
      <c r="BM21" s="5"/>
      <c r="BN21" s="5"/>
      <c r="BO21" s="5"/>
    </row>
    <row r="22" ht="15.5" spans="1:67">
      <c r="A22" s="3" t="s">
        <v>221</v>
      </c>
      <c r="B22" s="3" t="s">
        <v>251</v>
      </c>
      <c r="C22" s="3" t="s">
        <v>223</v>
      </c>
      <c r="D22" s="3"/>
      <c r="E22" s="3"/>
      <c r="F22" s="3"/>
      <c r="G22" s="3"/>
      <c r="H22" s="3"/>
      <c r="I22" s="3"/>
      <c r="J22" s="3"/>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Z22" s="3" t="s">
        <v>221</v>
      </c>
      <c r="BA22" s="3" t="s">
        <v>251</v>
      </c>
      <c r="BB22" s="3" t="s">
        <v>223</v>
      </c>
      <c r="BC22" s="3"/>
      <c r="BD22" s="3"/>
      <c r="BE22" s="3"/>
      <c r="BF22" s="3"/>
      <c r="BG22" s="3"/>
      <c r="BH22" s="3"/>
      <c r="BI22" s="3"/>
      <c r="BJ22" s="5"/>
      <c r="BK22" s="5"/>
      <c r="BL22" s="5"/>
      <c r="BM22" s="5"/>
      <c r="BN22" s="5"/>
      <c r="BO22" s="5"/>
    </row>
    <row r="23" ht="30" spans="1:67">
      <c r="A23" s="3"/>
      <c r="B23" s="3"/>
      <c r="C23" s="4" t="s">
        <v>224</v>
      </c>
      <c r="D23" s="5" t="s">
        <v>225</v>
      </c>
      <c r="E23" s="5" t="s">
        <v>226</v>
      </c>
      <c r="F23" s="6" t="s">
        <v>227</v>
      </c>
      <c r="G23" s="5" t="s">
        <v>228</v>
      </c>
      <c r="H23" s="5" t="s">
        <v>229</v>
      </c>
      <c r="I23" s="5" t="s">
        <v>230</v>
      </c>
      <c r="J23" s="5" t="s">
        <v>231</v>
      </c>
      <c r="K23" s="5"/>
      <c r="L23" s="5"/>
      <c r="M23" s="5" t="s">
        <v>225</v>
      </c>
      <c r="N23" s="5" t="s">
        <v>226</v>
      </c>
      <c r="O23" s="5" t="s">
        <v>227</v>
      </c>
      <c r="P23" s="5" t="s">
        <v>228</v>
      </c>
      <c r="Q23" s="5" t="s">
        <v>229</v>
      </c>
      <c r="R23" s="5" t="s">
        <v>230</v>
      </c>
      <c r="S23" s="5" t="s">
        <v>231</v>
      </c>
      <c r="T23" s="5"/>
      <c r="U23" s="5"/>
      <c r="V23" s="12" t="s">
        <v>249</v>
      </c>
      <c r="W23" s="5" t="s">
        <v>225</v>
      </c>
      <c r="X23" s="5" t="s">
        <v>226</v>
      </c>
      <c r="Y23" s="6" t="s">
        <v>227</v>
      </c>
      <c r="Z23" s="5" t="s">
        <v>228</v>
      </c>
      <c r="AA23" s="5" t="s">
        <v>229</v>
      </c>
      <c r="AB23" s="15" t="s">
        <v>230</v>
      </c>
      <c r="AC23" s="15" t="s">
        <v>231</v>
      </c>
      <c r="AD23" s="5"/>
      <c r="AE23" s="5"/>
      <c r="AF23" s="5" t="s">
        <v>225</v>
      </c>
      <c r="AG23" s="5" t="s">
        <v>226</v>
      </c>
      <c r="AH23" s="6" t="s">
        <v>227</v>
      </c>
      <c r="AI23" s="5" t="s">
        <v>228</v>
      </c>
      <c r="AJ23" s="5" t="s">
        <v>229</v>
      </c>
      <c r="AK23" s="15" t="s">
        <v>230</v>
      </c>
      <c r="AL23" s="15" t="s">
        <v>231</v>
      </c>
      <c r="AM23" s="5"/>
      <c r="AN23" s="5"/>
      <c r="AO23" s="5" t="s">
        <v>225</v>
      </c>
      <c r="AP23" s="5" t="s">
        <v>226</v>
      </c>
      <c r="AQ23" s="6" t="s">
        <v>227</v>
      </c>
      <c r="AR23" s="5" t="s">
        <v>228</v>
      </c>
      <c r="AS23" s="5" t="s">
        <v>229</v>
      </c>
      <c r="AT23" s="15" t="s">
        <v>230</v>
      </c>
      <c r="AU23" s="15" t="s">
        <v>231</v>
      </c>
      <c r="AZ23" s="3"/>
      <c r="BA23" s="3"/>
      <c r="BB23" s="4" t="s">
        <v>224</v>
      </c>
      <c r="BC23" s="5" t="s">
        <v>225</v>
      </c>
      <c r="BD23" s="5" t="s">
        <v>226</v>
      </c>
      <c r="BE23" s="6" t="s">
        <v>227</v>
      </c>
      <c r="BF23" s="5" t="s">
        <v>228</v>
      </c>
      <c r="BG23" s="5" t="s">
        <v>229</v>
      </c>
      <c r="BH23" s="5" t="s">
        <v>230</v>
      </c>
      <c r="BI23" s="5" t="s">
        <v>231</v>
      </c>
      <c r="BJ23" s="5"/>
      <c r="BK23" s="5"/>
      <c r="BL23" s="5"/>
      <c r="BM23" s="5"/>
      <c r="BN23" s="5"/>
      <c r="BO23" s="5"/>
    </row>
    <row r="24" ht="15.5" spans="1:67">
      <c r="A24" s="3" t="s">
        <v>232</v>
      </c>
      <c r="B24" s="7" t="s">
        <v>233</v>
      </c>
      <c r="C24" s="8">
        <f t="shared" ref="C24:J24" si="64">BB24/1000</f>
        <v>0.8898</v>
      </c>
      <c r="D24" s="8">
        <f t="shared" si="64"/>
        <v>0.8432</v>
      </c>
      <c r="E24" s="8">
        <f t="shared" si="64"/>
        <v>0.8038</v>
      </c>
      <c r="F24" s="8">
        <f t="shared" si="64"/>
        <v>0.7946</v>
      </c>
      <c r="G24" s="8">
        <f t="shared" si="64"/>
        <v>0.7665</v>
      </c>
      <c r="H24" s="8">
        <f t="shared" si="64"/>
        <v>0.8066</v>
      </c>
      <c r="I24" s="8">
        <f t="shared" si="64"/>
        <v>0.7946</v>
      </c>
      <c r="J24" s="8">
        <f t="shared" si="64"/>
        <v>0.7946</v>
      </c>
      <c r="K24" s="5"/>
      <c r="L24" s="5"/>
      <c r="M24" s="10">
        <v>5.937</v>
      </c>
      <c r="N24" s="10">
        <v>5.845</v>
      </c>
      <c r="O24" s="10">
        <v>5.575</v>
      </c>
      <c r="P24" s="10">
        <v>5.276</v>
      </c>
      <c r="Q24" s="10">
        <v>5.363</v>
      </c>
      <c r="R24" s="10">
        <v>6.645</v>
      </c>
      <c r="S24" s="10">
        <v>5.654</v>
      </c>
      <c r="T24" s="10"/>
      <c r="U24" s="3" t="s">
        <v>232</v>
      </c>
      <c r="V24" s="7" t="s">
        <v>233</v>
      </c>
      <c r="W24" s="13">
        <f t="shared" ref="W24:AC24" si="65">D24/M24</f>
        <v>0.142024591544551</v>
      </c>
      <c r="X24" s="13">
        <f t="shared" si="65"/>
        <v>0.137519247219846</v>
      </c>
      <c r="Y24" s="13">
        <f t="shared" si="65"/>
        <v>0.142529147982063</v>
      </c>
      <c r="Z24" s="13">
        <f t="shared" si="65"/>
        <v>0.145280515542077</v>
      </c>
      <c r="AA24" s="13">
        <f t="shared" si="65"/>
        <v>0.150400895021443</v>
      </c>
      <c r="AB24" s="16">
        <f t="shared" si="65"/>
        <v>0.119578630549285</v>
      </c>
      <c r="AC24" s="16">
        <f t="shared" si="65"/>
        <v>0.140537672444287</v>
      </c>
      <c r="AD24" s="5"/>
      <c r="AE24" s="5"/>
      <c r="AF24" s="13">
        <f t="shared" ref="AF24:AJ24" si="66">W24</f>
        <v>0.142024591544551</v>
      </c>
      <c r="AG24" s="13">
        <f t="shared" si="66"/>
        <v>0.137519247219846</v>
      </c>
      <c r="AH24" s="13">
        <f t="shared" si="66"/>
        <v>0.142529147982063</v>
      </c>
      <c r="AI24" s="13">
        <f t="shared" si="66"/>
        <v>0.145280515542077</v>
      </c>
      <c r="AJ24" s="13">
        <f t="shared" si="66"/>
        <v>0.150400895021443</v>
      </c>
      <c r="AK24" s="17">
        <f t="shared" ref="AK24:AK38" si="67">AB24*1.15</f>
        <v>0.137515425131678</v>
      </c>
      <c r="AL24" s="17">
        <f t="shared" ref="AL24:AL38" si="68">AC24*1.15</f>
        <v>0.16161832331093</v>
      </c>
      <c r="AM24" s="5"/>
      <c r="AN24" s="5"/>
      <c r="AO24" s="13">
        <f t="shared" ref="AO24:AS24" si="69">W24</f>
        <v>0.142024591544551</v>
      </c>
      <c r="AP24" s="13">
        <f t="shared" si="69"/>
        <v>0.137519247219846</v>
      </c>
      <c r="AQ24" s="13">
        <f t="shared" si="69"/>
        <v>0.142529147982063</v>
      </c>
      <c r="AR24" s="13">
        <f t="shared" si="69"/>
        <v>0.145280515542077</v>
      </c>
      <c r="AS24" s="13">
        <f t="shared" si="69"/>
        <v>0.150400895021443</v>
      </c>
      <c r="AT24" s="17">
        <f t="shared" ref="AT24:AT38" si="70">AB24*0.85</f>
        <v>0.101641835966892</v>
      </c>
      <c r="AU24" s="17">
        <f t="shared" ref="AU24:AU38" si="71">AC24*0.85</f>
        <v>0.119457021577644</v>
      </c>
      <c r="AZ24" s="3" t="s">
        <v>232</v>
      </c>
      <c r="BA24" s="7" t="s">
        <v>233</v>
      </c>
      <c r="BB24" s="8">
        <v>889.8</v>
      </c>
      <c r="BC24" s="13">
        <v>843.2</v>
      </c>
      <c r="BD24" s="13">
        <v>803.8</v>
      </c>
      <c r="BE24" s="13">
        <v>794.6</v>
      </c>
      <c r="BF24" s="13">
        <v>766.5</v>
      </c>
      <c r="BG24" s="13">
        <v>806.6</v>
      </c>
      <c r="BH24" s="13">
        <v>794.6</v>
      </c>
      <c r="BI24" s="13">
        <v>794.6</v>
      </c>
      <c r="BJ24" s="5"/>
      <c r="BK24" s="5"/>
      <c r="BL24" s="10"/>
      <c r="BM24" s="10"/>
      <c r="BN24" s="10"/>
      <c r="BO24" s="10"/>
    </row>
    <row r="25" ht="15.5" spans="1:67">
      <c r="A25" s="3"/>
      <c r="B25" s="7" t="s">
        <v>234</v>
      </c>
      <c r="C25" s="8">
        <f t="shared" ref="C25:J25" si="72">BB25/1000</f>
        <v>0.8124</v>
      </c>
      <c r="D25" s="8">
        <f t="shared" si="72"/>
        <v>0.7746</v>
      </c>
      <c r="E25" s="8">
        <f t="shared" si="72"/>
        <v>0.739</v>
      </c>
      <c r="F25" s="8">
        <f t="shared" si="72"/>
        <v>0.7307</v>
      </c>
      <c r="G25" s="8">
        <f t="shared" si="72"/>
        <v>0.7045</v>
      </c>
      <c r="H25" s="8">
        <f t="shared" si="72"/>
        <v>0.7424</v>
      </c>
      <c r="I25" s="8">
        <f t="shared" si="72"/>
        <v>0.7307</v>
      </c>
      <c r="J25" s="8">
        <f t="shared" si="72"/>
        <v>0.7307</v>
      </c>
      <c r="K25" s="5"/>
      <c r="L25" s="5"/>
      <c r="M25" s="11">
        <v>5.937</v>
      </c>
      <c r="N25" s="11">
        <v>5.845</v>
      </c>
      <c r="O25" s="11">
        <v>5.575</v>
      </c>
      <c r="P25" s="11">
        <v>5.276</v>
      </c>
      <c r="Q25" s="11">
        <v>5.363</v>
      </c>
      <c r="R25" s="11">
        <v>6.645</v>
      </c>
      <c r="S25" s="11">
        <v>5.654</v>
      </c>
      <c r="T25" s="11"/>
      <c r="U25" s="3"/>
      <c r="V25" s="7" t="s">
        <v>234</v>
      </c>
      <c r="W25" s="13">
        <f t="shared" ref="W25:AC25" si="73">D25/M25</f>
        <v>0.130469934310258</v>
      </c>
      <c r="X25" s="13">
        <f t="shared" si="73"/>
        <v>0.126432848588537</v>
      </c>
      <c r="Y25" s="13">
        <f t="shared" si="73"/>
        <v>0.131067264573991</v>
      </c>
      <c r="Z25" s="13">
        <f t="shared" si="73"/>
        <v>0.133529188779378</v>
      </c>
      <c r="AA25" s="13">
        <f t="shared" si="73"/>
        <v>0.138429983218348</v>
      </c>
      <c r="AB25" s="16">
        <f t="shared" si="73"/>
        <v>0.109962377727615</v>
      </c>
      <c r="AC25" s="16">
        <f t="shared" si="73"/>
        <v>0.129235939158118</v>
      </c>
      <c r="AD25" s="5"/>
      <c r="AE25" s="5"/>
      <c r="AF25" s="13">
        <f t="shared" ref="AF25:AJ25" si="74">W25</f>
        <v>0.130469934310258</v>
      </c>
      <c r="AG25" s="13">
        <f t="shared" si="74"/>
        <v>0.126432848588537</v>
      </c>
      <c r="AH25" s="13">
        <f t="shared" si="74"/>
        <v>0.131067264573991</v>
      </c>
      <c r="AI25" s="13">
        <f t="shared" si="74"/>
        <v>0.133529188779378</v>
      </c>
      <c r="AJ25" s="13">
        <f t="shared" si="74"/>
        <v>0.138429983218348</v>
      </c>
      <c r="AK25" s="17">
        <f t="shared" si="67"/>
        <v>0.126456734386757</v>
      </c>
      <c r="AL25" s="17">
        <f t="shared" si="68"/>
        <v>0.148621330031836</v>
      </c>
      <c r="AM25" s="5"/>
      <c r="AN25" s="5"/>
      <c r="AO25" s="13">
        <f t="shared" ref="AO25:AS25" si="75">W25</f>
        <v>0.130469934310258</v>
      </c>
      <c r="AP25" s="13">
        <f t="shared" si="75"/>
        <v>0.126432848588537</v>
      </c>
      <c r="AQ25" s="13">
        <f t="shared" si="75"/>
        <v>0.131067264573991</v>
      </c>
      <c r="AR25" s="13">
        <f t="shared" si="75"/>
        <v>0.133529188779378</v>
      </c>
      <c r="AS25" s="13">
        <f t="shared" si="75"/>
        <v>0.138429983218348</v>
      </c>
      <c r="AT25" s="17">
        <f t="shared" si="70"/>
        <v>0.0934680210684725</v>
      </c>
      <c r="AU25" s="17">
        <f t="shared" si="71"/>
        <v>0.1098505482844</v>
      </c>
      <c r="AZ25" s="3"/>
      <c r="BA25" s="7" t="s">
        <v>234</v>
      </c>
      <c r="BB25" s="8">
        <v>812.4</v>
      </c>
      <c r="BC25" s="13">
        <v>774.6</v>
      </c>
      <c r="BD25" s="13">
        <v>739</v>
      </c>
      <c r="BE25" s="13">
        <v>730.7</v>
      </c>
      <c r="BF25" s="13">
        <v>704.5</v>
      </c>
      <c r="BG25" s="13">
        <v>742.4</v>
      </c>
      <c r="BH25" s="13">
        <v>730.7</v>
      </c>
      <c r="BI25" s="13">
        <v>730.7</v>
      </c>
      <c r="BJ25" s="5"/>
      <c r="BK25" s="5"/>
      <c r="BL25" s="11"/>
      <c r="BM25" s="11"/>
      <c r="BN25" s="11"/>
      <c r="BO25" s="11"/>
    </row>
    <row r="26" ht="15.5" spans="1:67">
      <c r="A26" s="3"/>
      <c r="B26" s="7" t="s">
        <v>235</v>
      </c>
      <c r="C26" s="8">
        <f t="shared" ref="C26:J26" si="76">BB26/1000</f>
        <v>0.1699</v>
      </c>
      <c r="D26" s="8">
        <f t="shared" si="76"/>
        <v>0.1497</v>
      </c>
      <c r="E26" s="8">
        <f t="shared" si="76"/>
        <v>0.1418</v>
      </c>
      <c r="F26" s="8">
        <f t="shared" si="76"/>
        <v>0.1399</v>
      </c>
      <c r="G26" s="8">
        <f t="shared" si="76"/>
        <v>0.1359</v>
      </c>
      <c r="H26" s="8">
        <f t="shared" si="76"/>
        <v>0.1408</v>
      </c>
      <c r="I26" s="8">
        <f t="shared" si="76"/>
        <v>0.1399</v>
      </c>
      <c r="J26" s="8">
        <f t="shared" si="76"/>
        <v>0.1399</v>
      </c>
      <c r="K26" s="5"/>
      <c r="L26" s="5"/>
      <c r="M26" s="11">
        <v>5.937</v>
      </c>
      <c r="N26" s="11">
        <v>5.845</v>
      </c>
      <c r="O26" s="11">
        <v>5.575</v>
      </c>
      <c r="P26" s="11">
        <v>5.276</v>
      </c>
      <c r="Q26" s="11">
        <v>5.363</v>
      </c>
      <c r="R26" s="11">
        <v>6.645</v>
      </c>
      <c r="S26" s="11">
        <v>5.654</v>
      </c>
      <c r="T26" s="11"/>
      <c r="U26" s="3"/>
      <c r="V26" s="7" t="s">
        <v>235</v>
      </c>
      <c r="W26" s="13">
        <f t="shared" ref="W26:AC26" si="77">D26/M26</f>
        <v>0.0252147549267307</v>
      </c>
      <c r="X26" s="13">
        <f t="shared" si="77"/>
        <v>0.0242600513259196</v>
      </c>
      <c r="Y26" s="13">
        <f t="shared" si="77"/>
        <v>0.0250941704035874</v>
      </c>
      <c r="Z26" s="13">
        <f t="shared" si="77"/>
        <v>0.0257581501137225</v>
      </c>
      <c r="AA26" s="13">
        <f t="shared" si="77"/>
        <v>0.0262539623345143</v>
      </c>
      <c r="AB26" s="16">
        <f t="shared" si="77"/>
        <v>0.0210534236267871</v>
      </c>
      <c r="AC26" s="16">
        <f t="shared" si="77"/>
        <v>0.0247435443933498</v>
      </c>
      <c r="AD26" s="5"/>
      <c r="AE26" s="5"/>
      <c r="AF26" s="13">
        <f t="shared" ref="AF26:AJ26" si="78">W26</f>
        <v>0.0252147549267307</v>
      </c>
      <c r="AG26" s="13">
        <f t="shared" si="78"/>
        <v>0.0242600513259196</v>
      </c>
      <c r="AH26" s="13">
        <f t="shared" si="78"/>
        <v>0.0250941704035874</v>
      </c>
      <c r="AI26" s="13">
        <f t="shared" si="78"/>
        <v>0.0257581501137225</v>
      </c>
      <c r="AJ26" s="13">
        <f t="shared" si="78"/>
        <v>0.0262539623345143</v>
      </c>
      <c r="AK26" s="17">
        <f t="shared" si="67"/>
        <v>0.0242114371708051</v>
      </c>
      <c r="AL26" s="17">
        <f t="shared" si="68"/>
        <v>0.0284550760523523</v>
      </c>
      <c r="AM26" s="5"/>
      <c r="AN26" s="5"/>
      <c r="AO26" s="13">
        <f t="shared" ref="AO26:AS26" si="79">W26</f>
        <v>0.0252147549267307</v>
      </c>
      <c r="AP26" s="13">
        <f t="shared" si="79"/>
        <v>0.0242600513259196</v>
      </c>
      <c r="AQ26" s="13">
        <f t="shared" si="79"/>
        <v>0.0250941704035874</v>
      </c>
      <c r="AR26" s="13">
        <f t="shared" si="79"/>
        <v>0.0257581501137225</v>
      </c>
      <c r="AS26" s="13">
        <f t="shared" si="79"/>
        <v>0.0262539623345143</v>
      </c>
      <c r="AT26" s="17">
        <f t="shared" si="70"/>
        <v>0.017895410082769</v>
      </c>
      <c r="AU26" s="17">
        <f t="shared" si="71"/>
        <v>0.0210320127343474</v>
      </c>
      <c r="AZ26" s="3"/>
      <c r="BA26" s="7" t="s">
        <v>235</v>
      </c>
      <c r="BB26" s="8">
        <v>169.9</v>
      </c>
      <c r="BC26" s="13">
        <v>149.7</v>
      </c>
      <c r="BD26" s="13">
        <v>141.8</v>
      </c>
      <c r="BE26" s="13">
        <v>139.9</v>
      </c>
      <c r="BF26" s="13">
        <v>135.9</v>
      </c>
      <c r="BG26" s="13">
        <v>140.8</v>
      </c>
      <c r="BH26" s="13">
        <v>139.9</v>
      </c>
      <c r="BI26" s="13">
        <v>139.9</v>
      </c>
      <c r="BJ26" s="5"/>
      <c r="BK26" s="5"/>
      <c r="BL26" s="11"/>
      <c r="BM26" s="11"/>
      <c r="BN26" s="11"/>
      <c r="BO26" s="11"/>
    </row>
    <row r="27" ht="15.5" spans="1:67">
      <c r="A27" s="3"/>
      <c r="B27" s="7" t="s">
        <v>236</v>
      </c>
      <c r="C27" s="8">
        <f t="shared" ref="C27:J27" si="80">BB27/1000</f>
        <v>0.5978</v>
      </c>
      <c r="D27" s="8">
        <f t="shared" si="80"/>
        <v>0.5807</v>
      </c>
      <c r="E27" s="8">
        <f t="shared" si="80"/>
        <v>0.554</v>
      </c>
      <c r="F27" s="8">
        <f t="shared" si="80"/>
        <v>0.5478</v>
      </c>
      <c r="G27" s="8">
        <f t="shared" si="80"/>
        <v>0.526</v>
      </c>
      <c r="H27" s="8">
        <f t="shared" si="80"/>
        <v>0.5575</v>
      </c>
      <c r="I27" s="8">
        <f t="shared" si="80"/>
        <v>0.5478</v>
      </c>
      <c r="J27" s="8">
        <f t="shared" si="80"/>
        <v>0.5478</v>
      </c>
      <c r="K27" s="5"/>
      <c r="L27" s="5"/>
      <c r="M27" s="11">
        <v>5.937</v>
      </c>
      <c r="N27" s="11">
        <v>5.845</v>
      </c>
      <c r="O27" s="11">
        <v>5.575</v>
      </c>
      <c r="P27" s="11">
        <v>5.276</v>
      </c>
      <c r="Q27" s="11">
        <v>5.363</v>
      </c>
      <c r="R27" s="11">
        <v>6.645</v>
      </c>
      <c r="S27" s="11">
        <v>5.654</v>
      </c>
      <c r="T27" s="11"/>
      <c r="U27" s="3"/>
      <c r="V27" s="7" t="s">
        <v>236</v>
      </c>
      <c r="W27" s="13">
        <f t="shared" ref="W27:AC27" si="81">D27/M27</f>
        <v>0.0978103419235304</v>
      </c>
      <c r="X27" s="13">
        <f t="shared" si="81"/>
        <v>0.0947818648417451</v>
      </c>
      <c r="Y27" s="13">
        <f t="shared" si="81"/>
        <v>0.0982600896860986</v>
      </c>
      <c r="Z27" s="13">
        <f t="shared" si="81"/>
        <v>0.099696739954511</v>
      </c>
      <c r="AA27" s="13">
        <f t="shared" si="81"/>
        <v>0.103953011374231</v>
      </c>
      <c r="AB27" s="16">
        <f t="shared" si="81"/>
        <v>0.0824379232505643</v>
      </c>
      <c r="AC27" s="16">
        <f t="shared" si="81"/>
        <v>0.0968871595330739</v>
      </c>
      <c r="AD27" s="5"/>
      <c r="AE27" s="5"/>
      <c r="AF27" s="13">
        <f t="shared" ref="AF27:AJ27" si="82">W27</f>
        <v>0.0978103419235304</v>
      </c>
      <c r="AG27" s="13">
        <f t="shared" si="82"/>
        <v>0.0947818648417451</v>
      </c>
      <c r="AH27" s="13">
        <f t="shared" si="82"/>
        <v>0.0982600896860986</v>
      </c>
      <c r="AI27" s="13">
        <f t="shared" si="82"/>
        <v>0.099696739954511</v>
      </c>
      <c r="AJ27" s="13">
        <f t="shared" si="82"/>
        <v>0.103953011374231</v>
      </c>
      <c r="AK27" s="17">
        <f t="shared" si="67"/>
        <v>0.094803611738149</v>
      </c>
      <c r="AL27" s="17">
        <f t="shared" si="68"/>
        <v>0.111420233463035</v>
      </c>
      <c r="AM27" s="5"/>
      <c r="AN27" s="5"/>
      <c r="AO27" s="13">
        <f t="shared" ref="AO27:AS27" si="83">W27</f>
        <v>0.0978103419235304</v>
      </c>
      <c r="AP27" s="13">
        <f t="shared" si="83"/>
        <v>0.0947818648417451</v>
      </c>
      <c r="AQ27" s="13">
        <f t="shared" si="83"/>
        <v>0.0982600896860986</v>
      </c>
      <c r="AR27" s="13">
        <f t="shared" si="83"/>
        <v>0.099696739954511</v>
      </c>
      <c r="AS27" s="13">
        <f t="shared" si="83"/>
        <v>0.103953011374231</v>
      </c>
      <c r="AT27" s="17">
        <f t="shared" si="70"/>
        <v>0.0700722347629797</v>
      </c>
      <c r="AU27" s="17">
        <f t="shared" si="71"/>
        <v>0.0823540856031128</v>
      </c>
      <c r="AZ27" s="3"/>
      <c r="BA27" s="7" t="s">
        <v>236</v>
      </c>
      <c r="BB27" s="8">
        <v>597.8</v>
      </c>
      <c r="BC27" s="13">
        <v>580.7</v>
      </c>
      <c r="BD27" s="13">
        <v>554</v>
      </c>
      <c r="BE27" s="13">
        <v>547.8</v>
      </c>
      <c r="BF27" s="13">
        <v>526</v>
      </c>
      <c r="BG27" s="13">
        <v>557.5</v>
      </c>
      <c r="BH27" s="13">
        <v>547.8</v>
      </c>
      <c r="BI27" s="13">
        <v>547.8</v>
      </c>
      <c r="BJ27" s="5"/>
      <c r="BK27" s="5"/>
      <c r="BL27" s="11"/>
      <c r="BM27" s="11"/>
      <c r="BN27" s="11"/>
      <c r="BO27" s="11"/>
    </row>
    <row r="28" ht="15.5" spans="1:67">
      <c r="A28" s="3"/>
      <c r="B28" s="7" t="s">
        <v>237</v>
      </c>
      <c r="C28" s="8">
        <f t="shared" ref="C28:J28" si="84">BB28/1000</f>
        <v>0.085</v>
      </c>
      <c r="D28" s="8">
        <f t="shared" si="84"/>
        <v>0.0786</v>
      </c>
      <c r="E28" s="8">
        <f t="shared" si="84"/>
        <v>0.0763</v>
      </c>
      <c r="F28" s="8">
        <f t="shared" si="84"/>
        <v>0.0759</v>
      </c>
      <c r="G28" s="8">
        <f t="shared" si="84"/>
        <v>0.0737</v>
      </c>
      <c r="H28" s="8">
        <f t="shared" si="84"/>
        <v>0.076</v>
      </c>
      <c r="I28" s="8">
        <f t="shared" si="84"/>
        <v>0.0759</v>
      </c>
      <c r="J28" s="8">
        <f t="shared" si="84"/>
        <v>0.0759</v>
      </c>
      <c r="K28" s="5"/>
      <c r="L28" s="5"/>
      <c r="M28" s="11">
        <v>5.937</v>
      </c>
      <c r="N28" s="11">
        <v>5.845</v>
      </c>
      <c r="O28" s="11">
        <v>5.575</v>
      </c>
      <c r="P28" s="11">
        <v>5.276</v>
      </c>
      <c r="Q28" s="11">
        <v>5.363</v>
      </c>
      <c r="R28" s="11">
        <v>6.645</v>
      </c>
      <c r="S28" s="11">
        <v>5.654</v>
      </c>
      <c r="T28" s="11"/>
      <c r="U28" s="3"/>
      <c r="V28" s="7" t="s">
        <v>237</v>
      </c>
      <c r="W28" s="13">
        <f t="shared" ref="W28:AC28" si="85">D28/M28</f>
        <v>0.0132390096008085</v>
      </c>
      <c r="X28" s="13">
        <f t="shared" si="85"/>
        <v>0.0130538922155689</v>
      </c>
      <c r="Y28" s="13">
        <f t="shared" si="85"/>
        <v>0.0136143497757848</v>
      </c>
      <c r="Z28" s="13">
        <f t="shared" si="85"/>
        <v>0.0139689158453374</v>
      </c>
      <c r="AA28" s="13">
        <f t="shared" si="85"/>
        <v>0.0141711728510162</v>
      </c>
      <c r="AB28" s="16">
        <f t="shared" si="85"/>
        <v>0.0114221218961625</v>
      </c>
      <c r="AC28" s="16">
        <f t="shared" si="85"/>
        <v>0.0134241245136187</v>
      </c>
      <c r="AD28" s="5"/>
      <c r="AE28" s="5"/>
      <c r="AF28" s="13">
        <f t="shared" ref="AF28:AJ28" si="86">W28</f>
        <v>0.0132390096008085</v>
      </c>
      <c r="AG28" s="13">
        <f t="shared" si="86"/>
        <v>0.0130538922155689</v>
      </c>
      <c r="AH28" s="13">
        <f t="shared" si="86"/>
        <v>0.0136143497757848</v>
      </c>
      <c r="AI28" s="13">
        <f t="shared" si="86"/>
        <v>0.0139689158453374</v>
      </c>
      <c r="AJ28" s="13">
        <f t="shared" si="86"/>
        <v>0.0141711728510162</v>
      </c>
      <c r="AK28" s="17">
        <f t="shared" si="67"/>
        <v>0.0131354401805869</v>
      </c>
      <c r="AL28" s="17">
        <f t="shared" si="68"/>
        <v>0.0154377431906615</v>
      </c>
      <c r="AM28" s="5"/>
      <c r="AN28" s="5"/>
      <c r="AO28" s="13">
        <f t="shared" ref="AO28:AS28" si="87">W28</f>
        <v>0.0132390096008085</v>
      </c>
      <c r="AP28" s="13">
        <f t="shared" si="87"/>
        <v>0.0130538922155689</v>
      </c>
      <c r="AQ28" s="13">
        <f t="shared" si="87"/>
        <v>0.0136143497757848</v>
      </c>
      <c r="AR28" s="13">
        <f t="shared" si="87"/>
        <v>0.0139689158453374</v>
      </c>
      <c r="AS28" s="13">
        <f t="shared" si="87"/>
        <v>0.0141711728510162</v>
      </c>
      <c r="AT28" s="17">
        <f t="shared" si="70"/>
        <v>0.00970880361173815</v>
      </c>
      <c r="AU28" s="17">
        <f t="shared" si="71"/>
        <v>0.0114105058365759</v>
      </c>
      <c r="AZ28" s="3"/>
      <c r="BA28" s="7" t="s">
        <v>237</v>
      </c>
      <c r="BB28" s="8">
        <v>85</v>
      </c>
      <c r="BC28" s="13">
        <v>78.6</v>
      </c>
      <c r="BD28" s="13">
        <v>76.3</v>
      </c>
      <c r="BE28" s="13">
        <v>75.9</v>
      </c>
      <c r="BF28" s="13">
        <v>73.7</v>
      </c>
      <c r="BG28" s="13">
        <v>76</v>
      </c>
      <c r="BH28" s="13">
        <v>75.9</v>
      </c>
      <c r="BI28" s="13">
        <v>75.9</v>
      </c>
      <c r="BJ28" s="5"/>
      <c r="BK28" s="5"/>
      <c r="BL28" s="11"/>
      <c r="BM28" s="11"/>
      <c r="BN28" s="11"/>
      <c r="BO28" s="11"/>
    </row>
    <row r="29" ht="15.5" spans="1:67">
      <c r="A29" s="3" t="s">
        <v>238</v>
      </c>
      <c r="B29" s="7" t="s">
        <v>233</v>
      </c>
      <c r="C29" s="8">
        <f t="shared" ref="C29:J29" si="88">BB29/1000</f>
        <v>0.9068</v>
      </c>
      <c r="D29" s="8">
        <f t="shared" si="88"/>
        <v>0.8586</v>
      </c>
      <c r="E29" s="8">
        <f t="shared" si="88"/>
        <v>0.8184</v>
      </c>
      <c r="F29" s="8">
        <f t="shared" si="88"/>
        <v>0.8091</v>
      </c>
      <c r="G29" s="8">
        <f t="shared" si="88"/>
        <v>0.7811</v>
      </c>
      <c r="H29" s="8">
        <f t="shared" si="88"/>
        <v>0.8217</v>
      </c>
      <c r="I29" s="8">
        <f t="shared" si="88"/>
        <v>0.8091</v>
      </c>
      <c r="J29" s="8">
        <f t="shared" si="88"/>
        <v>0.8091</v>
      </c>
      <c r="K29" s="5"/>
      <c r="L29" s="5"/>
      <c r="M29" s="11">
        <v>5.937</v>
      </c>
      <c r="N29" s="11">
        <v>5.845</v>
      </c>
      <c r="O29" s="11">
        <v>5.575</v>
      </c>
      <c r="P29" s="11">
        <v>5.276</v>
      </c>
      <c r="Q29" s="11">
        <v>5.363</v>
      </c>
      <c r="R29" s="11">
        <v>6.645</v>
      </c>
      <c r="S29" s="11">
        <v>5.654</v>
      </c>
      <c r="T29" s="11"/>
      <c r="U29" s="3" t="s">
        <v>238</v>
      </c>
      <c r="V29" s="7" t="s">
        <v>233</v>
      </c>
      <c r="W29" s="13">
        <f t="shared" ref="W29:AC29" si="89">D29/M29</f>
        <v>0.144618494188984</v>
      </c>
      <c r="X29" s="13">
        <f t="shared" si="89"/>
        <v>0.140017108639863</v>
      </c>
      <c r="Y29" s="13">
        <f t="shared" si="89"/>
        <v>0.145130044843049</v>
      </c>
      <c r="Z29" s="13">
        <f t="shared" si="89"/>
        <v>0.148047763457165</v>
      </c>
      <c r="AA29" s="13">
        <f t="shared" si="89"/>
        <v>0.153216483311579</v>
      </c>
      <c r="AB29" s="16">
        <f t="shared" si="89"/>
        <v>0.12176072234763</v>
      </c>
      <c r="AC29" s="16">
        <f t="shared" si="89"/>
        <v>0.143102228510789</v>
      </c>
      <c r="AD29" s="5"/>
      <c r="AE29" s="5"/>
      <c r="AF29" s="13">
        <f t="shared" ref="AF29:AJ29" si="90">W29</f>
        <v>0.144618494188984</v>
      </c>
      <c r="AG29" s="13">
        <f t="shared" si="90"/>
        <v>0.140017108639863</v>
      </c>
      <c r="AH29" s="13">
        <f t="shared" si="90"/>
        <v>0.145130044843049</v>
      </c>
      <c r="AI29" s="13">
        <f t="shared" si="90"/>
        <v>0.148047763457165</v>
      </c>
      <c r="AJ29" s="13">
        <f t="shared" si="90"/>
        <v>0.153216483311579</v>
      </c>
      <c r="AK29" s="17">
        <f t="shared" si="67"/>
        <v>0.140024830699774</v>
      </c>
      <c r="AL29" s="17">
        <f t="shared" si="68"/>
        <v>0.164567562787407</v>
      </c>
      <c r="AM29" s="5"/>
      <c r="AN29" s="5"/>
      <c r="AO29" s="13">
        <f t="shared" ref="AO29:AS29" si="91">W29</f>
        <v>0.144618494188984</v>
      </c>
      <c r="AP29" s="13">
        <f t="shared" si="91"/>
        <v>0.140017108639863</v>
      </c>
      <c r="AQ29" s="13">
        <f t="shared" si="91"/>
        <v>0.145130044843049</v>
      </c>
      <c r="AR29" s="13">
        <f t="shared" si="91"/>
        <v>0.148047763457165</v>
      </c>
      <c r="AS29" s="13">
        <f t="shared" si="91"/>
        <v>0.153216483311579</v>
      </c>
      <c r="AT29" s="17">
        <f t="shared" si="70"/>
        <v>0.103496613995485</v>
      </c>
      <c r="AU29" s="17">
        <f t="shared" si="71"/>
        <v>0.12163689423417</v>
      </c>
      <c r="AZ29" s="3" t="s">
        <v>238</v>
      </c>
      <c r="BA29" s="7" t="s">
        <v>233</v>
      </c>
      <c r="BB29" s="8">
        <v>906.8</v>
      </c>
      <c r="BC29" s="13">
        <v>858.6</v>
      </c>
      <c r="BD29" s="13">
        <v>818.4</v>
      </c>
      <c r="BE29" s="13">
        <v>809.1</v>
      </c>
      <c r="BF29" s="13">
        <v>781.1</v>
      </c>
      <c r="BG29" s="13">
        <v>821.7</v>
      </c>
      <c r="BH29" s="13">
        <v>809.1</v>
      </c>
      <c r="BI29" s="13">
        <v>809.1</v>
      </c>
      <c r="BJ29" s="5"/>
      <c r="BK29" s="5"/>
      <c r="BL29" s="11"/>
      <c r="BM29" s="11"/>
      <c r="BN29" s="11"/>
      <c r="BO29" s="11"/>
    </row>
    <row r="30" ht="15.5" spans="1:67">
      <c r="A30" s="3"/>
      <c r="B30" s="7" t="s">
        <v>234</v>
      </c>
      <c r="C30" s="8">
        <f t="shared" ref="C30:J30" si="92">BB30/1000</f>
        <v>0.8303</v>
      </c>
      <c r="D30" s="8">
        <f t="shared" si="92"/>
        <v>0.7909</v>
      </c>
      <c r="E30" s="8">
        <f t="shared" si="92"/>
        <v>0.7545</v>
      </c>
      <c r="F30" s="8">
        <f t="shared" si="92"/>
        <v>0.746</v>
      </c>
      <c r="G30" s="8">
        <f t="shared" si="92"/>
        <v>0.7199</v>
      </c>
      <c r="H30" s="8">
        <f t="shared" si="92"/>
        <v>0.7584</v>
      </c>
      <c r="I30" s="8">
        <f t="shared" si="92"/>
        <v>0.746</v>
      </c>
      <c r="J30" s="8">
        <f t="shared" si="92"/>
        <v>0.746</v>
      </c>
      <c r="K30" s="5"/>
      <c r="L30" s="5"/>
      <c r="M30" s="11">
        <v>5.937</v>
      </c>
      <c r="N30" s="11">
        <v>5.845</v>
      </c>
      <c r="O30" s="11">
        <v>5.575</v>
      </c>
      <c r="P30" s="11">
        <v>5.276</v>
      </c>
      <c r="Q30" s="11">
        <v>5.363</v>
      </c>
      <c r="R30" s="11">
        <v>6.645</v>
      </c>
      <c r="S30" s="11">
        <v>5.654</v>
      </c>
      <c r="T30" s="11"/>
      <c r="U30" s="3"/>
      <c r="V30" s="7" t="s">
        <v>234</v>
      </c>
      <c r="W30" s="13">
        <f t="shared" ref="W30:AC30" si="93">D30/M30</f>
        <v>0.133215428667677</v>
      </c>
      <c r="X30" s="13">
        <f t="shared" si="93"/>
        <v>0.129084687767322</v>
      </c>
      <c r="Y30" s="13">
        <f t="shared" si="93"/>
        <v>0.133811659192825</v>
      </c>
      <c r="Z30" s="13">
        <f t="shared" si="93"/>
        <v>0.13644806671721</v>
      </c>
      <c r="AA30" s="13">
        <f t="shared" si="93"/>
        <v>0.141413388029088</v>
      </c>
      <c r="AB30" s="16">
        <f t="shared" si="93"/>
        <v>0.112264860797592</v>
      </c>
      <c r="AC30" s="16">
        <f t="shared" si="93"/>
        <v>0.131941987973116</v>
      </c>
      <c r="AD30" s="5"/>
      <c r="AE30" s="5"/>
      <c r="AF30" s="13">
        <f t="shared" ref="AF30:AJ30" si="94">W30</f>
        <v>0.133215428667677</v>
      </c>
      <c r="AG30" s="13">
        <f t="shared" si="94"/>
        <v>0.129084687767322</v>
      </c>
      <c r="AH30" s="13">
        <f t="shared" si="94"/>
        <v>0.133811659192825</v>
      </c>
      <c r="AI30" s="13">
        <f t="shared" si="94"/>
        <v>0.13644806671721</v>
      </c>
      <c r="AJ30" s="13">
        <f t="shared" si="94"/>
        <v>0.141413388029088</v>
      </c>
      <c r="AK30" s="17">
        <f t="shared" si="67"/>
        <v>0.129104589917231</v>
      </c>
      <c r="AL30" s="17">
        <f t="shared" si="68"/>
        <v>0.151733286169084</v>
      </c>
      <c r="AM30" s="5"/>
      <c r="AN30" s="5"/>
      <c r="AO30" s="13">
        <f t="shared" ref="AO30:AS30" si="95">W30</f>
        <v>0.133215428667677</v>
      </c>
      <c r="AP30" s="13">
        <f t="shared" si="95"/>
        <v>0.129084687767322</v>
      </c>
      <c r="AQ30" s="13">
        <f t="shared" si="95"/>
        <v>0.133811659192825</v>
      </c>
      <c r="AR30" s="13">
        <f t="shared" si="95"/>
        <v>0.13644806671721</v>
      </c>
      <c r="AS30" s="13">
        <f t="shared" si="95"/>
        <v>0.141413388029088</v>
      </c>
      <c r="AT30" s="17">
        <f t="shared" si="70"/>
        <v>0.0954251316779534</v>
      </c>
      <c r="AU30" s="17">
        <f t="shared" si="71"/>
        <v>0.112150689777149</v>
      </c>
      <c r="AZ30" s="3"/>
      <c r="BA30" s="7" t="s">
        <v>234</v>
      </c>
      <c r="BB30" s="8">
        <v>830.3</v>
      </c>
      <c r="BC30" s="13">
        <v>790.9</v>
      </c>
      <c r="BD30" s="13">
        <v>754.5</v>
      </c>
      <c r="BE30" s="13">
        <v>746</v>
      </c>
      <c r="BF30" s="13">
        <v>719.9</v>
      </c>
      <c r="BG30" s="13">
        <v>758.4</v>
      </c>
      <c r="BH30" s="13">
        <v>746</v>
      </c>
      <c r="BI30" s="13">
        <v>746</v>
      </c>
      <c r="BJ30" s="5"/>
      <c r="BK30" s="5"/>
      <c r="BL30" s="11"/>
      <c r="BM30" s="11"/>
      <c r="BN30" s="11"/>
      <c r="BO30" s="11"/>
    </row>
    <row r="31" ht="15.5" spans="1:67">
      <c r="A31" s="3"/>
      <c r="B31" s="7" t="s">
        <v>235</v>
      </c>
      <c r="C31" s="8">
        <f t="shared" ref="C31:J31" si="96">BB31/1000</f>
        <v>0.2079</v>
      </c>
      <c r="D31" s="8">
        <f t="shared" si="96"/>
        <v>0.1842</v>
      </c>
      <c r="E31" s="8">
        <f t="shared" si="96"/>
        <v>0.1746</v>
      </c>
      <c r="F31" s="8">
        <f t="shared" si="96"/>
        <v>0.1724</v>
      </c>
      <c r="G31" s="8">
        <f t="shared" si="96"/>
        <v>0.1687</v>
      </c>
      <c r="H31" s="8">
        <f t="shared" si="96"/>
        <v>0.1747</v>
      </c>
      <c r="I31" s="8">
        <f t="shared" si="96"/>
        <v>0.1724</v>
      </c>
      <c r="J31" s="8">
        <f t="shared" si="96"/>
        <v>0.1724</v>
      </c>
      <c r="K31" s="5"/>
      <c r="L31" s="5"/>
      <c r="M31" s="11">
        <v>5.937</v>
      </c>
      <c r="N31" s="11">
        <v>5.845</v>
      </c>
      <c r="O31" s="11">
        <v>5.575</v>
      </c>
      <c r="P31" s="11">
        <v>5.276</v>
      </c>
      <c r="Q31" s="11">
        <v>5.363</v>
      </c>
      <c r="R31" s="11">
        <v>6.645</v>
      </c>
      <c r="S31" s="11">
        <v>5.654</v>
      </c>
      <c r="T31" s="11"/>
      <c r="U31" s="3"/>
      <c r="V31" s="7" t="s">
        <v>235</v>
      </c>
      <c r="W31" s="13">
        <f t="shared" ref="W31:AC31" si="97">D31/M31</f>
        <v>0.0310257705912077</v>
      </c>
      <c r="X31" s="13">
        <f t="shared" si="97"/>
        <v>0.0298716852010265</v>
      </c>
      <c r="Y31" s="13">
        <f t="shared" si="97"/>
        <v>0.0309237668161435</v>
      </c>
      <c r="Z31" s="13">
        <f t="shared" si="97"/>
        <v>0.0319749810462472</v>
      </c>
      <c r="AA31" s="13">
        <f t="shared" si="97"/>
        <v>0.0325750512772702</v>
      </c>
      <c r="AB31" s="16">
        <f t="shared" si="97"/>
        <v>0.0259443190368698</v>
      </c>
      <c r="AC31" s="16">
        <f t="shared" si="97"/>
        <v>0.0304916873010258</v>
      </c>
      <c r="AD31" s="5"/>
      <c r="AE31" s="5"/>
      <c r="AF31" s="13">
        <f t="shared" ref="AF31:AJ31" si="98">W31</f>
        <v>0.0310257705912077</v>
      </c>
      <c r="AG31" s="13">
        <f t="shared" si="98"/>
        <v>0.0298716852010265</v>
      </c>
      <c r="AH31" s="13">
        <f t="shared" si="98"/>
        <v>0.0309237668161435</v>
      </c>
      <c r="AI31" s="13">
        <f t="shared" si="98"/>
        <v>0.0319749810462472</v>
      </c>
      <c r="AJ31" s="13">
        <f t="shared" si="98"/>
        <v>0.0325750512772702</v>
      </c>
      <c r="AK31" s="17">
        <f t="shared" si="67"/>
        <v>0.0298359668924003</v>
      </c>
      <c r="AL31" s="17">
        <f t="shared" si="68"/>
        <v>0.0350654403961797</v>
      </c>
      <c r="AM31" s="5"/>
      <c r="AN31" s="5"/>
      <c r="AO31" s="13">
        <f t="shared" ref="AO31:AS31" si="99">W31</f>
        <v>0.0310257705912077</v>
      </c>
      <c r="AP31" s="13">
        <f t="shared" si="99"/>
        <v>0.0298716852010265</v>
      </c>
      <c r="AQ31" s="13">
        <f t="shared" si="99"/>
        <v>0.0309237668161435</v>
      </c>
      <c r="AR31" s="13">
        <f t="shared" si="99"/>
        <v>0.0319749810462472</v>
      </c>
      <c r="AS31" s="13">
        <f t="shared" si="99"/>
        <v>0.0325750512772702</v>
      </c>
      <c r="AT31" s="17">
        <f t="shared" si="70"/>
        <v>0.0220526711813394</v>
      </c>
      <c r="AU31" s="17">
        <f t="shared" si="71"/>
        <v>0.0259179342058719</v>
      </c>
      <c r="AZ31" s="3"/>
      <c r="BA31" s="7" t="s">
        <v>235</v>
      </c>
      <c r="BB31" s="8">
        <v>207.9</v>
      </c>
      <c r="BC31" s="13">
        <v>184.2</v>
      </c>
      <c r="BD31" s="13">
        <v>174.6</v>
      </c>
      <c r="BE31" s="13">
        <v>172.4</v>
      </c>
      <c r="BF31" s="13">
        <v>168.7</v>
      </c>
      <c r="BG31" s="13">
        <v>174.7</v>
      </c>
      <c r="BH31" s="13">
        <v>172.4</v>
      </c>
      <c r="BI31" s="13">
        <v>172.4</v>
      </c>
      <c r="BJ31" s="5"/>
      <c r="BK31" s="5"/>
      <c r="BL31" s="11"/>
      <c r="BM31" s="11"/>
      <c r="BN31" s="11"/>
      <c r="BO31" s="11"/>
    </row>
    <row r="32" ht="15.5" spans="1:67">
      <c r="A32" s="3"/>
      <c r="B32" s="7" t="s">
        <v>236</v>
      </c>
      <c r="C32" s="8">
        <f t="shared" ref="C32:J32" si="100">BB32/1000</f>
        <v>0.5747</v>
      </c>
      <c r="D32" s="8">
        <f t="shared" si="100"/>
        <v>0.5597</v>
      </c>
      <c r="E32" s="8">
        <f t="shared" si="100"/>
        <v>0.534</v>
      </c>
      <c r="F32" s="8">
        <f t="shared" si="100"/>
        <v>0.528</v>
      </c>
      <c r="G32" s="8">
        <f t="shared" si="100"/>
        <v>0.5061</v>
      </c>
      <c r="H32" s="8">
        <f t="shared" si="100"/>
        <v>0.5369</v>
      </c>
      <c r="I32" s="8">
        <f t="shared" si="100"/>
        <v>0.528</v>
      </c>
      <c r="J32" s="8">
        <f t="shared" si="100"/>
        <v>0.528</v>
      </c>
      <c r="K32" s="5"/>
      <c r="L32" s="5"/>
      <c r="M32" s="11">
        <v>5.937</v>
      </c>
      <c r="N32" s="11">
        <v>5.845</v>
      </c>
      <c r="O32" s="11">
        <v>5.575</v>
      </c>
      <c r="P32" s="11">
        <v>5.276</v>
      </c>
      <c r="Q32" s="11">
        <v>5.363</v>
      </c>
      <c r="R32" s="11">
        <v>6.645</v>
      </c>
      <c r="S32" s="11">
        <v>5.654</v>
      </c>
      <c r="T32" s="11"/>
      <c r="U32" s="3"/>
      <c r="V32" s="7" t="s">
        <v>236</v>
      </c>
      <c r="W32" s="13">
        <f t="shared" ref="W32:AC32" si="101">D32/M32</f>
        <v>0.0942732019538488</v>
      </c>
      <c r="X32" s="13">
        <f t="shared" si="101"/>
        <v>0.0913601368691189</v>
      </c>
      <c r="Y32" s="13">
        <f t="shared" si="101"/>
        <v>0.0947085201793722</v>
      </c>
      <c r="Z32" s="13">
        <f t="shared" si="101"/>
        <v>0.0959249431387415</v>
      </c>
      <c r="AA32" s="13">
        <f t="shared" si="101"/>
        <v>0.100111877680403</v>
      </c>
      <c r="AB32" s="16">
        <f t="shared" si="101"/>
        <v>0.0794582392776524</v>
      </c>
      <c r="AC32" s="16">
        <f t="shared" si="101"/>
        <v>0.0933852140077821</v>
      </c>
      <c r="AD32" s="5"/>
      <c r="AE32" s="5"/>
      <c r="AF32" s="13">
        <f t="shared" ref="AF32:AJ32" si="102">W32</f>
        <v>0.0942732019538488</v>
      </c>
      <c r="AG32" s="13">
        <f t="shared" si="102"/>
        <v>0.0913601368691189</v>
      </c>
      <c r="AH32" s="13">
        <f t="shared" si="102"/>
        <v>0.0947085201793722</v>
      </c>
      <c r="AI32" s="13">
        <f t="shared" si="102"/>
        <v>0.0959249431387415</v>
      </c>
      <c r="AJ32" s="13">
        <f t="shared" si="102"/>
        <v>0.100111877680403</v>
      </c>
      <c r="AK32" s="17">
        <f t="shared" si="67"/>
        <v>0.0913769751693002</v>
      </c>
      <c r="AL32" s="17">
        <f t="shared" si="68"/>
        <v>0.107392996108949</v>
      </c>
      <c r="AM32" s="5"/>
      <c r="AN32" s="5"/>
      <c r="AO32" s="13">
        <f t="shared" ref="AO32:AS32" si="103">W32</f>
        <v>0.0942732019538488</v>
      </c>
      <c r="AP32" s="13">
        <f t="shared" si="103"/>
        <v>0.0913601368691189</v>
      </c>
      <c r="AQ32" s="13">
        <f t="shared" si="103"/>
        <v>0.0947085201793722</v>
      </c>
      <c r="AR32" s="13">
        <f t="shared" si="103"/>
        <v>0.0959249431387415</v>
      </c>
      <c r="AS32" s="13">
        <f t="shared" si="103"/>
        <v>0.100111877680403</v>
      </c>
      <c r="AT32" s="17">
        <f t="shared" si="70"/>
        <v>0.0675395033860045</v>
      </c>
      <c r="AU32" s="17">
        <f t="shared" si="71"/>
        <v>0.0793774319066148</v>
      </c>
      <c r="AZ32" s="3"/>
      <c r="BA32" s="7" t="s">
        <v>236</v>
      </c>
      <c r="BB32" s="8">
        <v>574.7</v>
      </c>
      <c r="BC32" s="13">
        <v>559.7</v>
      </c>
      <c r="BD32" s="13">
        <v>534</v>
      </c>
      <c r="BE32" s="13">
        <v>528</v>
      </c>
      <c r="BF32" s="13">
        <v>506.1</v>
      </c>
      <c r="BG32" s="13">
        <v>536.9</v>
      </c>
      <c r="BH32" s="13">
        <v>528</v>
      </c>
      <c r="BI32" s="13">
        <v>528</v>
      </c>
      <c r="BJ32" s="5"/>
      <c r="BK32" s="5"/>
      <c r="BL32" s="11"/>
      <c r="BM32" s="11"/>
      <c r="BN32" s="11"/>
      <c r="BO32" s="11"/>
    </row>
    <row r="33" ht="15.5" spans="1:67">
      <c r="A33" s="3"/>
      <c r="B33" s="7" t="s">
        <v>237</v>
      </c>
      <c r="C33" s="8">
        <f t="shared" ref="C33:J33" si="104">BB33/1000</f>
        <v>0.088</v>
      </c>
      <c r="D33" s="8">
        <f t="shared" si="104"/>
        <v>0.0814</v>
      </c>
      <c r="E33" s="8">
        <f t="shared" si="104"/>
        <v>0.079</v>
      </c>
      <c r="F33" s="8">
        <f t="shared" si="104"/>
        <v>0.0785</v>
      </c>
      <c r="G33" s="8">
        <f t="shared" si="104"/>
        <v>0.0764</v>
      </c>
      <c r="H33" s="8">
        <f t="shared" si="104"/>
        <v>0.0787</v>
      </c>
      <c r="I33" s="8">
        <f t="shared" si="104"/>
        <v>0.0785</v>
      </c>
      <c r="J33" s="8">
        <f t="shared" si="104"/>
        <v>0.0785</v>
      </c>
      <c r="K33" s="5"/>
      <c r="L33" s="5"/>
      <c r="M33" s="11">
        <v>5.937</v>
      </c>
      <c r="N33" s="11">
        <v>5.845</v>
      </c>
      <c r="O33" s="11">
        <v>5.575</v>
      </c>
      <c r="P33" s="11">
        <v>5.276</v>
      </c>
      <c r="Q33" s="11">
        <v>5.363</v>
      </c>
      <c r="R33" s="11">
        <v>6.645</v>
      </c>
      <c r="S33" s="11">
        <v>5.654</v>
      </c>
      <c r="T33" s="11"/>
      <c r="U33" s="3"/>
      <c r="V33" s="7" t="s">
        <v>237</v>
      </c>
      <c r="W33" s="13">
        <f t="shared" ref="W33:AC33" si="105">D33/M33</f>
        <v>0.0137106282634327</v>
      </c>
      <c r="X33" s="13">
        <f t="shared" si="105"/>
        <v>0.0135158254918734</v>
      </c>
      <c r="Y33" s="13">
        <f t="shared" si="105"/>
        <v>0.0140807174887892</v>
      </c>
      <c r="Z33" s="13">
        <f t="shared" si="105"/>
        <v>0.0144806671721001</v>
      </c>
      <c r="AA33" s="13">
        <f t="shared" si="105"/>
        <v>0.0146746224128286</v>
      </c>
      <c r="AB33" s="16">
        <f t="shared" si="105"/>
        <v>0.0118133935289691</v>
      </c>
      <c r="AC33" s="16">
        <f t="shared" si="105"/>
        <v>0.0138839759462328</v>
      </c>
      <c r="AD33" s="5"/>
      <c r="AE33" s="5"/>
      <c r="AF33" s="13">
        <f t="shared" ref="AF33:AJ33" si="106">W33</f>
        <v>0.0137106282634327</v>
      </c>
      <c r="AG33" s="13">
        <f t="shared" si="106"/>
        <v>0.0135158254918734</v>
      </c>
      <c r="AH33" s="13">
        <f t="shared" si="106"/>
        <v>0.0140807174887892</v>
      </c>
      <c r="AI33" s="13">
        <f t="shared" si="106"/>
        <v>0.0144806671721001</v>
      </c>
      <c r="AJ33" s="13">
        <f t="shared" si="106"/>
        <v>0.0146746224128286</v>
      </c>
      <c r="AK33" s="17">
        <f t="shared" si="67"/>
        <v>0.0135854025583145</v>
      </c>
      <c r="AL33" s="17">
        <f t="shared" si="68"/>
        <v>0.0159665723381677</v>
      </c>
      <c r="AM33" s="5"/>
      <c r="AN33" s="5"/>
      <c r="AO33" s="13">
        <f t="shared" ref="AO33:AS33" si="107">W33</f>
        <v>0.0137106282634327</v>
      </c>
      <c r="AP33" s="13">
        <f t="shared" si="107"/>
        <v>0.0135158254918734</v>
      </c>
      <c r="AQ33" s="13">
        <f t="shared" si="107"/>
        <v>0.0140807174887892</v>
      </c>
      <c r="AR33" s="13">
        <f t="shared" si="107"/>
        <v>0.0144806671721001</v>
      </c>
      <c r="AS33" s="13">
        <f t="shared" si="107"/>
        <v>0.0146746224128286</v>
      </c>
      <c r="AT33" s="17">
        <f t="shared" si="70"/>
        <v>0.0100413844996238</v>
      </c>
      <c r="AU33" s="17">
        <f t="shared" si="71"/>
        <v>0.0118013795542978</v>
      </c>
      <c r="AZ33" s="3"/>
      <c r="BA33" s="7" t="s">
        <v>237</v>
      </c>
      <c r="BB33" s="8">
        <v>88</v>
      </c>
      <c r="BC33" s="13">
        <v>81.4</v>
      </c>
      <c r="BD33" s="13">
        <v>79</v>
      </c>
      <c r="BE33" s="13">
        <v>78.5</v>
      </c>
      <c r="BF33" s="13">
        <v>76.4</v>
      </c>
      <c r="BG33" s="13">
        <v>78.7</v>
      </c>
      <c r="BH33" s="13">
        <v>78.5</v>
      </c>
      <c r="BI33" s="13">
        <v>78.5</v>
      </c>
      <c r="BJ33" s="5"/>
      <c r="BK33" s="5"/>
      <c r="BL33" s="11"/>
      <c r="BM33" s="11"/>
      <c r="BN33" s="11"/>
      <c r="BO33" s="11"/>
    </row>
    <row r="34" ht="15.5" spans="1:67">
      <c r="A34" s="3" t="s">
        <v>11</v>
      </c>
      <c r="B34" s="7" t="s">
        <v>233</v>
      </c>
      <c r="C34" s="8">
        <f t="shared" ref="C34:J34" si="108">BB34/1000</f>
        <v>0.9217</v>
      </c>
      <c r="D34" s="8">
        <f t="shared" si="108"/>
        <v>0.8721</v>
      </c>
      <c r="E34" s="8">
        <f t="shared" si="108"/>
        <v>0.8313</v>
      </c>
      <c r="F34" s="8">
        <f t="shared" si="108"/>
        <v>0.8218</v>
      </c>
      <c r="G34" s="8">
        <f t="shared" si="108"/>
        <v>0.794</v>
      </c>
      <c r="H34" s="8">
        <f t="shared" si="108"/>
        <v>0.835</v>
      </c>
      <c r="I34" s="8">
        <f t="shared" si="108"/>
        <v>0.8218</v>
      </c>
      <c r="J34" s="8">
        <f t="shared" si="108"/>
        <v>0.8218</v>
      </c>
      <c r="K34" s="5"/>
      <c r="L34" s="5"/>
      <c r="M34" s="11">
        <v>5.937</v>
      </c>
      <c r="N34" s="11">
        <v>5.845</v>
      </c>
      <c r="O34" s="11">
        <v>5.575</v>
      </c>
      <c r="P34" s="11">
        <v>5.276</v>
      </c>
      <c r="Q34" s="11">
        <v>5.363</v>
      </c>
      <c r="R34" s="11">
        <v>6.645</v>
      </c>
      <c r="S34" s="11">
        <v>5.654</v>
      </c>
      <c r="T34" s="11"/>
      <c r="U34" s="3" t="s">
        <v>11</v>
      </c>
      <c r="V34" s="7" t="s">
        <v>233</v>
      </c>
      <c r="W34" s="13">
        <f t="shared" ref="W34:AC34" si="109">D34/M34</f>
        <v>0.14689236988378</v>
      </c>
      <c r="X34" s="13">
        <f t="shared" si="109"/>
        <v>0.142224123182207</v>
      </c>
      <c r="Y34" s="13">
        <f t="shared" si="109"/>
        <v>0.147408071748879</v>
      </c>
      <c r="Z34" s="13">
        <f t="shared" si="109"/>
        <v>0.15049279757392</v>
      </c>
      <c r="AA34" s="13">
        <f t="shared" si="109"/>
        <v>0.155696438560507</v>
      </c>
      <c r="AB34" s="16">
        <f t="shared" si="109"/>
        <v>0.123671933784801</v>
      </c>
      <c r="AC34" s="16">
        <f t="shared" si="109"/>
        <v>0.145348425893173</v>
      </c>
      <c r="AD34" s="5"/>
      <c r="AE34" s="5"/>
      <c r="AF34" s="13">
        <f t="shared" ref="AF34:AJ34" si="110">W34</f>
        <v>0.14689236988378</v>
      </c>
      <c r="AG34" s="13">
        <f t="shared" si="110"/>
        <v>0.142224123182207</v>
      </c>
      <c r="AH34" s="13">
        <f t="shared" si="110"/>
        <v>0.147408071748879</v>
      </c>
      <c r="AI34" s="13">
        <f t="shared" si="110"/>
        <v>0.15049279757392</v>
      </c>
      <c r="AJ34" s="13">
        <f t="shared" si="110"/>
        <v>0.155696438560507</v>
      </c>
      <c r="AK34" s="17">
        <f t="shared" si="67"/>
        <v>0.142222723852521</v>
      </c>
      <c r="AL34" s="17">
        <f t="shared" si="68"/>
        <v>0.167150689777149</v>
      </c>
      <c r="AM34" s="5"/>
      <c r="AN34" s="5"/>
      <c r="AO34" s="13">
        <f t="shared" ref="AO34:AS34" si="111">W34</f>
        <v>0.14689236988378</v>
      </c>
      <c r="AP34" s="13">
        <f t="shared" si="111"/>
        <v>0.142224123182207</v>
      </c>
      <c r="AQ34" s="13">
        <f t="shared" si="111"/>
        <v>0.147408071748879</v>
      </c>
      <c r="AR34" s="13">
        <f t="shared" si="111"/>
        <v>0.15049279757392</v>
      </c>
      <c r="AS34" s="13">
        <f t="shared" si="111"/>
        <v>0.155696438560507</v>
      </c>
      <c r="AT34" s="17">
        <f t="shared" si="70"/>
        <v>0.105121143717081</v>
      </c>
      <c r="AU34" s="17">
        <f t="shared" si="71"/>
        <v>0.123546162009197</v>
      </c>
      <c r="AZ34" s="3" t="s">
        <v>11</v>
      </c>
      <c r="BA34" s="7" t="s">
        <v>233</v>
      </c>
      <c r="BB34" s="8">
        <v>921.7</v>
      </c>
      <c r="BC34" s="13">
        <v>872.1</v>
      </c>
      <c r="BD34" s="13">
        <v>831.3</v>
      </c>
      <c r="BE34" s="13">
        <v>821.8</v>
      </c>
      <c r="BF34" s="13">
        <v>794</v>
      </c>
      <c r="BG34" s="13">
        <v>835</v>
      </c>
      <c r="BH34" s="13">
        <v>821.8</v>
      </c>
      <c r="BI34" s="13">
        <v>821.8</v>
      </c>
      <c r="BJ34" s="5"/>
      <c r="BK34" s="5"/>
      <c r="BL34" s="11"/>
      <c r="BM34" s="11"/>
      <c r="BN34" s="11"/>
      <c r="BO34" s="11"/>
    </row>
    <row r="35" ht="15.5" spans="1:67">
      <c r="A35" s="3"/>
      <c r="B35" s="7" t="s">
        <v>234</v>
      </c>
      <c r="C35" s="8">
        <f t="shared" ref="C35:J35" si="112">BB35/1000</f>
        <v>0.8422</v>
      </c>
      <c r="D35" s="8">
        <f t="shared" si="112"/>
        <v>0.8018</v>
      </c>
      <c r="E35" s="8">
        <f t="shared" si="112"/>
        <v>0.7648</v>
      </c>
      <c r="F35" s="8">
        <f t="shared" si="112"/>
        <v>0.7562</v>
      </c>
      <c r="G35" s="8">
        <f t="shared" si="112"/>
        <v>0.7302</v>
      </c>
      <c r="H35" s="8">
        <f t="shared" si="112"/>
        <v>0.7691</v>
      </c>
      <c r="I35" s="8">
        <f t="shared" si="112"/>
        <v>0.7562</v>
      </c>
      <c r="J35" s="8">
        <f t="shared" si="112"/>
        <v>0.7562</v>
      </c>
      <c r="K35" s="5"/>
      <c r="L35" s="5"/>
      <c r="M35" s="11">
        <v>5.937</v>
      </c>
      <c r="N35" s="11">
        <v>5.845</v>
      </c>
      <c r="O35" s="11">
        <v>5.575</v>
      </c>
      <c r="P35" s="11">
        <v>5.276</v>
      </c>
      <c r="Q35" s="11">
        <v>5.363</v>
      </c>
      <c r="R35" s="11">
        <v>6.645</v>
      </c>
      <c r="S35" s="11">
        <v>5.654</v>
      </c>
      <c r="T35" s="11"/>
      <c r="U35" s="3"/>
      <c r="V35" s="7" t="s">
        <v>234</v>
      </c>
      <c r="W35" s="13">
        <f t="shared" ref="W35:AC35" si="113">D35/M35</f>
        <v>0.135051372747179</v>
      </c>
      <c r="X35" s="13">
        <f t="shared" si="113"/>
        <v>0.130846877673225</v>
      </c>
      <c r="Y35" s="13">
        <f t="shared" si="113"/>
        <v>0.135641255605381</v>
      </c>
      <c r="Z35" s="13">
        <f t="shared" si="113"/>
        <v>0.138400303260046</v>
      </c>
      <c r="AA35" s="13">
        <f t="shared" si="113"/>
        <v>0.143408539996271</v>
      </c>
      <c r="AB35" s="16">
        <f t="shared" si="113"/>
        <v>0.11379984951091</v>
      </c>
      <c r="AC35" s="16">
        <f t="shared" si="113"/>
        <v>0.133746020516449</v>
      </c>
      <c r="AD35" s="5"/>
      <c r="AE35" s="5"/>
      <c r="AF35" s="13">
        <f t="shared" ref="AF35:AJ35" si="114">W35</f>
        <v>0.135051372747179</v>
      </c>
      <c r="AG35" s="13">
        <f t="shared" si="114"/>
        <v>0.130846877673225</v>
      </c>
      <c r="AH35" s="13">
        <f t="shared" si="114"/>
        <v>0.135641255605381</v>
      </c>
      <c r="AI35" s="13">
        <f t="shared" si="114"/>
        <v>0.138400303260046</v>
      </c>
      <c r="AJ35" s="13">
        <f t="shared" si="114"/>
        <v>0.143408539996271</v>
      </c>
      <c r="AK35" s="17">
        <f t="shared" si="67"/>
        <v>0.130869826937547</v>
      </c>
      <c r="AL35" s="17">
        <f t="shared" si="68"/>
        <v>0.153807923593916</v>
      </c>
      <c r="AM35" s="5"/>
      <c r="AN35" s="5"/>
      <c r="AO35" s="13">
        <f t="shared" ref="AO35:AS35" si="115">W35</f>
        <v>0.135051372747179</v>
      </c>
      <c r="AP35" s="13">
        <f t="shared" si="115"/>
        <v>0.130846877673225</v>
      </c>
      <c r="AQ35" s="13">
        <f t="shared" si="115"/>
        <v>0.135641255605381</v>
      </c>
      <c r="AR35" s="13">
        <f t="shared" si="115"/>
        <v>0.138400303260046</v>
      </c>
      <c r="AS35" s="13">
        <f t="shared" si="115"/>
        <v>0.143408539996271</v>
      </c>
      <c r="AT35" s="17">
        <f t="shared" si="70"/>
        <v>0.0967298720842739</v>
      </c>
      <c r="AU35" s="17">
        <f t="shared" si="71"/>
        <v>0.113684117438981</v>
      </c>
      <c r="AZ35" s="3"/>
      <c r="BA35" s="7" t="s">
        <v>234</v>
      </c>
      <c r="BB35" s="8">
        <v>842.2</v>
      </c>
      <c r="BC35" s="13">
        <v>801.8</v>
      </c>
      <c r="BD35" s="13">
        <v>764.8</v>
      </c>
      <c r="BE35" s="13">
        <v>756.2</v>
      </c>
      <c r="BF35" s="13">
        <v>730.2</v>
      </c>
      <c r="BG35" s="13">
        <v>769.1</v>
      </c>
      <c r="BH35" s="13">
        <v>756.2</v>
      </c>
      <c r="BI35" s="13">
        <v>756.2</v>
      </c>
      <c r="BJ35" s="5"/>
      <c r="BK35" s="5"/>
      <c r="BL35" s="11"/>
      <c r="BM35" s="11"/>
      <c r="BN35" s="11"/>
      <c r="BO35" s="11"/>
    </row>
    <row r="36" ht="15.5" spans="1:67">
      <c r="A36" s="3"/>
      <c r="B36" s="7" t="s">
        <v>235</v>
      </c>
      <c r="C36" s="8">
        <f t="shared" ref="C36:J36" si="116">BB36/1000</f>
        <v>0.2694</v>
      </c>
      <c r="D36" s="8">
        <f t="shared" si="116"/>
        <v>0.2401</v>
      </c>
      <c r="E36" s="8">
        <f t="shared" si="116"/>
        <v>0.2278</v>
      </c>
      <c r="F36" s="8">
        <f t="shared" si="116"/>
        <v>0.2249</v>
      </c>
      <c r="G36" s="8">
        <f t="shared" si="116"/>
        <v>0.2217</v>
      </c>
      <c r="H36" s="8">
        <f t="shared" si="116"/>
        <v>0.2296</v>
      </c>
      <c r="I36" s="8">
        <f t="shared" si="116"/>
        <v>0.2249</v>
      </c>
      <c r="J36" s="8">
        <f t="shared" si="116"/>
        <v>0.2249</v>
      </c>
      <c r="K36" s="5"/>
      <c r="L36" s="5"/>
      <c r="M36" s="11">
        <v>5.937</v>
      </c>
      <c r="N36" s="11">
        <v>5.845</v>
      </c>
      <c r="O36" s="11">
        <v>5.575</v>
      </c>
      <c r="P36" s="11">
        <v>5.276</v>
      </c>
      <c r="Q36" s="11">
        <v>5.363</v>
      </c>
      <c r="R36" s="11">
        <v>6.645</v>
      </c>
      <c r="S36" s="11">
        <v>5.654</v>
      </c>
      <c r="T36" s="11"/>
      <c r="U36" s="3"/>
      <c r="V36" s="7" t="s">
        <v>235</v>
      </c>
      <c r="W36" s="13">
        <f t="shared" ref="W36:AC36" si="117">D36/M36</f>
        <v>0.0404413003200269</v>
      </c>
      <c r="X36" s="13">
        <f t="shared" si="117"/>
        <v>0.0389734816082122</v>
      </c>
      <c r="Y36" s="13">
        <f t="shared" si="117"/>
        <v>0.0403408071748879</v>
      </c>
      <c r="Z36" s="13">
        <f t="shared" si="117"/>
        <v>0.0420204700530705</v>
      </c>
      <c r="AA36" s="13">
        <f t="shared" si="117"/>
        <v>0.0428118590341227</v>
      </c>
      <c r="AB36" s="16">
        <f t="shared" si="117"/>
        <v>0.0338449962377728</v>
      </c>
      <c r="AC36" s="16">
        <f t="shared" si="117"/>
        <v>0.0397771489211178</v>
      </c>
      <c r="AD36" s="5"/>
      <c r="AE36" s="5"/>
      <c r="AF36" s="13">
        <f t="shared" ref="AF36:AJ36" si="118">W36</f>
        <v>0.0404413003200269</v>
      </c>
      <c r="AG36" s="13">
        <f t="shared" si="118"/>
        <v>0.0389734816082122</v>
      </c>
      <c r="AH36" s="13">
        <f t="shared" si="118"/>
        <v>0.0403408071748879</v>
      </c>
      <c r="AI36" s="13">
        <f t="shared" si="118"/>
        <v>0.0420204700530705</v>
      </c>
      <c r="AJ36" s="13">
        <f t="shared" si="118"/>
        <v>0.0428118590341227</v>
      </c>
      <c r="AK36" s="17">
        <f t="shared" si="67"/>
        <v>0.0389217456734387</v>
      </c>
      <c r="AL36" s="17">
        <f t="shared" si="68"/>
        <v>0.0457437212592855</v>
      </c>
      <c r="AM36" s="5"/>
      <c r="AN36" s="5"/>
      <c r="AO36" s="13">
        <f t="shared" ref="AO36:AS36" si="119">W36</f>
        <v>0.0404413003200269</v>
      </c>
      <c r="AP36" s="13">
        <f t="shared" si="119"/>
        <v>0.0389734816082122</v>
      </c>
      <c r="AQ36" s="13">
        <f t="shared" si="119"/>
        <v>0.0403408071748879</v>
      </c>
      <c r="AR36" s="13">
        <f t="shared" si="119"/>
        <v>0.0420204700530705</v>
      </c>
      <c r="AS36" s="13">
        <f t="shared" si="119"/>
        <v>0.0428118590341227</v>
      </c>
      <c r="AT36" s="17">
        <f t="shared" si="70"/>
        <v>0.0287682468021069</v>
      </c>
      <c r="AU36" s="17">
        <f t="shared" si="71"/>
        <v>0.0338105765829501</v>
      </c>
      <c r="AZ36" s="3"/>
      <c r="BA36" s="7" t="s">
        <v>235</v>
      </c>
      <c r="BB36" s="8">
        <v>269.4</v>
      </c>
      <c r="BC36" s="13">
        <v>240.1</v>
      </c>
      <c r="BD36" s="13">
        <v>227.8</v>
      </c>
      <c r="BE36" s="13">
        <v>224.9</v>
      </c>
      <c r="BF36" s="13">
        <v>221.7</v>
      </c>
      <c r="BG36" s="13">
        <v>229.6</v>
      </c>
      <c r="BH36" s="13">
        <v>224.9</v>
      </c>
      <c r="BI36" s="13">
        <v>224.9</v>
      </c>
      <c r="BJ36" s="5"/>
      <c r="BK36" s="5"/>
      <c r="BL36" s="11"/>
      <c r="BM36" s="11"/>
      <c r="BN36" s="11"/>
      <c r="BO36" s="11"/>
    </row>
    <row r="37" ht="15.5" spans="1:67">
      <c r="A37" s="3"/>
      <c r="B37" s="7" t="s">
        <v>236</v>
      </c>
      <c r="C37" s="8">
        <f t="shared" ref="C37:J37" si="120">BB37/1000</f>
        <v>0.5273</v>
      </c>
      <c r="D37" s="8">
        <f t="shared" si="120"/>
        <v>0.5167</v>
      </c>
      <c r="E37" s="8">
        <f t="shared" si="120"/>
        <v>0.4931</v>
      </c>
      <c r="F37" s="8">
        <f t="shared" si="120"/>
        <v>0.4875</v>
      </c>
      <c r="G37" s="8">
        <f t="shared" si="120"/>
        <v>0.4653</v>
      </c>
      <c r="H37" s="8">
        <f t="shared" si="120"/>
        <v>0.4946</v>
      </c>
      <c r="I37" s="8">
        <f t="shared" si="120"/>
        <v>0.4875</v>
      </c>
      <c r="J37" s="8">
        <f t="shared" si="120"/>
        <v>0.4875</v>
      </c>
      <c r="K37" s="5"/>
      <c r="L37" s="5"/>
      <c r="M37" s="11">
        <v>5.937</v>
      </c>
      <c r="N37" s="11">
        <v>5.845</v>
      </c>
      <c r="O37" s="11">
        <v>5.575</v>
      </c>
      <c r="P37" s="11">
        <v>5.276</v>
      </c>
      <c r="Q37" s="11">
        <v>5.363</v>
      </c>
      <c r="R37" s="11">
        <v>6.645</v>
      </c>
      <c r="S37" s="11">
        <v>5.654</v>
      </c>
      <c r="T37" s="11"/>
      <c r="U37" s="3"/>
      <c r="V37" s="7" t="s">
        <v>236</v>
      </c>
      <c r="W37" s="13">
        <f t="shared" ref="W37:AC37" si="121">D37/M37</f>
        <v>0.0870304867778339</v>
      </c>
      <c r="X37" s="13">
        <f t="shared" si="121"/>
        <v>0.0843627031650984</v>
      </c>
      <c r="Y37" s="13">
        <f t="shared" si="121"/>
        <v>0.0874439461883408</v>
      </c>
      <c r="Z37" s="13">
        <f t="shared" si="121"/>
        <v>0.0881918119787718</v>
      </c>
      <c r="AA37" s="13">
        <f t="shared" si="121"/>
        <v>0.0922245012120082</v>
      </c>
      <c r="AB37" s="16">
        <f t="shared" si="121"/>
        <v>0.0733634311512415</v>
      </c>
      <c r="AC37" s="16">
        <f t="shared" si="121"/>
        <v>0.0862221436151397</v>
      </c>
      <c r="AD37" s="5"/>
      <c r="AE37" s="5"/>
      <c r="AF37" s="13">
        <f t="shared" ref="AF37:AJ37" si="122">W37</f>
        <v>0.0870304867778339</v>
      </c>
      <c r="AG37" s="13">
        <f t="shared" si="122"/>
        <v>0.0843627031650984</v>
      </c>
      <c r="AH37" s="13">
        <f t="shared" si="122"/>
        <v>0.0874439461883408</v>
      </c>
      <c r="AI37" s="13">
        <f t="shared" si="122"/>
        <v>0.0881918119787718</v>
      </c>
      <c r="AJ37" s="13">
        <f t="shared" si="122"/>
        <v>0.0922245012120082</v>
      </c>
      <c r="AK37" s="17">
        <f t="shared" si="67"/>
        <v>0.0843679458239278</v>
      </c>
      <c r="AL37" s="17">
        <f t="shared" si="68"/>
        <v>0.0991554651574107</v>
      </c>
      <c r="AM37" s="5"/>
      <c r="AN37" s="5"/>
      <c r="AO37" s="13">
        <f t="shared" ref="AO37:AS37" si="123">W37</f>
        <v>0.0870304867778339</v>
      </c>
      <c r="AP37" s="13">
        <f t="shared" si="123"/>
        <v>0.0843627031650984</v>
      </c>
      <c r="AQ37" s="13">
        <f t="shared" si="123"/>
        <v>0.0874439461883408</v>
      </c>
      <c r="AR37" s="13">
        <f t="shared" si="123"/>
        <v>0.0881918119787718</v>
      </c>
      <c r="AS37" s="13">
        <f t="shared" si="123"/>
        <v>0.0922245012120082</v>
      </c>
      <c r="AT37" s="17">
        <f t="shared" si="70"/>
        <v>0.0623589164785553</v>
      </c>
      <c r="AU37" s="17">
        <f t="shared" si="71"/>
        <v>0.0732888220728688</v>
      </c>
      <c r="AZ37" s="3"/>
      <c r="BA37" s="7" t="s">
        <v>236</v>
      </c>
      <c r="BB37" s="8">
        <v>527.3</v>
      </c>
      <c r="BC37" s="13">
        <v>516.7</v>
      </c>
      <c r="BD37" s="13">
        <v>493.1</v>
      </c>
      <c r="BE37" s="13">
        <v>487.5</v>
      </c>
      <c r="BF37" s="13">
        <v>465.3</v>
      </c>
      <c r="BG37" s="13">
        <v>494.6</v>
      </c>
      <c r="BH37" s="13">
        <v>487.5</v>
      </c>
      <c r="BI37" s="13">
        <v>487.5</v>
      </c>
      <c r="BJ37" s="5"/>
      <c r="BK37" s="5"/>
      <c r="BL37" s="11"/>
      <c r="BM37" s="11"/>
      <c r="BN37" s="11"/>
      <c r="BO37" s="11"/>
    </row>
    <row r="38" ht="15.5" spans="1:67">
      <c r="A38" s="3"/>
      <c r="B38" s="7" t="s">
        <v>237</v>
      </c>
      <c r="C38" s="8">
        <f t="shared" ref="C38:J38" si="124">BB38/1000</f>
        <v>0.0858</v>
      </c>
      <c r="D38" s="8">
        <f t="shared" si="124"/>
        <v>0.0793</v>
      </c>
      <c r="E38" s="8">
        <f t="shared" si="124"/>
        <v>0.0771</v>
      </c>
      <c r="F38" s="8">
        <f t="shared" si="124"/>
        <v>0.0766</v>
      </c>
      <c r="G38" s="8">
        <f t="shared" si="124"/>
        <v>0.0744</v>
      </c>
      <c r="H38" s="8">
        <f t="shared" si="124"/>
        <v>0.0767</v>
      </c>
      <c r="I38" s="8">
        <f t="shared" si="124"/>
        <v>0.0766</v>
      </c>
      <c r="J38" s="8">
        <f t="shared" si="124"/>
        <v>0.0766</v>
      </c>
      <c r="K38" s="5"/>
      <c r="L38" s="5"/>
      <c r="M38" s="11">
        <v>5.937</v>
      </c>
      <c r="N38" s="11">
        <v>5.845</v>
      </c>
      <c r="O38" s="11">
        <v>5.575</v>
      </c>
      <c r="P38" s="11">
        <v>5.276</v>
      </c>
      <c r="Q38" s="11">
        <v>5.363</v>
      </c>
      <c r="R38" s="11">
        <v>6.645</v>
      </c>
      <c r="S38" s="11">
        <v>5.654</v>
      </c>
      <c r="T38" s="11"/>
      <c r="U38" s="3"/>
      <c r="V38" s="7" t="s">
        <v>237</v>
      </c>
      <c r="W38" s="13">
        <f t="shared" ref="W38:AC38" si="125">D38/M38</f>
        <v>0.0133569142664645</v>
      </c>
      <c r="X38" s="13">
        <f t="shared" si="125"/>
        <v>0.0131907613344739</v>
      </c>
      <c r="Y38" s="13">
        <f t="shared" si="125"/>
        <v>0.0137399103139013</v>
      </c>
      <c r="Z38" s="13">
        <f t="shared" si="125"/>
        <v>0.0141015921152388</v>
      </c>
      <c r="AA38" s="13">
        <f t="shared" si="125"/>
        <v>0.0143016968114861</v>
      </c>
      <c r="AB38" s="16">
        <f t="shared" si="125"/>
        <v>0.0115274642588412</v>
      </c>
      <c r="AC38" s="16">
        <f t="shared" si="125"/>
        <v>0.0135479306685532</v>
      </c>
      <c r="AD38" s="5"/>
      <c r="AE38" s="5"/>
      <c r="AF38" s="13">
        <f t="shared" ref="AF38:AJ38" si="126">W38</f>
        <v>0.0133569142664645</v>
      </c>
      <c r="AG38" s="13">
        <f t="shared" si="126"/>
        <v>0.0131907613344739</v>
      </c>
      <c r="AH38" s="13">
        <f t="shared" si="126"/>
        <v>0.0137399103139013</v>
      </c>
      <c r="AI38" s="13">
        <f t="shared" si="126"/>
        <v>0.0141015921152388</v>
      </c>
      <c r="AJ38" s="13">
        <f t="shared" si="126"/>
        <v>0.0143016968114861</v>
      </c>
      <c r="AK38" s="17">
        <f t="shared" si="67"/>
        <v>0.0132565838976674</v>
      </c>
      <c r="AL38" s="17">
        <f t="shared" si="68"/>
        <v>0.0155801202688362</v>
      </c>
      <c r="AM38" s="5"/>
      <c r="AN38" s="5"/>
      <c r="AO38" s="13">
        <f t="shared" ref="AO38:AS38" si="127">W38</f>
        <v>0.0133569142664645</v>
      </c>
      <c r="AP38" s="13">
        <f t="shared" si="127"/>
        <v>0.0131907613344739</v>
      </c>
      <c r="AQ38" s="13">
        <f t="shared" si="127"/>
        <v>0.0137399103139013</v>
      </c>
      <c r="AR38" s="13">
        <f t="shared" si="127"/>
        <v>0.0141015921152388</v>
      </c>
      <c r="AS38" s="13">
        <f t="shared" si="127"/>
        <v>0.0143016968114861</v>
      </c>
      <c r="AT38" s="17">
        <f t="shared" si="70"/>
        <v>0.00979834462001505</v>
      </c>
      <c r="AU38" s="17">
        <f t="shared" si="71"/>
        <v>0.0115157410682703</v>
      </c>
      <c r="AZ38" s="3"/>
      <c r="BA38" s="7" t="s">
        <v>237</v>
      </c>
      <c r="BB38" s="8">
        <v>85.8</v>
      </c>
      <c r="BC38" s="13">
        <v>79.3</v>
      </c>
      <c r="BD38" s="13">
        <v>77.1</v>
      </c>
      <c r="BE38" s="13">
        <v>76.6</v>
      </c>
      <c r="BF38" s="13">
        <v>74.4</v>
      </c>
      <c r="BG38" s="13">
        <v>76.7</v>
      </c>
      <c r="BH38" s="13">
        <v>76.6</v>
      </c>
      <c r="BI38" s="13">
        <v>76.6</v>
      </c>
      <c r="BJ38" s="5"/>
      <c r="BK38" s="5"/>
      <c r="BL38" s="11"/>
      <c r="BM38" s="11"/>
      <c r="BN38" s="11"/>
      <c r="BO38" s="11"/>
    </row>
    <row r="39" ht="15.5" spans="1:67">
      <c r="A39" s="5"/>
      <c r="B39" s="5"/>
      <c r="C39" s="4"/>
      <c r="D39" s="5"/>
      <c r="E39" s="5"/>
      <c r="F39" s="5"/>
      <c r="G39" s="5"/>
      <c r="H39" s="5"/>
      <c r="I39" s="5"/>
      <c r="J39" s="5"/>
      <c r="K39" s="5"/>
      <c r="L39" s="5"/>
      <c r="M39" s="5"/>
      <c r="N39" s="5"/>
      <c r="O39" s="5"/>
      <c r="P39" s="5"/>
      <c r="Q39" s="5"/>
      <c r="R39" s="5"/>
      <c r="S39" s="5"/>
      <c r="T39" s="5"/>
      <c r="AZ39" s="5"/>
      <c r="BA39" s="5"/>
      <c r="BB39" s="4"/>
      <c r="BC39" s="5"/>
      <c r="BD39" s="5"/>
      <c r="BE39" s="5"/>
      <c r="BF39" s="5"/>
      <c r="BG39" s="5"/>
      <c r="BH39" s="5"/>
      <c r="BI39" s="5"/>
      <c r="BJ39" s="5"/>
      <c r="BK39" s="5"/>
      <c r="BL39" s="5"/>
      <c r="BM39" s="5"/>
      <c r="BN39" s="5"/>
      <c r="BO39" s="5"/>
    </row>
    <row r="40" ht="15.5" spans="1:67">
      <c r="A40" s="5"/>
      <c r="B40" s="5"/>
      <c r="C40" s="4"/>
      <c r="D40" s="5"/>
      <c r="E40" s="5"/>
      <c r="F40" s="5"/>
      <c r="G40" s="5"/>
      <c r="H40" s="5"/>
      <c r="I40" s="5"/>
      <c r="J40" s="5"/>
      <c r="K40" s="5"/>
      <c r="L40" s="5"/>
      <c r="M40" s="5"/>
      <c r="N40" s="5"/>
      <c r="O40" s="5"/>
      <c r="P40" s="5"/>
      <c r="Q40" s="5"/>
      <c r="R40" s="5"/>
      <c r="S40" s="5"/>
      <c r="T40" s="5"/>
      <c r="AZ40" s="5"/>
      <c r="BA40" s="5"/>
      <c r="BB40" s="4"/>
      <c r="BC40" s="5"/>
      <c r="BD40" s="5"/>
      <c r="BE40" s="5"/>
      <c r="BF40" s="5"/>
      <c r="BG40" s="5"/>
      <c r="BH40" s="5"/>
      <c r="BI40" s="5"/>
      <c r="BJ40" s="5"/>
      <c r="BK40" s="5"/>
      <c r="BL40" s="5"/>
      <c r="BM40" s="5"/>
      <c r="BN40" s="5"/>
      <c r="BO40" s="5"/>
    </row>
    <row r="41" ht="15.5" spans="1:67">
      <c r="A41" s="3" t="s">
        <v>252</v>
      </c>
      <c r="B41" s="3"/>
      <c r="C41" s="3"/>
      <c r="D41" s="3"/>
      <c r="E41" s="3"/>
      <c r="F41" s="3"/>
      <c r="G41" s="3"/>
      <c r="H41" s="3"/>
      <c r="I41" s="3"/>
      <c r="J41" s="3"/>
      <c r="K41" s="5"/>
      <c r="L41" s="5"/>
      <c r="M41" s="5"/>
      <c r="N41" s="5"/>
      <c r="O41" s="5"/>
      <c r="P41" s="5"/>
      <c r="Q41" s="5"/>
      <c r="R41" s="5"/>
      <c r="S41" s="5"/>
      <c r="T41" s="5"/>
      <c r="AZ41" s="3" t="s">
        <v>252</v>
      </c>
      <c r="BA41" s="3"/>
      <c r="BB41" s="3"/>
      <c r="BC41" s="3"/>
      <c r="BD41" s="3"/>
      <c r="BE41" s="3"/>
      <c r="BF41" s="3"/>
      <c r="BG41" s="3"/>
      <c r="BH41" s="3"/>
      <c r="BI41" s="3"/>
      <c r="BJ41" s="5"/>
      <c r="BK41" s="5"/>
      <c r="BL41" s="5"/>
      <c r="BM41" s="5"/>
      <c r="BN41" s="5"/>
      <c r="BO41" s="5"/>
    </row>
    <row r="42" ht="15.5" spans="1:67">
      <c r="A42" s="3" t="s">
        <v>221</v>
      </c>
      <c r="B42" s="3" t="s">
        <v>251</v>
      </c>
      <c r="C42" s="3" t="s">
        <v>223</v>
      </c>
      <c r="D42" s="3"/>
      <c r="E42" s="3"/>
      <c r="F42" s="3"/>
      <c r="G42" s="3"/>
      <c r="H42" s="3"/>
      <c r="I42" s="3"/>
      <c r="J42" s="3"/>
      <c r="K42" s="5"/>
      <c r="L42" s="5"/>
      <c r="M42" s="5"/>
      <c r="N42" s="5"/>
      <c r="O42" s="5"/>
      <c r="P42" s="5"/>
      <c r="Q42" s="5"/>
      <c r="R42" s="5"/>
      <c r="S42" s="5"/>
      <c r="T42" s="5"/>
      <c r="AZ42" s="3" t="s">
        <v>221</v>
      </c>
      <c r="BA42" s="3" t="s">
        <v>251</v>
      </c>
      <c r="BB42" s="3" t="s">
        <v>223</v>
      </c>
      <c r="BC42" s="3"/>
      <c r="BD42" s="3"/>
      <c r="BE42" s="3"/>
      <c r="BF42" s="3"/>
      <c r="BG42" s="3"/>
      <c r="BH42" s="3"/>
      <c r="BI42" s="3"/>
      <c r="BJ42" s="5"/>
      <c r="BK42" s="5"/>
      <c r="BL42" s="5"/>
      <c r="BM42" s="5"/>
      <c r="BN42" s="5"/>
      <c r="BO42" s="5"/>
    </row>
    <row r="43" ht="30" spans="1:67">
      <c r="A43" s="3"/>
      <c r="B43" s="3"/>
      <c r="C43" s="4" t="s">
        <v>224</v>
      </c>
      <c r="D43" s="5" t="s">
        <v>225</v>
      </c>
      <c r="E43" s="5" t="s">
        <v>226</v>
      </c>
      <c r="F43" s="6" t="s">
        <v>227</v>
      </c>
      <c r="G43" s="5" t="s">
        <v>228</v>
      </c>
      <c r="H43" s="5" t="s">
        <v>229</v>
      </c>
      <c r="I43" s="5" t="s">
        <v>230</v>
      </c>
      <c r="J43" s="5" t="s">
        <v>231</v>
      </c>
      <c r="K43" s="5"/>
      <c r="L43" s="5"/>
      <c r="M43" s="5" t="s">
        <v>225</v>
      </c>
      <c r="N43" s="5" t="s">
        <v>226</v>
      </c>
      <c r="O43" s="5" t="s">
        <v>227</v>
      </c>
      <c r="P43" s="5" t="s">
        <v>228</v>
      </c>
      <c r="Q43" s="5" t="s">
        <v>229</v>
      </c>
      <c r="R43" s="5" t="s">
        <v>230</v>
      </c>
      <c r="S43" s="5" t="s">
        <v>231</v>
      </c>
      <c r="T43" s="5"/>
      <c r="U43" s="5"/>
      <c r="V43" s="12" t="s">
        <v>249</v>
      </c>
      <c r="W43" s="5" t="s">
        <v>225</v>
      </c>
      <c r="X43" s="5" t="s">
        <v>226</v>
      </c>
      <c r="Y43" s="6" t="s">
        <v>227</v>
      </c>
      <c r="Z43" s="5" t="s">
        <v>228</v>
      </c>
      <c r="AA43" s="5" t="s">
        <v>229</v>
      </c>
      <c r="AB43" s="15" t="s">
        <v>230</v>
      </c>
      <c r="AC43" s="15" t="s">
        <v>231</v>
      </c>
      <c r="AD43" s="5"/>
      <c r="AE43" s="5"/>
      <c r="AF43" s="5" t="s">
        <v>225</v>
      </c>
      <c r="AG43" s="5" t="s">
        <v>226</v>
      </c>
      <c r="AH43" s="6" t="s">
        <v>227</v>
      </c>
      <c r="AI43" s="5" t="s">
        <v>228</v>
      </c>
      <c r="AJ43" s="5" t="s">
        <v>229</v>
      </c>
      <c r="AK43" s="15" t="s">
        <v>230</v>
      </c>
      <c r="AL43" s="15" t="s">
        <v>231</v>
      </c>
      <c r="AO43" s="5" t="s">
        <v>225</v>
      </c>
      <c r="AP43" s="5" t="s">
        <v>226</v>
      </c>
      <c r="AQ43" s="6" t="s">
        <v>227</v>
      </c>
      <c r="AR43" s="5" t="s">
        <v>228</v>
      </c>
      <c r="AS43" s="5" t="s">
        <v>229</v>
      </c>
      <c r="AT43" s="15" t="s">
        <v>230</v>
      </c>
      <c r="AU43" s="15" t="s">
        <v>231</v>
      </c>
      <c r="AZ43" s="3"/>
      <c r="BA43" s="3"/>
      <c r="BB43" s="4" t="s">
        <v>224</v>
      </c>
      <c r="BC43" s="5" t="s">
        <v>225</v>
      </c>
      <c r="BD43" s="5" t="s">
        <v>226</v>
      </c>
      <c r="BE43" s="6" t="s">
        <v>227</v>
      </c>
      <c r="BF43" s="5" t="s">
        <v>228</v>
      </c>
      <c r="BG43" s="5" t="s">
        <v>229</v>
      </c>
      <c r="BH43" s="5" t="s">
        <v>230</v>
      </c>
      <c r="BI43" s="5" t="s">
        <v>231</v>
      </c>
      <c r="BJ43" s="5"/>
      <c r="BK43" s="5"/>
      <c r="BL43" s="5"/>
      <c r="BM43" s="5"/>
      <c r="BN43" s="5"/>
      <c r="BO43" s="5"/>
    </row>
    <row r="44" ht="15.5" spans="1:67">
      <c r="A44" s="3" t="s">
        <v>232</v>
      </c>
      <c r="B44" s="7" t="s">
        <v>233</v>
      </c>
      <c r="C44" s="8">
        <f t="shared" ref="C44:J44" si="128">BB44/1000</f>
        <v>0.6652</v>
      </c>
      <c r="D44" s="8">
        <f t="shared" si="128"/>
        <v>0.5864</v>
      </c>
      <c r="E44" s="8">
        <f t="shared" si="128"/>
        <v>0.5679</v>
      </c>
      <c r="F44" s="8">
        <f t="shared" si="128"/>
        <v>0.5636</v>
      </c>
      <c r="G44" s="8">
        <f t="shared" si="128"/>
        <v>0.5409</v>
      </c>
      <c r="H44" s="8">
        <f t="shared" si="128"/>
        <v>0.5521</v>
      </c>
      <c r="I44" s="8">
        <f t="shared" si="128"/>
        <v>0.5636</v>
      </c>
      <c r="J44" s="8">
        <f t="shared" si="128"/>
        <v>0.5636</v>
      </c>
      <c r="K44" s="5"/>
      <c r="L44" s="5"/>
      <c r="M44" s="10">
        <v>5.937</v>
      </c>
      <c r="N44" s="10">
        <v>5.845</v>
      </c>
      <c r="O44" s="10">
        <v>5.575</v>
      </c>
      <c r="P44" s="10">
        <v>5.276</v>
      </c>
      <c r="Q44" s="10">
        <v>5.363</v>
      </c>
      <c r="R44" s="10">
        <v>6.645</v>
      </c>
      <c r="S44" s="10">
        <v>5.654</v>
      </c>
      <c r="T44" s="10"/>
      <c r="U44" s="3" t="s">
        <v>232</v>
      </c>
      <c r="V44" s="7" t="s">
        <v>233</v>
      </c>
      <c r="W44" s="13">
        <f t="shared" ref="W44:AC44" si="129">D44/M44</f>
        <v>0.098770422772444</v>
      </c>
      <c r="X44" s="13">
        <f t="shared" si="129"/>
        <v>0.0971599657827203</v>
      </c>
      <c r="Y44" s="13">
        <f t="shared" si="129"/>
        <v>0.101094170403587</v>
      </c>
      <c r="Z44" s="13">
        <f t="shared" si="129"/>
        <v>0.102520849128127</v>
      </c>
      <c r="AA44" s="13">
        <f t="shared" si="129"/>
        <v>0.102946112250606</v>
      </c>
      <c r="AB44" s="16">
        <f t="shared" si="129"/>
        <v>0.0848156508653123</v>
      </c>
      <c r="AC44" s="16">
        <f t="shared" si="129"/>
        <v>0.0996816413158826</v>
      </c>
      <c r="AD44" s="5"/>
      <c r="AE44" s="5"/>
      <c r="AF44" s="13">
        <f t="shared" ref="AF44:AJ44" si="130">W44</f>
        <v>0.098770422772444</v>
      </c>
      <c r="AG44" s="13">
        <f t="shared" si="130"/>
        <v>0.0971599657827203</v>
      </c>
      <c r="AH44" s="13">
        <f t="shared" si="130"/>
        <v>0.101094170403587</v>
      </c>
      <c r="AI44" s="13">
        <f t="shared" si="130"/>
        <v>0.102520849128127</v>
      </c>
      <c r="AJ44" s="13">
        <f t="shared" si="130"/>
        <v>0.102946112250606</v>
      </c>
      <c r="AK44" s="17">
        <f t="shared" ref="AK44:AK58" si="131">AB44*1.15</f>
        <v>0.0975379984951091</v>
      </c>
      <c r="AL44" s="17">
        <f t="shared" ref="AL44:AL58" si="132">AC44*1.15</f>
        <v>0.114633887513265</v>
      </c>
      <c r="AO44" s="13">
        <f t="shared" ref="AO44:AS44" si="133">W44</f>
        <v>0.098770422772444</v>
      </c>
      <c r="AP44" s="13">
        <f t="shared" si="133"/>
        <v>0.0971599657827203</v>
      </c>
      <c r="AQ44" s="13">
        <f t="shared" si="133"/>
        <v>0.101094170403587</v>
      </c>
      <c r="AR44" s="13">
        <f t="shared" si="133"/>
        <v>0.102520849128127</v>
      </c>
      <c r="AS44" s="13">
        <f t="shared" si="133"/>
        <v>0.102946112250606</v>
      </c>
      <c r="AT44" s="17">
        <f t="shared" ref="AT44:AT58" si="134">AB44*0.85</f>
        <v>0.0720933032355154</v>
      </c>
      <c r="AU44" s="17">
        <f t="shared" ref="AU44:AU58" si="135">AC44*0.85</f>
        <v>0.0847293951185002</v>
      </c>
      <c r="AZ44" s="3" t="s">
        <v>232</v>
      </c>
      <c r="BA44" s="7" t="s">
        <v>233</v>
      </c>
      <c r="BB44" s="8">
        <v>665.2</v>
      </c>
      <c r="BC44" s="13">
        <v>586.4</v>
      </c>
      <c r="BD44" s="13">
        <v>567.9</v>
      </c>
      <c r="BE44" s="13">
        <v>563.6</v>
      </c>
      <c r="BF44" s="13">
        <v>540.9</v>
      </c>
      <c r="BG44" s="13">
        <v>552.1</v>
      </c>
      <c r="BH44" s="13">
        <v>563.6</v>
      </c>
      <c r="BI44" s="13">
        <v>563.6</v>
      </c>
      <c r="BJ44" s="5"/>
      <c r="BK44" s="5"/>
      <c r="BL44" s="10"/>
      <c r="BM44" s="10"/>
      <c r="BN44" s="10"/>
      <c r="BO44" s="10"/>
    </row>
    <row r="45" ht="15.5" spans="1:67">
      <c r="A45" s="3"/>
      <c r="B45" s="7" t="s">
        <v>234</v>
      </c>
      <c r="C45" s="8">
        <f t="shared" ref="C45:J45" si="136">BB45/1000</f>
        <v>0.6092</v>
      </c>
      <c r="D45" s="8">
        <f t="shared" si="136"/>
        <v>0.5396</v>
      </c>
      <c r="E45" s="8">
        <f t="shared" si="136"/>
        <v>0.5232</v>
      </c>
      <c r="F45" s="8">
        <f t="shared" si="136"/>
        <v>0.5193</v>
      </c>
      <c r="G45" s="8">
        <f t="shared" si="136"/>
        <v>0.499</v>
      </c>
      <c r="H45" s="8">
        <f t="shared" si="136"/>
        <v>0.5091</v>
      </c>
      <c r="I45" s="8">
        <f t="shared" si="136"/>
        <v>0.5193</v>
      </c>
      <c r="J45" s="8">
        <f t="shared" si="136"/>
        <v>0.5193</v>
      </c>
      <c r="K45" s="5"/>
      <c r="L45" s="5"/>
      <c r="M45" s="11">
        <v>5.937</v>
      </c>
      <c r="N45" s="11">
        <v>5.845</v>
      </c>
      <c r="O45" s="11">
        <v>5.575</v>
      </c>
      <c r="P45" s="11">
        <v>5.276</v>
      </c>
      <c r="Q45" s="11">
        <v>5.363</v>
      </c>
      <c r="R45" s="11">
        <v>6.645</v>
      </c>
      <c r="S45" s="11">
        <v>5.654</v>
      </c>
      <c r="T45" s="11"/>
      <c r="U45" s="3"/>
      <c r="V45" s="7" t="s">
        <v>234</v>
      </c>
      <c r="W45" s="13">
        <f t="shared" ref="W45:AC45" si="137">D45/M45</f>
        <v>0.0908876536971534</v>
      </c>
      <c r="X45" s="13">
        <f t="shared" si="137"/>
        <v>0.0895124037639008</v>
      </c>
      <c r="Y45" s="13">
        <f t="shared" si="137"/>
        <v>0.0931479820627803</v>
      </c>
      <c r="Z45" s="13">
        <f t="shared" si="137"/>
        <v>0.094579226686884</v>
      </c>
      <c r="AA45" s="13">
        <f t="shared" si="137"/>
        <v>0.0949282118217415</v>
      </c>
      <c r="AB45" s="16">
        <f t="shared" si="137"/>
        <v>0.0781489841986456</v>
      </c>
      <c r="AC45" s="16">
        <f t="shared" si="137"/>
        <v>0.0918464803678811</v>
      </c>
      <c r="AD45" s="5"/>
      <c r="AE45" s="5"/>
      <c r="AF45" s="13">
        <f t="shared" ref="AF45:AJ45" si="138">W45</f>
        <v>0.0908876536971534</v>
      </c>
      <c r="AG45" s="13">
        <f t="shared" si="138"/>
        <v>0.0895124037639008</v>
      </c>
      <c r="AH45" s="13">
        <f t="shared" si="138"/>
        <v>0.0931479820627803</v>
      </c>
      <c r="AI45" s="13">
        <f t="shared" si="138"/>
        <v>0.094579226686884</v>
      </c>
      <c r="AJ45" s="13">
        <f t="shared" si="138"/>
        <v>0.0949282118217415</v>
      </c>
      <c r="AK45" s="17">
        <f t="shared" si="131"/>
        <v>0.0898713318284424</v>
      </c>
      <c r="AL45" s="17">
        <f t="shared" si="132"/>
        <v>0.105623452423063</v>
      </c>
      <c r="AO45" s="13">
        <f t="shared" ref="AO45:AS45" si="139">W45</f>
        <v>0.0908876536971534</v>
      </c>
      <c r="AP45" s="13">
        <f t="shared" si="139"/>
        <v>0.0895124037639008</v>
      </c>
      <c r="AQ45" s="13">
        <f t="shared" si="139"/>
        <v>0.0931479820627803</v>
      </c>
      <c r="AR45" s="13">
        <f t="shared" si="139"/>
        <v>0.094579226686884</v>
      </c>
      <c r="AS45" s="13">
        <f t="shared" si="139"/>
        <v>0.0949282118217415</v>
      </c>
      <c r="AT45" s="17">
        <f t="shared" si="134"/>
        <v>0.0664266365688488</v>
      </c>
      <c r="AU45" s="17">
        <f t="shared" si="135"/>
        <v>0.078069508312699</v>
      </c>
      <c r="AZ45" s="3"/>
      <c r="BA45" s="7" t="s">
        <v>234</v>
      </c>
      <c r="BB45" s="8">
        <v>609.2</v>
      </c>
      <c r="BC45" s="13">
        <v>539.6</v>
      </c>
      <c r="BD45" s="13">
        <v>523.2</v>
      </c>
      <c r="BE45" s="13">
        <v>519.3</v>
      </c>
      <c r="BF45" s="13">
        <v>499</v>
      </c>
      <c r="BG45" s="13">
        <v>509.1</v>
      </c>
      <c r="BH45" s="13">
        <v>519.3</v>
      </c>
      <c r="BI45" s="13">
        <v>519.3</v>
      </c>
      <c r="BJ45" s="5"/>
      <c r="BK45" s="5"/>
      <c r="BL45" s="11"/>
      <c r="BM45" s="11"/>
      <c r="BN45" s="11"/>
      <c r="BO45" s="11"/>
    </row>
    <row r="46" ht="15.5" spans="1:67">
      <c r="A46" s="3"/>
      <c r="B46" s="7" t="s">
        <v>235</v>
      </c>
      <c r="C46" s="8">
        <f t="shared" ref="C46:J46" si="140">BB46/1000</f>
        <v>0.1429</v>
      </c>
      <c r="D46" s="8">
        <f t="shared" si="140"/>
        <v>0.1194</v>
      </c>
      <c r="E46" s="8">
        <f t="shared" si="140"/>
        <v>0.114</v>
      </c>
      <c r="F46" s="8">
        <f t="shared" si="140"/>
        <v>0.1127</v>
      </c>
      <c r="G46" s="8">
        <f t="shared" si="140"/>
        <v>0.1061</v>
      </c>
      <c r="H46" s="8">
        <f t="shared" si="140"/>
        <v>0.1094</v>
      </c>
      <c r="I46" s="8">
        <f t="shared" si="140"/>
        <v>0.1127</v>
      </c>
      <c r="J46" s="8">
        <f t="shared" si="140"/>
        <v>0.1127</v>
      </c>
      <c r="K46" s="5"/>
      <c r="L46" s="5"/>
      <c r="M46" s="11">
        <v>5.937</v>
      </c>
      <c r="N46" s="11">
        <v>5.845</v>
      </c>
      <c r="O46" s="11">
        <v>5.575</v>
      </c>
      <c r="P46" s="11">
        <v>5.276</v>
      </c>
      <c r="Q46" s="11">
        <v>5.363</v>
      </c>
      <c r="R46" s="11">
        <v>6.645</v>
      </c>
      <c r="S46" s="11">
        <v>5.654</v>
      </c>
      <c r="T46" s="11"/>
      <c r="U46" s="3"/>
      <c r="V46" s="7" t="s">
        <v>235</v>
      </c>
      <c r="W46" s="13">
        <f t="shared" ref="W46:AC46" si="141">D46/M46</f>
        <v>0.02011116725619</v>
      </c>
      <c r="X46" s="13">
        <f t="shared" si="141"/>
        <v>0.0195038494439692</v>
      </c>
      <c r="Y46" s="13">
        <f t="shared" si="141"/>
        <v>0.0202152466367713</v>
      </c>
      <c r="Z46" s="13">
        <f t="shared" si="141"/>
        <v>0.0201099317664898</v>
      </c>
      <c r="AA46" s="13">
        <f t="shared" si="141"/>
        <v>0.0203990303934365</v>
      </c>
      <c r="AB46" s="16">
        <f t="shared" si="141"/>
        <v>0.0169601203912716</v>
      </c>
      <c r="AC46" s="16">
        <f t="shared" si="141"/>
        <v>0.0199327909444641</v>
      </c>
      <c r="AD46" s="5"/>
      <c r="AE46" s="5"/>
      <c r="AF46" s="13">
        <f t="shared" ref="AF46:AJ46" si="142">W46</f>
        <v>0.02011116725619</v>
      </c>
      <c r="AG46" s="13">
        <f t="shared" si="142"/>
        <v>0.0195038494439692</v>
      </c>
      <c r="AH46" s="13">
        <f t="shared" si="142"/>
        <v>0.0202152466367713</v>
      </c>
      <c r="AI46" s="13">
        <f t="shared" si="142"/>
        <v>0.0201099317664898</v>
      </c>
      <c r="AJ46" s="13">
        <f t="shared" si="142"/>
        <v>0.0203990303934365</v>
      </c>
      <c r="AK46" s="17">
        <f t="shared" si="131"/>
        <v>0.0195041384499624</v>
      </c>
      <c r="AL46" s="17">
        <f t="shared" si="132"/>
        <v>0.0229227095861337</v>
      </c>
      <c r="AO46" s="13">
        <f t="shared" ref="AO46:AS46" si="143">W46</f>
        <v>0.02011116725619</v>
      </c>
      <c r="AP46" s="13">
        <f t="shared" si="143"/>
        <v>0.0195038494439692</v>
      </c>
      <c r="AQ46" s="13">
        <f t="shared" si="143"/>
        <v>0.0202152466367713</v>
      </c>
      <c r="AR46" s="13">
        <f t="shared" si="143"/>
        <v>0.0201099317664898</v>
      </c>
      <c r="AS46" s="13">
        <f t="shared" si="143"/>
        <v>0.0203990303934365</v>
      </c>
      <c r="AT46" s="17">
        <f t="shared" si="134"/>
        <v>0.0144161023325809</v>
      </c>
      <c r="AU46" s="17">
        <f t="shared" si="135"/>
        <v>0.0169428723027945</v>
      </c>
      <c r="AZ46" s="3"/>
      <c r="BA46" s="7" t="s">
        <v>235</v>
      </c>
      <c r="BB46" s="8">
        <v>142.9</v>
      </c>
      <c r="BC46" s="13">
        <v>119.4</v>
      </c>
      <c r="BD46" s="13">
        <v>114</v>
      </c>
      <c r="BE46" s="13">
        <v>112.7</v>
      </c>
      <c r="BF46" s="13">
        <v>106.1</v>
      </c>
      <c r="BG46" s="13">
        <v>109.4</v>
      </c>
      <c r="BH46" s="13">
        <v>112.7</v>
      </c>
      <c r="BI46" s="13">
        <v>112.7</v>
      </c>
      <c r="BJ46" s="5"/>
      <c r="BK46" s="5"/>
      <c r="BL46" s="11"/>
      <c r="BM46" s="11"/>
      <c r="BN46" s="11"/>
      <c r="BO46" s="11"/>
    </row>
    <row r="47" ht="15.5" spans="1:67">
      <c r="A47" s="3"/>
      <c r="B47" s="7" t="s">
        <v>236</v>
      </c>
      <c r="C47" s="8">
        <f t="shared" ref="C47:J47" si="144">BB47/1000</f>
        <v>0.4256</v>
      </c>
      <c r="D47" s="8">
        <f t="shared" si="144"/>
        <v>0.3807</v>
      </c>
      <c r="E47" s="8">
        <f t="shared" si="144"/>
        <v>0.3703</v>
      </c>
      <c r="F47" s="8">
        <f t="shared" si="144"/>
        <v>0.3679</v>
      </c>
      <c r="G47" s="8">
        <f t="shared" si="144"/>
        <v>0.3552</v>
      </c>
      <c r="H47" s="8">
        <f t="shared" si="144"/>
        <v>0.3613</v>
      </c>
      <c r="I47" s="8">
        <f t="shared" si="144"/>
        <v>0.3679</v>
      </c>
      <c r="J47" s="8">
        <f t="shared" si="144"/>
        <v>0.3679</v>
      </c>
      <c r="K47" s="5"/>
      <c r="L47" s="5"/>
      <c r="M47" s="11">
        <v>5.937</v>
      </c>
      <c r="N47" s="11">
        <v>5.845</v>
      </c>
      <c r="O47" s="11">
        <v>5.575</v>
      </c>
      <c r="P47" s="11">
        <v>5.276</v>
      </c>
      <c r="Q47" s="11">
        <v>5.363</v>
      </c>
      <c r="R47" s="11">
        <v>6.645</v>
      </c>
      <c r="S47" s="11">
        <v>5.654</v>
      </c>
      <c r="T47" s="11"/>
      <c r="U47" s="3"/>
      <c r="V47" s="7" t="s">
        <v>236</v>
      </c>
      <c r="W47" s="13">
        <f t="shared" ref="W47:AC47" si="145">D47/M47</f>
        <v>0.0641232945932289</v>
      </c>
      <c r="X47" s="13">
        <f t="shared" si="145"/>
        <v>0.0633532934131737</v>
      </c>
      <c r="Y47" s="13">
        <f t="shared" si="145"/>
        <v>0.0659910313901345</v>
      </c>
      <c r="Z47" s="13">
        <f t="shared" si="145"/>
        <v>0.0673237300985595</v>
      </c>
      <c r="AA47" s="13">
        <f t="shared" si="145"/>
        <v>0.0673690098825284</v>
      </c>
      <c r="AB47" s="16">
        <f t="shared" si="145"/>
        <v>0.055364936042137</v>
      </c>
      <c r="AC47" s="16">
        <f t="shared" si="145"/>
        <v>0.0650689777148921</v>
      </c>
      <c r="AD47" s="5"/>
      <c r="AE47" s="5"/>
      <c r="AF47" s="13">
        <f t="shared" ref="AF47:AJ47" si="146">W47</f>
        <v>0.0641232945932289</v>
      </c>
      <c r="AG47" s="13">
        <f t="shared" si="146"/>
        <v>0.0633532934131737</v>
      </c>
      <c r="AH47" s="13">
        <f t="shared" si="146"/>
        <v>0.0659910313901345</v>
      </c>
      <c r="AI47" s="13">
        <f t="shared" si="146"/>
        <v>0.0673237300985595</v>
      </c>
      <c r="AJ47" s="13">
        <f t="shared" si="146"/>
        <v>0.0673690098825284</v>
      </c>
      <c r="AK47" s="17">
        <f t="shared" si="131"/>
        <v>0.0636696764484575</v>
      </c>
      <c r="AL47" s="17">
        <f t="shared" si="132"/>
        <v>0.0748293243721259</v>
      </c>
      <c r="AO47" s="13">
        <f t="shared" ref="AO47:AS47" si="147">W47</f>
        <v>0.0641232945932289</v>
      </c>
      <c r="AP47" s="13">
        <f t="shared" si="147"/>
        <v>0.0633532934131737</v>
      </c>
      <c r="AQ47" s="13">
        <f t="shared" si="147"/>
        <v>0.0659910313901345</v>
      </c>
      <c r="AR47" s="13">
        <f t="shared" si="147"/>
        <v>0.0673237300985595</v>
      </c>
      <c r="AS47" s="13">
        <f t="shared" si="147"/>
        <v>0.0673690098825284</v>
      </c>
      <c r="AT47" s="17">
        <f t="shared" si="134"/>
        <v>0.0470601956358164</v>
      </c>
      <c r="AU47" s="17">
        <f t="shared" si="135"/>
        <v>0.0553086310576583</v>
      </c>
      <c r="AZ47" s="3"/>
      <c r="BA47" s="7" t="s">
        <v>236</v>
      </c>
      <c r="BB47" s="8">
        <v>425.6</v>
      </c>
      <c r="BC47" s="13">
        <v>380.7</v>
      </c>
      <c r="BD47" s="13">
        <v>370.3</v>
      </c>
      <c r="BE47" s="13">
        <v>367.9</v>
      </c>
      <c r="BF47" s="13">
        <v>355.2</v>
      </c>
      <c r="BG47" s="13">
        <v>361.3</v>
      </c>
      <c r="BH47" s="13">
        <v>367.9</v>
      </c>
      <c r="BI47" s="13">
        <v>367.9</v>
      </c>
      <c r="BJ47" s="5"/>
      <c r="BK47" s="5"/>
      <c r="BL47" s="11"/>
      <c r="BM47" s="11"/>
      <c r="BN47" s="11"/>
      <c r="BO47" s="11"/>
    </row>
    <row r="48" ht="15.5" spans="1:67">
      <c r="A48" s="3"/>
      <c r="B48" s="7" t="s">
        <v>237</v>
      </c>
      <c r="C48" s="8">
        <f t="shared" ref="C48:J48" si="148">BB48/1000</f>
        <v>0.0846</v>
      </c>
      <c r="D48" s="8">
        <f t="shared" si="148"/>
        <v>0.077</v>
      </c>
      <c r="E48" s="8">
        <f t="shared" si="148"/>
        <v>0.0749</v>
      </c>
      <c r="F48" s="8">
        <f t="shared" si="148"/>
        <v>0.0744</v>
      </c>
      <c r="G48" s="8">
        <f t="shared" si="148"/>
        <v>0.0717</v>
      </c>
      <c r="H48" s="8">
        <f t="shared" si="148"/>
        <v>0.0731</v>
      </c>
      <c r="I48" s="8">
        <f t="shared" si="148"/>
        <v>0.0744</v>
      </c>
      <c r="J48" s="8">
        <f t="shared" si="148"/>
        <v>0.0744</v>
      </c>
      <c r="K48" s="5"/>
      <c r="L48" s="5"/>
      <c r="M48" s="11">
        <v>5.937</v>
      </c>
      <c r="N48" s="11">
        <v>5.845</v>
      </c>
      <c r="O48" s="11">
        <v>5.575</v>
      </c>
      <c r="P48" s="11">
        <v>5.276</v>
      </c>
      <c r="Q48" s="11">
        <v>5.363</v>
      </c>
      <c r="R48" s="11">
        <v>6.645</v>
      </c>
      <c r="S48" s="11">
        <v>5.654</v>
      </c>
      <c r="T48" s="11"/>
      <c r="U48" s="3"/>
      <c r="V48" s="7" t="s">
        <v>237</v>
      </c>
      <c r="W48" s="13">
        <f t="shared" ref="W48:AC48" si="149">D48/M48</f>
        <v>0.0129695132221661</v>
      </c>
      <c r="X48" s="13">
        <f t="shared" si="149"/>
        <v>0.012814371257485</v>
      </c>
      <c r="Y48" s="13">
        <f t="shared" si="149"/>
        <v>0.0133452914798206</v>
      </c>
      <c r="Z48" s="13">
        <f t="shared" si="149"/>
        <v>0.0135898407884761</v>
      </c>
      <c r="AA48" s="13">
        <f t="shared" si="149"/>
        <v>0.0136304307290695</v>
      </c>
      <c r="AB48" s="16">
        <f t="shared" si="149"/>
        <v>0.011196388261851</v>
      </c>
      <c r="AC48" s="16">
        <f t="shared" si="149"/>
        <v>0.0131588256101875</v>
      </c>
      <c r="AD48" s="5"/>
      <c r="AE48" s="5"/>
      <c r="AF48" s="13">
        <f t="shared" ref="AF48:AJ48" si="150">W48</f>
        <v>0.0129695132221661</v>
      </c>
      <c r="AG48" s="13">
        <f t="shared" si="150"/>
        <v>0.012814371257485</v>
      </c>
      <c r="AH48" s="13">
        <f t="shared" si="150"/>
        <v>0.0133452914798206</v>
      </c>
      <c r="AI48" s="13">
        <f t="shared" si="150"/>
        <v>0.0135898407884761</v>
      </c>
      <c r="AJ48" s="13">
        <f t="shared" si="150"/>
        <v>0.0136304307290695</v>
      </c>
      <c r="AK48" s="17">
        <f t="shared" si="131"/>
        <v>0.0128758465011287</v>
      </c>
      <c r="AL48" s="17">
        <f t="shared" si="132"/>
        <v>0.0151326494517156</v>
      </c>
      <c r="AO48" s="13">
        <f t="shared" ref="AO48:AS48" si="151">W48</f>
        <v>0.0129695132221661</v>
      </c>
      <c r="AP48" s="13">
        <f t="shared" si="151"/>
        <v>0.012814371257485</v>
      </c>
      <c r="AQ48" s="13">
        <f t="shared" si="151"/>
        <v>0.0133452914798206</v>
      </c>
      <c r="AR48" s="13">
        <f t="shared" si="151"/>
        <v>0.0135898407884761</v>
      </c>
      <c r="AS48" s="13">
        <f t="shared" si="151"/>
        <v>0.0136304307290695</v>
      </c>
      <c r="AT48" s="17">
        <f t="shared" si="134"/>
        <v>0.00951693002257336</v>
      </c>
      <c r="AU48" s="17">
        <f t="shared" si="135"/>
        <v>0.0111850017686594</v>
      </c>
      <c r="AZ48" s="3"/>
      <c r="BA48" s="7" t="s">
        <v>237</v>
      </c>
      <c r="BB48" s="8">
        <v>84.6</v>
      </c>
      <c r="BC48" s="13">
        <v>77</v>
      </c>
      <c r="BD48" s="13">
        <v>74.9</v>
      </c>
      <c r="BE48" s="13">
        <v>74.4</v>
      </c>
      <c r="BF48" s="13">
        <v>71.7</v>
      </c>
      <c r="BG48" s="13">
        <v>73.1</v>
      </c>
      <c r="BH48" s="13">
        <v>74.4</v>
      </c>
      <c r="BI48" s="13">
        <v>74.4</v>
      </c>
      <c r="BJ48" s="5"/>
      <c r="BK48" s="5"/>
      <c r="BL48" s="11"/>
      <c r="BM48" s="11"/>
      <c r="BN48" s="11"/>
      <c r="BO48" s="11"/>
    </row>
    <row r="49" ht="15.5" spans="1:67">
      <c r="A49" s="3" t="s">
        <v>238</v>
      </c>
      <c r="B49" s="7" t="s">
        <v>233</v>
      </c>
      <c r="C49" s="8">
        <f t="shared" ref="C49:J49" si="152">BB49/1000</f>
        <v>0.6792</v>
      </c>
      <c r="D49" s="8">
        <f t="shared" si="152"/>
        <v>0.5984</v>
      </c>
      <c r="E49" s="8">
        <f t="shared" si="152"/>
        <v>0.5794</v>
      </c>
      <c r="F49" s="8">
        <f t="shared" si="152"/>
        <v>0.575</v>
      </c>
      <c r="G49" s="8">
        <f t="shared" si="152"/>
        <v>0.5517</v>
      </c>
      <c r="H49" s="8">
        <f t="shared" si="152"/>
        <v>0.5632</v>
      </c>
      <c r="I49" s="8">
        <f t="shared" si="152"/>
        <v>0.575</v>
      </c>
      <c r="J49" s="8">
        <f t="shared" si="152"/>
        <v>0.575</v>
      </c>
      <c r="K49" s="5"/>
      <c r="L49" s="5"/>
      <c r="M49" s="11">
        <v>5.937</v>
      </c>
      <c r="N49" s="11">
        <v>5.845</v>
      </c>
      <c r="O49" s="11">
        <v>5.575</v>
      </c>
      <c r="P49" s="11">
        <v>5.276</v>
      </c>
      <c r="Q49" s="11">
        <v>5.363</v>
      </c>
      <c r="R49" s="11">
        <v>6.645</v>
      </c>
      <c r="S49" s="11">
        <v>5.654</v>
      </c>
      <c r="T49" s="11"/>
      <c r="U49" s="3" t="s">
        <v>238</v>
      </c>
      <c r="V49" s="7" t="s">
        <v>233</v>
      </c>
      <c r="W49" s="13">
        <f t="shared" ref="W49:AC49" si="153">D49/M49</f>
        <v>0.100791645612262</v>
      </c>
      <c r="X49" s="13">
        <f t="shared" si="153"/>
        <v>0.0991274593669803</v>
      </c>
      <c r="Y49" s="13">
        <f t="shared" si="153"/>
        <v>0.103139013452915</v>
      </c>
      <c r="Z49" s="13">
        <f t="shared" si="153"/>
        <v>0.104567854435178</v>
      </c>
      <c r="AA49" s="13">
        <f t="shared" si="153"/>
        <v>0.105015849338057</v>
      </c>
      <c r="AB49" s="16">
        <f t="shared" si="153"/>
        <v>0.0865312264860798</v>
      </c>
      <c r="AC49" s="16">
        <f t="shared" si="153"/>
        <v>0.10169791298196</v>
      </c>
      <c r="AD49" s="5"/>
      <c r="AE49" s="5"/>
      <c r="AF49" s="13">
        <f t="shared" ref="AF49:AJ49" si="154">W49</f>
        <v>0.100791645612262</v>
      </c>
      <c r="AG49" s="13">
        <f t="shared" si="154"/>
        <v>0.0991274593669803</v>
      </c>
      <c r="AH49" s="13">
        <f t="shared" si="154"/>
        <v>0.103139013452915</v>
      </c>
      <c r="AI49" s="13">
        <f t="shared" si="154"/>
        <v>0.104567854435178</v>
      </c>
      <c r="AJ49" s="13">
        <f t="shared" si="154"/>
        <v>0.105015849338057</v>
      </c>
      <c r="AK49" s="17">
        <f t="shared" si="131"/>
        <v>0.0995109104589917</v>
      </c>
      <c r="AL49" s="17">
        <f t="shared" si="132"/>
        <v>0.116952599929254</v>
      </c>
      <c r="AO49" s="13">
        <f t="shared" ref="AO49:AS49" si="155">W49</f>
        <v>0.100791645612262</v>
      </c>
      <c r="AP49" s="13">
        <f t="shared" si="155"/>
        <v>0.0991274593669803</v>
      </c>
      <c r="AQ49" s="13">
        <f t="shared" si="155"/>
        <v>0.103139013452915</v>
      </c>
      <c r="AR49" s="13">
        <f t="shared" si="155"/>
        <v>0.104567854435178</v>
      </c>
      <c r="AS49" s="13">
        <f t="shared" si="155"/>
        <v>0.105015849338057</v>
      </c>
      <c r="AT49" s="17">
        <f t="shared" si="134"/>
        <v>0.0735515425131678</v>
      </c>
      <c r="AU49" s="17">
        <f t="shared" si="135"/>
        <v>0.0864432260346657</v>
      </c>
      <c r="AZ49" s="3" t="s">
        <v>238</v>
      </c>
      <c r="BA49" s="7" t="s">
        <v>233</v>
      </c>
      <c r="BB49" s="8">
        <v>679.2</v>
      </c>
      <c r="BC49" s="13">
        <v>598.4</v>
      </c>
      <c r="BD49" s="13">
        <v>579.4</v>
      </c>
      <c r="BE49" s="13">
        <v>575</v>
      </c>
      <c r="BF49" s="13">
        <v>551.7</v>
      </c>
      <c r="BG49" s="13">
        <v>563.2</v>
      </c>
      <c r="BH49" s="13">
        <v>575</v>
      </c>
      <c r="BI49" s="13">
        <v>575</v>
      </c>
      <c r="BJ49" s="5"/>
      <c r="BK49" s="5"/>
      <c r="BL49" s="11"/>
      <c r="BM49" s="11"/>
      <c r="BN49" s="11"/>
      <c r="BO49" s="11"/>
    </row>
    <row r="50" ht="15.5" spans="1:67">
      <c r="A50" s="3"/>
      <c r="B50" s="7" t="s">
        <v>234</v>
      </c>
      <c r="C50" s="8">
        <f t="shared" ref="C50:J50" si="156">BB50/1000</f>
        <v>0.6241</v>
      </c>
      <c r="D50" s="8">
        <f t="shared" si="156"/>
        <v>0.5523</v>
      </c>
      <c r="E50" s="8">
        <f t="shared" si="156"/>
        <v>0.5353</v>
      </c>
      <c r="F50" s="8">
        <f t="shared" si="156"/>
        <v>0.5314</v>
      </c>
      <c r="G50" s="8">
        <f t="shared" si="156"/>
        <v>0.5105</v>
      </c>
      <c r="H50" s="8">
        <f t="shared" si="156"/>
        <v>0.5209</v>
      </c>
      <c r="I50" s="8">
        <f t="shared" si="156"/>
        <v>0.5314</v>
      </c>
      <c r="J50" s="8">
        <f t="shared" si="156"/>
        <v>0.5314</v>
      </c>
      <c r="K50" s="5"/>
      <c r="L50" s="5"/>
      <c r="M50" s="11">
        <v>5.937</v>
      </c>
      <c r="N50" s="11">
        <v>5.845</v>
      </c>
      <c r="O50" s="11">
        <v>5.575</v>
      </c>
      <c r="P50" s="11">
        <v>5.276</v>
      </c>
      <c r="Q50" s="11">
        <v>5.363</v>
      </c>
      <c r="R50" s="11">
        <v>6.645</v>
      </c>
      <c r="S50" s="11">
        <v>5.654</v>
      </c>
      <c r="T50" s="11"/>
      <c r="U50" s="3"/>
      <c r="V50" s="7" t="s">
        <v>234</v>
      </c>
      <c r="W50" s="13">
        <f t="shared" ref="W50:AC50" si="157">D50/M50</f>
        <v>0.0930267812026276</v>
      </c>
      <c r="X50" s="13">
        <f t="shared" si="157"/>
        <v>0.0915825491873396</v>
      </c>
      <c r="Y50" s="13">
        <f t="shared" si="157"/>
        <v>0.0953183856502242</v>
      </c>
      <c r="Z50" s="13">
        <f t="shared" si="157"/>
        <v>0.0967589082638362</v>
      </c>
      <c r="AA50" s="13">
        <f t="shared" si="157"/>
        <v>0.0971284728696625</v>
      </c>
      <c r="AB50" s="16">
        <f t="shared" si="157"/>
        <v>0.0799699021820918</v>
      </c>
      <c r="AC50" s="16">
        <f t="shared" si="157"/>
        <v>0.0939865581888928</v>
      </c>
      <c r="AD50" s="5"/>
      <c r="AE50" s="5"/>
      <c r="AF50" s="13">
        <f t="shared" ref="AF50:AJ50" si="158">W50</f>
        <v>0.0930267812026276</v>
      </c>
      <c r="AG50" s="13">
        <f t="shared" si="158"/>
        <v>0.0915825491873396</v>
      </c>
      <c r="AH50" s="13">
        <f t="shared" si="158"/>
        <v>0.0953183856502242</v>
      </c>
      <c r="AI50" s="13">
        <f t="shared" si="158"/>
        <v>0.0967589082638362</v>
      </c>
      <c r="AJ50" s="13">
        <f t="shared" si="158"/>
        <v>0.0971284728696625</v>
      </c>
      <c r="AK50" s="17">
        <f t="shared" si="131"/>
        <v>0.0919653875094056</v>
      </c>
      <c r="AL50" s="17">
        <f t="shared" si="132"/>
        <v>0.108084541917227</v>
      </c>
      <c r="AO50" s="13">
        <f t="shared" ref="AO50:AS50" si="159">W50</f>
        <v>0.0930267812026276</v>
      </c>
      <c r="AP50" s="13">
        <f t="shared" si="159"/>
        <v>0.0915825491873396</v>
      </c>
      <c r="AQ50" s="13">
        <f t="shared" si="159"/>
        <v>0.0953183856502242</v>
      </c>
      <c r="AR50" s="13">
        <f t="shared" si="159"/>
        <v>0.0967589082638362</v>
      </c>
      <c r="AS50" s="13">
        <f t="shared" si="159"/>
        <v>0.0971284728696625</v>
      </c>
      <c r="AT50" s="17">
        <f t="shared" si="134"/>
        <v>0.067974416854778</v>
      </c>
      <c r="AU50" s="17">
        <f t="shared" si="135"/>
        <v>0.0798885744605589</v>
      </c>
      <c r="AZ50" s="3"/>
      <c r="BA50" s="7" t="s">
        <v>234</v>
      </c>
      <c r="BB50" s="8">
        <v>624.1</v>
      </c>
      <c r="BC50" s="13">
        <v>552.3</v>
      </c>
      <c r="BD50" s="13">
        <v>535.3</v>
      </c>
      <c r="BE50" s="13">
        <v>531.4</v>
      </c>
      <c r="BF50" s="13">
        <v>510.5</v>
      </c>
      <c r="BG50" s="13">
        <v>520.9</v>
      </c>
      <c r="BH50" s="13">
        <v>531.4</v>
      </c>
      <c r="BI50" s="13">
        <v>531.4</v>
      </c>
      <c r="BJ50" s="5"/>
      <c r="BK50" s="5"/>
      <c r="BL50" s="11"/>
      <c r="BM50" s="11"/>
      <c r="BN50" s="11"/>
      <c r="BO50" s="11"/>
    </row>
    <row r="51" ht="15.5" spans="1:67">
      <c r="A51" s="3"/>
      <c r="B51" s="7" t="s">
        <v>235</v>
      </c>
      <c r="C51" s="8">
        <f t="shared" ref="C51:J51" si="160">BB51/1000</f>
        <v>0.1745</v>
      </c>
      <c r="D51" s="8">
        <f t="shared" si="160"/>
        <v>0.1463</v>
      </c>
      <c r="E51" s="8">
        <f t="shared" si="160"/>
        <v>0.1398</v>
      </c>
      <c r="F51" s="8">
        <f t="shared" si="160"/>
        <v>0.1383</v>
      </c>
      <c r="G51" s="8">
        <f t="shared" si="160"/>
        <v>0.1304</v>
      </c>
      <c r="H51" s="8">
        <f t="shared" si="160"/>
        <v>0.1343</v>
      </c>
      <c r="I51" s="8">
        <f t="shared" si="160"/>
        <v>0.1383</v>
      </c>
      <c r="J51" s="8">
        <f t="shared" si="160"/>
        <v>0.1383</v>
      </c>
      <c r="K51" s="5"/>
      <c r="L51" s="5"/>
      <c r="M51" s="11">
        <v>5.937</v>
      </c>
      <c r="N51" s="11">
        <v>5.845</v>
      </c>
      <c r="O51" s="11">
        <v>5.575</v>
      </c>
      <c r="P51" s="11">
        <v>5.276</v>
      </c>
      <c r="Q51" s="11">
        <v>5.363</v>
      </c>
      <c r="R51" s="11">
        <v>6.645</v>
      </c>
      <c r="S51" s="11">
        <v>5.654</v>
      </c>
      <c r="T51" s="11"/>
      <c r="U51" s="3"/>
      <c r="V51" s="7" t="s">
        <v>235</v>
      </c>
      <c r="W51" s="13">
        <f t="shared" ref="W51:AC51" si="161">D51/M51</f>
        <v>0.0246420751221155</v>
      </c>
      <c r="X51" s="13">
        <f t="shared" si="161"/>
        <v>0.023917878528657</v>
      </c>
      <c r="Y51" s="13">
        <f t="shared" si="161"/>
        <v>0.0248071748878924</v>
      </c>
      <c r="Z51" s="13">
        <f t="shared" si="161"/>
        <v>0.0247156937073541</v>
      </c>
      <c r="AA51" s="13">
        <f t="shared" si="161"/>
        <v>0.025041954130151</v>
      </c>
      <c r="AB51" s="16">
        <f t="shared" si="161"/>
        <v>0.0208126410835214</v>
      </c>
      <c r="AC51" s="16">
        <f t="shared" si="161"/>
        <v>0.0244605588963566</v>
      </c>
      <c r="AD51" s="5"/>
      <c r="AE51" s="5"/>
      <c r="AF51" s="13">
        <f t="shared" ref="AF51:AJ51" si="162">W51</f>
        <v>0.0246420751221155</v>
      </c>
      <c r="AG51" s="13">
        <f t="shared" si="162"/>
        <v>0.023917878528657</v>
      </c>
      <c r="AH51" s="13">
        <f t="shared" si="162"/>
        <v>0.0248071748878924</v>
      </c>
      <c r="AI51" s="13">
        <f t="shared" si="162"/>
        <v>0.0247156937073541</v>
      </c>
      <c r="AJ51" s="13">
        <f t="shared" si="162"/>
        <v>0.025041954130151</v>
      </c>
      <c r="AK51" s="17">
        <f t="shared" si="131"/>
        <v>0.0239345372460497</v>
      </c>
      <c r="AL51" s="17">
        <f t="shared" si="132"/>
        <v>0.02812964273081</v>
      </c>
      <c r="AO51" s="13">
        <f t="shared" ref="AO51:AS51" si="163">W51</f>
        <v>0.0246420751221155</v>
      </c>
      <c r="AP51" s="13">
        <f t="shared" si="163"/>
        <v>0.023917878528657</v>
      </c>
      <c r="AQ51" s="13">
        <f t="shared" si="163"/>
        <v>0.0248071748878924</v>
      </c>
      <c r="AR51" s="13">
        <f t="shared" si="163"/>
        <v>0.0247156937073541</v>
      </c>
      <c r="AS51" s="13">
        <f t="shared" si="163"/>
        <v>0.025041954130151</v>
      </c>
      <c r="AT51" s="17">
        <f t="shared" si="134"/>
        <v>0.0176907449209932</v>
      </c>
      <c r="AU51" s="17">
        <f t="shared" si="135"/>
        <v>0.0207914750619031</v>
      </c>
      <c r="AZ51" s="3"/>
      <c r="BA51" s="7" t="s">
        <v>235</v>
      </c>
      <c r="BB51" s="8">
        <v>174.5</v>
      </c>
      <c r="BC51" s="13">
        <v>146.3</v>
      </c>
      <c r="BD51" s="13">
        <v>139.8</v>
      </c>
      <c r="BE51" s="13">
        <v>138.3</v>
      </c>
      <c r="BF51" s="13">
        <v>130.4</v>
      </c>
      <c r="BG51" s="13">
        <v>134.3</v>
      </c>
      <c r="BH51" s="13">
        <v>138.3</v>
      </c>
      <c r="BI51" s="13">
        <v>138.3</v>
      </c>
      <c r="BJ51" s="5"/>
      <c r="BK51" s="5"/>
      <c r="BL51" s="11"/>
      <c r="BM51" s="11"/>
      <c r="BN51" s="11"/>
      <c r="BO51" s="11"/>
    </row>
    <row r="52" ht="15.5" spans="1:67">
      <c r="A52" s="3"/>
      <c r="B52" s="7" t="s">
        <v>236</v>
      </c>
      <c r="C52" s="8">
        <f t="shared" ref="C52:J52" si="164">BB52/1000</f>
        <v>0.4064</v>
      </c>
      <c r="D52" s="8">
        <f t="shared" si="164"/>
        <v>0.3643</v>
      </c>
      <c r="E52" s="8">
        <f t="shared" si="164"/>
        <v>0.3546</v>
      </c>
      <c r="F52" s="8">
        <f t="shared" si="164"/>
        <v>0.3523</v>
      </c>
      <c r="G52" s="8">
        <f t="shared" si="164"/>
        <v>0.3404</v>
      </c>
      <c r="H52" s="8">
        <f t="shared" si="164"/>
        <v>0.3462</v>
      </c>
      <c r="I52" s="8">
        <f t="shared" si="164"/>
        <v>0.3523</v>
      </c>
      <c r="J52" s="8">
        <f t="shared" si="164"/>
        <v>0.3523</v>
      </c>
      <c r="K52" s="5"/>
      <c r="L52" s="5"/>
      <c r="M52" s="11">
        <v>5.937</v>
      </c>
      <c r="N52" s="11">
        <v>5.845</v>
      </c>
      <c r="O52" s="11">
        <v>5.575</v>
      </c>
      <c r="P52" s="11">
        <v>5.276</v>
      </c>
      <c r="Q52" s="11">
        <v>5.363</v>
      </c>
      <c r="R52" s="11">
        <v>6.645</v>
      </c>
      <c r="S52" s="11">
        <v>5.654</v>
      </c>
      <c r="T52" s="11"/>
      <c r="U52" s="3"/>
      <c r="V52" s="7" t="s">
        <v>236</v>
      </c>
      <c r="W52" s="13">
        <f t="shared" ref="W52:AC52" si="165">D52/M52</f>
        <v>0.0613609567121442</v>
      </c>
      <c r="X52" s="13">
        <f t="shared" si="165"/>
        <v>0.0606672369546621</v>
      </c>
      <c r="Y52" s="13">
        <f t="shared" si="165"/>
        <v>0.0631928251121076</v>
      </c>
      <c r="Z52" s="13">
        <f t="shared" si="165"/>
        <v>0.0645185746777862</v>
      </c>
      <c r="AA52" s="13">
        <f t="shared" si="165"/>
        <v>0.0645534215923923</v>
      </c>
      <c r="AB52" s="16">
        <f t="shared" si="165"/>
        <v>0.0530173062452972</v>
      </c>
      <c r="AC52" s="16">
        <f t="shared" si="165"/>
        <v>0.0623098691192076</v>
      </c>
      <c r="AD52" s="5"/>
      <c r="AE52" s="5"/>
      <c r="AF52" s="13">
        <f t="shared" ref="AF52:AJ52" si="166">W52</f>
        <v>0.0613609567121442</v>
      </c>
      <c r="AG52" s="13">
        <f t="shared" si="166"/>
        <v>0.0606672369546621</v>
      </c>
      <c r="AH52" s="13">
        <f t="shared" si="166"/>
        <v>0.0631928251121076</v>
      </c>
      <c r="AI52" s="13">
        <f t="shared" si="166"/>
        <v>0.0645185746777862</v>
      </c>
      <c r="AJ52" s="13">
        <f t="shared" si="166"/>
        <v>0.0645534215923923</v>
      </c>
      <c r="AK52" s="17">
        <f t="shared" si="131"/>
        <v>0.0609699021820918</v>
      </c>
      <c r="AL52" s="17">
        <f t="shared" si="132"/>
        <v>0.0716563494870888</v>
      </c>
      <c r="AO52" s="13">
        <f t="shared" ref="AO52:AS52" si="167">W52</f>
        <v>0.0613609567121442</v>
      </c>
      <c r="AP52" s="13">
        <f t="shared" si="167"/>
        <v>0.0606672369546621</v>
      </c>
      <c r="AQ52" s="13">
        <f t="shared" si="167"/>
        <v>0.0631928251121076</v>
      </c>
      <c r="AR52" s="13">
        <f t="shared" si="167"/>
        <v>0.0645185746777862</v>
      </c>
      <c r="AS52" s="13">
        <f t="shared" si="167"/>
        <v>0.0645534215923923</v>
      </c>
      <c r="AT52" s="17">
        <f t="shared" si="134"/>
        <v>0.0450647103085026</v>
      </c>
      <c r="AU52" s="17">
        <f t="shared" si="135"/>
        <v>0.0529633887513265</v>
      </c>
      <c r="AZ52" s="3"/>
      <c r="BA52" s="7" t="s">
        <v>236</v>
      </c>
      <c r="BB52" s="8">
        <v>406.4</v>
      </c>
      <c r="BC52" s="13">
        <v>364.3</v>
      </c>
      <c r="BD52" s="13">
        <v>354.6</v>
      </c>
      <c r="BE52" s="13">
        <v>352.3</v>
      </c>
      <c r="BF52" s="13">
        <v>340.4</v>
      </c>
      <c r="BG52" s="13">
        <v>346.2</v>
      </c>
      <c r="BH52" s="13">
        <v>352.3</v>
      </c>
      <c r="BI52" s="13">
        <v>352.3</v>
      </c>
      <c r="BJ52" s="5"/>
      <c r="BK52" s="5"/>
      <c r="BL52" s="11"/>
      <c r="BM52" s="11"/>
      <c r="BN52" s="11"/>
      <c r="BO52" s="11"/>
    </row>
    <row r="53" ht="15.5" spans="1:67">
      <c r="A53" s="3"/>
      <c r="B53" s="7" t="s">
        <v>237</v>
      </c>
      <c r="C53" s="8">
        <f t="shared" ref="C53:J53" si="168">BB53/1000</f>
        <v>0.0872</v>
      </c>
      <c r="D53" s="8">
        <f t="shared" si="168"/>
        <v>0.0791</v>
      </c>
      <c r="E53" s="8">
        <f t="shared" si="168"/>
        <v>0.077</v>
      </c>
      <c r="F53" s="8">
        <f t="shared" si="168"/>
        <v>0.0765</v>
      </c>
      <c r="G53" s="8">
        <f t="shared" si="168"/>
        <v>0.0737</v>
      </c>
      <c r="H53" s="8">
        <f t="shared" si="168"/>
        <v>0.0751</v>
      </c>
      <c r="I53" s="8">
        <f t="shared" si="168"/>
        <v>0.0765</v>
      </c>
      <c r="J53" s="8">
        <f t="shared" si="168"/>
        <v>0.0765</v>
      </c>
      <c r="K53" s="5"/>
      <c r="L53" s="5"/>
      <c r="M53" s="11">
        <v>5.937</v>
      </c>
      <c r="N53" s="11">
        <v>5.845</v>
      </c>
      <c r="O53" s="11">
        <v>5.575</v>
      </c>
      <c r="P53" s="11">
        <v>5.276</v>
      </c>
      <c r="Q53" s="11">
        <v>5.363</v>
      </c>
      <c r="R53" s="11">
        <v>6.645</v>
      </c>
      <c r="S53" s="11">
        <v>5.654</v>
      </c>
      <c r="T53" s="11"/>
      <c r="U53" s="3"/>
      <c r="V53" s="7" t="s">
        <v>237</v>
      </c>
      <c r="W53" s="13">
        <f t="shared" ref="W53:AC53" si="169">D53/M53</f>
        <v>0.0133232272191342</v>
      </c>
      <c r="X53" s="13">
        <f t="shared" si="169"/>
        <v>0.0131736526946108</v>
      </c>
      <c r="Y53" s="13">
        <f t="shared" si="169"/>
        <v>0.0137219730941704</v>
      </c>
      <c r="Z53" s="13">
        <f t="shared" si="169"/>
        <v>0.0139689158453374</v>
      </c>
      <c r="AA53" s="13">
        <f t="shared" si="169"/>
        <v>0.0140033563304121</v>
      </c>
      <c r="AB53" s="16">
        <f t="shared" si="169"/>
        <v>0.0115124153498871</v>
      </c>
      <c r="AC53" s="16">
        <f t="shared" si="169"/>
        <v>0.0135302440749912</v>
      </c>
      <c r="AD53" s="5"/>
      <c r="AE53" s="5"/>
      <c r="AF53" s="13">
        <f t="shared" ref="AF53:AJ53" si="170">W53</f>
        <v>0.0133232272191342</v>
      </c>
      <c r="AG53" s="13">
        <f t="shared" si="170"/>
        <v>0.0131736526946108</v>
      </c>
      <c r="AH53" s="13">
        <f t="shared" si="170"/>
        <v>0.0137219730941704</v>
      </c>
      <c r="AI53" s="13">
        <f t="shared" si="170"/>
        <v>0.0139689158453374</v>
      </c>
      <c r="AJ53" s="13">
        <f t="shared" si="170"/>
        <v>0.0140033563304121</v>
      </c>
      <c r="AK53" s="17">
        <f t="shared" si="131"/>
        <v>0.0132392776523702</v>
      </c>
      <c r="AL53" s="17">
        <f t="shared" si="132"/>
        <v>0.0155597806862398</v>
      </c>
      <c r="AO53" s="13">
        <f t="shared" ref="AO53:AS53" si="171">W53</f>
        <v>0.0133232272191342</v>
      </c>
      <c r="AP53" s="13">
        <f t="shared" si="171"/>
        <v>0.0131736526946108</v>
      </c>
      <c r="AQ53" s="13">
        <f t="shared" si="171"/>
        <v>0.0137219730941704</v>
      </c>
      <c r="AR53" s="13">
        <f t="shared" si="171"/>
        <v>0.0139689158453374</v>
      </c>
      <c r="AS53" s="13">
        <f t="shared" si="171"/>
        <v>0.0140033563304121</v>
      </c>
      <c r="AT53" s="17">
        <f t="shared" si="134"/>
        <v>0.00978555304740406</v>
      </c>
      <c r="AU53" s="17">
        <f t="shared" si="135"/>
        <v>0.0115007074637425</v>
      </c>
      <c r="AZ53" s="3"/>
      <c r="BA53" s="7" t="s">
        <v>237</v>
      </c>
      <c r="BB53" s="8">
        <v>87.2</v>
      </c>
      <c r="BC53" s="13">
        <v>79.1</v>
      </c>
      <c r="BD53" s="13">
        <v>77</v>
      </c>
      <c r="BE53" s="13">
        <v>76.5</v>
      </c>
      <c r="BF53" s="13">
        <v>73.7</v>
      </c>
      <c r="BG53" s="13">
        <v>75.1</v>
      </c>
      <c r="BH53" s="13">
        <v>76.5</v>
      </c>
      <c r="BI53" s="13">
        <v>76.5</v>
      </c>
      <c r="BJ53" s="5"/>
      <c r="BK53" s="5"/>
      <c r="BL53" s="11"/>
      <c r="BM53" s="11"/>
      <c r="BN53" s="11"/>
      <c r="BO53" s="11"/>
    </row>
    <row r="54" ht="15.5" spans="1:67">
      <c r="A54" s="3" t="s">
        <v>11</v>
      </c>
      <c r="B54" s="7" t="s">
        <v>233</v>
      </c>
      <c r="C54" s="8">
        <f t="shared" ref="C54:J54" si="172">BB54/1000</f>
        <v>0.6916</v>
      </c>
      <c r="D54" s="8">
        <f t="shared" si="172"/>
        <v>0.6089</v>
      </c>
      <c r="E54" s="8">
        <f t="shared" si="172"/>
        <v>0.5895</v>
      </c>
      <c r="F54" s="8">
        <f t="shared" si="172"/>
        <v>0.585</v>
      </c>
      <c r="G54" s="8">
        <f t="shared" si="172"/>
        <v>0.5612</v>
      </c>
      <c r="H54" s="8">
        <f t="shared" si="172"/>
        <v>0.573</v>
      </c>
      <c r="I54" s="8">
        <f t="shared" si="172"/>
        <v>0.585</v>
      </c>
      <c r="J54" s="8">
        <f t="shared" si="172"/>
        <v>0.585</v>
      </c>
      <c r="K54" s="5"/>
      <c r="L54" s="5"/>
      <c r="M54" s="11">
        <v>5.937</v>
      </c>
      <c r="N54" s="11">
        <v>5.845</v>
      </c>
      <c r="O54" s="11">
        <v>5.575</v>
      </c>
      <c r="P54" s="11">
        <v>5.276</v>
      </c>
      <c r="Q54" s="11">
        <v>5.363</v>
      </c>
      <c r="R54" s="11">
        <v>6.645</v>
      </c>
      <c r="S54" s="11">
        <v>5.654</v>
      </c>
      <c r="T54" s="11"/>
      <c r="U54" s="3" t="s">
        <v>11</v>
      </c>
      <c r="V54" s="7" t="s">
        <v>233</v>
      </c>
      <c r="W54" s="13">
        <f t="shared" ref="W54:AC54" si="173">D54/M54</f>
        <v>0.102560215597103</v>
      </c>
      <c r="X54" s="13">
        <f t="shared" si="173"/>
        <v>0.100855431993157</v>
      </c>
      <c r="Y54" s="13">
        <f t="shared" si="173"/>
        <v>0.104932735426009</v>
      </c>
      <c r="Z54" s="13">
        <f t="shared" si="173"/>
        <v>0.106368460955269</v>
      </c>
      <c r="AA54" s="13">
        <f t="shared" si="173"/>
        <v>0.106843184784635</v>
      </c>
      <c r="AB54" s="16">
        <f t="shared" si="173"/>
        <v>0.0880361173814898</v>
      </c>
      <c r="AC54" s="16">
        <f t="shared" si="173"/>
        <v>0.103466572338168</v>
      </c>
      <c r="AD54" s="5"/>
      <c r="AE54" s="5"/>
      <c r="AF54" s="13">
        <f t="shared" ref="AF54:AJ54" si="174">W54</f>
        <v>0.102560215597103</v>
      </c>
      <c r="AG54" s="13">
        <f t="shared" si="174"/>
        <v>0.100855431993157</v>
      </c>
      <c r="AH54" s="13">
        <f t="shared" si="174"/>
        <v>0.104932735426009</v>
      </c>
      <c r="AI54" s="13">
        <f t="shared" si="174"/>
        <v>0.106368460955269</v>
      </c>
      <c r="AJ54" s="13">
        <f t="shared" si="174"/>
        <v>0.106843184784635</v>
      </c>
      <c r="AK54" s="17">
        <f t="shared" si="131"/>
        <v>0.101241534988713</v>
      </c>
      <c r="AL54" s="17">
        <f t="shared" si="132"/>
        <v>0.118986558188893</v>
      </c>
      <c r="AO54" s="13">
        <f t="shared" ref="AO54:AS54" si="175">W54</f>
        <v>0.102560215597103</v>
      </c>
      <c r="AP54" s="13">
        <f t="shared" si="175"/>
        <v>0.100855431993157</v>
      </c>
      <c r="AQ54" s="13">
        <f t="shared" si="175"/>
        <v>0.104932735426009</v>
      </c>
      <c r="AR54" s="13">
        <f t="shared" si="175"/>
        <v>0.106368460955269</v>
      </c>
      <c r="AS54" s="13">
        <f t="shared" si="175"/>
        <v>0.106843184784635</v>
      </c>
      <c r="AT54" s="17">
        <f t="shared" si="134"/>
        <v>0.0748306997742664</v>
      </c>
      <c r="AU54" s="17">
        <f t="shared" si="135"/>
        <v>0.0879465864874425</v>
      </c>
      <c r="AZ54" s="3" t="s">
        <v>11</v>
      </c>
      <c r="BA54" s="7" t="s">
        <v>233</v>
      </c>
      <c r="BB54" s="8">
        <v>691.6</v>
      </c>
      <c r="BC54" s="13">
        <v>608.9</v>
      </c>
      <c r="BD54" s="13">
        <v>589.5</v>
      </c>
      <c r="BE54" s="13">
        <v>585</v>
      </c>
      <c r="BF54" s="13">
        <v>561.2</v>
      </c>
      <c r="BG54" s="13">
        <v>573</v>
      </c>
      <c r="BH54" s="13">
        <v>585</v>
      </c>
      <c r="BI54" s="13">
        <v>585</v>
      </c>
      <c r="BJ54" s="5"/>
      <c r="BK54" s="5"/>
      <c r="BL54" s="11"/>
      <c r="BM54" s="11"/>
      <c r="BN54" s="11"/>
      <c r="BO54" s="11"/>
    </row>
    <row r="55" ht="15.5" spans="1:67">
      <c r="A55" s="3"/>
      <c r="B55" s="7" t="s">
        <v>234</v>
      </c>
      <c r="C55" s="8">
        <f t="shared" ref="C55:J55" si="176">BB55/1000</f>
        <v>0.634</v>
      </c>
      <c r="D55" s="8">
        <f t="shared" si="176"/>
        <v>0.5608</v>
      </c>
      <c r="E55" s="8">
        <f t="shared" si="176"/>
        <v>0.5435</v>
      </c>
      <c r="F55" s="8">
        <f t="shared" si="176"/>
        <v>0.5394</v>
      </c>
      <c r="G55" s="8">
        <f t="shared" si="176"/>
        <v>0.5181</v>
      </c>
      <c r="H55" s="8">
        <f t="shared" si="176"/>
        <v>0.5287</v>
      </c>
      <c r="I55" s="8">
        <f t="shared" si="176"/>
        <v>0.5394</v>
      </c>
      <c r="J55" s="8">
        <f t="shared" si="176"/>
        <v>0.5394</v>
      </c>
      <c r="K55" s="5"/>
      <c r="L55" s="5"/>
      <c r="M55" s="11">
        <v>5.937</v>
      </c>
      <c r="N55" s="11">
        <v>5.845</v>
      </c>
      <c r="O55" s="11">
        <v>5.575</v>
      </c>
      <c r="P55" s="11">
        <v>5.276</v>
      </c>
      <c r="Q55" s="11">
        <v>5.363</v>
      </c>
      <c r="R55" s="11">
        <v>6.645</v>
      </c>
      <c r="S55" s="11">
        <v>5.654</v>
      </c>
      <c r="T55" s="11"/>
      <c r="U55" s="3"/>
      <c r="V55" s="7" t="s">
        <v>234</v>
      </c>
      <c r="W55" s="13">
        <f t="shared" ref="W55:AC55" si="177">D55/M55</f>
        <v>0.0944584807141654</v>
      </c>
      <c r="X55" s="13">
        <f t="shared" si="177"/>
        <v>0.0929854576561163</v>
      </c>
      <c r="Y55" s="13">
        <f t="shared" si="177"/>
        <v>0.0967533632286995</v>
      </c>
      <c r="Z55" s="13">
        <f t="shared" si="177"/>
        <v>0.098199393479909</v>
      </c>
      <c r="AA55" s="13">
        <f t="shared" si="177"/>
        <v>0.0985828827148984</v>
      </c>
      <c r="AB55" s="16">
        <f t="shared" si="177"/>
        <v>0.0811738148984199</v>
      </c>
      <c r="AC55" s="16">
        <f t="shared" si="177"/>
        <v>0.0954014856738592</v>
      </c>
      <c r="AD55" s="5"/>
      <c r="AE55" s="5"/>
      <c r="AF55" s="13">
        <f t="shared" ref="AF55:AJ55" si="178">W55</f>
        <v>0.0944584807141654</v>
      </c>
      <c r="AG55" s="13">
        <f t="shared" si="178"/>
        <v>0.0929854576561163</v>
      </c>
      <c r="AH55" s="13">
        <f t="shared" si="178"/>
        <v>0.0967533632286995</v>
      </c>
      <c r="AI55" s="13">
        <f t="shared" si="178"/>
        <v>0.098199393479909</v>
      </c>
      <c r="AJ55" s="13">
        <f t="shared" si="178"/>
        <v>0.0985828827148984</v>
      </c>
      <c r="AK55" s="17">
        <f t="shared" si="131"/>
        <v>0.0933498871331828</v>
      </c>
      <c r="AL55" s="17">
        <f t="shared" si="132"/>
        <v>0.109711708524938</v>
      </c>
      <c r="AO55" s="13">
        <f t="shared" ref="AO55:AS55" si="179">W55</f>
        <v>0.0944584807141654</v>
      </c>
      <c r="AP55" s="13">
        <f t="shared" si="179"/>
        <v>0.0929854576561163</v>
      </c>
      <c r="AQ55" s="13">
        <f t="shared" si="179"/>
        <v>0.0967533632286995</v>
      </c>
      <c r="AR55" s="13">
        <f t="shared" si="179"/>
        <v>0.098199393479909</v>
      </c>
      <c r="AS55" s="13">
        <f t="shared" si="179"/>
        <v>0.0985828827148984</v>
      </c>
      <c r="AT55" s="17">
        <f t="shared" si="134"/>
        <v>0.0689977426636569</v>
      </c>
      <c r="AU55" s="17">
        <f t="shared" si="135"/>
        <v>0.0810912628227803</v>
      </c>
      <c r="AZ55" s="3"/>
      <c r="BA55" s="7" t="s">
        <v>234</v>
      </c>
      <c r="BB55" s="8">
        <v>634</v>
      </c>
      <c r="BC55" s="13">
        <v>560.8</v>
      </c>
      <c r="BD55" s="13">
        <v>543.5</v>
      </c>
      <c r="BE55" s="13">
        <v>539.4</v>
      </c>
      <c r="BF55" s="13">
        <v>518.1</v>
      </c>
      <c r="BG55" s="13">
        <v>528.7</v>
      </c>
      <c r="BH55" s="13">
        <v>539.4</v>
      </c>
      <c r="BI55" s="13">
        <v>539.4</v>
      </c>
      <c r="BJ55" s="5"/>
      <c r="BK55" s="5"/>
      <c r="BL55" s="11"/>
      <c r="BM55" s="11"/>
      <c r="BN55" s="11"/>
      <c r="BO55" s="11"/>
    </row>
    <row r="56" ht="15.5" spans="1:67">
      <c r="A56" s="3"/>
      <c r="B56" s="7" t="s">
        <v>235</v>
      </c>
      <c r="C56" s="8">
        <f t="shared" ref="C56:J56" si="180">BB56/1000</f>
        <v>0.2256</v>
      </c>
      <c r="D56" s="8">
        <f t="shared" si="180"/>
        <v>0.1898</v>
      </c>
      <c r="E56" s="8">
        <f t="shared" si="180"/>
        <v>0.1816</v>
      </c>
      <c r="F56" s="8">
        <f t="shared" si="180"/>
        <v>0.1797</v>
      </c>
      <c r="G56" s="8">
        <f t="shared" si="180"/>
        <v>0.1697</v>
      </c>
      <c r="H56" s="8">
        <f t="shared" si="180"/>
        <v>0.1747</v>
      </c>
      <c r="I56" s="8">
        <f t="shared" si="180"/>
        <v>0.1797</v>
      </c>
      <c r="J56" s="8">
        <f t="shared" si="180"/>
        <v>0.1797</v>
      </c>
      <c r="K56" s="5"/>
      <c r="L56" s="5"/>
      <c r="M56" s="11">
        <v>5.937</v>
      </c>
      <c r="N56" s="11">
        <v>5.845</v>
      </c>
      <c r="O56" s="11">
        <v>5.575</v>
      </c>
      <c r="P56" s="11">
        <v>5.276</v>
      </c>
      <c r="Q56" s="11">
        <v>5.363</v>
      </c>
      <c r="R56" s="11">
        <v>6.645</v>
      </c>
      <c r="S56" s="11">
        <v>5.654</v>
      </c>
      <c r="T56" s="11"/>
      <c r="U56" s="3"/>
      <c r="V56" s="7" t="s">
        <v>235</v>
      </c>
      <c r="W56" s="13">
        <f t="shared" ref="W56:AC56" si="181">D56/M56</f>
        <v>0.0319690079164561</v>
      </c>
      <c r="X56" s="13">
        <f t="shared" si="181"/>
        <v>0.0310692899914457</v>
      </c>
      <c r="Y56" s="13">
        <f t="shared" si="181"/>
        <v>0.0322331838565022</v>
      </c>
      <c r="Z56" s="13">
        <f t="shared" si="181"/>
        <v>0.0321645185746778</v>
      </c>
      <c r="AA56" s="13">
        <f t="shared" si="181"/>
        <v>0.0325750512772702</v>
      </c>
      <c r="AB56" s="16">
        <f t="shared" si="181"/>
        <v>0.0270428893905192</v>
      </c>
      <c r="AC56" s="16">
        <f t="shared" si="181"/>
        <v>0.0317828086310577</v>
      </c>
      <c r="AD56" s="5"/>
      <c r="AE56" s="5"/>
      <c r="AF56" s="13">
        <f t="shared" ref="AF56:AJ56" si="182">W56</f>
        <v>0.0319690079164561</v>
      </c>
      <c r="AG56" s="13">
        <f t="shared" si="182"/>
        <v>0.0310692899914457</v>
      </c>
      <c r="AH56" s="13">
        <f t="shared" si="182"/>
        <v>0.0322331838565022</v>
      </c>
      <c r="AI56" s="13">
        <f t="shared" si="182"/>
        <v>0.0321645185746778</v>
      </c>
      <c r="AJ56" s="13">
        <f t="shared" si="182"/>
        <v>0.0325750512772702</v>
      </c>
      <c r="AK56" s="17">
        <f t="shared" si="131"/>
        <v>0.0310993227990971</v>
      </c>
      <c r="AL56" s="17">
        <f t="shared" si="132"/>
        <v>0.0365502299257163</v>
      </c>
      <c r="AO56" s="13">
        <f t="shared" ref="AO56:AS56" si="183">W56</f>
        <v>0.0319690079164561</v>
      </c>
      <c r="AP56" s="13">
        <f t="shared" si="183"/>
        <v>0.0310692899914457</v>
      </c>
      <c r="AQ56" s="13">
        <f t="shared" si="183"/>
        <v>0.0322331838565022</v>
      </c>
      <c r="AR56" s="13">
        <f t="shared" si="183"/>
        <v>0.0321645185746778</v>
      </c>
      <c r="AS56" s="13">
        <f t="shared" si="183"/>
        <v>0.0325750512772702</v>
      </c>
      <c r="AT56" s="17">
        <f t="shared" si="134"/>
        <v>0.0229864559819413</v>
      </c>
      <c r="AU56" s="17">
        <f t="shared" si="135"/>
        <v>0.027015387336399</v>
      </c>
      <c r="AZ56" s="3"/>
      <c r="BA56" s="7" t="s">
        <v>235</v>
      </c>
      <c r="BB56" s="8">
        <v>225.6</v>
      </c>
      <c r="BC56" s="13">
        <v>189.8</v>
      </c>
      <c r="BD56" s="13">
        <v>181.6</v>
      </c>
      <c r="BE56" s="13">
        <v>179.7</v>
      </c>
      <c r="BF56" s="13">
        <v>169.7</v>
      </c>
      <c r="BG56" s="13">
        <v>174.7</v>
      </c>
      <c r="BH56" s="13">
        <v>179.7</v>
      </c>
      <c r="BI56" s="13">
        <v>179.7</v>
      </c>
      <c r="BJ56" s="5"/>
      <c r="BK56" s="5"/>
      <c r="BL56" s="11"/>
      <c r="BM56" s="11"/>
      <c r="BN56" s="11"/>
      <c r="BO56" s="11"/>
    </row>
    <row r="57" ht="15.5" spans="1:67">
      <c r="A57" s="3"/>
      <c r="B57" s="7" t="s">
        <v>236</v>
      </c>
      <c r="C57" s="8">
        <f t="shared" ref="C57:J57" si="184">BB57/1000</f>
        <v>0.3671</v>
      </c>
      <c r="D57" s="8">
        <f t="shared" si="184"/>
        <v>0.3308</v>
      </c>
      <c r="E57" s="8">
        <f t="shared" si="184"/>
        <v>0.3224</v>
      </c>
      <c r="F57" s="8">
        <f t="shared" si="184"/>
        <v>0.3205</v>
      </c>
      <c r="G57" s="8">
        <f t="shared" si="184"/>
        <v>0.3101</v>
      </c>
      <c r="H57" s="8">
        <f t="shared" si="184"/>
        <v>0.3151</v>
      </c>
      <c r="I57" s="8">
        <f t="shared" si="184"/>
        <v>0.3205</v>
      </c>
      <c r="J57" s="8">
        <f t="shared" si="184"/>
        <v>0.3205</v>
      </c>
      <c r="K57" s="5"/>
      <c r="L57" s="5"/>
      <c r="M57" s="11">
        <v>5.937</v>
      </c>
      <c r="N57" s="11">
        <v>5.845</v>
      </c>
      <c r="O57" s="11">
        <v>5.575</v>
      </c>
      <c r="P57" s="11">
        <v>5.276</v>
      </c>
      <c r="Q57" s="11">
        <v>5.363</v>
      </c>
      <c r="R57" s="11">
        <v>6.645</v>
      </c>
      <c r="S57" s="11">
        <v>5.654</v>
      </c>
      <c r="T57" s="11"/>
      <c r="U57" s="3"/>
      <c r="V57" s="7" t="s">
        <v>236</v>
      </c>
      <c r="W57" s="13">
        <f t="shared" ref="W57:AC57" si="185">D57/M57</f>
        <v>0.0557183762843187</v>
      </c>
      <c r="X57" s="13">
        <f t="shared" si="185"/>
        <v>0.055158254918734</v>
      </c>
      <c r="Y57" s="13">
        <f t="shared" si="185"/>
        <v>0.0574887892376682</v>
      </c>
      <c r="Z57" s="13">
        <f t="shared" si="185"/>
        <v>0.0587755875663381</v>
      </c>
      <c r="AA57" s="13">
        <f t="shared" si="185"/>
        <v>0.0587544284915159</v>
      </c>
      <c r="AB57" s="16">
        <f t="shared" si="185"/>
        <v>0.0482317531978932</v>
      </c>
      <c r="AC57" s="16">
        <f t="shared" si="185"/>
        <v>0.0566855323664662</v>
      </c>
      <c r="AD57" s="5"/>
      <c r="AE57" s="5"/>
      <c r="AF57" s="13">
        <f t="shared" ref="AF57:AJ57" si="186">W57</f>
        <v>0.0557183762843187</v>
      </c>
      <c r="AG57" s="13">
        <f t="shared" si="186"/>
        <v>0.055158254918734</v>
      </c>
      <c r="AH57" s="13">
        <f t="shared" si="186"/>
        <v>0.0574887892376682</v>
      </c>
      <c r="AI57" s="13">
        <f t="shared" si="186"/>
        <v>0.0587755875663381</v>
      </c>
      <c r="AJ57" s="13">
        <f t="shared" si="186"/>
        <v>0.0587544284915159</v>
      </c>
      <c r="AK57" s="17">
        <f t="shared" si="131"/>
        <v>0.0554665161775771</v>
      </c>
      <c r="AL57" s="17">
        <f t="shared" si="132"/>
        <v>0.0651883622214361</v>
      </c>
      <c r="AO57" s="13">
        <f t="shared" ref="AO57:AS57" si="187">W57</f>
        <v>0.0557183762843187</v>
      </c>
      <c r="AP57" s="13">
        <f t="shared" si="187"/>
        <v>0.055158254918734</v>
      </c>
      <c r="AQ57" s="13">
        <f t="shared" si="187"/>
        <v>0.0574887892376682</v>
      </c>
      <c r="AR57" s="13">
        <f t="shared" si="187"/>
        <v>0.0587755875663381</v>
      </c>
      <c r="AS57" s="13">
        <f t="shared" si="187"/>
        <v>0.0587544284915159</v>
      </c>
      <c r="AT57" s="17">
        <f t="shared" si="134"/>
        <v>0.0409969902182092</v>
      </c>
      <c r="AU57" s="17">
        <f t="shared" si="135"/>
        <v>0.0481827025114963</v>
      </c>
      <c r="AZ57" s="3"/>
      <c r="BA57" s="7" t="s">
        <v>236</v>
      </c>
      <c r="BB57" s="8">
        <v>367.1</v>
      </c>
      <c r="BC57" s="13">
        <v>330.8</v>
      </c>
      <c r="BD57" s="13">
        <v>322.4</v>
      </c>
      <c r="BE57" s="13">
        <v>320.5</v>
      </c>
      <c r="BF57" s="13">
        <v>310.1</v>
      </c>
      <c r="BG57" s="13">
        <v>315.1</v>
      </c>
      <c r="BH57" s="13">
        <v>320.5</v>
      </c>
      <c r="BI57" s="13">
        <v>320.5</v>
      </c>
      <c r="BJ57" s="5"/>
      <c r="BK57" s="5"/>
      <c r="BL57" s="11"/>
      <c r="BM57" s="11"/>
      <c r="BN57" s="11"/>
      <c r="BO57" s="11"/>
    </row>
    <row r="58" ht="15.5" spans="1:67">
      <c r="A58" s="3"/>
      <c r="B58" s="7" t="s">
        <v>237</v>
      </c>
      <c r="C58" s="8">
        <f t="shared" ref="C58:J58" si="188">BB58/1000</f>
        <v>0.0853</v>
      </c>
      <c r="D58" s="8">
        <f t="shared" si="188"/>
        <v>0.0775</v>
      </c>
      <c r="E58" s="8">
        <f t="shared" si="188"/>
        <v>0.0755</v>
      </c>
      <c r="F58" s="8">
        <f t="shared" si="188"/>
        <v>0.075</v>
      </c>
      <c r="G58" s="8">
        <f t="shared" si="188"/>
        <v>0.0722</v>
      </c>
      <c r="H58" s="8">
        <f t="shared" si="188"/>
        <v>0.0736</v>
      </c>
      <c r="I58" s="8">
        <f t="shared" si="188"/>
        <v>0.075</v>
      </c>
      <c r="J58" s="8">
        <f t="shared" si="188"/>
        <v>0.075</v>
      </c>
      <c r="K58" s="5"/>
      <c r="L58" s="5"/>
      <c r="M58" s="11">
        <v>5.937</v>
      </c>
      <c r="N58" s="11">
        <v>5.845</v>
      </c>
      <c r="O58" s="11">
        <v>5.575</v>
      </c>
      <c r="P58" s="11">
        <v>5.276</v>
      </c>
      <c r="Q58" s="11">
        <v>5.363</v>
      </c>
      <c r="R58" s="11">
        <v>6.645</v>
      </c>
      <c r="S58" s="11">
        <v>5.654</v>
      </c>
      <c r="T58" s="11"/>
      <c r="U58" s="3"/>
      <c r="V58" s="7" t="s">
        <v>237</v>
      </c>
      <c r="W58" s="13">
        <f t="shared" ref="W58:AC58" si="189">D58/M58</f>
        <v>0.0130537308404918</v>
      </c>
      <c r="X58" s="13">
        <f t="shared" si="189"/>
        <v>0.0129170230966638</v>
      </c>
      <c r="Y58" s="13">
        <f t="shared" si="189"/>
        <v>0.0134529147982063</v>
      </c>
      <c r="Z58" s="13">
        <f t="shared" si="189"/>
        <v>0.0136846095526914</v>
      </c>
      <c r="AA58" s="13">
        <f t="shared" si="189"/>
        <v>0.0137236621294052</v>
      </c>
      <c r="AB58" s="16">
        <f t="shared" si="189"/>
        <v>0.0112866817155756</v>
      </c>
      <c r="AC58" s="16">
        <f t="shared" si="189"/>
        <v>0.01326494517156</v>
      </c>
      <c r="AD58" s="5"/>
      <c r="AE58" s="5"/>
      <c r="AF58" s="13">
        <f t="shared" ref="AF58:AJ58" si="190">W58</f>
        <v>0.0130537308404918</v>
      </c>
      <c r="AG58" s="13">
        <f t="shared" si="190"/>
        <v>0.0129170230966638</v>
      </c>
      <c r="AH58" s="13">
        <f t="shared" si="190"/>
        <v>0.0134529147982063</v>
      </c>
      <c r="AI58" s="13">
        <f t="shared" si="190"/>
        <v>0.0136846095526914</v>
      </c>
      <c r="AJ58" s="13">
        <f t="shared" si="190"/>
        <v>0.0137236621294052</v>
      </c>
      <c r="AK58" s="17">
        <f t="shared" si="131"/>
        <v>0.012979683972912</v>
      </c>
      <c r="AL58" s="17">
        <f t="shared" si="132"/>
        <v>0.0152546869472939</v>
      </c>
      <c r="AO58" s="13">
        <f t="shared" ref="AO58:AS58" si="191">W58</f>
        <v>0.0130537308404918</v>
      </c>
      <c r="AP58" s="13">
        <f t="shared" si="191"/>
        <v>0.0129170230966638</v>
      </c>
      <c r="AQ58" s="13">
        <f t="shared" si="191"/>
        <v>0.0134529147982063</v>
      </c>
      <c r="AR58" s="13">
        <f t="shared" si="191"/>
        <v>0.0136846095526914</v>
      </c>
      <c r="AS58" s="13">
        <f t="shared" si="191"/>
        <v>0.0137236621294052</v>
      </c>
      <c r="AT58" s="17">
        <f t="shared" si="134"/>
        <v>0.00959367945823928</v>
      </c>
      <c r="AU58" s="17">
        <f t="shared" si="135"/>
        <v>0.011275203395826</v>
      </c>
      <c r="AZ58" s="3"/>
      <c r="BA58" s="7" t="s">
        <v>237</v>
      </c>
      <c r="BB58" s="8">
        <v>85.3</v>
      </c>
      <c r="BC58" s="13">
        <v>77.5</v>
      </c>
      <c r="BD58" s="13">
        <v>75.5</v>
      </c>
      <c r="BE58" s="13">
        <v>75</v>
      </c>
      <c r="BF58" s="13">
        <v>72.2</v>
      </c>
      <c r="BG58" s="13">
        <v>73.6</v>
      </c>
      <c r="BH58" s="13">
        <v>75</v>
      </c>
      <c r="BI58" s="13">
        <v>75</v>
      </c>
      <c r="BJ58" s="5"/>
      <c r="BK58" s="5"/>
      <c r="BL58" s="11"/>
      <c r="BM58" s="11"/>
      <c r="BN58" s="11"/>
      <c r="BO58" s="11"/>
    </row>
    <row r="59" ht="15.5" spans="1:67">
      <c r="A59" s="5"/>
      <c r="B59" s="5"/>
      <c r="C59" s="4"/>
      <c r="D59" s="5"/>
      <c r="E59" s="5"/>
      <c r="F59" s="5"/>
      <c r="G59" s="5"/>
      <c r="H59" s="5"/>
      <c r="I59" s="5"/>
      <c r="J59" s="5"/>
      <c r="K59" s="5"/>
      <c r="L59" s="5"/>
      <c r="M59" s="5"/>
      <c r="N59" s="5"/>
      <c r="O59" s="5"/>
      <c r="P59" s="5"/>
      <c r="Q59" s="5"/>
      <c r="R59" s="5"/>
      <c r="S59" s="5"/>
      <c r="T59" s="5"/>
      <c r="AZ59" s="5"/>
      <c r="BA59" s="5"/>
      <c r="BB59" s="4"/>
      <c r="BC59" s="5"/>
      <c r="BD59" s="5"/>
      <c r="BE59" s="5"/>
      <c r="BF59" s="5"/>
      <c r="BG59" s="5"/>
      <c r="BH59" s="5"/>
      <c r="BI59" s="5"/>
      <c r="BJ59" s="5"/>
      <c r="BK59" s="5"/>
      <c r="BL59" s="5"/>
      <c r="BM59" s="5"/>
      <c r="BN59" s="5"/>
      <c r="BO59" s="5"/>
    </row>
    <row r="60" ht="15.5" spans="1:67">
      <c r="A60" s="5" t="s">
        <v>239</v>
      </c>
      <c r="B60" s="5"/>
      <c r="C60" s="4"/>
      <c r="D60" s="5"/>
      <c r="E60" s="5"/>
      <c r="F60" s="5"/>
      <c r="G60" s="5"/>
      <c r="H60" s="5"/>
      <c r="I60" s="5"/>
      <c r="J60" s="5"/>
      <c r="K60" s="5"/>
      <c r="L60" s="5"/>
      <c r="M60" s="5"/>
      <c r="N60" s="5"/>
      <c r="O60" s="5"/>
      <c r="P60" s="5"/>
      <c r="Q60" s="5"/>
      <c r="R60" s="5"/>
      <c r="S60" s="5"/>
      <c r="T60" s="5"/>
      <c r="AZ60" s="5" t="s">
        <v>239</v>
      </c>
      <c r="BA60" s="5"/>
      <c r="BB60" s="4"/>
      <c r="BC60" s="5"/>
      <c r="BD60" s="5"/>
      <c r="BE60" s="5"/>
      <c r="BF60" s="5"/>
      <c r="BG60" s="5"/>
      <c r="BH60" s="5"/>
      <c r="BI60" s="5"/>
      <c r="BJ60" s="5"/>
      <c r="BK60" s="5"/>
      <c r="BL60" s="5"/>
      <c r="BM60" s="5"/>
      <c r="BN60" s="5"/>
      <c r="BO60" s="5"/>
    </row>
    <row r="61" ht="15.5" spans="1:67">
      <c r="A61" s="5" t="s">
        <v>253</v>
      </c>
      <c r="B61" s="5"/>
      <c r="C61" s="4"/>
      <c r="D61" s="5"/>
      <c r="E61" s="5"/>
      <c r="F61" s="5"/>
      <c r="G61" s="5"/>
      <c r="H61" s="5"/>
      <c r="I61" s="5"/>
      <c r="J61" s="5"/>
      <c r="K61" s="5"/>
      <c r="L61" s="5"/>
      <c r="M61" s="5"/>
      <c r="N61" s="5"/>
      <c r="O61" s="5"/>
      <c r="P61" s="5"/>
      <c r="Q61" s="5"/>
      <c r="R61" s="5"/>
      <c r="S61" s="5"/>
      <c r="T61" s="5"/>
      <c r="AZ61" s="5" t="s">
        <v>253</v>
      </c>
      <c r="BA61" s="5"/>
      <c r="BB61" s="4"/>
      <c r="BC61" s="5"/>
      <c r="BD61" s="5"/>
      <c r="BE61" s="5"/>
      <c r="BF61" s="5"/>
      <c r="BG61" s="5"/>
      <c r="BH61" s="5"/>
      <c r="BI61" s="5"/>
      <c r="BJ61" s="5"/>
      <c r="BK61" s="5"/>
      <c r="BL61" s="5"/>
      <c r="BM61" s="5"/>
      <c r="BN61" s="5"/>
      <c r="BO61" s="5"/>
    </row>
    <row r="62" ht="15.5" spans="1:67">
      <c r="A62" s="5" t="s">
        <v>254</v>
      </c>
      <c r="B62" s="5"/>
      <c r="C62" s="4"/>
      <c r="D62" s="5"/>
      <c r="E62" s="5"/>
      <c r="F62" s="5"/>
      <c r="G62" s="5"/>
      <c r="H62" s="5"/>
      <c r="I62" s="5"/>
      <c r="J62" s="5"/>
      <c r="K62" s="5"/>
      <c r="L62" s="5"/>
      <c r="M62" s="5"/>
      <c r="N62" s="5"/>
      <c r="O62" s="5"/>
      <c r="P62" s="5"/>
      <c r="Q62" s="5"/>
      <c r="R62" s="5"/>
      <c r="S62" s="5"/>
      <c r="T62" s="5"/>
      <c r="AZ62" s="5" t="s">
        <v>254</v>
      </c>
      <c r="BA62" s="5"/>
      <c r="BB62" s="4"/>
      <c r="BC62" s="5"/>
      <c r="BD62" s="5"/>
      <c r="BE62" s="5"/>
      <c r="BF62" s="5"/>
      <c r="BG62" s="5"/>
      <c r="BH62" s="5"/>
      <c r="BI62" s="5"/>
      <c r="BJ62" s="5"/>
      <c r="BK62" s="5"/>
      <c r="BL62" s="5"/>
      <c r="BM62" s="5"/>
      <c r="BN62" s="5"/>
      <c r="BO62" s="5"/>
    </row>
    <row r="71" ht="15.5" spans="21:47">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row>
    <row r="72" ht="15.5" spans="21:47">
      <c r="U72" s="5"/>
      <c r="V72" s="5"/>
      <c r="W72" s="5" t="s">
        <v>225</v>
      </c>
      <c r="X72" s="5" t="s">
        <v>226</v>
      </c>
      <c r="Y72" s="6" t="s">
        <v>227</v>
      </c>
      <c r="Z72" s="5" t="s">
        <v>228</v>
      </c>
      <c r="AA72" s="5" t="s">
        <v>229</v>
      </c>
      <c r="AB72" s="15" t="s">
        <v>230</v>
      </c>
      <c r="AC72" s="15" t="s">
        <v>231</v>
      </c>
      <c r="AD72" s="5"/>
      <c r="AE72" s="5"/>
      <c r="AF72" s="5" t="s">
        <v>225</v>
      </c>
      <c r="AG72" s="5" t="s">
        <v>226</v>
      </c>
      <c r="AH72" s="6" t="s">
        <v>227</v>
      </c>
      <c r="AI72" s="5" t="s">
        <v>228</v>
      </c>
      <c r="AJ72" s="5" t="s">
        <v>229</v>
      </c>
      <c r="AK72" s="15" t="s">
        <v>230</v>
      </c>
      <c r="AL72" s="15" t="s">
        <v>231</v>
      </c>
      <c r="AM72" s="5"/>
      <c r="AN72" s="5"/>
      <c r="AO72" s="5" t="s">
        <v>225</v>
      </c>
      <c r="AP72" s="5" t="s">
        <v>226</v>
      </c>
      <c r="AQ72" s="6" t="s">
        <v>227</v>
      </c>
      <c r="AR72" s="5" t="s">
        <v>228</v>
      </c>
      <c r="AS72" s="5" t="s">
        <v>229</v>
      </c>
      <c r="AT72" s="15" t="s">
        <v>230</v>
      </c>
      <c r="AU72" s="15" t="s">
        <v>231</v>
      </c>
    </row>
    <row r="73" spans="21:47">
      <c r="U73" s="3" t="s">
        <v>232</v>
      </c>
      <c r="V73" s="18" t="s">
        <v>105</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
      <c r="V74" s="19" t="s">
        <v>255</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
      <c r="V75" s="18" t="s">
        <v>256</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
      <c r="V76" s="18" t="s">
        <v>257</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 t="s">
        <v>238</v>
      </c>
      <c r="V77" s="18" t="s">
        <v>105</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
      <c r="V78" s="19" t="s">
        <v>255</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5" spans="21:47">
      <c r="U79" s="3"/>
      <c r="V79" s="18" t="s">
        <v>256</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5"/>
      <c r="AE79" s="5"/>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5"/>
      <c r="AN79" s="5"/>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5" spans="21:47">
      <c r="U80" s="3"/>
      <c r="V80" s="18" t="s">
        <v>257</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5"/>
      <c r="AE80" s="5"/>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5"/>
      <c r="AN80" s="5"/>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5" spans="21:47">
      <c r="U81" s="3" t="s">
        <v>258</v>
      </c>
      <c r="V81" s="18" t="s">
        <v>105</v>
      </c>
      <c r="W81" s="5">
        <f t="shared" ref="W81:AC81" si="216">W14-W15</f>
        <v>0.010830385716692</v>
      </c>
      <c r="X81" s="5">
        <f t="shared" si="216"/>
        <v>0.0104020530367836</v>
      </c>
      <c r="Y81" s="5">
        <f t="shared" si="216"/>
        <v>0.0107085201793722</v>
      </c>
      <c r="Z81" s="5">
        <f t="shared" si="216"/>
        <v>0.0117702805155421</v>
      </c>
      <c r="AA81" s="5">
        <f t="shared" si="216"/>
        <v>0.011933619242961</v>
      </c>
      <c r="AB81" s="5">
        <f t="shared" si="216"/>
        <v>0.00898419864559818</v>
      </c>
      <c r="AC81" s="5">
        <f t="shared" si="216"/>
        <v>0.0105588963565617</v>
      </c>
      <c r="AD81" s="5"/>
      <c r="AE81" s="5"/>
      <c r="AF81" s="5">
        <f t="shared" ref="AF81:AL81" si="217">AF14-AF15</f>
        <v>0.010830385716692</v>
      </c>
      <c r="AG81" s="5">
        <f t="shared" si="217"/>
        <v>0.0104020530367836</v>
      </c>
      <c r="AH81" s="5">
        <f t="shared" si="217"/>
        <v>0.0107085201793722</v>
      </c>
      <c r="AI81" s="5">
        <f t="shared" si="217"/>
        <v>0.0117702805155421</v>
      </c>
      <c r="AJ81" s="5">
        <f t="shared" si="217"/>
        <v>0.011933619242961</v>
      </c>
      <c r="AK81" s="5">
        <f t="shared" si="217"/>
        <v>0.0103318284424379</v>
      </c>
      <c r="AL81" s="5">
        <f t="shared" si="217"/>
        <v>0.012142730810046</v>
      </c>
      <c r="AM81" s="5"/>
      <c r="AN81" s="5"/>
      <c r="AO81" s="5">
        <f t="shared" ref="AO81:AU81" si="218">AO14-AO15</f>
        <v>0.010830385716692</v>
      </c>
      <c r="AP81" s="5">
        <f t="shared" si="218"/>
        <v>0.0104020530367836</v>
      </c>
      <c r="AQ81" s="5">
        <f t="shared" si="218"/>
        <v>0.0107085201793722</v>
      </c>
      <c r="AR81" s="5">
        <f t="shared" si="218"/>
        <v>0.0117702805155421</v>
      </c>
      <c r="AS81" s="5">
        <f t="shared" si="218"/>
        <v>0.011933619242961</v>
      </c>
      <c r="AT81" s="5">
        <f t="shared" si="218"/>
        <v>0.00763656884875846</v>
      </c>
      <c r="AU81" s="5">
        <f t="shared" si="218"/>
        <v>0.00897506190307747</v>
      </c>
    </row>
    <row r="82" ht="15.5" spans="21:47">
      <c r="U82" s="3"/>
      <c r="V82" s="19" t="s">
        <v>255</v>
      </c>
      <c r="W82" s="5">
        <f t="shared" ref="W82:AC82" si="219">W16</f>
        <v>0.0447027118073101</v>
      </c>
      <c r="X82" s="5">
        <f t="shared" si="219"/>
        <v>0.0428058169375535</v>
      </c>
      <c r="Y82" s="5">
        <f t="shared" si="219"/>
        <v>0.0441255605381166</v>
      </c>
      <c r="Z82" s="5">
        <f t="shared" si="219"/>
        <v>0.0456406368460955</v>
      </c>
      <c r="AA82" s="5">
        <f t="shared" si="219"/>
        <v>0.0467275778482193</v>
      </c>
      <c r="AB82" s="5">
        <f t="shared" si="219"/>
        <v>0.037020316027088</v>
      </c>
      <c r="AC82" s="5">
        <f t="shared" si="219"/>
        <v>0.0435090201627167</v>
      </c>
      <c r="AD82" s="5"/>
      <c r="AE82" s="5"/>
      <c r="AF82" s="5">
        <f t="shared" ref="AF82:AL82" si="220">AF16</f>
        <v>0.0447027118073101</v>
      </c>
      <c r="AG82" s="5">
        <f t="shared" si="220"/>
        <v>0.0428058169375535</v>
      </c>
      <c r="AH82" s="5">
        <f t="shared" si="220"/>
        <v>0.0441255605381166</v>
      </c>
      <c r="AI82" s="5">
        <f t="shared" si="220"/>
        <v>0.0456406368460955</v>
      </c>
      <c r="AJ82" s="5">
        <f t="shared" si="220"/>
        <v>0.0467275778482193</v>
      </c>
      <c r="AK82" s="5">
        <f t="shared" si="220"/>
        <v>0.0425733634311512</v>
      </c>
      <c r="AL82" s="5">
        <f t="shared" si="220"/>
        <v>0.0500353731871242</v>
      </c>
      <c r="AM82" s="5"/>
      <c r="AN82" s="5"/>
      <c r="AO82" s="5">
        <f t="shared" ref="AO82:AU82" si="221">AO16</f>
        <v>0.0447027118073101</v>
      </c>
      <c r="AP82" s="5">
        <f t="shared" si="221"/>
        <v>0.0428058169375535</v>
      </c>
      <c r="AQ82" s="5">
        <f t="shared" si="221"/>
        <v>0.0441255605381166</v>
      </c>
      <c r="AR82" s="5">
        <f t="shared" si="221"/>
        <v>0.0456406368460955</v>
      </c>
      <c r="AS82" s="5">
        <f t="shared" si="221"/>
        <v>0.0467275778482193</v>
      </c>
      <c r="AT82" s="5">
        <f t="shared" si="221"/>
        <v>0.0314672686230248</v>
      </c>
      <c r="AU82" s="5">
        <f t="shared" si="221"/>
        <v>0.0369826671383092</v>
      </c>
    </row>
    <row r="83" ht="15.5" spans="21:47">
      <c r="U83" s="3"/>
      <c r="V83" s="18" t="s">
        <v>256</v>
      </c>
      <c r="W83" s="5">
        <f t="shared" ref="W83:AC83" si="222">W17</f>
        <v>0.0724945258548088</v>
      </c>
      <c r="X83" s="5">
        <f t="shared" si="222"/>
        <v>0.0706073567151412</v>
      </c>
      <c r="Y83" s="5">
        <f t="shared" si="222"/>
        <v>0.0732017937219731</v>
      </c>
      <c r="Z83" s="5">
        <f t="shared" si="222"/>
        <v>0.076516300227445</v>
      </c>
      <c r="AA83" s="5">
        <f t="shared" si="222"/>
        <v>0.0803841133693828</v>
      </c>
      <c r="AB83" s="5">
        <f t="shared" si="222"/>
        <v>0.0614145974416855</v>
      </c>
      <c r="AC83" s="5">
        <f t="shared" si="222"/>
        <v>0.0721789883268483</v>
      </c>
      <c r="AD83" s="5"/>
      <c r="AE83" s="5"/>
      <c r="AF83" s="5">
        <f t="shared" ref="AF83:AL83" si="223">AF17</f>
        <v>0.0724945258548088</v>
      </c>
      <c r="AG83" s="5">
        <f t="shared" si="223"/>
        <v>0.0706073567151412</v>
      </c>
      <c r="AH83" s="5">
        <f t="shared" si="223"/>
        <v>0.0732017937219731</v>
      </c>
      <c r="AI83" s="5">
        <f t="shared" si="223"/>
        <v>0.076516300227445</v>
      </c>
      <c r="AJ83" s="5">
        <f t="shared" si="223"/>
        <v>0.0803841133693828</v>
      </c>
      <c r="AK83" s="5">
        <f t="shared" si="223"/>
        <v>0.0706267870579383</v>
      </c>
      <c r="AL83" s="5">
        <f t="shared" si="223"/>
        <v>0.0830058365758755</v>
      </c>
      <c r="AM83" s="5"/>
      <c r="AN83" s="5"/>
      <c r="AO83" s="5">
        <f t="shared" ref="AO83:AU83" si="224">AO17</f>
        <v>0.0724945258548088</v>
      </c>
      <c r="AP83" s="5">
        <f t="shared" si="224"/>
        <v>0.0706073567151412</v>
      </c>
      <c r="AQ83" s="5">
        <f t="shared" si="224"/>
        <v>0.0732017937219731</v>
      </c>
      <c r="AR83" s="5">
        <f t="shared" si="224"/>
        <v>0.076516300227445</v>
      </c>
      <c r="AS83" s="5">
        <f t="shared" si="224"/>
        <v>0.0803841133693828</v>
      </c>
      <c r="AT83" s="5">
        <f t="shared" si="224"/>
        <v>0.0522024078254327</v>
      </c>
      <c r="AU83" s="5">
        <f t="shared" si="224"/>
        <v>0.061352140077821</v>
      </c>
    </row>
    <row r="84" ht="15.5" spans="21:47">
      <c r="U84" s="3"/>
      <c r="V84" s="18" t="s">
        <v>257</v>
      </c>
      <c r="W84" s="5">
        <f t="shared" ref="W84:AC84" si="225">W18</f>
        <v>0.0131547919824827</v>
      </c>
      <c r="X84" s="5">
        <f t="shared" si="225"/>
        <v>0.0128656971770744</v>
      </c>
      <c r="Y84" s="5">
        <f t="shared" si="225"/>
        <v>0.0133273542600897</v>
      </c>
      <c r="Z84" s="5">
        <f t="shared" si="225"/>
        <v>0.0145564821834723</v>
      </c>
      <c r="AA84" s="5">
        <f t="shared" si="225"/>
        <v>0.0148610852134999</v>
      </c>
      <c r="AB84" s="5">
        <f t="shared" si="225"/>
        <v>0.0111813393528969</v>
      </c>
      <c r="AC84" s="5">
        <f t="shared" si="225"/>
        <v>0.0131411390166254</v>
      </c>
      <c r="AD84" s="5"/>
      <c r="AE84" s="5"/>
      <c r="AF84" s="5">
        <f t="shared" ref="AF84:AL84" si="226">AF18</f>
        <v>0.0131547919824827</v>
      </c>
      <c r="AG84" s="5">
        <f t="shared" si="226"/>
        <v>0.0128656971770744</v>
      </c>
      <c r="AH84" s="5">
        <f t="shared" si="226"/>
        <v>0.0133273542600897</v>
      </c>
      <c r="AI84" s="5">
        <f t="shared" si="226"/>
        <v>0.0145564821834723</v>
      </c>
      <c r="AJ84" s="5">
        <f t="shared" si="226"/>
        <v>0.0148610852134999</v>
      </c>
      <c r="AK84" s="5">
        <f t="shared" si="226"/>
        <v>0.0128585402558315</v>
      </c>
      <c r="AL84" s="5">
        <f t="shared" si="226"/>
        <v>0.0151123098691192</v>
      </c>
      <c r="AM84" s="5"/>
      <c r="AN84" s="5"/>
      <c r="AO84" s="5">
        <f t="shared" ref="AO84:AU84" si="227">AO18</f>
        <v>0.0131547919824827</v>
      </c>
      <c r="AP84" s="5">
        <f t="shared" si="227"/>
        <v>0.0128656971770744</v>
      </c>
      <c r="AQ84" s="5">
        <f t="shared" si="227"/>
        <v>0.0133273542600897</v>
      </c>
      <c r="AR84" s="5">
        <f t="shared" si="227"/>
        <v>0.0145564821834723</v>
      </c>
      <c r="AS84" s="5">
        <f t="shared" si="227"/>
        <v>0.0148610852134999</v>
      </c>
      <c r="AT84" s="5">
        <f t="shared" si="227"/>
        <v>0.00950413844996238</v>
      </c>
      <c r="AU84" s="5">
        <f t="shared" si="227"/>
        <v>0.0111699681641316</v>
      </c>
    </row>
    <row r="85" ht="15.5" spans="21:47">
      <c r="U85" s="3" t="s">
        <v>258</v>
      </c>
      <c r="V85" s="18" t="s">
        <v>105</v>
      </c>
      <c r="W85" s="20">
        <f t="shared" ref="W85:AC85" si="228">W81</f>
        <v>0.010830385716692</v>
      </c>
      <c r="X85" s="20">
        <f t="shared" si="228"/>
        <v>0.0104020530367836</v>
      </c>
      <c r="Y85" s="20">
        <f t="shared" si="228"/>
        <v>0.0107085201793722</v>
      </c>
      <c r="Z85" s="20">
        <f t="shared" si="228"/>
        <v>0.0117702805155421</v>
      </c>
      <c r="AA85" s="20">
        <f t="shared" si="228"/>
        <v>0.011933619242961</v>
      </c>
      <c r="AB85" s="20">
        <f t="shared" si="228"/>
        <v>0.00898419864559818</v>
      </c>
      <c r="AC85" s="20">
        <f t="shared" si="228"/>
        <v>0.0105588963565617</v>
      </c>
      <c r="AD85" s="5"/>
      <c r="AE85" s="5"/>
      <c r="AF85" s="20">
        <f t="shared" ref="AF85:AL85" si="229">AF81</f>
        <v>0.010830385716692</v>
      </c>
      <c r="AG85" s="20">
        <f t="shared" si="229"/>
        <v>0.0104020530367836</v>
      </c>
      <c r="AH85" s="20">
        <f t="shared" si="229"/>
        <v>0.0107085201793722</v>
      </c>
      <c r="AI85" s="20">
        <f t="shared" si="229"/>
        <v>0.0117702805155421</v>
      </c>
      <c r="AJ85" s="20">
        <f t="shared" si="229"/>
        <v>0.011933619242961</v>
      </c>
      <c r="AK85" s="20">
        <f t="shared" si="229"/>
        <v>0.0103318284424379</v>
      </c>
      <c r="AL85" s="20">
        <f t="shared" si="229"/>
        <v>0.012142730810046</v>
      </c>
      <c r="AM85" s="5"/>
      <c r="AN85" s="5"/>
      <c r="AO85" s="20">
        <f t="shared" ref="AO85:AU85" si="230">AO81</f>
        <v>0.010830385716692</v>
      </c>
      <c r="AP85" s="20">
        <f t="shared" si="230"/>
        <v>0.0104020530367836</v>
      </c>
      <c r="AQ85" s="20">
        <f t="shared" si="230"/>
        <v>0.0107085201793722</v>
      </c>
      <c r="AR85" s="20">
        <f t="shared" si="230"/>
        <v>0.0117702805155421</v>
      </c>
      <c r="AS85" s="20">
        <f t="shared" si="230"/>
        <v>0.011933619242961</v>
      </c>
      <c r="AT85" s="20">
        <f t="shared" si="230"/>
        <v>0.00763656884875846</v>
      </c>
      <c r="AU85" s="20">
        <f t="shared" si="230"/>
        <v>0.00897506190307747</v>
      </c>
    </row>
    <row r="86" ht="15.5" spans="21:47">
      <c r="U86" s="3"/>
      <c r="V86" s="19" t="s">
        <v>255</v>
      </c>
      <c r="W86" s="20">
        <f t="shared" ref="W86:AC86" si="231">W82</f>
        <v>0.0447027118073101</v>
      </c>
      <c r="X86" s="20">
        <f t="shared" si="231"/>
        <v>0.0428058169375535</v>
      </c>
      <c r="Y86" s="20">
        <f t="shared" si="231"/>
        <v>0.0441255605381166</v>
      </c>
      <c r="Z86" s="20">
        <f t="shared" si="231"/>
        <v>0.0456406368460955</v>
      </c>
      <c r="AA86" s="20">
        <f t="shared" si="231"/>
        <v>0.0467275778482193</v>
      </c>
      <c r="AB86" s="20">
        <f t="shared" si="231"/>
        <v>0.037020316027088</v>
      </c>
      <c r="AC86" s="20">
        <f t="shared" si="231"/>
        <v>0.0435090201627167</v>
      </c>
      <c r="AD86" s="5"/>
      <c r="AE86" s="5"/>
      <c r="AF86" s="20">
        <f t="shared" ref="AF86:AL86" si="232">AF82</f>
        <v>0.0447027118073101</v>
      </c>
      <c r="AG86" s="20">
        <f t="shared" si="232"/>
        <v>0.0428058169375535</v>
      </c>
      <c r="AH86" s="20">
        <f t="shared" si="232"/>
        <v>0.0441255605381166</v>
      </c>
      <c r="AI86" s="20">
        <f t="shared" si="232"/>
        <v>0.0456406368460955</v>
      </c>
      <c r="AJ86" s="20">
        <f t="shared" si="232"/>
        <v>0.0467275778482193</v>
      </c>
      <c r="AK86" s="20">
        <f t="shared" si="232"/>
        <v>0.0425733634311512</v>
      </c>
      <c r="AL86" s="20">
        <f t="shared" si="232"/>
        <v>0.0500353731871242</v>
      </c>
      <c r="AM86" s="5"/>
      <c r="AN86" s="5"/>
      <c r="AO86" s="20">
        <f t="shared" ref="AO86:AU86" si="233">AO82</f>
        <v>0.0447027118073101</v>
      </c>
      <c r="AP86" s="20">
        <f t="shared" si="233"/>
        <v>0.0428058169375535</v>
      </c>
      <c r="AQ86" s="20">
        <f t="shared" si="233"/>
        <v>0.0441255605381166</v>
      </c>
      <c r="AR86" s="20">
        <f t="shared" si="233"/>
        <v>0.0456406368460955</v>
      </c>
      <c r="AS86" s="20">
        <f t="shared" si="233"/>
        <v>0.0467275778482193</v>
      </c>
      <c r="AT86" s="20">
        <f t="shared" si="233"/>
        <v>0.0314672686230248</v>
      </c>
      <c r="AU86" s="20">
        <f t="shared" si="233"/>
        <v>0.0369826671383092</v>
      </c>
    </row>
    <row r="87" ht="15.5" spans="21:47">
      <c r="U87" s="3"/>
      <c r="V87" s="18" t="s">
        <v>256</v>
      </c>
      <c r="W87" s="20">
        <f t="shared" ref="W87:AC87" si="234">W83</f>
        <v>0.0724945258548088</v>
      </c>
      <c r="X87" s="20">
        <f t="shared" si="234"/>
        <v>0.0706073567151412</v>
      </c>
      <c r="Y87" s="20">
        <f t="shared" si="234"/>
        <v>0.0732017937219731</v>
      </c>
      <c r="Z87" s="20">
        <f t="shared" si="234"/>
        <v>0.076516300227445</v>
      </c>
      <c r="AA87" s="20">
        <f t="shared" si="234"/>
        <v>0.0803841133693828</v>
      </c>
      <c r="AB87" s="20">
        <f t="shared" si="234"/>
        <v>0.0614145974416855</v>
      </c>
      <c r="AC87" s="20">
        <f t="shared" si="234"/>
        <v>0.0721789883268483</v>
      </c>
      <c r="AD87" s="5"/>
      <c r="AE87" s="5"/>
      <c r="AF87" s="20">
        <f t="shared" ref="AF87:AL87" si="235">AF83</f>
        <v>0.0724945258548088</v>
      </c>
      <c r="AG87" s="20">
        <f t="shared" si="235"/>
        <v>0.0706073567151412</v>
      </c>
      <c r="AH87" s="20">
        <f t="shared" si="235"/>
        <v>0.0732017937219731</v>
      </c>
      <c r="AI87" s="20">
        <f t="shared" si="235"/>
        <v>0.076516300227445</v>
      </c>
      <c r="AJ87" s="20">
        <f t="shared" si="235"/>
        <v>0.0803841133693828</v>
      </c>
      <c r="AK87" s="20">
        <f t="shared" si="235"/>
        <v>0.0706267870579383</v>
      </c>
      <c r="AL87" s="20">
        <f t="shared" si="235"/>
        <v>0.0830058365758755</v>
      </c>
      <c r="AM87" s="5"/>
      <c r="AN87" s="5"/>
      <c r="AO87" s="20">
        <f t="shared" ref="AO87:AU87" si="236">AO83</f>
        <v>0.0724945258548088</v>
      </c>
      <c r="AP87" s="20">
        <f t="shared" si="236"/>
        <v>0.0706073567151412</v>
      </c>
      <c r="AQ87" s="20">
        <f t="shared" si="236"/>
        <v>0.0732017937219731</v>
      </c>
      <c r="AR87" s="20">
        <f t="shared" si="236"/>
        <v>0.076516300227445</v>
      </c>
      <c r="AS87" s="20">
        <f t="shared" si="236"/>
        <v>0.0803841133693828</v>
      </c>
      <c r="AT87" s="20">
        <f t="shared" si="236"/>
        <v>0.0522024078254327</v>
      </c>
      <c r="AU87" s="20">
        <f t="shared" si="236"/>
        <v>0.061352140077821</v>
      </c>
    </row>
    <row r="88" ht="15.5" spans="21:47">
      <c r="U88" s="3"/>
      <c r="V88" s="18" t="s">
        <v>257</v>
      </c>
      <c r="W88" s="20">
        <f t="shared" ref="W88:AC88" si="237">W84</f>
        <v>0.0131547919824827</v>
      </c>
      <c r="X88" s="20">
        <f t="shared" si="237"/>
        <v>0.0128656971770744</v>
      </c>
      <c r="Y88" s="20">
        <f t="shared" si="237"/>
        <v>0.0133273542600897</v>
      </c>
      <c r="Z88" s="20">
        <f t="shared" si="237"/>
        <v>0.0145564821834723</v>
      </c>
      <c r="AA88" s="20">
        <f t="shared" si="237"/>
        <v>0.0148610852134999</v>
      </c>
      <c r="AB88" s="20">
        <f t="shared" si="237"/>
        <v>0.0111813393528969</v>
      </c>
      <c r="AC88" s="20">
        <f t="shared" si="237"/>
        <v>0.0131411390166254</v>
      </c>
      <c r="AD88" s="5"/>
      <c r="AE88" s="5"/>
      <c r="AF88" s="20">
        <f t="shared" ref="AF88:AL88" si="238">AF84</f>
        <v>0.0131547919824827</v>
      </c>
      <c r="AG88" s="20">
        <f t="shared" si="238"/>
        <v>0.0128656971770744</v>
      </c>
      <c r="AH88" s="20">
        <f t="shared" si="238"/>
        <v>0.0133273542600897</v>
      </c>
      <c r="AI88" s="20">
        <f t="shared" si="238"/>
        <v>0.0145564821834723</v>
      </c>
      <c r="AJ88" s="20">
        <f t="shared" si="238"/>
        <v>0.0148610852134999</v>
      </c>
      <c r="AK88" s="20">
        <f t="shared" si="238"/>
        <v>0.0128585402558315</v>
      </c>
      <c r="AL88" s="20">
        <f t="shared" si="238"/>
        <v>0.0151123098691192</v>
      </c>
      <c r="AM88" s="5"/>
      <c r="AN88" s="5"/>
      <c r="AO88" s="20">
        <f t="shared" ref="AO88:AU88" si="239">AO84</f>
        <v>0.0131547919824827</v>
      </c>
      <c r="AP88" s="20">
        <f t="shared" si="239"/>
        <v>0.0128656971770744</v>
      </c>
      <c r="AQ88" s="20">
        <f t="shared" si="239"/>
        <v>0.0133273542600897</v>
      </c>
      <c r="AR88" s="20">
        <f t="shared" si="239"/>
        <v>0.0145564821834723</v>
      </c>
      <c r="AS88" s="20">
        <f t="shared" si="239"/>
        <v>0.0148610852134999</v>
      </c>
      <c r="AT88" s="20">
        <f t="shared" si="239"/>
        <v>0.00950413844996238</v>
      </c>
      <c r="AU88" s="20">
        <f t="shared" si="239"/>
        <v>0.0111699681641316</v>
      </c>
    </row>
    <row r="89" ht="15.5" spans="21:47">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row>
    <row r="90" ht="15.5" spans="21:47">
      <c r="U90" s="5"/>
      <c r="V90" s="5"/>
      <c r="W90" s="5"/>
      <c r="X90" s="5"/>
      <c r="Y90" s="5"/>
      <c r="Z90" s="5"/>
      <c r="AA90" s="5"/>
      <c r="AB90" s="5"/>
      <c r="AC90" s="5"/>
      <c r="AD90" s="5"/>
      <c r="AE90" s="5"/>
      <c r="AF90" s="5"/>
      <c r="AG90" s="5"/>
      <c r="AH90" s="5"/>
      <c r="AI90" s="5"/>
      <c r="AJ90" s="5"/>
      <c r="AK90" s="5"/>
      <c r="AL90" s="5"/>
      <c r="AM90" s="5"/>
      <c r="AN90" s="5"/>
      <c r="AO90" s="5"/>
      <c r="AP90" s="5"/>
      <c r="AQ90" s="5"/>
      <c r="AR90" s="5"/>
      <c r="AS90" s="5"/>
      <c r="AT90" s="5"/>
      <c r="AU90" s="5"/>
    </row>
    <row r="91" ht="15.5" spans="21:47">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row>
    <row r="92" ht="15.5" spans="21:47">
      <c r="U92" s="5"/>
      <c r="V92" s="5"/>
      <c r="W92" s="5" t="s">
        <v>225</v>
      </c>
      <c r="X92" s="5" t="s">
        <v>226</v>
      </c>
      <c r="Y92" s="6" t="s">
        <v>227</v>
      </c>
      <c r="Z92" s="5" t="s">
        <v>228</v>
      </c>
      <c r="AA92" s="5" t="s">
        <v>229</v>
      </c>
      <c r="AB92" s="15" t="s">
        <v>230</v>
      </c>
      <c r="AC92" s="15" t="s">
        <v>231</v>
      </c>
      <c r="AD92" s="5"/>
      <c r="AE92" s="5"/>
      <c r="AF92" s="5" t="s">
        <v>225</v>
      </c>
      <c r="AG92" s="5" t="s">
        <v>226</v>
      </c>
      <c r="AH92" s="6" t="s">
        <v>227</v>
      </c>
      <c r="AI92" s="5" t="s">
        <v>228</v>
      </c>
      <c r="AJ92" s="5" t="s">
        <v>229</v>
      </c>
      <c r="AK92" s="15" t="s">
        <v>230</v>
      </c>
      <c r="AL92" s="15" t="s">
        <v>231</v>
      </c>
      <c r="AM92" s="5"/>
      <c r="AN92" s="5"/>
      <c r="AO92" s="5" t="s">
        <v>225</v>
      </c>
      <c r="AP92" s="5" t="s">
        <v>226</v>
      </c>
      <c r="AQ92" s="6" t="s">
        <v>227</v>
      </c>
      <c r="AR92" s="5" t="s">
        <v>228</v>
      </c>
      <c r="AS92" s="5" t="s">
        <v>229</v>
      </c>
      <c r="AT92" s="15" t="s">
        <v>230</v>
      </c>
      <c r="AU92" s="15" t="s">
        <v>231</v>
      </c>
    </row>
    <row r="93" spans="21:47">
      <c r="U93" s="3" t="s">
        <v>232</v>
      </c>
      <c r="V93" s="18" t="s">
        <v>105</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
      <c r="V94" s="19" t="s">
        <v>255</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
      <c r="V95" s="18" t="s">
        <v>256</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
      <c r="V96" s="18" t="s">
        <v>257</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 t="s">
        <v>238</v>
      </c>
      <c r="V97" s="18" t="s">
        <v>105</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
      <c r="V98" s="19" t="s">
        <v>255</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5" spans="21:47">
      <c r="U99" s="3"/>
      <c r="V99" s="18" t="s">
        <v>256</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5"/>
      <c r="AE99" s="5"/>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5"/>
      <c r="AN99" s="5"/>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5" spans="21:47">
      <c r="U100" s="3"/>
      <c r="V100" s="18" t="s">
        <v>257</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5"/>
      <c r="AE100" s="5"/>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5"/>
      <c r="AN100" s="5"/>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5" spans="21:47">
      <c r="U101" s="3" t="s">
        <v>258</v>
      </c>
      <c r="V101" s="18" t="s">
        <v>105</v>
      </c>
      <c r="W101" s="5">
        <f t="shared" ref="W101:AC101" si="264">W34-W35</f>
        <v>0.011840997136601</v>
      </c>
      <c r="X101" s="5">
        <f t="shared" si="264"/>
        <v>0.011377245508982</v>
      </c>
      <c r="Y101" s="5">
        <f t="shared" si="264"/>
        <v>0.0117668161434977</v>
      </c>
      <c r="Z101" s="5">
        <f t="shared" si="264"/>
        <v>0.0120924943138741</v>
      </c>
      <c r="AA101" s="5">
        <f t="shared" si="264"/>
        <v>0.0122878985642364</v>
      </c>
      <c r="AB101" s="5">
        <f t="shared" si="264"/>
        <v>0.00987208427389014</v>
      </c>
      <c r="AC101" s="5">
        <f t="shared" si="264"/>
        <v>0.0116024053767244</v>
      </c>
      <c r="AD101" s="5"/>
      <c r="AE101" s="5"/>
      <c r="AF101" s="5">
        <f t="shared" ref="AF101:AL101" si="265">AF34-AF35</f>
        <v>0.011840997136601</v>
      </c>
      <c r="AG101" s="5">
        <f t="shared" si="265"/>
        <v>0.011377245508982</v>
      </c>
      <c r="AH101" s="5">
        <f t="shared" si="265"/>
        <v>0.0117668161434977</v>
      </c>
      <c r="AI101" s="5">
        <f t="shared" si="265"/>
        <v>0.0120924943138741</v>
      </c>
      <c r="AJ101" s="5">
        <f t="shared" si="265"/>
        <v>0.0122878985642364</v>
      </c>
      <c r="AK101" s="5">
        <f t="shared" si="265"/>
        <v>0.0113528969149737</v>
      </c>
      <c r="AL101" s="5">
        <f t="shared" si="265"/>
        <v>0.0133427661832331</v>
      </c>
      <c r="AM101" s="5"/>
      <c r="AN101" s="5"/>
      <c r="AO101" s="5">
        <f t="shared" ref="AO101:AU101" si="266">AO34-AO35</f>
        <v>0.011840997136601</v>
      </c>
      <c r="AP101" s="5">
        <f t="shared" si="266"/>
        <v>0.011377245508982</v>
      </c>
      <c r="AQ101" s="5">
        <f t="shared" si="266"/>
        <v>0.0117668161434977</v>
      </c>
      <c r="AR101" s="5">
        <f t="shared" si="266"/>
        <v>0.0120924943138741</v>
      </c>
      <c r="AS101" s="5">
        <f t="shared" si="266"/>
        <v>0.0122878985642364</v>
      </c>
      <c r="AT101" s="5">
        <f t="shared" si="266"/>
        <v>0.00839127163280662</v>
      </c>
      <c r="AU101" s="5">
        <f t="shared" si="266"/>
        <v>0.00986204457021578</v>
      </c>
    </row>
    <row r="102" ht="15.5" spans="21:47">
      <c r="U102" s="3"/>
      <c r="V102" s="19" t="s">
        <v>255</v>
      </c>
      <c r="W102" s="5">
        <f t="shared" ref="W102:AC102" si="267">W36</f>
        <v>0.0404413003200269</v>
      </c>
      <c r="X102" s="5">
        <f t="shared" si="267"/>
        <v>0.0389734816082122</v>
      </c>
      <c r="Y102" s="5">
        <f t="shared" si="267"/>
        <v>0.0403408071748879</v>
      </c>
      <c r="Z102" s="5">
        <f t="shared" si="267"/>
        <v>0.0420204700530705</v>
      </c>
      <c r="AA102" s="5">
        <f t="shared" si="267"/>
        <v>0.0428118590341227</v>
      </c>
      <c r="AB102" s="5">
        <f t="shared" si="267"/>
        <v>0.0338449962377728</v>
      </c>
      <c r="AC102" s="5">
        <f t="shared" si="267"/>
        <v>0.0397771489211178</v>
      </c>
      <c r="AD102" s="5"/>
      <c r="AE102" s="5"/>
      <c r="AF102" s="5">
        <f t="shared" ref="AF102:AL102" si="268">AF36</f>
        <v>0.0404413003200269</v>
      </c>
      <c r="AG102" s="5">
        <f t="shared" si="268"/>
        <v>0.0389734816082122</v>
      </c>
      <c r="AH102" s="5">
        <f t="shared" si="268"/>
        <v>0.0403408071748879</v>
      </c>
      <c r="AI102" s="5">
        <f t="shared" si="268"/>
        <v>0.0420204700530705</v>
      </c>
      <c r="AJ102" s="5">
        <f t="shared" si="268"/>
        <v>0.0428118590341227</v>
      </c>
      <c r="AK102" s="5">
        <f t="shared" si="268"/>
        <v>0.0389217456734387</v>
      </c>
      <c r="AL102" s="5">
        <f t="shared" si="268"/>
        <v>0.0457437212592855</v>
      </c>
      <c r="AM102" s="5"/>
      <c r="AN102" s="5"/>
      <c r="AO102" s="5">
        <f t="shared" ref="AO102:AU102" si="269">AO36</f>
        <v>0.0404413003200269</v>
      </c>
      <c r="AP102" s="5">
        <f t="shared" si="269"/>
        <v>0.0389734816082122</v>
      </c>
      <c r="AQ102" s="5">
        <f t="shared" si="269"/>
        <v>0.0403408071748879</v>
      </c>
      <c r="AR102" s="5">
        <f t="shared" si="269"/>
        <v>0.0420204700530705</v>
      </c>
      <c r="AS102" s="5">
        <f t="shared" si="269"/>
        <v>0.0428118590341227</v>
      </c>
      <c r="AT102" s="5">
        <f t="shared" si="269"/>
        <v>0.0287682468021069</v>
      </c>
      <c r="AU102" s="5">
        <f t="shared" si="269"/>
        <v>0.0338105765829501</v>
      </c>
    </row>
    <row r="103" ht="15.5" spans="21:47">
      <c r="U103" s="3"/>
      <c r="V103" s="18" t="s">
        <v>256</v>
      </c>
      <c r="W103" s="5">
        <f t="shared" ref="W103:AC103" si="270">W37</f>
        <v>0.0870304867778339</v>
      </c>
      <c r="X103" s="5">
        <f t="shared" si="270"/>
        <v>0.0843627031650984</v>
      </c>
      <c r="Y103" s="5">
        <f t="shared" si="270"/>
        <v>0.0874439461883408</v>
      </c>
      <c r="Z103" s="5">
        <f t="shared" si="270"/>
        <v>0.0881918119787718</v>
      </c>
      <c r="AA103" s="5">
        <f t="shared" si="270"/>
        <v>0.0922245012120082</v>
      </c>
      <c r="AB103" s="5">
        <f t="shared" si="270"/>
        <v>0.0733634311512415</v>
      </c>
      <c r="AC103" s="5">
        <f t="shared" si="270"/>
        <v>0.0862221436151397</v>
      </c>
      <c r="AD103" s="5"/>
      <c r="AE103" s="5"/>
      <c r="AF103" s="5">
        <f t="shared" ref="AF103:AL103" si="271">AF37</f>
        <v>0.0870304867778339</v>
      </c>
      <c r="AG103" s="5">
        <f t="shared" si="271"/>
        <v>0.0843627031650984</v>
      </c>
      <c r="AH103" s="5">
        <f t="shared" si="271"/>
        <v>0.0874439461883408</v>
      </c>
      <c r="AI103" s="5">
        <f t="shared" si="271"/>
        <v>0.0881918119787718</v>
      </c>
      <c r="AJ103" s="5">
        <f t="shared" si="271"/>
        <v>0.0922245012120082</v>
      </c>
      <c r="AK103" s="5">
        <f t="shared" si="271"/>
        <v>0.0843679458239278</v>
      </c>
      <c r="AL103" s="5">
        <f t="shared" si="271"/>
        <v>0.0991554651574107</v>
      </c>
      <c r="AM103" s="5"/>
      <c r="AN103" s="5"/>
      <c r="AO103" s="5">
        <f t="shared" ref="AO103:AU103" si="272">AO37</f>
        <v>0.0870304867778339</v>
      </c>
      <c r="AP103" s="5">
        <f t="shared" si="272"/>
        <v>0.0843627031650984</v>
      </c>
      <c r="AQ103" s="5">
        <f t="shared" si="272"/>
        <v>0.0874439461883408</v>
      </c>
      <c r="AR103" s="5">
        <f t="shared" si="272"/>
        <v>0.0881918119787718</v>
      </c>
      <c r="AS103" s="5">
        <f t="shared" si="272"/>
        <v>0.0922245012120082</v>
      </c>
      <c r="AT103" s="5">
        <f t="shared" si="272"/>
        <v>0.0623589164785553</v>
      </c>
      <c r="AU103" s="5">
        <f t="shared" si="272"/>
        <v>0.0732888220728688</v>
      </c>
    </row>
    <row r="104" ht="15.5" spans="21:47">
      <c r="U104" s="3"/>
      <c r="V104" s="18" t="s">
        <v>257</v>
      </c>
      <c r="W104" s="5">
        <f t="shared" ref="W104:AC104" si="273">W38</f>
        <v>0.0133569142664645</v>
      </c>
      <c r="X104" s="5">
        <f t="shared" si="273"/>
        <v>0.0131907613344739</v>
      </c>
      <c r="Y104" s="5">
        <f t="shared" si="273"/>
        <v>0.0137399103139013</v>
      </c>
      <c r="Z104" s="5">
        <f t="shared" si="273"/>
        <v>0.0141015921152388</v>
      </c>
      <c r="AA104" s="5">
        <f t="shared" si="273"/>
        <v>0.0143016968114861</v>
      </c>
      <c r="AB104" s="5">
        <f t="shared" si="273"/>
        <v>0.0115274642588412</v>
      </c>
      <c r="AC104" s="5">
        <f t="shared" si="273"/>
        <v>0.0135479306685532</v>
      </c>
      <c r="AD104" s="5"/>
      <c r="AE104" s="5"/>
      <c r="AF104" s="5">
        <f t="shared" ref="AF104:AL104" si="274">AF38</f>
        <v>0.0133569142664645</v>
      </c>
      <c r="AG104" s="5">
        <f t="shared" si="274"/>
        <v>0.0131907613344739</v>
      </c>
      <c r="AH104" s="5">
        <f t="shared" si="274"/>
        <v>0.0137399103139013</v>
      </c>
      <c r="AI104" s="5">
        <f t="shared" si="274"/>
        <v>0.0141015921152388</v>
      </c>
      <c r="AJ104" s="5">
        <f t="shared" si="274"/>
        <v>0.0143016968114861</v>
      </c>
      <c r="AK104" s="5">
        <f t="shared" si="274"/>
        <v>0.0132565838976674</v>
      </c>
      <c r="AL104" s="5">
        <f t="shared" si="274"/>
        <v>0.0155801202688362</v>
      </c>
      <c r="AM104" s="5"/>
      <c r="AN104" s="5"/>
      <c r="AO104" s="5">
        <f t="shared" ref="AO104:AU104" si="275">AO38</f>
        <v>0.0133569142664645</v>
      </c>
      <c r="AP104" s="5">
        <f t="shared" si="275"/>
        <v>0.0131907613344739</v>
      </c>
      <c r="AQ104" s="5">
        <f t="shared" si="275"/>
        <v>0.0137399103139013</v>
      </c>
      <c r="AR104" s="5">
        <f t="shared" si="275"/>
        <v>0.0141015921152388</v>
      </c>
      <c r="AS104" s="5">
        <f t="shared" si="275"/>
        <v>0.0143016968114861</v>
      </c>
      <c r="AT104" s="5">
        <f t="shared" si="275"/>
        <v>0.00979834462001505</v>
      </c>
      <c r="AU104" s="5">
        <f t="shared" si="275"/>
        <v>0.0115157410682703</v>
      </c>
    </row>
    <row r="105" ht="15.5" spans="21:47">
      <c r="U105" s="3" t="s">
        <v>258</v>
      </c>
      <c r="V105" s="18" t="s">
        <v>105</v>
      </c>
      <c r="W105" s="20">
        <f t="shared" ref="W105:AC105" si="276">W101</f>
        <v>0.011840997136601</v>
      </c>
      <c r="X105" s="20">
        <f t="shared" si="276"/>
        <v>0.011377245508982</v>
      </c>
      <c r="Y105" s="20">
        <f t="shared" si="276"/>
        <v>0.0117668161434977</v>
      </c>
      <c r="Z105" s="20">
        <f t="shared" si="276"/>
        <v>0.0120924943138741</v>
      </c>
      <c r="AA105" s="20">
        <f t="shared" si="276"/>
        <v>0.0122878985642364</v>
      </c>
      <c r="AB105" s="20">
        <f t="shared" si="276"/>
        <v>0.00987208427389014</v>
      </c>
      <c r="AC105" s="20">
        <f t="shared" si="276"/>
        <v>0.0116024053767244</v>
      </c>
      <c r="AD105" s="5"/>
      <c r="AE105" s="5"/>
      <c r="AF105" s="20">
        <f t="shared" ref="AF105:AL105" si="277">AF101</f>
        <v>0.011840997136601</v>
      </c>
      <c r="AG105" s="20">
        <f t="shared" si="277"/>
        <v>0.011377245508982</v>
      </c>
      <c r="AH105" s="20">
        <f t="shared" si="277"/>
        <v>0.0117668161434977</v>
      </c>
      <c r="AI105" s="20">
        <f t="shared" si="277"/>
        <v>0.0120924943138741</v>
      </c>
      <c r="AJ105" s="20">
        <f t="shared" si="277"/>
        <v>0.0122878985642364</v>
      </c>
      <c r="AK105" s="20">
        <f t="shared" si="277"/>
        <v>0.0113528969149737</v>
      </c>
      <c r="AL105" s="20">
        <f t="shared" si="277"/>
        <v>0.0133427661832331</v>
      </c>
      <c r="AM105" s="5"/>
      <c r="AN105" s="5"/>
      <c r="AO105" s="20">
        <f t="shared" ref="AO105:AU105" si="278">AO101</f>
        <v>0.011840997136601</v>
      </c>
      <c r="AP105" s="20">
        <f t="shared" si="278"/>
        <v>0.011377245508982</v>
      </c>
      <c r="AQ105" s="20">
        <f t="shared" si="278"/>
        <v>0.0117668161434977</v>
      </c>
      <c r="AR105" s="20">
        <f t="shared" si="278"/>
        <v>0.0120924943138741</v>
      </c>
      <c r="AS105" s="20">
        <f t="shared" si="278"/>
        <v>0.0122878985642364</v>
      </c>
      <c r="AT105" s="20">
        <f t="shared" si="278"/>
        <v>0.00839127163280662</v>
      </c>
      <c r="AU105" s="20">
        <f t="shared" si="278"/>
        <v>0.00986204457021578</v>
      </c>
    </row>
    <row r="106" ht="15.5" spans="21:47">
      <c r="U106" s="3"/>
      <c r="V106" s="19" t="s">
        <v>255</v>
      </c>
      <c r="W106" s="20">
        <f t="shared" ref="W106:AC106" si="279">W102</f>
        <v>0.0404413003200269</v>
      </c>
      <c r="X106" s="20">
        <f t="shared" si="279"/>
        <v>0.0389734816082122</v>
      </c>
      <c r="Y106" s="20">
        <f t="shared" si="279"/>
        <v>0.0403408071748879</v>
      </c>
      <c r="Z106" s="20">
        <f t="shared" si="279"/>
        <v>0.0420204700530705</v>
      </c>
      <c r="AA106" s="20">
        <f t="shared" si="279"/>
        <v>0.0428118590341227</v>
      </c>
      <c r="AB106" s="20">
        <f t="shared" si="279"/>
        <v>0.0338449962377728</v>
      </c>
      <c r="AC106" s="20">
        <f t="shared" si="279"/>
        <v>0.0397771489211178</v>
      </c>
      <c r="AD106" s="5"/>
      <c r="AE106" s="5"/>
      <c r="AF106" s="20">
        <f t="shared" ref="AF106:AL106" si="280">AF102</f>
        <v>0.0404413003200269</v>
      </c>
      <c r="AG106" s="20">
        <f t="shared" si="280"/>
        <v>0.0389734816082122</v>
      </c>
      <c r="AH106" s="20">
        <f t="shared" si="280"/>
        <v>0.0403408071748879</v>
      </c>
      <c r="AI106" s="20">
        <f t="shared" si="280"/>
        <v>0.0420204700530705</v>
      </c>
      <c r="AJ106" s="20">
        <f t="shared" si="280"/>
        <v>0.0428118590341227</v>
      </c>
      <c r="AK106" s="20">
        <f t="shared" si="280"/>
        <v>0.0389217456734387</v>
      </c>
      <c r="AL106" s="20">
        <f t="shared" si="280"/>
        <v>0.0457437212592855</v>
      </c>
      <c r="AM106" s="5"/>
      <c r="AN106" s="5"/>
      <c r="AO106" s="20">
        <f t="shared" ref="AO106:AU106" si="281">AO102</f>
        <v>0.0404413003200269</v>
      </c>
      <c r="AP106" s="20">
        <f t="shared" si="281"/>
        <v>0.0389734816082122</v>
      </c>
      <c r="AQ106" s="20">
        <f t="shared" si="281"/>
        <v>0.0403408071748879</v>
      </c>
      <c r="AR106" s="20">
        <f t="shared" si="281"/>
        <v>0.0420204700530705</v>
      </c>
      <c r="AS106" s="20">
        <f t="shared" si="281"/>
        <v>0.0428118590341227</v>
      </c>
      <c r="AT106" s="20">
        <f t="shared" si="281"/>
        <v>0.0287682468021069</v>
      </c>
      <c r="AU106" s="20">
        <f t="shared" si="281"/>
        <v>0.0338105765829501</v>
      </c>
    </row>
    <row r="107" ht="15.5" spans="21:47">
      <c r="U107" s="3"/>
      <c r="V107" s="18" t="s">
        <v>256</v>
      </c>
      <c r="W107" s="20">
        <f t="shared" ref="W107:AC107" si="282">W103</f>
        <v>0.0870304867778339</v>
      </c>
      <c r="X107" s="20">
        <f t="shared" si="282"/>
        <v>0.0843627031650984</v>
      </c>
      <c r="Y107" s="20">
        <f t="shared" si="282"/>
        <v>0.0874439461883408</v>
      </c>
      <c r="Z107" s="20">
        <f t="shared" si="282"/>
        <v>0.0881918119787718</v>
      </c>
      <c r="AA107" s="20">
        <f t="shared" si="282"/>
        <v>0.0922245012120082</v>
      </c>
      <c r="AB107" s="20">
        <f t="shared" si="282"/>
        <v>0.0733634311512415</v>
      </c>
      <c r="AC107" s="20">
        <f t="shared" si="282"/>
        <v>0.0862221436151397</v>
      </c>
      <c r="AD107" s="5"/>
      <c r="AE107" s="5"/>
      <c r="AF107" s="20">
        <f t="shared" ref="AF107:AL107" si="283">AF103</f>
        <v>0.0870304867778339</v>
      </c>
      <c r="AG107" s="20">
        <f t="shared" si="283"/>
        <v>0.0843627031650984</v>
      </c>
      <c r="AH107" s="20">
        <f t="shared" si="283"/>
        <v>0.0874439461883408</v>
      </c>
      <c r="AI107" s="20">
        <f t="shared" si="283"/>
        <v>0.0881918119787718</v>
      </c>
      <c r="AJ107" s="20">
        <f t="shared" si="283"/>
        <v>0.0922245012120082</v>
      </c>
      <c r="AK107" s="20">
        <f t="shared" si="283"/>
        <v>0.0843679458239278</v>
      </c>
      <c r="AL107" s="20">
        <f t="shared" si="283"/>
        <v>0.0991554651574107</v>
      </c>
      <c r="AM107" s="5"/>
      <c r="AN107" s="5"/>
      <c r="AO107" s="20">
        <f t="shared" ref="AO107:AU107" si="284">AO103</f>
        <v>0.0870304867778339</v>
      </c>
      <c r="AP107" s="20">
        <f t="shared" si="284"/>
        <v>0.0843627031650984</v>
      </c>
      <c r="AQ107" s="20">
        <f t="shared" si="284"/>
        <v>0.0874439461883408</v>
      </c>
      <c r="AR107" s="20">
        <f t="shared" si="284"/>
        <v>0.0881918119787718</v>
      </c>
      <c r="AS107" s="20">
        <f t="shared" si="284"/>
        <v>0.0922245012120082</v>
      </c>
      <c r="AT107" s="20">
        <f t="shared" si="284"/>
        <v>0.0623589164785553</v>
      </c>
      <c r="AU107" s="20">
        <f t="shared" si="284"/>
        <v>0.0732888220728688</v>
      </c>
    </row>
    <row r="108" ht="15.5" spans="21:47">
      <c r="U108" s="3"/>
      <c r="V108" s="18" t="s">
        <v>257</v>
      </c>
      <c r="W108" s="20">
        <f t="shared" ref="W108:AC108" si="285">W104</f>
        <v>0.0133569142664645</v>
      </c>
      <c r="X108" s="20">
        <f t="shared" si="285"/>
        <v>0.0131907613344739</v>
      </c>
      <c r="Y108" s="20">
        <f t="shared" si="285"/>
        <v>0.0137399103139013</v>
      </c>
      <c r="Z108" s="20">
        <f t="shared" si="285"/>
        <v>0.0141015921152388</v>
      </c>
      <c r="AA108" s="20">
        <f t="shared" si="285"/>
        <v>0.0143016968114861</v>
      </c>
      <c r="AB108" s="20">
        <f t="shared" si="285"/>
        <v>0.0115274642588412</v>
      </c>
      <c r="AC108" s="20">
        <f t="shared" si="285"/>
        <v>0.0135479306685532</v>
      </c>
      <c r="AD108" s="5"/>
      <c r="AE108" s="5"/>
      <c r="AF108" s="20">
        <f t="shared" ref="AF108:AL108" si="286">AF104</f>
        <v>0.0133569142664645</v>
      </c>
      <c r="AG108" s="20">
        <f t="shared" si="286"/>
        <v>0.0131907613344739</v>
      </c>
      <c r="AH108" s="20">
        <f t="shared" si="286"/>
        <v>0.0137399103139013</v>
      </c>
      <c r="AI108" s="20">
        <f t="shared" si="286"/>
        <v>0.0141015921152388</v>
      </c>
      <c r="AJ108" s="20">
        <f t="shared" si="286"/>
        <v>0.0143016968114861</v>
      </c>
      <c r="AK108" s="20">
        <f t="shared" si="286"/>
        <v>0.0132565838976674</v>
      </c>
      <c r="AL108" s="20">
        <f t="shared" si="286"/>
        <v>0.0155801202688362</v>
      </c>
      <c r="AM108" s="5"/>
      <c r="AN108" s="5"/>
      <c r="AO108" s="20">
        <f t="shared" ref="AO108:AU108" si="287">AO104</f>
        <v>0.0133569142664645</v>
      </c>
      <c r="AP108" s="20">
        <f t="shared" si="287"/>
        <v>0.0131907613344739</v>
      </c>
      <c r="AQ108" s="20">
        <f t="shared" si="287"/>
        <v>0.0137399103139013</v>
      </c>
      <c r="AR108" s="20">
        <f t="shared" si="287"/>
        <v>0.0141015921152388</v>
      </c>
      <c r="AS108" s="20">
        <f t="shared" si="287"/>
        <v>0.0143016968114861</v>
      </c>
      <c r="AT108" s="20">
        <f t="shared" si="287"/>
        <v>0.00979834462001505</v>
      </c>
      <c r="AU108" s="20">
        <f t="shared" si="287"/>
        <v>0.0115157410682703</v>
      </c>
    </row>
    <row r="112" ht="15.5" spans="21:47">
      <c r="U112" s="5"/>
      <c r="V112" s="5"/>
      <c r="W112" s="5" t="s">
        <v>225</v>
      </c>
      <c r="X112" s="5" t="s">
        <v>226</v>
      </c>
      <c r="Y112" s="6" t="s">
        <v>227</v>
      </c>
      <c r="Z112" s="5" t="s">
        <v>228</v>
      </c>
      <c r="AA112" s="5" t="s">
        <v>229</v>
      </c>
      <c r="AB112" s="15" t="s">
        <v>230</v>
      </c>
      <c r="AC112" s="15" t="s">
        <v>231</v>
      </c>
      <c r="AD112" s="5"/>
      <c r="AE112" s="5"/>
      <c r="AF112" s="5" t="s">
        <v>225</v>
      </c>
      <c r="AG112" s="5" t="s">
        <v>226</v>
      </c>
      <c r="AH112" s="6" t="s">
        <v>227</v>
      </c>
      <c r="AI112" s="5" t="s">
        <v>228</v>
      </c>
      <c r="AJ112" s="5" t="s">
        <v>229</v>
      </c>
      <c r="AK112" s="15" t="s">
        <v>230</v>
      </c>
      <c r="AL112" s="15" t="s">
        <v>231</v>
      </c>
      <c r="AM112" s="5"/>
      <c r="AN112" s="5"/>
      <c r="AO112" s="5" t="s">
        <v>225</v>
      </c>
      <c r="AP112" s="5" t="s">
        <v>226</v>
      </c>
      <c r="AQ112" s="6" t="s">
        <v>227</v>
      </c>
      <c r="AR112" s="5" t="s">
        <v>228</v>
      </c>
      <c r="AS112" s="5" t="s">
        <v>229</v>
      </c>
      <c r="AT112" s="15" t="s">
        <v>230</v>
      </c>
      <c r="AU112" s="15" t="s">
        <v>231</v>
      </c>
    </row>
    <row r="113" spans="21:47">
      <c r="U113" s="3" t="s">
        <v>232</v>
      </c>
      <c r="V113" s="18" t="s">
        <v>105</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
      <c r="V114" s="19" t="s">
        <v>255</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
      <c r="V115" s="18" t="s">
        <v>256</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
      <c r="V116" s="18" t="s">
        <v>257</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 t="s">
        <v>238</v>
      </c>
      <c r="V117" s="18" t="s">
        <v>105</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
      <c r="V118" s="19" t="s">
        <v>255</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5" spans="21:47">
      <c r="U119" s="3"/>
      <c r="V119" s="18" t="s">
        <v>256</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5"/>
      <c r="AE119" s="5"/>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5"/>
      <c r="AN119" s="5"/>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5" spans="21:47">
      <c r="U120" s="3"/>
      <c r="V120" s="18" t="s">
        <v>257</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5"/>
      <c r="AE120" s="5"/>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5"/>
      <c r="AN120" s="5"/>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5" spans="21:47">
      <c r="U121" s="3" t="s">
        <v>258</v>
      </c>
      <c r="V121" s="18" t="s">
        <v>105</v>
      </c>
      <c r="W121" s="5">
        <f t="shared" ref="W121:AC121" si="312">W54-W55</f>
        <v>0.00810173488293751</v>
      </c>
      <c r="X121" s="5">
        <f t="shared" si="312"/>
        <v>0.00786997433704022</v>
      </c>
      <c r="Y121" s="5">
        <f t="shared" si="312"/>
        <v>0.00817937219730942</v>
      </c>
      <c r="Z121" s="5">
        <f t="shared" si="312"/>
        <v>0.00816906747536013</v>
      </c>
      <c r="AA121" s="5">
        <f t="shared" si="312"/>
        <v>0.00826030206973706</v>
      </c>
      <c r="AB121" s="5">
        <f t="shared" si="312"/>
        <v>0.00686230248306997</v>
      </c>
      <c r="AC121" s="5">
        <f t="shared" si="312"/>
        <v>0.00806508666430845</v>
      </c>
      <c r="AD121" s="5"/>
      <c r="AE121" s="5"/>
      <c r="AF121" s="5">
        <f t="shared" ref="AF121:AL121" si="313">AF54-AF55</f>
        <v>0.00810173488293751</v>
      </c>
      <c r="AG121" s="5">
        <f t="shared" si="313"/>
        <v>0.00786997433704022</v>
      </c>
      <c r="AH121" s="5">
        <f t="shared" si="313"/>
        <v>0.00817937219730942</v>
      </c>
      <c r="AI121" s="5">
        <f t="shared" si="313"/>
        <v>0.00816906747536013</v>
      </c>
      <c r="AJ121" s="5">
        <f t="shared" si="313"/>
        <v>0.00826030206973706</v>
      </c>
      <c r="AK121" s="5">
        <f t="shared" si="313"/>
        <v>0.00789164785553047</v>
      </c>
      <c r="AL121" s="5">
        <f t="shared" si="313"/>
        <v>0.00927484966395473</v>
      </c>
      <c r="AM121" s="5"/>
      <c r="AN121" s="5"/>
      <c r="AO121" s="5">
        <f t="shared" ref="AO121:AU121" si="314">AO54-AO55</f>
        <v>0.00810173488293751</v>
      </c>
      <c r="AP121" s="5">
        <f t="shared" si="314"/>
        <v>0.00786997433704022</v>
      </c>
      <c r="AQ121" s="5">
        <f t="shared" si="314"/>
        <v>0.00817937219730942</v>
      </c>
      <c r="AR121" s="5">
        <f t="shared" si="314"/>
        <v>0.00816906747536013</v>
      </c>
      <c r="AS121" s="5">
        <f t="shared" si="314"/>
        <v>0.00826030206973706</v>
      </c>
      <c r="AT121" s="5">
        <f t="shared" si="314"/>
        <v>0.00583295711060948</v>
      </c>
      <c r="AU121" s="5">
        <f t="shared" si="314"/>
        <v>0.00685532366466218</v>
      </c>
    </row>
    <row r="122" ht="15.5" spans="21:47">
      <c r="U122" s="3"/>
      <c r="V122" s="19" t="s">
        <v>255</v>
      </c>
      <c r="W122" s="5">
        <f t="shared" ref="W122:AC122" si="315">W56</f>
        <v>0.0319690079164561</v>
      </c>
      <c r="X122" s="5">
        <f t="shared" si="315"/>
        <v>0.0310692899914457</v>
      </c>
      <c r="Y122" s="5">
        <f t="shared" si="315"/>
        <v>0.0322331838565022</v>
      </c>
      <c r="Z122" s="5">
        <f t="shared" si="315"/>
        <v>0.0321645185746778</v>
      </c>
      <c r="AA122" s="5">
        <f t="shared" si="315"/>
        <v>0.0325750512772702</v>
      </c>
      <c r="AB122" s="5">
        <f t="shared" si="315"/>
        <v>0.0270428893905192</v>
      </c>
      <c r="AC122" s="5">
        <f t="shared" si="315"/>
        <v>0.0317828086310577</v>
      </c>
      <c r="AD122" s="5"/>
      <c r="AE122" s="5"/>
      <c r="AF122" s="5">
        <f t="shared" ref="AF122:AL122" si="316">AF56</f>
        <v>0.0319690079164561</v>
      </c>
      <c r="AG122" s="5">
        <f t="shared" si="316"/>
        <v>0.0310692899914457</v>
      </c>
      <c r="AH122" s="5">
        <f t="shared" si="316"/>
        <v>0.0322331838565022</v>
      </c>
      <c r="AI122" s="5">
        <f t="shared" si="316"/>
        <v>0.0321645185746778</v>
      </c>
      <c r="AJ122" s="5">
        <f t="shared" si="316"/>
        <v>0.0325750512772702</v>
      </c>
      <c r="AK122" s="5">
        <f t="shared" si="316"/>
        <v>0.0310993227990971</v>
      </c>
      <c r="AL122" s="5">
        <f t="shared" si="316"/>
        <v>0.0365502299257163</v>
      </c>
      <c r="AM122" s="5"/>
      <c r="AN122" s="5"/>
      <c r="AO122" s="5">
        <f t="shared" ref="AO122:AU122" si="317">AO56</f>
        <v>0.0319690079164561</v>
      </c>
      <c r="AP122" s="5">
        <f t="shared" si="317"/>
        <v>0.0310692899914457</v>
      </c>
      <c r="AQ122" s="5">
        <f t="shared" si="317"/>
        <v>0.0322331838565022</v>
      </c>
      <c r="AR122" s="5">
        <f t="shared" si="317"/>
        <v>0.0321645185746778</v>
      </c>
      <c r="AS122" s="5">
        <f t="shared" si="317"/>
        <v>0.0325750512772702</v>
      </c>
      <c r="AT122" s="5">
        <f t="shared" si="317"/>
        <v>0.0229864559819413</v>
      </c>
      <c r="AU122" s="5">
        <f t="shared" si="317"/>
        <v>0.027015387336399</v>
      </c>
    </row>
    <row r="123" ht="15.5" spans="21:47">
      <c r="U123" s="3"/>
      <c r="V123" s="18" t="s">
        <v>256</v>
      </c>
      <c r="W123" s="5">
        <f t="shared" ref="W123:AC123" si="318">W57</f>
        <v>0.0557183762843187</v>
      </c>
      <c r="X123" s="5">
        <f t="shared" si="318"/>
        <v>0.055158254918734</v>
      </c>
      <c r="Y123" s="5">
        <f t="shared" si="318"/>
        <v>0.0574887892376682</v>
      </c>
      <c r="Z123" s="5">
        <f t="shared" si="318"/>
        <v>0.0587755875663381</v>
      </c>
      <c r="AA123" s="5">
        <f t="shared" si="318"/>
        <v>0.0587544284915159</v>
      </c>
      <c r="AB123" s="5">
        <f t="shared" si="318"/>
        <v>0.0482317531978932</v>
      </c>
      <c r="AC123" s="5">
        <f t="shared" si="318"/>
        <v>0.0566855323664662</v>
      </c>
      <c r="AD123" s="5"/>
      <c r="AE123" s="5"/>
      <c r="AF123" s="5">
        <f t="shared" ref="AF123:AL123" si="319">AF57</f>
        <v>0.0557183762843187</v>
      </c>
      <c r="AG123" s="5">
        <f t="shared" si="319"/>
        <v>0.055158254918734</v>
      </c>
      <c r="AH123" s="5">
        <f t="shared" si="319"/>
        <v>0.0574887892376682</v>
      </c>
      <c r="AI123" s="5">
        <f t="shared" si="319"/>
        <v>0.0587755875663381</v>
      </c>
      <c r="AJ123" s="5">
        <f t="shared" si="319"/>
        <v>0.0587544284915159</v>
      </c>
      <c r="AK123" s="5">
        <f t="shared" si="319"/>
        <v>0.0554665161775771</v>
      </c>
      <c r="AL123" s="5">
        <f t="shared" si="319"/>
        <v>0.0651883622214361</v>
      </c>
      <c r="AM123" s="5"/>
      <c r="AN123" s="5"/>
      <c r="AO123" s="5">
        <f t="shared" ref="AO123:AU123" si="320">AO57</f>
        <v>0.0557183762843187</v>
      </c>
      <c r="AP123" s="5">
        <f t="shared" si="320"/>
        <v>0.055158254918734</v>
      </c>
      <c r="AQ123" s="5">
        <f t="shared" si="320"/>
        <v>0.0574887892376682</v>
      </c>
      <c r="AR123" s="5">
        <f t="shared" si="320"/>
        <v>0.0587755875663381</v>
      </c>
      <c r="AS123" s="5">
        <f t="shared" si="320"/>
        <v>0.0587544284915159</v>
      </c>
      <c r="AT123" s="5">
        <f t="shared" si="320"/>
        <v>0.0409969902182092</v>
      </c>
      <c r="AU123" s="5">
        <f t="shared" si="320"/>
        <v>0.0481827025114963</v>
      </c>
    </row>
    <row r="124" ht="15.5" spans="21:47">
      <c r="U124" s="3"/>
      <c r="V124" s="18" t="s">
        <v>257</v>
      </c>
      <c r="W124" s="5">
        <f t="shared" ref="W124:AC124" si="321">W58</f>
        <v>0.0130537308404918</v>
      </c>
      <c r="X124" s="5">
        <f t="shared" si="321"/>
        <v>0.0129170230966638</v>
      </c>
      <c r="Y124" s="5">
        <f t="shared" si="321"/>
        <v>0.0134529147982063</v>
      </c>
      <c r="Z124" s="5">
        <f t="shared" si="321"/>
        <v>0.0136846095526914</v>
      </c>
      <c r="AA124" s="5">
        <f t="shared" si="321"/>
        <v>0.0137236621294052</v>
      </c>
      <c r="AB124" s="5">
        <f t="shared" si="321"/>
        <v>0.0112866817155756</v>
      </c>
      <c r="AC124" s="5">
        <f t="shared" si="321"/>
        <v>0.01326494517156</v>
      </c>
      <c r="AD124" s="5"/>
      <c r="AE124" s="5"/>
      <c r="AF124" s="5">
        <f t="shared" ref="AF124:AL124" si="322">AF58</f>
        <v>0.0130537308404918</v>
      </c>
      <c r="AG124" s="5">
        <f t="shared" si="322"/>
        <v>0.0129170230966638</v>
      </c>
      <c r="AH124" s="5">
        <f t="shared" si="322"/>
        <v>0.0134529147982063</v>
      </c>
      <c r="AI124" s="5">
        <f t="shared" si="322"/>
        <v>0.0136846095526914</v>
      </c>
      <c r="AJ124" s="5">
        <f t="shared" si="322"/>
        <v>0.0137236621294052</v>
      </c>
      <c r="AK124" s="5">
        <f t="shared" si="322"/>
        <v>0.012979683972912</v>
      </c>
      <c r="AL124" s="5">
        <f t="shared" si="322"/>
        <v>0.0152546869472939</v>
      </c>
      <c r="AM124" s="5"/>
      <c r="AN124" s="5"/>
      <c r="AO124" s="5">
        <f t="shared" ref="AO124:AU124" si="323">AO58</f>
        <v>0.0130537308404918</v>
      </c>
      <c r="AP124" s="5">
        <f t="shared" si="323"/>
        <v>0.0129170230966638</v>
      </c>
      <c r="AQ124" s="5">
        <f t="shared" si="323"/>
        <v>0.0134529147982063</v>
      </c>
      <c r="AR124" s="5">
        <f t="shared" si="323"/>
        <v>0.0136846095526914</v>
      </c>
      <c r="AS124" s="5">
        <f t="shared" si="323"/>
        <v>0.0137236621294052</v>
      </c>
      <c r="AT124" s="5">
        <f t="shared" si="323"/>
        <v>0.00959367945823928</v>
      </c>
      <c r="AU124" s="5">
        <f t="shared" si="323"/>
        <v>0.011275203395826</v>
      </c>
    </row>
    <row r="125" ht="15.5" spans="21:47">
      <c r="U125" s="3" t="s">
        <v>258</v>
      </c>
      <c r="V125" s="18" t="s">
        <v>105</v>
      </c>
      <c r="W125" s="20">
        <f t="shared" ref="W125:AC125" si="324">W121</f>
        <v>0.00810173488293751</v>
      </c>
      <c r="X125" s="20">
        <f t="shared" si="324"/>
        <v>0.00786997433704022</v>
      </c>
      <c r="Y125" s="20">
        <f t="shared" si="324"/>
        <v>0.00817937219730942</v>
      </c>
      <c r="Z125" s="20">
        <f t="shared" si="324"/>
        <v>0.00816906747536013</v>
      </c>
      <c r="AA125" s="20">
        <f t="shared" si="324"/>
        <v>0.00826030206973706</v>
      </c>
      <c r="AB125" s="20">
        <f t="shared" si="324"/>
        <v>0.00686230248306997</v>
      </c>
      <c r="AC125" s="20">
        <f t="shared" si="324"/>
        <v>0.00806508666430845</v>
      </c>
      <c r="AD125" s="5"/>
      <c r="AE125" s="5"/>
      <c r="AF125" s="20">
        <f t="shared" ref="AF125:AL125" si="325">AF121</f>
        <v>0.00810173488293751</v>
      </c>
      <c r="AG125" s="20">
        <f t="shared" si="325"/>
        <v>0.00786997433704022</v>
      </c>
      <c r="AH125" s="20">
        <f t="shared" si="325"/>
        <v>0.00817937219730942</v>
      </c>
      <c r="AI125" s="20">
        <f t="shared" si="325"/>
        <v>0.00816906747536013</v>
      </c>
      <c r="AJ125" s="20">
        <f t="shared" si="325"/>
        <v>0.00826030206973706</v>
      </c>
      <c r="AK125" s="20">
        <f t="shared" si="325"/>
        <v>0.00789164785553047</v>
      </c>
      <c r="AL125" s="20">
        <f t="shared" si="325"/>
        <v>0.00927484966395473</v>
      </c>
      <c r="AM125" s="5"/>
      <c r="AN125" s="5"/>
      <c r="AO125" s="20">
        <f t="shared" ref="AO125:AU125" si="326">AO121</f>
        <v>0.00810173488293751</v>
      </c>
      <c r="AP125" s="20">
        <f t="shared" si="326"/>
        <v>0.00786997433704022</v>
      </c>
      <c r="AQ125" s="20">
        <f t="shared" si="326"/>
        <v>0.00817937219730942</v>
      </c>
      <c r="AR125" s="20">
        <f t="shared" si="326"/>
        <v>0.00816906747536013</v>
      </c>
      <c r="AS125" s="20">
        <f t="shared" si="326"/>
        <v>0.00826030206973706</v>
      </c>
      <c r="AT125" s="20">
        <f t="shared" si="326"/>
        <v>0.00583295711060948</v>
      </c>
      <c r="AU125" s="20">
        <f t="shared" si="326"/>
        <v>0.00685532366466218</v>
      </c>
    </row>
    <row r="126" ht="15.5" spans="21:47">
      <c r="U126" s="3"/>
      <c r="V126" s="19" t="s">
        <v>255</v>
      </c>
      <c r="W126" s="20">
        <f t="shared" ref="W126:AC126" si="327">W122</f>
        <v>0.0319690079164561</v>
      </c>
      <c r="X126" s="20">
        <f t="shared" si="327"/>
        <v>0.0310692899914457</v>
      </c>
      <c r="Y126" s="20">
        <f t="shared" si="327"/>
        <v>0.0322331838565022</v>
      </c>
      <c r="Z126" s="20">
        <f t="shared" si="327"/>
        <v>0.0321645185746778</v>
      </c>
      <c r="AA126" s="20">
        <f t="shared" si="327"/>
        <v>0.0325750512772702</v>
      </c>
      <c r="AB126" s="20">
        <f t="shared" si="327"/>
        <v>0.0270428893905192</v>
      </c>
      <c r="AC126" s="20">
        <f t="shared" si="327"/>
        <v>0.0317828086310577</v>
      </c>
      <c r="AD126" s="5"/>
      <c r="AE126" s="5"/>
      <c r="AF126" s="20">
        <f t="shared" ref="AF126:AL126" si="328">AF122</f>
        <v>0.0319690079164561</v>
      </c>
      <c r="AG126" s="20">
        <f t="shared" si="328"/>
        <v>0.0310692899914457</v>
      </c>
      <c r="AH126" s="20">
        <f t="shared" si="328"/>
        <v>0.0322331838565022</v>
      </c>
      <c r="AI126" s="20">
        <f t="shared" si="328"/>
        <v>0.0321645185746778</v>
      </c>
      <c r="AJ126" s="20">
        <f t="shared" si="328"/>
        <v>0.0325750512772702</v>
      </c>
      <c r="AK126" s="20">
        <f t="shared" si="328"/>
        <v>0.0310993227990971</v>
      </c>
      <c r="AL126" s="20">
        <f t="shared" si="328"/>
        <v>0.0365502299257163</v>
      </c>
      <c r="AM126" s="5"/>
      <c r="AN126" s="5"/>
      <c r="AO126" s="20">
        <f t="shared" ref="AO126:AU126" si="329">AO122</f>
        <v>0.0319690079164561</v>
      </c>
      <c r="AP126" s="20">
        <f t="shared" si="329"/>
        <v>0.0310692899914457</v>
      </c>
      <c r="AQ126" s="20">
        <f t="shared" si="329"/>
        <v>0.0322331838565022</v>
      </c>
      <c r="AR126" s="20">
        <f t="shared" si="329"/>
        <v>0.0321645185746778</v>
      </c>
      <c r="AS126" s="20">
        <f t="shared" si="329"/>
        <v>0.0325750512772702</v>
      </c>
      <c r="AT126" s="20">
        <f t="shared" si="329"/>
        <v>0.0229864559819413</v>
      </c>
      <c r="AU126" s="20">
        <f t="shared" si="329"/>
        <v>0.027015387336399</v>
      </c>
    </row>
    <row r="127" ht="15.5" spans="21:47">
      <c r="U127" s="3"/>
      <c r="V127" s="18" t="s">
        <v>256</v>
      </c>
      <c r="W127" s="20">
        <f t="shared" ref="W127:AC127" si="330">W123</f>
        <v>0.0557183762843187</v>
      </c>
      <c r="X127" s="20">
        <f t="shared" si="330"/>
        <v>0.055158254918734</v>
      </c>
      <c r="Y127" s="20">
        <f t="shared" si="330"/>
        <v>0.0574887892376682</v>
      </c>
      <c r="Z127" s="20">
        <f t="shared" si="330"/>
        <v>0.0587755875663381</v>
      </c>
      <c r="AA127" s="20">
        <f t="shared" si="330"/>
        <v>0.0587544284915159</v>
      </c>
      <c r="AB127" s="20">
        <f t="shared" si="330"/>
        <v>0.0482317531978932</v>
      </c>
      <c r="AC127" s="20">
        <f t="shared" si="330"/>
        <v>0.0566855323664662</v>
      </c>
      <c r="AD127" s="5"/>
      <c r="AE127" s="5"/>
      <c r="AF127" s="20">
        <f t="shared" ref="AF127:AL127" si="331">AF123</f>
        <v>0.0557183762843187</v>
      </c>
      <c r="AG127" s="20">
        <f t="shared" si="331"/>
        <v>0.055158254918734</v>
      </c>
      <c r="AH127" s="20">
        <f t="shared" si="331"/>
        <v>0.0574887892376682</v>
      </c>
      <c r="AI127" s="20">
        <f t="shared" si="331"/>
        <v>0.0587755875663381</v>
      </c>
      <c r="AJ127" s="20">
        <f t="shared" si="331"/>
        <v>0.0587544284915159</v>
      </c>
      <c r="AK127" s="20">
        <f t="shared" si="331"/>
        <v>0.0554665161775771</v>
      </c>
      <c r="AL127" s="20">
        <f t="shared" si="331"/>
        <v>0.0651883622214361</v>
      </c>
      <c r="AM127" s="5"/>
      <c r="AN127" s="5"/>
      <c r="AO127" s="20">
        <f t="shared" ref="AO127:AU127" si="332">AO123</f>
        <v>0.0557183762843187</v>
      </c>
      <c r="AP127" s="20">
        <f t="shared" si="332"/>
        <v>0.055158254918734</v>
      </c>
      <c r="AQ127" s="20">
        <f t="shared" si="332"/>
        <v>0.0574887892376682</v>
      </c>
      <c r="AR127" s="20">
        <f t="shared" si="332"/>
        <v>0.0587755875663381</v>
      </c>
      <c r="AS127" s="20">
        <f t="shared" si="332"/>
        <v>0.0587544284915159</v>
      </c>
      <c r="AT127" s="20">
        <f t="shared" si="332"/>
        <v>0.0409969902182092</v>
      </c>
      <c r="AU127" s="20">
        <f t="shared" si="332"/>
        <v>0.0481827025114963</v>
      </c>
    </row>
    <row r="128" ht="15.5" spans="21:47">
      <c r="U128" s="3"/>
      <c r="V128" s="18" t="s">
        <v>257</v>
      </c>
      <c r="W128" s="20">
        <f t="shared" ref="W128:AC128" si="333">W124</f>
        <v>0.0130537308404918</v>
      </c>
      <c r="X128" s="20">
        <f t="shared" si="333"/>
        <v>0.0129170230966638</v>
      </c>
      <c r="Y128" s="20">
        <f t="shared" si="333"/>
        <v>0.0134529147982063</v>
      </c>
      <c r="Z128" s="20">
        <f t="shared" si="333"/>
        <v>0.0136846095526914</v>
      </c>
      <c r="AA128" s="20">
        <f t="shared" si="333"/>
        <v>0.0137236621294052</v>
      </c>
      <c r="AB128" s="20">
        <f t="shared" si="333"/>
        <v>0.0112866817155756</v>
      </c>
      <c r="AC128" s="20">
        <f t="shared" si="333"/>
        <v>0.01326494517156</v>
      </c>
      <c r="AD128" s="5"/>
      <c r="AE128" s="5"/>
      <c r="AF128" s="20">
        <f t="shared" ref="AF128:AL128" si="334">AF124</f>
        <v>0.0130537308404918</v>
      </c>
      <c r="AG128" s="20">
        <f t="shared" si="334"/>
        <v>0.0129170230966638</v>
      </c>
      <c r="AH128" s="20">
        <f t="shared" si="334"/>
        <v>0.0134529147982063</v>
      </c>
      <c r="AI128" s="20">
        <f t="shared" si="334"/>
        <v>0.0136846095526914</v>
      </c>
      <c r="AJ128" s="20">
        <f t="shared" si="334"/>
        <v>0.0137236621294052</v>
      </c>
      <c r="AK128" s="20">
        <f t="shared" si="334"/>
        <v>0.012979683972912</v>
      </c>
      <c r="AL128" s="20">
        <f t="shared" si="334"/>
        <v>0.0152546869472939</v>
      </c>
      <c r="AM128" s="5"/>
      <c r="AN128" s="5"/>
      <c r="AO128" s="20">
        <f t="shared" ref="AO128:AU128" si="335">AO124</f>
        <v>0.0130537308404918</v>
      </c>
      <c r="AP128" s="20">
        <f t="shared" si="335"/>
        <v>0.0129170230966638</v>
      </c>
      <c r="AQ128" s="20">
        <f t="shared" si="335"/>
        <v>0.0134529147982063</v>
      </c>
      <c r="AR128" s="20">
        <f t="shared" si="335"/>
        <v>0.0136846095526914</v>
      </c>
      <c r="AS128" s="20">
        <f t="shared" si="335"/>
        <v>0.0137236621294052</v>
      </c>
      <c r="AT128" s="20">
        <f t="shared" si="335"/>
        <v>0.00959367945823928</v>
      </c>
      <c r="AU128" s="20">
        <f t="shared" si="335"/>
        <v>0.011275203395826</v>
      </c>
    </row>
    <row r="160" ht="15.5" spans="21:47">
      <c r="U160" s="21"/>
      <c r="V160" s="22" t="s">
        <v>208</v>
      </c>
      <c r="W160" s="21"/>
      <c r="X160" s="23"/>
      <c r="Y160" s="21"/>
      <c r="Z160" s="22" t="s">
        <v>208</v>
      </c>
      <c r="AA160" s="21"/>
      <c r="AB160" s="23"/>
      <c r="AC160" s="21"/>
      <c r="AD160" s="22" t="s">
        <v>208</v>
      </c>
      <c r="AE160" s="21"/>
      <c r="AF160" s="23"/>
      <c r="AG160" s="21"/>
      <c r="AH160" s="22" t="s">
        <v>208</v>
      </c>
      <c r="AI160" s="21"/>
      <c r="AJ160" s="23"/>
      <c r="AK160" s="21"/>
      <c r="AL160" s="22" t="s">
        <v>208</v>
      </c>
      <c r="AM160" s="21"/>
      <c r="AN160" s="23"/>
      <c r="AO160" s="21"/>
      <c r="AP160" s="22" t="s">
        <v>208</v>
      </c>
      <c r="AQ160" s="21"/>
      <c r="AR160" s="23"/>
      <c r="AS160" s="21"/>
      <c r="AT160" s="22" t="s">
        <v>208</v>
      </c>
      <c r="AU160" s="21"/>
    </row>
    <row r="161" ht="15.5" spans="21:47">
      <c r="U161" s="22" t="s">
        <v>64</v>
      </c>
      <c r="V161" s="22" t="s">
        <v>95</v>
      </c>
      <c r="W161" s="22" t="s">
        <v>11</v>
      </c>
      <c r="X161" s="23"/>
      <c r="Y161" s="22" t="s">
        <v>64</v>
      </c>
      <c r="Z161" s="22" t="s">
        <v>95</v>
      </c>
      <c r="AA161" s="22" t="s">
        <v>11</v>
      </c>
      <c r="AB161" s="23"/>
      <c r="AC161" s="22" t="s">
        <v>64</v>
      </c>
      <c r="AD161" s="22" t="s">
        <v>95</v>
      </c>
      <c r="AE161" s="22" t="s">
        <v>11</v>
      </c>
      <c r="AF161" s="23"/>
      <c r="AG161" s="22" t="s">
        <v>64</v>
      </c>
      <c r="AH161" s="22" t="s">
        <v>95</v>
      </c>
      <c r="AI161" s="22" t="s">
        <v>11</v>
      </c>
      <c r="AJ161" s="23"/>
      <c r="AK161" s="22" t="s">
        <v>64</v>
      </c>
      <c r="AL161" s="22" t="s">
        <v>95</v>
      </c>
      <c r="AM161" s="22" t="s">
        <v>11</v>
      </c>
      <c r="AN161" s="23"/>
      <c r="AO161" s="22" t="s">
        <v>64</v>
      </c>
      <c r="AP161" s="22" t="s">
        <v>95</v>
      </c>
      <c r="AQ161" s="22" t="s">
        <v>11</v>
      </c>
      <c r="AR161" s="23"/>
      <c r="AS161" s="22" t="s">
        <v>64</v>
      </c>
      <c r="AT161" s="22" t="s">
        <v>95</v>
      </c>
      <c r="AU161" s="22" t="s">
        <v>11</v>
      </c>
    </row>
    <row r="162" ht="15.5" spans="21:47">
      <c r="U162" s="23" t="s">
        <v>182</v>
      </c>
      <c r="V162" s="24" t="s">
        <v>210</v>
      </c>
      <c r="W162" s="23">
        <f t="shared" ref="W162:W165" si="336">W85</f>
        <v>0.010830385716692</v>
      </c>
      <c r="X162" s="23"/>
      <c r="Y162" s="23" t="s">
        <v>183</v>
      </c>
      <c r="Z162" s="24" t="s">
        <v>210</v>
      </c>
      <c r="AA162" s="23">
        <f t="shared" ref="AA162:AA165" si="337">X85</f>
        <v>0.0104020530367836</v>
      </c>
      <c r="AB162" s="23"/>
      <c r="AC162" s="23" t="s">
        <v>184</v>
      </c>
      <c r="AD162" s="24" t="s">
        <v>210</v>
      </c>
      <c r="AE162" s="23">
        <f t="shared" ref="AE162:AE165" si="338">Y85</f>
        <v>0.0107085201793722</v>
      </c>
      <c r="AF162" s="23"/>
      <c r="AG162" s="23" t="s">
        <v>185</v>
      </c>
      <c r="AH162" s="24" t="s">
        <v>210</v>
      </c>
      <c r="AI162" s="23">
        <f t="shared" ref="AI162:AI165" si="339">Z85</f>
        <v>0.0117702805155421</v>
      </c>
      <c r="AJ162" s="23"/>
      <c r="AK162" s="23" t="s">
        <v>181</v>
      </c>
      <c r="AL162" s="24" t="s">
        <v>210</v>
      </c>
      <c r="AM162" s="23">
        <f t="shared" ref="AM162:AM165" si="340">AA85</f>
        <v>0.011933619242961</v>
      </c>
      <c r="AN162" s="23"/>
      <c r="AO162" s="23" t="s">
        <v>180</v>
      </c>
      <c r="AP162" s="24" t="s">
        <v>210</v>
      </c>
      <c r="AQ162" s="23">
        <f t="shared" ref="AQ162:AQ165" si="341">AB85</f>
        <v>0.00898419864559818</v>
      </c>
      <c r="AR162" s="23"/>
      <c r="AS162" s="23" t="s">
        <v>179</v>
      </c>
      <c r="AT162" s="24" t="s">
        <v>210</v>
      </c>
      <c r="AU162" s="23">
        <f t="shared" ref="AU162:AU165" si="342">AC85</f>
        <v>0.0105588963565617</v>
      </c>
    </row>
    <row r="163" ht="15.5" spans="21:47">
      <c r="U163" s="23" t="str">
        <f t="shared" ref="U163:U165" si="343">U162</f>
        <v>PyroRecy-NMC111</v>
      </c>
      <c r="V163" s="24" t="s">
        <v>217</v>
      </c>
      <c r="W163" s="23">
        <f t="shared" si="336"/>
        <v>0.0447027118073101</v>
      </c>
      <c r="X163" s="23"/>
      <c r="Y163" s="23" t="str">
        <f t="shared" ref="Y163:Y165" si="344">Y162</f>
        <v>PyroRecy-NMC532</v>
      </c>
      <c r="Z163" s="24" t="s">
        <v>217</v>
      </c>
      <c r="AA163" s="23">
        <f t="shared" si="337"/>
        <v>0.0428058169375535</v>
      </c>
      <c r="AB163" s="23"/>
      <c r="AC163" s="23" t="str">
        <f t="shared" ref="AC163:AC165" si="345">AC162</f>
        <v>PyroRecy-NMC622</v>
      </c>
      <c r="AD163" s="24" t="s">
        <v>217</v>
      </c>
      <c r="AE163" s="23">
        <f t="shared" si="338"/>
        <v>0.0441255605381166</v>
      </c>
      <c r="AF163" s="23"/>
      <c r="AG163" s="23" t="str">
        <f t="shared" ref="AG163:AG165" si="346">AG162</f>
        <v>PyroRecy-NMC811</v>
      </c>
      <c r="AH163" s="24" t="s">
        <v>217</v>
      </c>
      <c r="AI163" s="23">
        <f t="shared" si="339"/>
        <v>0.0456406368460955</v>
      </c>
      <c r="AJ163" s="23"/>
      <c r="AK163" s="23" t="str">
        <f t="shared" ref="AK163:AK165" si="347">AK162</f>
        <v>PyroRecy-NCA</v>
      </c>
      <c r="AL163" s="24" t="s">
        <v>217</v>
      </c>
      <c r="AM163" s="23">
        <f t="shared" si="340"/>
        <v>0.0467275778482193</v>
      </c>
      <c r="AN163" s="23"/>
      <c r="AO163" s="23" t="str">
        <f t="shared" ref="AO163:AO165" si="348">AO162</f>
        <v>PyroRecy-LMO</v>
      </c>
      <c r="AP163" s="24" t="s">
        <v>217</v>
      </c>
      <c r="AQ163" s="23">
        <f t="shared" si="341"/>
        <v>0.037020316027088</v>
      </c>
      <c r="AR163" s="23"/>
      <c r="AS163" s="23" t="str">
        <f t="shared" ref="AS163:AS165" si="349">AS162</f>
        <v>PyroRecy-LFP</v>
      </c>
      <c r="AT163" s="24" t="s">
        <v>217</v>
      </c>
      <c r="AU163" s="23">
        <f t="shared" si="342"/>
        <v>0.0435090201627167</v>
      </c>
    </row>
    <row r="164" ht="15.5" spans="21:47">
      <c r="U164" s="23" t="str">
        <f t="shared" si="343"/>
        <v>PyroRecy-NMC111</v>
      </c>
      <c r="V164" s="24" t="s">
        <v>218</v>
      </c>
      <c r="W164" s="23">
        <f t="shared" si="336"/>
        <v>0.0724945258548088</v>
      </c>
      <c r="X164" s="23"/>
      <c r="Y164" s="23" t="str">
        <f t="shared" si="344"/>
        <v>PyroRecy-NMC532</v>
      </c>
      <c r="Z164" s="24" t="s">
        <v>218</v>
      </c>
      <c r="AA164" s="23">
        <f t="shared" si="337"/>
        <v>0.0706073567151412</v>
      </c>
      <c r="AB164" s="23"/>
      <c r="AC164" s="23" t="str">
        <f t="shared" si="345"/>
        <v>PyroRecy-NMC622</v>
      </c>
      <c r="AD164" s="24" t="s">
        <v>218</v>
      </c>
      <c r="AE164" s="23">
        <f t="shared" si="338"/>
        <v>0.0732017937219731</v>
      </c>
      <c r="AF164" s="23"/>
      <c r="AG164" s="23" t="str">
        <f t="shared" si="346"/>
        <v>PyroRecy-NMC811</v>
      </c>
      <c r="AH164" s="24" t="s">
        <v>218</v>
      </c>
      <c r="AI164" s="23">
        <f t="shared" si="339"/>
        <v>0.076516300227445</v>
      </c>
      <c r="AJ164" s="23"/>
      <c r="AK164" s="23" t="str">
        <f t="shared" si="347"/>
        <v>PyroRecy-NCA</v>
      </c>
      <c r="AL164" s="24" t="s">
        <v>218</v>
      </c>
      <c r="AM164" s="23">
        <f t="shared" si="340"/>
        <v>0.0803841133693828</v>
      </c>
      <c r="AN164" s="23"/>
      <c r="AO164" s="23" t="str">
        <f t="shared" si="348"/>
        <v>PyroRecy-LMO</v>
      </c>
      <c r="AP164" s="24" t="s">
        <v>218</v>
      </c>
      <c r="AQ164" s="23">
        <f t="shared" si="341"/>
        <v>0.0614145974416855</v>
      </c>
      <c r="AR164" s="23"/>
      <c r="AS164" s="23" t="str">
        <f t="shared" si="349"/>
        <v>PyroRecy-LFP</v>
      </c>
      <c r="AT164" s="24" t="s">
        <v>218</v>
      </c>
      <c r="AU164" s="23">
        <f t="shared" si="342"/>
        <v>0.0721789883268483</v>
      </c>
    </row>
    <row r="165" ht="15.5" spans="21:47">
      <c r="U165" s="23" t="str">
        <f t="shared" si="343"/>
        <v>PyroRecy-NMC111</v>
      </c>
      <c r="V165" s="24" t="s">
        <v>219</v>
      </c>
      <c r="W165" s="23">
        <f t="shared" si="336"/>
        <v>0.0131547919824827</v>
      </c>
      <c r="X165" s="25"/>
      <c r="Y165" s="23" t="str">
        <f t="shared" si="344"/>
        <v>PyroRecy-NMC532</v>
      </c>
      <c r="Z165" s="24" t="s">
        <v>219</v>
      </c>
      <c r="AA165" s="23">
        <f t="shared" si="337"/>
        <v>0.0128656971770744</v>
      </c>
      <c r="AB165" s="25"/>
      <c r="AC165" s="23" t="str">
        <f t="shared" si="345"/>
        <v>PyroRecy-NMC622</v>
      </c>
      <c r="AD165" s="24" t="s">
        <v>219</v>
      </c>
      <c r="AE165" s="23">
        <f t="shared" si="338"/>
        <v>0.0133273542600897</v>
      </c>
      <c r="AF165" s="25"/>
      <c r="AG165" s="23" t="str">
        <f t="shared" si="346"/>
        <v>PyroRecy-NMC811</v>
      </c>
      <c r="AH165" s="24" t="s">
        <v>219</v>
      </c>
      <c r="AI165" s="23">
        <f t="shared" si="339"/>
        <v>0.0145564821834723</v>
      </c>
      <c r="AJ165" s="25"/>
      <c r="AK165" s="23" t="str">
        <f t="shared" si="347"/>
        <v>PyroRecy-NCA</v>
      </c>
      <c r="AL165" s="24" t="s">
        <v>219</v>
      </c>
      <c r="AM165" s="23">
        <f t="shared" si="340"/>
        <v>0.0148610852134999</v>
      </c>
      <c r="AN165" s="25"/>
      <c r="AO165" s="23" t="str">
        <f t="shared" si="348"/>
        <v>PyroRecy-LMO</v>
      </c>
      <c r="AP165" s="24" t="s">
        <v>219</v>
      </c>
      <c r="AQ165" s="23">
        <f t="shared" si="341"/>
        <v>0.0111813393528969</v>
      </c>
      <c r="AR165" s="25"/>
      <c r="AS165" s="23" t="str">
        <f t="shared" si="349"/>
        <v>PyroRecy-LFP</v>
      </c>
      <c r="AT165" s="24" t="s">
        <v>219</v>
      </c>
      <c r="AU165" s="23">
        <f t="shared" si="342"/>
        <v>0.0131411390166254</v>
      </c>
    </row>
    <row r="166" ht="15.5" spans="21:47">
      <c r="U166" s="25"/>
      <c r="V166" s="25"/>
      <c r="W166" s="25"/>
      <c r="X166" s="25"/>
      <c r="Y166" s="25"/>
      <c r="Z166" s="25"/>
      <c r="AA166" s="25"/>
      <c r="AB166" s="25"/>
      <c r="AC166" s="25"/>
      <c r="AD166" s="25"/>
      <c r="AE166" s="25"/>
      <c r="AF166" s="25"/>
      <c r="AG166" s="25"/>
      <c r="AH166" s="25"/>
      <c r="AI166" s="25"/>
      <c r="AJ166" s="25"/>
      <c r="AK166" s="25"/>
      <c r="AL166" s="25"/>
      <c r="AM166" s="25"/>
      <c r="AN166" s="25"/>
      <c r="AO166" s="25"/>
      <c r="AP166" s="25"/>
      <c r="AQ166" s="25"/>
      <c r="AR166" s="25"/>
      <c r="AS166" s="25"/>
      <c r="AT166" s="25"/>
      <c r="AU166" s="25"/>
    </row>
    <row r="167" ht="15.5" spans="21:47">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row>
    <row r="168" ht="15.5" spans="21:47">
      <c r="U168" s="5"/>
      <c r="V168" s="5"/>
      <c r="W168" s="5"/>
      <c r="X168" s="5"/>
      <c r="Y168" s="5"/>
      <c r="Z168" s="5"/>
      <c r="AA168" s="5"/>
      <c r="AB168" s="5"/>
      <c r="AC168" s="5"/>
      <c r="AD168" s="5"/>
      <c r="AE168" s="5"/>
      <c r="AF168" s="5"/>
      <c r="AG168" s="5"/>
      <c r="AH168" s="5"/>
      <c r="AI168" s="5"/>
      <c r="AJ168" s="5"/>
      <c r="AK168" s="5"/>
      <c r="AL168" s="5"/>
      <c r="AM168" s="5"/>
      <c r="AN168" s="5"/>
      <c r="AO168" s="5"/>
      <c r="AP168" s="5"/>
      <c r="AQ168" s="5"/>
      <c r="AR168" s="5"/>
      <c r="AS168" s="5"/>
      <c r="AT168" s="5"/>
      <c r="AU168" s="5"/>
    </row>
    <row r="169" ht="15.5" spans="21:47">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row>
    <row r="170" ht="15.5" spans="21:47">
      <c r="U170" s="5"/>
      <c r="V170" s="5"/>
      <c r="W170" s="5"/>
      <c r="X170" s="5"/>
      <c r="Y170" s="5"/>
      <c r="Z170" s="5"/>
      <c r="AA170" s="5"/>
      <c r="AB170" s="5"/>
      <c r="AC170" s="5"/>
      <c r="AD170" s="5"/>
      <c r="AE170" s="5"/>
      <c r="AF170" s="5"/>
      <c r="AG170" s="5"/>
      <c r="AH170" s="5"/>
      <c r="AI170" s="5"/>
      <c r="AJ170" s="5"/>
      <c r="AK170" s="5"/>
      <c r="AL170" s="5"/>
      <c r="AM170" s="5"/>
      <c r="AN170" s="5"/>
      <c r="AO170" s="5"/>
      <c r="AP170" s="5"/>
      <c r="AQ170" s="5"/>
      <c r="AR170" s="5"/>
      <c r="AS170" s="5"/>
      <c r="AT170" s="5"/>
      <c r="AU170" s="5"/>
    </row>
    <row r="171" ht="15.5" spans="21:47">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row>
    <row r="172" ht="15.5" spans="21:47">
      <c r="U172" s="21"/>
      <c r="V172" s="22" t="s">
        <v>208</v>
      </c>
      <c r="W172" s="21"/>
      <c r="X172" s="23"/>
      <c r="Y172" s="21"/>
      <c r="Z172" s="22" t="s">
        <v>208</v>
      </c>
      <c r="AA172" s="21"/>
      <c r="AB172" s="23"/>
      <c r="AC172" s="21"/>
      <c r="AD172" s="22" t="s">
        <v>208</v>
      </c>
      <c r="AE172" s="21"/>
      <c r="AF172" s="23"/>
      <c r="AG172" s="21"/>
      <c r="AH172" s="22" t="s">
        <v>208</v>
      </c>
      <c r="AI172" s="21"/>
      <c r="AJ172" s="23"/>
      <c r="AK172" s="21"/>
      <c r="AL172" s="22" t="s">
        <v>208</v>
      </c>
      <c r="AM172" s="21"/>
      <c r="AN172" s="23"/>
      <c r="AO172" s="21"/>
      <c r="AP172" s="22" t="s">
        <v>208</v>
      </c>
      <c r="AQ172" s="21"/>
      <c r="AR172" s="23"/>
      <c r="AS172" s="21"/>
      <c r="AT172" s="22" t="s">
        <v>208</v>
      </c>
      <c r="AU172" s="21"/>
    </row>
    <row r="173" ht="15.5" spans="21:47">
      <c r="U173" s="22" t="s">
        <v>64</v>
      </c>
      <c r="V173" s="22" t="s">
        <v>95</v>
      </c>
      <c r="W173" s="22" t="s">
        <v>11</v>
      </c>
      <c r="X173" s="23"/>
      <c r="Y173" s="22" t="s">
        <v>64</v>
      </c>
      <c r="Z173" s="22" t="s">
        <v>95</v>
      </c>
      <c r="AA173" s="22" t="s">
        <v>11</v>
      </c>
      <c r="AB173" s="23"/>
      <c r="AC173" s="22" t="s">
        <v>64</v>
      </c>
      <c r="AD173" s="22" t="s">
        <v>95</v>
      </c>
      <c r="AE173" s="22" t="s">
        <v>11</v>
      </c>
      <c r="AF173" s="23"/>
      <c r="AG173" s="22" t="s">
        <v>64</v>
      </c>
      <c r="AH173" s="22" t="s">
        <v>95</v>
      </c>
      <c r="AI173" s="22" t="s">
        <v>11</v>
      </c>
      <c r="AJ173" s="23"/>
      <c r="AK173" s="22" t="s">
        <v>64</v>
      </c>
      <c r="AL173" s="22" t="s">
        <v>95</v>
      </c>
      <c r="AM173" s="22" t="s">
        <v>11</v>
      </c>
      <c r="AN173" s="23"/>
      <c r="AO173" s="22" t="s">
        <v>64</v>
      </c>
      <c r="AP173" s="22" t="s">
        <v>95</v>
      </c>
      <c r="AQ173" s="22" t="s">
        <v>11</v>
      </c>
      <c r="AR173" s="23"/>
      <c r="AS173" s="22" t="s">
        <v>64</v>
      </c>
      <c r="AT173" s="22" t="s">
        <v>95</v>
      </c>
      <c r="AU173" s="22" t="s">
        <v>11</v>
      </c>
    </row>
    <row r="174" ht="15.5" spans="21:47">
      <c r="U174" s="23" t="s">
        <v>189</v>
      </c>
      <c r="V174" s="24" t="s">
        <v>210</v>
      </c>
      <c r="W174" s="23">
        <f t="shared" ref="W174:W177" si="350">W105</f>
        <v>0.011840997136601</v>
      </c>
      <c r="X174" s="23"/>
      <c r="Y174" s="23" t="s">
        <v>190</v>
      </c>
      <c r="Z174" s="24" t="s">
        <v>210</v>
      </c>
      <c r="AA174" s="23">
        <f t="shared" ref="AA174:AA177" si="351">X105</f>
        <v>0.011377245508982</v>
      </c>
      <c r="AB174" s="23"/>
      <c r="AC174" s="23" t="s">
        <v>191</v>
      </c>
      <c r="AD174" s="24" t="s">
        <v>210</v>
      </c>
      <c r="AE174" s="23">
        <f t="shared" ref="AE174:AE177" si="352">Y105</f>
        <v>0.0117668161434977</v>
      </c>
      <c r="AF174" s="23"/>
      <c r="AG174" s="23" t="s">
        <v>192</v>
      </c>
      <c r="AH174" s="24" t="s">
        <v>210</v>
      </c>
      <c r="AI174" s="23">
        <f t="shared" ref="AI174:AI177" si="353">Z105</f>
        <v>0.0120924943138741</v>
      </c>
      <c r="AJ174" s="23"/>
      <c r="AK174" s="23" t="s">
        <v>188</v>
      </c>
      <c r="AL174" s="24" t="s">
        <v>210</v>
      </c>
      <c r="AM174" s="23">
        <f t="shared" ref="AM174:AM177" si="354">AA105</f>
        <v>0.0122878985642364</v>
      </c>
      <c r="AN174" s="23"/>
      <c r="AO174" s="23" t="s">
        <v>187</v>
      </c>
      <c r="AP174" s="24" t="s">
        <v>210</v>
      </c>
      <c r="AQ174" s="23">
        <f t="shared" ref="AQ174:AQ177" si="355">AB105</f>
        <v>0.00987208427389014</v>
      </c>
      <c r="AR174" s="23"/>
      <c r="AS174" s="23" t="s">
        <v>186</v>
      </c>
      <c r="AT174" s="24" t="s">
        <v>210</v>
      </c>
      <c r="AU174" s="23">
        <f t="shared" ref="AU174:AU177" si="356">AC105</f>
        <v>0.0116024053767244</v>
      </c>
    </row>
    <row r="175" ht="15.5" spans="21:47">
      <c r="U175" s="23" t="str">
        <f t="shared" ref="U175:U177" si="357">U174</f>
        <v>HydRecy-NMC111</v>
      </c>
      <c r="V175" s="24" t="s">
        <v>217</v>
      </c>
      <c r="W175" s="23">
        <f t="shared" si="350"/>
        <v>0.0404413003200269</v>
      </c>
      <c r="X175" s="23"/>
      <c r="Y175" s="23" t="str">
        <f t="shared" ref="Y175:Y177" si="358">Y174</f>
        <v>HydRecy-NMC532</v>
      </c>
      <c r="Z175" s="24" t="s">
        <v>217</v>
      </c>
      <c r="AA175" s="23">
        <f t="shared" si="351"/>
        <v>0.0389734816082122</v>
      </c>
      <c r="AB175" s="23"/>
      <c r="AC175" s="23" t="str">
        <f t="shared" ref="AC175:AC177" si="359">AC174</f>
        <v>HydRecy-NMC622</v>
      </c>
      <c r="AD175" s="24" t="s">
        <v>217</v>
      </c>
      <c r="AE175" s="23">
        <f t="shared" si="352"/>
        <v>0.0403408071748879</v>
      </c>
      <c r="AF175" s="23"/>
      <c r="AG175" s="23" t="str">
        <f t="shared" ref="AG175:AG177" si="360">AG174</f>
        <v>HydRecy-NMC811</v>
      </c>
      <c r="AH175" s="24" t="s">
        <v>217</v>
      </c>
      <c r="AI175" s="23">
        <f t="shared" si="353"/>
        <v>0.0420204700530705</v>
      </c>
      <c r="AJ175" s="23"/>
      <c r="AK175" s="23" t="str">
        <f t="shared" ref="AK175:AK177" si="361">AK174</f>
        <v>HydRecy-NCA</v>
      </c>
      <c r="AL175" s="24" t="s">
        <v>217</v>
      </c>
      <c r="AM175" s="23">
        <f t="shared" si="354"/>
        <v>0.0428118590341227</v>
      </c>
      <c r="AN175" s="23"/>
      <c r="AO175" s="23" t="str">
        <f t="shared" ref="AO175:AO177" si="362">AO174</f>
        <v>HydRecy-LMO</v>
      </c>
      <c r="AP175" s="24" t="s">
        <v>217</v>
      </c>
      <c r="AQ175" s="23">
        <f t="shared" si="355"/>
        <v>0.0338449962377728</v>
      </c>
      <c r="AR175" s="23"/>
      <c r="AS175" s="23" t="str">
        <f t="shared" ref="AS175:AS177" si="363">AS174</f>
        <v>HydRecy-LFP</v>
      </c>
      <c r="AT175" s="24" t="s">
        <v>217</v>
      </c>
      <c r="AU175" s="23">
        <f t="shared" si="356"/>
        <v>0.0397771489211178</v>
      </c>
    </row>
    <row r="176" ht="15.5" spans="21:47">
      <c r="U176" s="23" t="str">
        <f t="shared" si="357"/>
        <v>HydRecy-NMC111</v>
      </c>
      <c r="V176" s="24" t="s">
        <v>218</v>
      </c>
      <c r="W176" s="23">
        <f t="shared" si="350"/>
        <v>0.0870304867778339</v>
      </c>
      <c r="X176" s="23"/>
      <c r="Y176" s="23" t="str">
        <f t="shared" si="358"/>
        <v>HydRecy-NMC532</v>
      </c>
      <c r="Z176" s="24" t="s">
        <v>218</v>
      </c>
      <c r="AA176" s="23">
        <f t="shared" si="351"/>
        <v>0.0843627031650984</v>
      </c>
      <c r="AB176" s="23"/>
      <c r="AC176" s="23" t="str">
        <f t="shared" si="359"/>
        <v>HydRecy-NMC622</v>
      </c>
      <c r="AD176" s="24" t="s">
        <v>218</v>
      </c>
      <c r="AE176" s="23">
        <f t="shared" si="352"/>
        <v>0.0874439461883408</v>
      </c>
      <c r="AF176" s="23"/>
      <c r="AG176" s="23" t="str">
        <f t="shared" si="360"/>
        <v>HydRecy-NMC811</v>
      </c>
      <c r="AH176" s="24" t="s">
        <v>218</v>
      </c>
      <c r="AI176" s="23">
        <f t="shared" si="353"/>
        <v>0.0881918119787718</v>
      </c>
      <c r="AJ176" s="23"/>
      <c r="AK176" s="23" t="str">
        <f t="shared" si="361"/>
        <v>HydRecy-NCA</v>
      </c>
      <c r="AL176" s="24" t="s">
        <v>218</v>
      </c>
      <c r="AM176" s="23">
        <f t="shared" si="354"/>
        <v>0.0922245012120082</v>
      </c>
      <c r="AN176" s="23"/>
      <c r="AO176" s="23" t="str">
        <f t="shared" si="362"/>
        <v>HydRecy-LMO</v>
      </c>
      <c r="AP176" s="24" t="s">
        <v>218</v>
      </c>
      <c r="AQ176" s="23">
        <f t="shared" si="355"/>
        <v>0.0733634311512415</v>
      </c>
      <c r="AR176" s="23"/>
      <c r="AS176" s="23" t="str">
        <f t="shared" si="363"/>
        <v>HydRecy-LFP</v>
      </c>
      <c r="AT176" s="24" t="s">
        <v>218</v>
      </c>
      <c r="AU176" s="23">
        <f t="shared" si="356"/>
        <v>0.0862221436151397</v>
      </c>
    </row>
    <row r="177" ht="15.5" spans="21:47">
      <c r="U177" s="23" t="str">
        <f t="shared" si="357"/>
        <v>HydRecy-NMC111</v>
      </c>
      <c r="V177" s="24" t="s">
        <v>219</v>
      </c>
      <c r="W177" s="23">
        <f t="shared" si="350"/>
        <v>0.0133569142664645</v>
      </c>
      <c r="X177" s="25"/>
      <c r="Y177" s="23" t="str">
        <f t="shared" si="358"/>
        <v>HydRecy-NMC532</v>
      </c>
      <c r="Z177" s="24" t="s">
        <v>219</v>
      </c>
      <c r="AA177" s="23">
        <f t="shared" si="351"/>
        <v>0.0131907613344739</v>
      </c>
      <c r="AB177" s="25"/>
      <c r="AC177" s="23" t="str">
        <f t="shared" si="359"/>
        <v>HydRecy-NMC622</v>
      </c>
      <c r="AD177" s="24" t="s">
        <v>219</v>
      </c>
      <c r="AE177" s="23">
        <f t="shared" si="352"/>
        <v>0.0137399103139013</v>
      </c>
      <c r="AF177" s="25"/>
      <c r="AG177" s="23" t="str">
        <f t="shared" si="360"/>
        <v>HydRecy-NMC811</v>
      </c>
      <c r="AH177" s="24" t="s">
        <v>219</v>
      </c>
      <c r="AI177" s="23">
        <f t="shared" si="353"/>
        <v>0.0141015921152388</v>
      </c>
      <c r="AJ177" s="25"/>
      <c r="AK177" s="23" t="str">
        <f t="shared" si="361"/>
        <v>HydRecy-NCA</v>
      </c>
      <c r="AL177" s="24" t="s">
        <v>219</v>
      </c>
      <c r="AM177" s="23">
        <f t="shared" si="354"/>
        <v>0.0143016968114861</v>
      </c>
      <c r="AN177" s="25"/>
      <c r="AO177" s="23" t="str">
        <f t="shared" si="362"/>
        <v>HydRecy-LMO</v>
      </c>
      <c r="AP177" s="24" t="s">
        <v>219</v>
      </c>
      <c r="AQ177" s="23">
        <f t="shared" si="355"/>
        <v>0.0115274642588412</v>
      </c>
      <c r="AR177" s="25"/>
      <c r="AS177" s="23" t="str">
        <f t="shared" si="363"/>
        <v>HydRecy-LFP</v>
      </c>
      <c r="AT177" s="24" t="s">
        <v>219</v>
      </c>
      <c r="AU177" s="23">
        <f t="shared" si="356"/>
        <v>0.0135479306685532</v>
      </c>
    </row>
    <row r="178" ht="15.5" spans="21:47">
      <c r="U178" s="25"/>
      <c r="V178" s="25"/>
      <c r="W178" s="25"/>
      <c r="X178" s="25"/>
      <c r="Y178" s="25"/>
      <c r="Z178" s="25"/>
      <c r="AA178" s="25"/>
      <c r="AB178" s="25"/>
      <c r="AC178" s="25"/>
      <c r="AD178" s="25"/>
      <c r="AE178" s="25"/>
      <c r="AF178" s="25"/>
      <c r="AG178" s="25"/>
      <c r="AH178" s="25"/>
      <c r="AI178" s="25"/>
      <c r="AJ178" s="25"/>
      <c r="AK178" s="25"/>
      <c r="AL178" s="25"/>
      <c r="AM178" s="25"/>
      <c r="AN178" s="25"/>
      <c r="AO178" s="25"/>
      <c r="AP178" s="25"/>
      <c r="AQ178" s="25"/>
      <c r="AR178" s="25"/>
      <c r="AS178" s="25"/>
      <c r="AT178" s="25"/>
      <c r="AU178" s="25"/>
    </row>
    <row r="183" ht="15.5" spans="21:47">
      <c r="U183" s="21"/>
      <c r="V183" s="22" t="s">
        <v>208</v>
      </c>
      <c r="W183" s="21"/>
      <c r="X183" s="23"/>
      <c r="Y183" s="21"/>
      <c r="Z183" s="22" t="s">
        <v>208</v>
      </c>
      <c r="AA183" s="21"/>
      <c r="AB183" s="23"/>
      <c r="AC183" s="21"/>
      <c r="AD183" s="22" t="s">
        <v>208</v>
      </c>
      <c r="AE183" s="21"/>
      <c r="AF183" s="23"/>
      <c r="AG183" s="21"/>
      <c r="AH183" s="22" t="s">
        <v>208</v>
      </c>
      <c r="AI183" s="21"/>
      <c r="AJ183" s="23"/>
      <c r="AK183" s="21"/>
      <c r="AL183" s="22" t="s">
        <v>208</v>
      </c>
      <c r="AM183" s="21"/>
      <c r="AN183" s="23"/>
      <c r="AO183" s="21"/>
      <c r="AP183" s="22" t="s">
        <v>208</v>
      </c>
      <c r="AQ183" s="21"/>
      <c r="AR183" s="23"/>
      <c r="AS183" s="21"/>
      <c r="AT183" s="22" t="s">
        <v>208</v>
      </c>
      <c r="AU183" s="21"/>
    </row>
    <row r="184" ht="15.5" spans="21:47">
      <c r="U184" s="22" t="s">
        <v>64</v>
      </c>
      <c r="V184" s="22" t="s">
        <v>95</v>
      </c>
      <c r="W184" s="22" t="s">
        <v>11</v>
      </c>
      <c r="X184" s="23"/>
      <c r="Y184" s="22" t="s">
        <v>64</v>
      </c>
      <c r="Z184" s="22" t="s">
        <v>95</v>
      </c>
      <c r="AA184" s="22" t="s">
        <v>11</v>
      </c>
      <c r="AB184" s="23"/>
      <c r="AC184" s="22" t="s">
        <v>64</v>
      </c>
      <c r="AD184" s="22" t="s">
        <v>95</v>
      </c>
      <c r="AE184" s="22" t="s">
        <v>11</v>
      </c>
      <c r="AF184" s="23"/>
      <c r="AG184" s="22" t="s">
        <v>64</v>
      </c>
      <c r="AH184" s="22" t="s">
        <v>95</v>
      </c>
      <c r="AI184" s="22" t="s">
        <v>11</v>
      </c>
      <c r="AJ184" s="23"/>
      <c r="AK184" s="22" t="s">
        <v>64</v>
      </c>
      <c r="AL184" s="22" t="s">
        <v>95</v>
      </c>
      <c r="AM184" s="22" t="s">
        <v>11</v>
      </c>
      <c r="AN184" s="23"/>
      <c r="AO184" s="22" t="s">
        <v>64</v>
      </c>
      <c r="AP184" s="22" t="s">
        <v>95</v>
      </c>
      <c r="AQ184" s="22" t="s">
        <v>11</v>
      </c>
      <c r="AR184" s="23"/>
      <c r="AS184" s="22" t="s">
        <v>64</v>
      </c>
      <c r="AT184" s="22" t="s">
        <v>95</v>
      </c>
      <c r="AU184" s="22" t="s">
        <v>11</v>
      </c>
    </row>
    <row r="185" ht="15.5" spans="21:47">
      <c r="U185" s="23" t="s">
        <v>196</v>
      </c>
      <c r="V185" s="24" t="s">
        <v>210</v>
      </c>
      <c r="W185" s="23">
        <f t="shared" ref="W185:W188" si="364">W125</f>
        <v>0.00810173488293751</v>
      </c>
      <c r="X185" s="23"/>
      <c r="Y185" s="23" t="s">
        <v>197</v>
      </c>
      <c r="Z185" s="24" t="s">
        <v>210</v>
      </c>
      <c r="AA185" s="23">
        <f t="shared" ref="AA185:AA188" si="365">X125</f>
        <v>0.00786997433704022</v>
      </c>
      <c r="AB185" s="23"/>
      <c r="AC185" s="23" t="s">
        <v>198</v>
      </c>
      <c r="AD185" s="24" t="s">
        <v>210</v>
      </c>
      <c r="AE185" s="23">
        <f t="shared" ref="AE185:AE188" si="366">Y125</f>
        <v>0.00817937219730942</v>
      </c>
      <c r="AF185" s="23"/>
      <c r="AG185" s="23" t="s">
        <v>199</v>
      </c>
      <c r="AH185" s="24" t="s">
        <v>210</v>
      </c>
      <c r="AI185" s="23">
        <f t="shared" ref="AI185:AI188" si="367">Z125</f>
        <v>0.00816906747536013</v>
      </c>
      <c r="AJ185" s="23"/>
      <c r="AK185" s="23" t="s">
        <v>195</v>
      </c>
      <c r="AL185" s="24" t="s">
        <v>210</v>
      </c>
      <c r="AM185" s="23">
        <f t="shared" ref="AM185:AM188" si="368">AA125</f>
        <v>0.00826030206973706</v>
      </c>
      <c r="AN185" s="23"/>
      <c r="AO185" s="23" t="s">
        <v>194</v>
      </c>
      <c r="AP185" s="24" t="s">
        <v>210</v>
      </c>
      <c r="AQ185" s="23">
        <f t="shared" ref="AQ185:AQ188" si="369">AB125</f>
        <v>0.00686230248306997</v>
      </c>
      <c r="AR185" s="23"/>
      <c r="AS185" s="23" t="s">
        <v>193</v>
      </c>
      <c r="AT185" s="24" t="s">
        <v>210</v>
      </c>
      <c r="AU185" s="23">
        <f t="shared" ref="AU185:AU188" si="370">AC125</f>
        <v>0.00806508666430845</v>
      </c>
    </row>
    <row r="186" ht="15.5" spans="21:47">
      <c r="U186" s="23" t="str">
        <f t="shared" ref="U186:U188" si="371">U185</f>
        <v>DirRecy-NMC111</v>
      </c>
      <c r="V186" s="24" t="s">
        <v>217</v>
      </c>
      <c r="W186" s="23">
        <f t="shared" si="364"/>
        <v>0.0319690079164561</v>
      </c>
      <c r="X186" s="23"/>
      <c r="Y186" s="23" t="str">
        <f t="shared" ref="Y186:Y188" si="372">Y185</f>
        <v>DirRecy-NMC532</v>
      </c>
      <c r="Z186" s="24" t="s">
        <v>217</v>
      </c>
      <c r="AA186" s="23">
        <f t="shared" si="365"/>
        <v>0.0310692899914457</v>
      </c>
      <c r="AB186" s="23"/>
      <c r="AC186" s="23" t="str">
        <f t="shared" ref="AC186:AC188" si="373">AC185</f>
        <v>DirRecy-NMC622</v>
      </c>
      <c r="AD186" s="24" t="s">
        <v>217</v>
      </c>
      <c r="AE186" s="23">
        <f t="shared" si="366"/>
        <v>0.0322331838565022</v>
      </c>
      <c r="AF186" s="23"/>
      <c r="AG186" s="23" t="str">
        <f t="shared" ref="AG186:AG188" si="374">AG185</f>
        <v>DirRecy-NMC811</v>
      </c>
      <c r="AH186" s="24" t="s">
        <v>217</v>
      </c>
      <c r="AI186" s="23">
        <f t="shared" si="367"/>
        <v>0.0321645185746778</v>
      </c>
      <c r="AJ186" s="23"/>
      <c r="AK186" s="23" t="str">
        <f t="shared" ref="AK186:AK188" si="375">AK185</f>
        <v>DirRecy-NCA</v>
      </c>
      <c r="AL186" s="24" t="s">
        <v>217</v>
      </c>
      <c r="AM186" s="23">
        <f t="shared" si="368"/>
        <v>0.0325750512772702</v>
      </c>
      <c r="AN186" s="23"/>
      <c r="AO186" s="23" t="str">
        <f t="shared" ref="AO186:AO188" si="376">AO185</f>
        <v>DirRecy-LMO</v>
      </c>
      <c r="AP186" s="24" t="s">
        <v>217</v>
      </c>
      <c r="AQ186" s="23">
        <f t="shared" si="369"/>
        <v>0.0270428893905192</v>
      </c>
      <c r="AR186" s="23"/>
      <c r="AS186" s="23" t="str">
        <f t="shared" ref="AS186:AS188" si="377">AS185</f>
        <v>DirRecy-LFP</v>
      </c>
      <c r="AT186" s="24" t="s">
        <v>217</v>
      </c>
      <c r="AU186" s="23">
        <f t="shared" si="370"/>
        <v>0.0317828086310577</v>
      </c>
    </row>
    <row r="187" ht="15.5" spans="21:47">
      <c r="U187" s="23" t="str">
        <f t="shared" si="371"/>
        <v>DirRecy-NMC111</v>
      </c>
      <c r="V187" s="24" t="s">
        <v>218</v>
      </c>
      <c r="W187" s="23">
        <f t="shared" si="364"/>
        <v>0.0557183762843187</v>
      </c>
      <c r="X187" s="23"/>
      <c r="Y187" s="23" t="str">
        <f t="shared" si="372"/>
        <v>DirRecy-NMC532</v>
      </c>
      <c r="Z187" s="24" t="s">
        <v>218</v>
      </c>
      <c r="AA187" s="23">
        <f t="shared" si="365"/>
        <v>0.055158254918734</v>
      </c>
      <c r="AB187" s="23"/>
      <c r="AC187" s="23" t="str">
        <f t="shared" si="373"/>
        <v>DirRecy-NMC622</v>
      </c>
      <c r="AD187" s="24" t="s">
        <v>218</v>
      </c>
      <c r="AE187" s="23">
        <f t="shared" si="366"/>
        <v>0.0574887892376682</v>
      </c>
      <c r="AF187" s="23"/>
      <c r="AG187" s="23" t="str">
        <f t="shared" si="374"/>
        <v>DirRecy-NMC811</v>
      </c>
      <c r="AH187" s="24" t="s">
        <v>218</v>
      </c>
      <c r="AI187" s="23">
        <f t="shared" si="367"/>
        <v>0.0587755875663381</v>
      </c>
      <c r="AJ187" s="23"/>
      <c r="AK187" s="23" t="str">
        <f t="shared" si="375"/>
        <v>DirRecy-NCA</v>
      </c>
      <c r="AL187" s="24" t="s">
        <v>218</v>
      </c>
      <c r="AM187" s="23">
        <f t="shared" si="368"/>
        <v>0.0587544284915159</v>
      </c>
      <c r="AN187" s="23"/>
      <c r="AO187" s="23" t="str">
        <f t="shared" si="376"/>
        <v>DirRecy-LMO</v>
      </c>
      <c r="AP187" s="24" t="s">
        <v>218</v>
      </c>
      <c r="AQ187" s="23">
        <f t="shared" si="369"/>
        <v>0.0482317531978932</v>
      </c>
      <c r="AR187" s="23"/>
      <c r="AS187" s="23" t="str">
        <f t="shared" si="377"/>
        <v>DirRecy-LFP</v>
      </c>
      <c r="AT187" s="24" t="s">
        <v>218</v>
      </c>
      <c r="AU187" s="23">
        <f t="shared" si="370"/>
        <v>0.0566855323664662</v>
      </c>
    </row>
    <row r="188" ht="15.5" spans="21:47">
      <c r="U188" s="23" t="str">
        <f t="shared" si="371"/>
        <v>DirRecy-NMC111</v>
      </c>
      <c r="V188" s="24" t="s">
        <v>219</v>
      </c>
      <c r="W188" s="23">
        <f t="shared" si="364"/>
        <v>0.0130537308404918</v>
      </c>
      <c r="X188" s="25"/>
      <c r="Y188" s="23" t="str">
        <f t="shared" si="372"/>
        <v>DirRecy-NMC532</v>
      </c>
      <c r="Z188" s="24" t="s">
        <v>219</v>
      </c>
      <c r="AA188" s="23">
        <f t="shared" si="365"/>
        <v>0.0129170230966638</v>
      </c>
      <c r="AB188" s="25"/>
      <c r="AC188" s="23" t="str">
        <f t="shared" si="373"/>
        <v>DirRecy-NMC622</v>
      </c>
      <c r="AD188" s="24" t="s">
        <v>219</v>
      </c>
      <c r="AE188" s="23">
        <f t="shared" si="366"/>
        <v>0.0134529147982063</v>
      </c>
      <c r="AF188" s="25"/>
      <c r="AG188" s="23" t="str">
        <f t="shared" si="374"/>
        <v>DirRecy-NMC811</v>
      </c>
      <c r="AH188" s="24" t="s">
        <v>219</v>
      </c>
      <c r="AI188" s="23">
        <f t="shared" si="367"/>
        <v>0.0136846095526914</v>
      </c>
      <c r="AJ188" s="25"/>
      <c r="AK188" s="23" t="str">
        <f t="shared" si="375"/>
        <v>DirRecy-NCA</v>
      </c>
      <c r="AL188" s="24" t="s">
        <v>219</v>
      </c>
      <c r="AM188" s="23">
        <f t="shared" si="368"/>
        <v>0.0137236621294052</v>
      </c>
      <c r="AN188" s="25"/>
      <c r="AO188" s="23" t="str">
        <f t="shared" si="376"/>
        <v>DirRecy-LMO</v>
      </c>
      <c r="AP188" s="24" t="s">
        <v>219</v>
      </c>
      <c r="AQ188" s="23">
        <f t="shared" si="369"/>
        <v>0.0112866817155756</v>
      </c>
      <c r="AR188" s="25"/>
      <c r="AS188" s="23" t="str">
        <f t="shared" si="377"/>
        <v>DirRecy-LFP</v>
      </c>
      <c r="AT188" s="24" t="s">
        <v>219</v>
      </c>
      <c r="AU188" s="23">
        <f t="shared" si="370"/>
        <v>0.01326494517156</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7</vt:i4>
      </vt:variant>
    </vt:vector>
  </HeadingPairs>
  <TitlesOfParts>
    <vt:vector size="7" baseType="lpstr">
      <vt:lpstr>TechSelection</vt:lpstr>
      <vt:lpstr>InvCost_for_packManufacturing</vt:lpstr>
      <vt:lpstr>Road transport</vt:lpstr>
      <vt:lpstr>RoadTra_BY</vt:lpstr>
      <vt:lpstr>added_EnergyUse_for_Manu</vt:lpstr>
      <vt:lpstr>added_energyUse_for_US_1.0</vt:lpstr>
      <vt:lpstr>added_energyUse_for_CN_1.0</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2026-03-12T22:25:55Z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1033-12.2.0.23196</vt:lpwstr>
  </property>
</Properties>
</file>