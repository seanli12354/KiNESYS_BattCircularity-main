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s>
  <externalReferences>
    <externalReference r:id="rId8"/>
    <externalReference r:id="rId9"/>
    <externalReference r:id="rId10"/>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<sst xmlns="http://schemas.openxmlformats.org/spreadsheetml/2006/main" count="2303" uniqueCount="266">
  <si>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</si>
  <si>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</si>
  <si>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</si>
  <si>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</si>
  <si>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</si>
  <si>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</si>
  <si>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</si>
  <si>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</si>
  <si>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</si>
  <si>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</si>
  <si>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</si>
  <si>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</si>
  <si>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</si>
  <si>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</si>
  <si>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</si>
  <si>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</si>
  <si>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</si>
  <si>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</si>
  <si>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</si>
  <si>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</si>
  <si>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</si>
  <si>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</si>
  <si>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</si>
  <si>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</si>
  <si>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</si>
  <si>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</si>
  <si>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</si>
  <si>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</si>
  <si>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</si>
  <si>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</si>
  <si>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</si>
  <si>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</si>
  <si>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</si>
  <si>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</si>
  <si>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</si>
  <si>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</si>
  <si>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</si>
  <si>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</si>
  <si>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</si>
  <si>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</si>
  <si>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</si>
  <si>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</si>
  <si>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</si>
  <si>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</si>
  <si>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</si>
  <si>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</si>
  <si>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</si>
  <si>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</si>
  <si>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</si>
  <si>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</si>
  <si>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</si>
  <si>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</si>
  <si>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</si>
  <si>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</si>
  <si>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</si>
  <si>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</si>
  <si>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</si>
  <si>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</si>
  <si>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</si>
  <si>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</si>
  <si>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</si>
  <si>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</si>
  <si>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</si>
  <si>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</si>
  <si>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</si>
  <si>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</si>
  <si>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</si>
  <si>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</si>
  <si>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</si>
  <si>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</si>
  <si>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</si>
  <si>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</si>
  <si>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</si>
  <si>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 111_virgin_pack, Tra_EV_Batt-NMC 111_fromrecy</t>
  </si>
  <si>
    <t>So we use Argonne baseline cost → deduct material cost → get conversion CAPEX →
apply NREL learning rate to conversion component.</t>
  </si>
  <si>
    <t>Tra_EV_Batt-NMC 111</t>
  </si>
  <si>
    <t>Tra_EV_Batt-NMC532_virgin_pack, Tra_EV_Batt-NMC532_fromrecy</t>
  </si>
  <si>
    <t>Tra_EV_Batt-NMC532</t>
  </si>
  <si>
    <t>Tra_EV_Batt-NMC 622_virgin_pack, Tra_EV_Batt-NMC 622_fromrecy</t>
  </si>
  <si>
    <t>Tra_EV_Batt-NMC 622</t>
  </si>
  <si>
    <t>Tra_EV_Batt-NMC 811_virgin_pack, Tra_EV_Batt-NMC 811_fromrecy</t>
  </si>
  <si>
    <t>Tra_EV_Batt-NMC 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</si>
  <si>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</si>
  <si>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</si>
  <si>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</si>
  <si>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</si>
  <si>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</si>
  <si>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</si>
  <si>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</si>
  <si>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</si>
  <si>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</si>
  <si>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</si>
  <si>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</si>
  <si>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</si>
  <si>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</si>
  <si>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</si>
  <si>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</si>
  <si>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</si>
  <si>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</si>
  <si>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</si>
  <si>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</si>
  <si>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</si>
  <si>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</si>
  <si>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</si>
  <si>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</si>
  <si>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</si>
  <si>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</si>
  <si>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</si>
  <si>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</si>
  <si>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</si>
  <si>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</si>
  <si>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</si>
  <si>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</si>
  <si>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</si>
  <si>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</si>
  <si>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</si>
  <si>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</si>
  <si>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</si>
  <si>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</si>
  <si>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</si>
  <si>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</si>
  <si>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</si>
  <si>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</si>
  <si>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</si>
  <si>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</si>
  <si>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</si>
  <si>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</si>
  <si>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</si>
  <si>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</si>
  <si>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</si>
  <si>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</si>
  <si>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</si>
  <si>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</si>
  <si>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</si>
  <si>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</si>
  <si>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</si>
  <si>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</si>
  <si>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</si>
  <si>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</si>
  <si>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</si>
  <si>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</si>
  <si>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</si>
  <si>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</si>
  <si>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</si>
  <si>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</si>
  <si>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</si>
  <si>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</si>
  <si>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</si>
  <si>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</si>
  <si>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</si>
  <si>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</si>
  <si>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</si>
  <si>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</si>
  <si>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</si>
  <si>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</si>
  <si>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</si>
  <si>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</si>
  <si>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</si>
  <si>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</si>
  <si>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</si>
  <si>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</si>
  <si>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</si>
  <si>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</si>
  <si>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</si>
  <si>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</si>
  <si>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Pset_CO</t>
  </si>
  <si>
    <t>FLO_BND</t>
  </si>
  <si>
    <t>UP</t>
  </si>
  <si>
    <t>MINBatMaterials_LI</t>
  </si>
  <si>
    <t>m_lithium</t>
  </si>
  <si>
    <t>MINBatMaterials</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</si>
  <si>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</si>
  <si>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</si>
  <si>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</si>
  <si>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</si>
  <si>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</si>
  <si>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</si>
  <si>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</si>
  <si>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</si>
  <si>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</si>
  <si>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</si>
  <si>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</si>
  <si>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</si>
  <si>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</si>
  <si>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</si>
  <si>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</si>
  <si>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</si>
  <si>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</si>
  <si>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</si>
  <si>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</si>
  <si>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</si>
  <si>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</si>
  <si>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</si>
  <si>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</si>
  <si>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</si>
  <si>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</si>
  <si>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</si>
  <si>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</si>
  <si>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</si>
  <si>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</si>
  <si>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</si>
  <si>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</si>
  <si>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</si>
  <si>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</si>
  <si>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</si>
  <si>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</si>
  <si>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</si>
  <si>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</si>
  <si>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</si>
  <si>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</si>
  <si>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</si>
  <si>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</si>
  <si>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</si>
  <si>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</si>
  <si>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</si>
  <si>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</si>
  <si>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 111_virgin</t>
  </si>
  <si>
    <t>INDELC</t>
  </si>
  <si>
    <t>Tra_EV_Batt-NMC532_virgin</t>
  </si>
  <si>
    <t>Tra_EV_Batt-NMC 622_virgin</t>
  </si>
  <si>
    <t>Tra_EV_Batt-NMC 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</si>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</sst>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6">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0"/>
    </font>
    <font>
      <b/>
      <sz val="9"/>
      <name val="Times New Roman"/>
      <charset val="134"/>
    </font>
    <font>
      <sz val="9"/>
      <name val="Times New Roman"/>
      <charset val="134"/>
    </font>
    <font>
      <sz val="9"/>
      <name val="Times New Roman"/>
      <charset val="0"/>
    </font>
    <font>
      <b/>
      <sz val="9"/>
      <name val="Tahoma"/>
      <charset val="1"/>
    </font>
    <font>
      <sz val="9"/>
      <name val="Tahoma"/>
      <charset val="1"/>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 fillId="23"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24" borderId="6" applyNumberFormat="0" applyAlignment="0" applyProtection="0">
      <alignment vertical="center"/>
    </xf>
    <xf numFmtId="0" fontId="30" fillId="25" borderId="7" applyNumberFormat="0" applyAlignment="0" applyProtection="0">
      <alignment vertical="center"/>
    </xf>
    <xf numFmtId="0" fontId="31" fillId="25" borderId="6" applyNumberFormat="0" applyAlignment="0" applyProtection="0">
      <alignment vertical="center"/>
    </xf>
    <xf numFmtId="0" fontId="32" fillId="26"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8" fillId="8" borderId="0" applyNumberFormat="0" applyBorder="0" applyAlignment="0" applyProtection="0">
      <alignment vertical="center"/>
    </xf>
    <xf numFmtId="0" fontId="39" fillId="11" borderId="0" applyNumberFormat="0" applyBorder="0" applyAlignment="0" applyProtection="0">
      <alignment vertical="center"/>
    </xf>
    <xf numFmtId="0" fontId="39"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38" fillId="35" borderId="0" applyNumberFormat="0" applyBorder="0" applyAlignment="0" applyProtection="0">
      <alignment vertical="center"/>
    </xf>
    <xf numFmtId="0" fontId="38" fillId="36" borderId="0" applyNumberFormat="0" applyBorder="0" applyAlignment="0" applyProtection="0">
      <alignment vertical="center"/>
    </xf>
    <xf numFmtId="0" fontId="39" fillId="37" borderId="0" applyNumberFormat="0" applyBorder="0" applyAlignment="0" applyProtection="0">
      <alignment vertical="center"/>
    </xf>
    <xf numFmtId="0" fontId="39" fillId="38" borderId="0" applyNumberFormat="0" applyBorder="0" applyAlignment="0" applyProtection="0">
      <alignment vertical="center"/>
    </xf>
    <xf numFmtId="0" fontId="38" fillId="39" borderId="0" applyNumberFormat="0" applyBorder="0" applyAlignment="0" applyProtection="0">
      <alignment vertical="center"/>
    </xf>
    <xf numFmtId="0" fontId="38" fillId="40" borderId="0" applyNumberFormat="0" applyBorder="0" applyAlignment="0" applyProtection="0">
      <alignment vertical="center"/>
    </xf>
    <xf numFmtId="0" fontId="39" fillId="41" borderId="0" applyNumberFormat="0" applyBorder="0" applyAlignment="0" applyProtection="0">
      <alignment vertical="center"/>
    </xf>
    <xf numFmtId="0" fontId="39" fillId="42" borderId="0" applyNumberFormat="0" applyBorder="0" applyAlignment="0" applyProtection="0">
      <alignment vertical="center"/>
    </xf>
    <xf numFmtId="0" fontId="38" fillId="43" borderId="0" applyNumberFormat="0" applyBorder="0" applyAlignment="0" applyProtection="0">
      <alignment vertical="center"/>
    </xf>
    <xf numFmtId="0" fontId="38" fillId="44" borderId="0" applyNumberFormat="0" applyBorder="0" applyAlignment="0" applyProtection="0">
      <alignment vertical="center"/>
    </xf>
    <xf numFmtId="0" fontId="39" fillId="9" borderId="0" applyNumberFormat="0" applyBorder="0" applyAlignment="0" applyProtection="0">
      <alignment vertical="center"/>
    </xf>
    <xf numFmtId="0" fontId="39" fillId="45" borderId="0" applyNumberFormat="0" applyBorder="0" applyAlignment="0" applyProtection="0">
      <alignment vertical="center"/>
    </xf>
    <xf numFmtId="0" fontId="38" fillId="46" borderId="0" applyNumberFormat="0" applyBorder="0" applyAlignment="0" applyProtection="0">
      <alignment vertical="center"/>
    </xf>
    <xf numFmtId="0" fontId="38" fillId="19" borderId="0" applyNumberFormat="0" applyBorder="0" applyAlignment="0" applyProtection="0">
      <alignment vertical="center"/>
    </xf>
    <xf numFmtId="0" fontId="39" fillId="7" borderId="0" applyNumberFormat="0" applyBorder="0" applyAlignment="0" applyProtection="0">
      <alignment vertical="center"/>
    </xf>
    <xf numFmtId="0" fontId="39" fillId="47" borderId="0" applyNumberFormat="0" applyBorder="0" applyAlignment="0" applyProtection="0">
      <alignment vertical="center"/>
    </xf>
    <xf numFmtId="0" fontId="38" fillId="48" borderId="0" applyNumberFormat="0" applyBorder="0" applyAlignment="0" applyProtection="0">
      <alignment vertical="center"/>
    </xf>
    <xf numFmtId="0" fontId="0" fillId="0" borderId="0"/>
    <xf numFmtId="0" fontId="0" fillId="0" borderId="0"/>
    <xf numFmtId="0" fontId="0" fillId="0" borderId="0"/>
  </cellStyleXfs>
  <cellXfs count="98">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3" fillId="0" borderId="0" xfId="0" applyFont="1"/>
    <xf numFmtId="0" fontId="9" fillId="0" borderId="0" xfId="0" applyFont="1"/>
    <xf numFmtId="0" fontId="12" fillId="14" borderId="0" xfId="0" applyFont="1" applyFill="1"/>
    <xf numFmtId="0" fontId="0" fillId="14" borderId="0" xfId="49" applyFill="1"/>
    <xf numFmtId="0" fontId="14" fillId="14" borderId="0" xfId="0" applyFont="1" applyFill="1"/>
    <xf numFmtId="0" fontId="15" fillId="16" borderId="0" xfId="49" applyFont="1" applyFill="1"/>
    <xf numFmtId="0" fontId="15"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6" fillId="13" borderId="0" xfId="0" applyFont="1" applyFill="1"/>
    <xf numFmtId="0" fontId="14"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5" fillId="0" borderId="0" xfId="49" applyFont="1"/>
    <xf numFmtId="0" fontId="0" fillId="0" borderId="1" xfId="0" applyBorder="1"/>
    <xf numFmtId="0" fontId="17" fillId="19" borderId="0" xfId="0" applyFont="1" applyFill="1" applyAlignment="1"/>
    <xf numFmtId="0" fontId="18"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0" fillId="21" borderId="0" xfId="49" applyFill="1" applyAlignment="1">
      <alignment horizontal="center"/>
    </xf>
    <xf numFmtId="0" fontId="19" fillId="0" borderId="0" xfId="49" applyFont="1" applyAlignment="1">
      <alignment horizontal="center"/>
    </xf>
    <xf numFmtId="0" fontId="1" fillId="0" borderId="0" xfId="0" applyFont="1" applyFill="1" applyAlignment="1">
      <alignment vertical="center"/>
    </xf>
    <xf numFmtId="0" fontId="1" fillId="22" borderId="0" xfId="0" applyFont="1" applyFill="1" applyAlignment="1">
      <alignment vertical="center"/>
    </xf>
    <xf numFmtId="0" fontId="1" fillId="22" borderId="0" xfId="0" applyNumberFormat="1" applyFont="1" applyFill="1" applyAlignment="1">
      <alignment vertical="center"/>
    </xf>
    <xf numFmtId="0" fontId="20" fillId="0" borderId="0" xfId="0" applyFont="1" applyFill="1" applyAlignment="1">
      <alignment vertical="center"/>
    </xf>
    <xf numFmtId="0" fontId="20" fillId="0" borderId="0" xfId="0" applyNumberFormat="1" applyFont="1" applyFill="1" applyAlignment="1">
      <alignment vertical="center"/>
    </xf>
    <xf numFmtId="0" fontId="16" fillId="19" borderId="0" xfId="49" applyFont="1" applyFill="1" applyAlignment="1">
      <alignment horizontal="center"/>
    </xf>
    <xf numFmtId="0" fontId="1" fillId="0" borderId="0" xfId="49" applyFont="1" applyAlignment="1">
      <alignment horizontal="center"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2.xml"/><Relationship Id="rId8" Type="http://schemas.openxmlformats.org/officeDocument/2006/relationships/externalLink" Target="externalLinks/externalLink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externalLink" Target="externalLinks/externalLink3.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V25" sqref="V25"/>
    </sheetView>
  </sheetViews>
  <sheetFormatPr defaultColWidth="9.09090909090909" defaultRowHeight="11.5"/>
  <cols>
    <col min="1" max="1" width="15" style="97" customWidth="1"/>
    <col min="2" max="2" width="8.81818181818182" style="97" customWidth="1"/>
    <col min="3" max="3" width="4.72727272727273" style="97" customWidth="1"/>
    <col min="4" max="4" width="8.81818181818182" style="97" customWidth="1"/>
    <col min="5" max="5" width="4.36363636363636" style="97" customWidth="1"/>
    <col min="6" max="6" width="4.27272727272727" style="97" customWidth="1"/>
    <col min="7" max="7" width="4.36363636363636" style="97" customWidth="1"/>
    <col min="8" max="8" width="4.63636363636364" style="97" customWidth="1"/>
    <col min="9" max="9" width="4" style="97" customWidth="1"/>
    <col min="10" max="10" width="4.36363636363636" style="97" customWidth="1"/>
    <col min="11" max="11" width="4.63636363636364" style="97" customWidth="1"/>
    <col min="12" max="12" width="4.36363636363636" style="97" customWidth="1"/>
    <col min="13" max="13" width="4" style="97" customWidth="1"/>
    <col min="14" max="14" width="4.27272727272727" style="97" customWidth="1"/>
    <col min="15" max="16" width="4.36363636363636" style="97" customWidth="1"/>
    <col min="17" max="18" width="4.63636363636364" style="97" customWidth="1"/>
    <col min="19" max="19" width="4.36363636363636" style="97" customWidth="1"/>
    <col min="20" max="20" width="5" style="97" customWidth="1"/>
    <col min="21" max="21" width="11.7272727272727" style="97" customWidth="1"/>
    <col min="22" max="22" width="10.7272727272727" style="97" customWidth="1"/>
    <col min="23" max="23" width="13.0909090909091" style="97" customWidth="1"/>
    <col min="24" max="259" width="11.3636363636364" style="97" customWidth="1"/>
    <col min="260" max="16384" width="9.09090909090909" style="97"/>
  </cols>
  <sheetData>
    <row r="1" ht="12.5" spans="1:21">
      <c r="A1"/>
      <c r="B1"/>
      <c r="C1"/>
      <c r="D1"/>
      <c r="E1"/>
      <c r="F1"/>
      <c r="G1"/>
      <c r="H1"/>
      <c r="I1"/>
      <c r="J1"/>
      <c r="K1"/>
      <c r="L1"/>
      <c r="M1"/>
      <c r="N1"/>
      <c r="O1"/>
      <c r="P1"/>
      <c r="Q1"/>
      <c r="R1"/>
      <c r="S1"/>
      <c r="T1"/>
      <c r="U1"/>
    </row>
    <row r="2" ht="12.5" spans="1:21">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7"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7"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7"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7"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7"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B1" workbookViewId="0">
      <selection activeCell="G31" sqref="G31"/>
    </sheetView>
  </sheetViews>
  <sheetFormatPr defaultColWidth="8.72727272727273" defaultRowHeight="14.5"/>
  <cols>
    <col min="1" max="1" width="8.72727272727273" style="1"/>
    <col min="2" max="2" width="130.909090909091" style="1" customWidth="1"/>
    <col min="3" max="5" width="12.8181818181818" style="1"/>
    <col min="6" max="6" width="30.0909090909091" style="1" customWidth="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49" width="12.8181818181818" style="1"/>
    <col min="50" max="50" width="63.7272727272727" style="1" customWidth="1"/>
    <col min="51"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41">
      <c r="B1" s="1" t="s">
        <v>39</v>
      </c>
      <c r="R1" s="1" t="s">
        <v>40</v>
      </c>
      <c r="S1" s="90" t="s">
        <v>41</v>
      </c>
      <c r="T1" s="90" t="s">
        <v>42</v>
      </c>
      <c r="U1" s="90" t="s">
        <v>43</v>
      </c>
      <c r="V1" s="90" t="s">
        <v>44</v>
      </c>
      <c r="W1" s="90" t="s">
        <v>45</v>
      </c>
      <c r="X1" s="90" t="s">
        <v>46</v>
      </c>
      <c r="Y1" s="90" t="s">
        <v>47</v>
      </c>
      <c r="Z1" s="90" t="s">
        <v>48</v>
      </c>
      <c r="AA1" s="90" t="s">
        <v>49</v>
      </c>
      <c r="AB1" s="90" t="s">
        <v>50</v>
      </c>
      <c r="AC1" s="90" t="s">
        <v>51</v>
      </c>
      <c r="AI1" s="93">
        <v>2023</v>
      </c>
      <c r="AJ1" s="93">
        <v>2025</v>
      </c>
      <c r="AK1" s="93">
        <v>2030</v>
      </c>
      <c r="AL1" s="93">
        <v>2035</v>
      </c>
      <c r="AM1" s="93">
        <v>2040</v>
      </c>
      <c r="AN1" s="93">
        <v>2045</v>
      </c>
      <c r="AO1" s="93">
        <v>2050</v>
      </c>
    </row>
    <row r="2" s="1" customFormat="1" spans="2:52">
      <c r="B2" s="82" t="s">
        <v>52</v>
      </c>
      <c r="S2" s="91">
        <v>2023</v>
      </c>
      <c r="T2" s="91" t="s">
        <v>53</v>
      </c>
      <c r="U2" s="91" t="s">
        <v>54</v>
      </c>
      <c r="V2" s="91" t="s">
        <v>55</v>
      </c>
      <c r="W2" s="91" t="s">
        <v>56</v>
      </c>
      <c r="X2" s="91" t="s">
        <v>57</v>
      </c>
      <c r="Y2" s="91" t="s">
        <v>58</v>
      </c>
      <c r="Z2" s="91"/>
      <c r="AA2" s="91" t="s">
        <v>59</v>
      </c>
      <c r="AB2" s="92">
        <v>132.92732205738</v>
      </c>
      <c r="AC2" s="91" t="s">
        <v>60</v>
      </c>
      <c r="AH2" s="1" t="s">
        <v>61</v>
      </c>
      <c r="AI2" s="94">
        <v>132.92732205738</v>
      </c>
      <c r="AJ2" s="94">
        <v>120.58407072348</v>
      </c>
      <c r="AK2" s="94">
        <v>104.442895902227</v>
      </c>
      <c r="AL2" s="94">
        <v>94.9480871838431</v>
      </c>
      <c r="AM2" s="94">
        <v>92.1084750593323</v>
      </c>
      <c r="AN2" s="94">
        <v>88.9611647549709</v>
      </c>
      <c r="AO2" s="94">
        <v>85.4532784654588</v>
      </c>
      <c r="AX2" t="s">
        <v>62</v>
      </c>
      <c r="AY2"/>
      <c r="AZ2" s="86"/>
    </row>
    <row r="3" s="1" customFormat="1" spans="6:54">
      <c r="F3" s="83" t="s">
        <v>63</v>
      </c>
      <c r="G3" s="84"/>
      <c r="H3" s="84"/>
      <c r="I3" s="84"/>
      <c r="S3" s="91">
        <v>2025</v>
      </c>
      <c r="T3" s="91" t="s">
        <v>53</v>
      </c>
      <c r="U3" s="91" t="s">
        <v>54</v>
      </c>
      <c r="V3" s="91" t="s">
        <v>55</v>
      </c>
      <c r="W3" s="91" t="s">
        <v>56</v>
      </c>
      <c r="X3" s="91" t="s">
        <v>57</v>
      </c>
      <c r="Y3" s="91" t="s">
        <v>58</v>
      </c>
      <c r="Z3" s="91"/>
      <c r="AA3" s="91" t="s">
        <v>59</v>
      </c>
      <c r="AB3" s="92">
        <v>120.58407072348</v>
      </c>
      <c r="AC3" s="91"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6" t="s">
        <v>64</v>
      </c>
      <c r="AY3" s="86" t="s">
        <v>41</v>
      </c>
      <c r="AZ3" s="87" t="s">
        <v>65</v>
      </c>
      <c r="BA3" s="87" t="s">
        <v>11</v>
      </c>
      <c r="BB3" s="87" t="s">
        <v>25</v>
      </c>
    </row>
    <row r="4" s="1" customFormat="1" spans="6:54">
      <c r="F4" s="83" t="s">
        <v>64</v>
      </c>
      <c r="G4" s="83" t="s">
        <v>65</v>
      </c>
      <c r="H4" s="83" t="s">
        <v>11</v>
      </c>
      <c r="I4" s="83" t="s">
        <v>25</v>
      </c>
      <c r="S4" s="91">
        <v>2030</v>
      </c>
      <c r="T4" s="91" t="s">
        <v>53</v>
      </c>
      <c r="U4" s="91" t="s">
        <v>54</v>
      </c>
      <c r="V4" s="91" t="s">
        <v>55</v>
      </c>
      <c r="W4" s="91" t="s">
        <v>56</v>
      </c>
      <c r="X4" s="91" t="s">
        <v>57</v>
      </c>
      <c r="Y4" s="91" t="s">
        <v>58</v>
      </c>
      <c r="Z4" s="91"/>
      <c r="AA4" s="91" t="s">
        <v>59</v>
      </c>
      <c r="AB4" s="92">
        <v>104.442895902227</v>
      </c>
      <c r="AC4" s="91"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6" t="s">
        <v>66</v>
      </c>
      <c r="AY4" s="86">
        <v>2023</v>
      </c>
      <c r="AZ4" s="86">
        <f>G5</f>
        <v>80.3831766666667</v>
      </c>
      <c r="BA4" s="86">
        <f>H5</f>
        <v>55.48673</v>
      </c>
      <c r="BB4" s="86">
        <f>I5</f>
        <v>106.82505</v>
      </c>
    </row>
    <row r="5" s="1" customFormat="1" ht="28" customHeight="1" spans="2:54">
      <c r="B5" s="85" t="s">
        <v>67</v>
      </c>
      <c r="F5" s="83" t="s">
        <v>68</v>
      </c>
      <c r="G5" s="84">
        <f>[3]R_strategies_n_GridBattery!$D$131</f>
        <v>80.3831766666667</v>
      </c>
      <c r="H5" s="84">
        <f>[3]R_strategies_n_GridBattery!$E$131</f>
        <v>55.48673</v>
      </c>
      <c r="I5" s="84">
        <f>[3]R_strategies_n_GridBattery!$F$131</f>
        <v>106.82505</v>
      </c>
      <c r="S5" s="91">
        <v>2035</v>
      </c>
      <c r="T5" s="91" t="s">
        <v>53</v>
      </c>
      <c r="U5" s="91" t="s">
        <v>54</v>
      </c>
      <c r="V5" s="91" t="s">
        <v>55</v>
      </c>
      <c r="W5" s="91" t="s">
        <v>56</v>
      </c>
      <c r="X5" s="91" t="s">
        <v>57</v>
      </c>
      <c r="Y5" s="91" t="s">
        <v>58</v>
      </c>
      <c r="Z5" s="91"/>
      <c r="AA5" s="91" t="s">
        <v>59</v>
      </c>
      <c r="AB5" s="92">
        <v>94.9480871838431</v>
      </c>
      <c r="AC5" s="91"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6" t="s">
        <v>69</v>
      </c>
      <c r="AY5" s="86">
        <f>AY4</f>
        <v>2023</v>
      </c>
      <c r="AZ5" s="86">
        <f t="shared" ref="AZ5:AZ10" si="8">G6</f>
        <v>95.4086</v>
      </c>
      <c r="BA5" s="86">
        <f t="shared" ref="BA5:BA10" si="9">H6</f>
        <v>66.32565</v>
      </c>
      <c r="BB5" s="86">
        <f t="shared" ref="BB5:BB10" si="10">I6</f>
        <v>126.26355</v>
      </c>
    </row>
    <row r="6" s="1" customFormat="1" spans="6:54">
      <c r="F6" s="83" t="s">
        <v>70</v>
      </c>
      <c r="G6" s="84">
        <f>[3]R_strategies_n_GridBattery!$D$132</f>
        <v>95.4086</v>
      </c>
      <c r="H6" s="84">
        <f>[3]R_strategies_n_GridBattery!$E$132</f>
        <v>66.32565</v>
      </c>
      <c r="I6" s="84">
        <f>[3]R_strategies_n_GridBattery!$F$132</f>
        <v>126.26355</v>
      </c>
      <c r="S6" s="91">
        <v>2040</v>
      </c>
      <c r="T6" s="91" t="s">
        <v>53</v>
      </c>
      <c r="U6" s="91" t="s">
        <v>54</v>
      </c>
      <c r="V6" s="91" t="s">
        <v>55</v>
      </c>
      <c r="W6" s="91" t="s">
        <v>56</v>
      </c>
      <c r="X6" s="91" t="s">
        <v>57</v>
      </c>
      <c r="Y6" s="91" t="s">
        <v>58</v>
      </c>
      <c r="Z6" s="91"/>
      <c r="AA6" s="91" t="s">
        <v>59</v>
      </c>
      <c r="AB6" s="92">
        <v>92.1084750593323</v>
      </c>
      <c r="AC6" s="91"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6" t="s">
        <v>71</v>
      </c>
      <c r="AY6" s="86">
        <f t="shared" ref="AY6:AY11" si="11">AY5</f>
        <v>2023</v>
      </c>
      <c r="AZ6" s="86">
        <f t="shared" si="8"/>
        <v>85.3476966666666</v>
      </c>
      <c r="BA6" s="86">
        <f t="shared" si="9"/>
        <v>56.10147</v>
      </c>
      <c r="BB6" s="86">
        <f t="shared" si="10"/>
        <v>116.32796</v>
      </c>
    </row>
    <row r="7" s="1" customFormat="1" spans="6:54">
      <c r="F7" s="83" t="s">
        <v>72</v>
      </c>
      <c r="G7" s="84">
        <f>[3]R_strategies_n_GridBattery!$D$133</f>
        <v>85.3476966666666</v>
      </c>
      <c r="H7" s="84">
        <f>[3]R_strategies_n_GridBattery!$E$133</f>
        <v>56.10147</v>
      </c>
      <c r="I7" s="84">
        <f>[3]R_strategies_n_GridBattery!$F$133</f>
        <v>116.32796</v>
      </c>
      <c r="S7" s="91">
        <v>2045</v>
      </c>
      <c r="T7" s="91" t="s">
        <v>53</v>
      </c>
      <c r="U7" s="91" t="s">
        <v>54</v>
      </c>
      <c r="V7" s="91" t="s">
        <v>55</v>
      </c>
      <c r="W7" s="91" t="s">
        <v>56</v>
      </c>
      <c r="X7" s="91" t="s">
        <v>57</v>
      </c>
      <c r="Y7" s="91" t="s">
        <v>58</v>
      </c>
      <c r="Z7" s="91"/>
      <c r="AA7" s="91" t="s">
        <v>59</v>
      </c>
      <c r="AB7" s="92">
        <v>88.9611647549709</v>
      </c>
      <c r="AC7" s="91"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6" t="s">
        <v>73</v>
      </c>
      <c r="AY7" s="86">
        <f t="shared" si="11"/>
        <v>2023</v>
      </c>
      <c r="AZ7" s="86">
        <f t="shared" si="8"/>
        <v>85.52157</v>
      </c>
      <c r="BA7" s="86">
        <f t="shared" si="9"/>
        <v>55.55951</v>
      </c>
      <c r="BB7" s="86">
        <f t="shared" si="10"/>
        <v>117.30431</v>
      </c>
    </row>
    <row r="8" s="1" customFormat="1" ht="29" spans="2:54">
      <c r="B8" s="85" t="s">
        <v>74</v>
      </c>
      <c r="F8" s="83" t="s">
        <v>75</v>
      </c>
      <c r="G8" s="84">
        <f>[3]R_strategies_n_GridBattery!$D$134</f>
        <v>85.52157</v>
      </c>
      <c r="H8" s="84">
        <f>[3]R_strategies_n_GridBattery!$E$134</f>
        <v>55.55951</v>
      </c>
      <c r="I8" s="84">
        <f>[3]R_strategies_n_GridBattery!$F$134</f>
        <v>117.30431</v>
      </c>
      <c r="S8" s="91">
        <v>2050</v>
      </c>
      <c r="T8" s="91" t="s">
        <v>53</v>
      </c>
      <c r="U8" s="91" t="s">
        <v>54</v>
      </c>
      <c r="V8" s="91" t="s">
        <v>55</v>
      </c>
      <c r="W8" s="91" t="s">
        <v>56</v>
      </c>
      <c r="X8" s="91" t="s">
        <v>57</v>
      </c>
      <c r="Y8" s="91" t="s">
        <v>58</v>
      </c>
      <c r="Z8" s="91"/>
      <c r="AA8" s="91" t="s">
        <v>59</v>
      </c>
      <c r="AB8" s="92">
        <v>85.4532784654588</v>
      </c>
      <c r="AC8" s="91"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6" t="s">
        <v>76</v>
      </c>
      <c r="AY8" s="86">
        <f t="shared" si="11"/>
        <v>2023</v>
      </c>
      <c r="AZ8" s="86">
        <f t="shared" si="8"/>
        <v>90.0929166666666</v>
      </c>
      <c r="BA8" s="86">
        <f t="shared" si="9"/>
        <v>59.3677</v>
      </c>
      <c r="BB8" s="86">
        <f t="shared" si="10"/>
        <v>122.66905</v>
      </c>
    </row>
    <row r="9" s="1" customFormat="1" spans="6:54">
      <c r="F9" s="83" t="s">
        <v>77</v>
      </c>
      <c r="G9" s="84">
        <f>[3]R_strategies_n_GridBattery!$D$135</f>
        <v>90.0929166666666</v>
      </c>
      <c r="H9" s="84">
        <f>[3]R_strategies_n_GridBattery!$E$135</f>
        <v>59.3677</v>
      </c>
      <c r="I9" s="84">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6" t="s">
        <v>78</v>
      </c>
      <c r="AY9" s="86">
        <f t="shared" si="11"/>
        <v>2023</v>
      </c>
      <c r="AZ9" s="86">
        <f t="shared" si="8"/>
        <v>86.9222166666667</v>
      </c>
      <c r="BA9" s="86">
        <f t="shared" si="9"/>
        <v>57.33755</v>
      </c>
      <c r="BB9" s="86">
        <f t="shared" si="10"/>
        <v>118.2723</v>
      </c>
    </row>
    <row r="10" s="1" customFormat="1" spans="6:54">
      <c r="F10" s="83" t="s">
        <v>79</v>
      </c>
      <c r="G10" s="84">
        <f>[3]R_strategies_n_GridBattery!$D$136</f>
        <v>86.9222166666667</v>
      </c>
      <c r="H10" s="84">
        <f>[3]R_strategies_n_GridBattery!$E$136</f>
        <v>57.33755</v>
      </c>
      <c r="I10" s="84">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6" t="s">
        <v>80</v>
      </c>
      <c r="AY10" s="86">
        <f t="shared" si="11"/>
        <v>2023</v>
      </c>
      <c r="AZ10" s="86">
        <f t="shared" si="8"/>
        <v>89.5526666666667</v>
      </c>
      <c r="BA10" s="86">
        <f t="shared" si="9"/>
        <v>59.98948</v>
      </c>
      <c r="BB10" s="86">
        <f t="shared" si="10"/>
        <v>120.87452</v>
      </c>
    </row>
    <row r="11" s="1" customFormat="1" spans="6:55">
      <c r="F11" s="83" t="s">
        <v>81</v>
      </c>
      <c r="G11" s="84">
        <f>[3]R_strategies_n_GridBattery!$D$137</f>
        <v>89.5526666666667</v>
      </c>
      <c r="H11" s="84">
        <f>[3]R_strategies_n_GridBattery!$E$137</f>
        <v>59.98948</v>
      </c>
      <c r="I11" s="84">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81"/>
      <c r="AW11" s="81"/>
      <c r="AX11" s="95" t="s">
        <v>82</v>
      </c>
      <c r="AY11" s="86">
        <f t="shared" si="11"/>
        <v>2023</v>
      </c>
      <c r="AZ11" s="95">
        <f>C33</f>
        <v>162.093333333333</v>
      </c>
      <c r="BA11" s="95">
        <f>AZ11</f>
        <v>162.093333333333</v>
      </c>
      <c r="BB11" s="95">
        <f>BA11</f>
        <v>162.093333333333</v>
      </c>
      <c r="BC11" s="81"/>
    </row>
    <row r="12" s="1" customFormat="1" spans="35:41">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39:41">
      <c r="AM14" s="1">
        <f>AM2/AL2</f>
        <v>0.97009300335864</v>
      </c>
      <c r="AN14" s="1">
        <f>AN2/AM2</f>
        <v>0.965830393974778</v>
      </c>
      <c r="AO14" s="1">
        <f>AO2/AN2</f>
        <v>0.96056834126246</v>
      </c>
    </row>
    <row r="15" spans="50:52">
      <c r="AX15" t="s">
        <v>62</v>
      </c>
      <c r="AY15"/>
      <c r="AZ15" s="86"/>
    </row>
    <row r="16" s="1" customFormat="1" spans="50:54">
      <c r="AX16" s="86" t="s">
        <v>64</v>
      </c>
      <c r="AY16" s="86" t="s">
        <v>41</v>
      </c>
      <c r="AZ16" s="87" t="s">
        <v>65</v>
      </c>
      <c r="BA16" s="87" t="s">
        <v>11</v>
      </c>
      <c r="BB16" s="87" t="s">
        <v>25</v>
      </c>
    </row>
    <row r="17" s="1" customFormat="1" spans="50:54">
      <c r="AX17" s="86" t="s">
        <v>66</v>
      </c>
      <c r="AY17" s="86">
        <v>2025</v>
      </c>
      <c r="AZ17" s="86">
        <f t="shared" ref="AZ17:AZ24" si="12">AZ4*AJ2/AI2</f>
        <v>72.9190245476188</v>
      </c>
      <c r="BA17" s="86">
        <f>BA4*AJ2/AI2</f>
        <v>50.3343907857141</v>
      </c>
      <c r="BB17" s="86">
        <f>BB4*AJ2/AI2</f>
        <v>96.9055810714282</v>
      </c>
    </row>
    <row r="18" s="1" customFormat="1" spans="50:54">
      <c r="AX18" s="86" t="s">
        <v>69</v>
      </c>
      <c r="AY18" s="86">
        <f t="shared" ref="AY18:AY24" si="13">AY17</f>
        <v>2025</v>
      </c>
      <c r="AZ18" s="86">
        <f t="shared" si="12"/>
        <v>86.5492299999997</v>
      </c>
      <c r="BA18" s="86">
        <f t="shared" ref="BA18:BA24" si="14">BA5*AJ3/AI3</f>
        <v>60.1668396428569</v>
      </c>
      <c r="BB18" s="86">
        <f t="shared" ref="BB18:BB24" si="15">BB5*AJ3/AI3</f>
        <v>114.5390775</v>
      </c>
    </row>
    <row r="19" s="1" customFormat="1" spans="50:54">
      <c r="AX19" s="86" t="s">
        <v>71</v>
      </c>
      <c r="AY19" s="86">
        <f t="shared" si="13"/>
        <v>2025</v>
      </c>
      <c r="AZ19" s="86">
        <f t="shared" si="12"/>
        <v>77.4225534047616</v>
      </c>
      <c r="BA19" s="86">
        <f t="shared" si="14"/>
        <v>50.8920477857141</v>
      </c>
      <c r="BB19" s="86">
        <f t="shared" si="15"/>
        <v>105.526078</v>
      </c>
    </row>
    <row r="20" s="1" customFormat="1" spans="50:54">
      <c r="AX20" s="86" t="s">
        <v>73</v>
      </c>
      <c r="AY20" s="86">
        <f t="shared" si="13"/>
        <v>2025</v>
      </c>
      <c r="AZ20" s="86">
        <f t="shared" si="12"/>
        <v>77.5802813571426</v>
      </c>
      <c r="BA20" s="86">
        <f t="shared" si="14"/>
        <v>50.400412642857</v>
      </c>
      <c r="BB20" s="86">
        <f t="shared" si="15"/>
        <v>106.411766928571</v>
      </c>
    </row>
    <row r="21" s="1" customFormat="1" spans="50:54">
      <c r="AX21" s="86" t="s">
        <v>76</v>
      </c>
      <c r="AY21" s="86">
        <f t="shared" si="13"/>
        <v>2025</v>
      </c>
      <c r="AZ21" s="86">
        <f t="shared" si="12"/>
        <v>81.727145833333</v>
      </c>
      <c r="BA21" s="86">
        <f t="shared" si="14"/>
        <v>53.8549849999998</v>
      </c>
      <c r="BB21" s="86">
        <f t="shared" si="15"/>
        <v>111.2783525</v>
      </c>
    </row>
    <row r="22" s="1" customFormat="1" spans="50:54">
      <c r="AX22" s="86" t="s">
        <v>78</v>
      </c>
      <c r="AY22" s="86">
        <f t="shared" si="13"/>
        <v>2025</v>
      </c>
      <c r="AZ22" s="86">
        <f t="shared" si="12"/>
        <v>78.8508679761902</v>
      </c>
      <c r="BA22" s="86">
        <f t="shared" si="14"/>
        <v>52.0133489285712</v>
      </c>
      <c r="BB22" s="86">
        <f t="shared" si="15"/>
        <v>107.289872142857</v>
      </c>
    </row>
    <row r="23" s="1" customFormat="1" spans="50:54">
      <c r="AX23" s="86" t="s">
        <v>80</v>
      </c>
      <c r="AY23" s="86">
        <f t="shared" si="13"/>
        <v>2025</v>
      </c>
      <c r="AZ23" s="86">
        <f t="shared" si="12"/>
        <v>81.2370619047616</v>
      </c>
      <c r="BA23" s="86">
        <f t="shared" si="14"/>
        <v>54.4190282857141</v>
      </c>
      <c r="BB23" s="86">
        <f t="shared" si="15"/>
        <v>109.650457428571</v>
      </c>
    </row>
    <row r="24" s="1" customFormat="1" spans="49:54">
      <c r="AW24" s="81"/>
      <c r="AX24" s="95" t="s">
        <v>82</v>
      </c>
      <c r="AY24" s="86">
        <f t="shared" si="13"/>
        <v>2025</v>
      </c>
      <c r="AZ24" s="86">
        <f t="shared" si="12"/>
        <v>147.041809523809</v>
      </c>
      <c r="BA24" s="86">
        <f t="shared" si="14"/>
        <v>147.041809523809</v>
      </c>
      <c r="BB24" s="86">
        <f t="shared" si="15"/>
        <v>147.041809523809</v>
      </c>
    </row>
    <row r="25" s="81" customFormat="1" spans="48:55">
      <c r="AV25" s="1"/>
      <c r="AW25" s="1"/>
      <c r="AX25" s="1"/>
      <c r="AY25" s="1"/>
      <c r="AZ25" s="1"/>
      <c r="BA25" s="1"/>
      <c r="BB25" s="1"/>
      <c r="BC25" s="1"/>
    </row>
    <row r="30" spans="50:52">
      <c r="AX30" t="s">
        <v>62</v>
      </c>
      <c r="AY30"/>
      <c r="AZ30" s="86"/>
    </row>
    <row r="31" spans="49:54">
      <c r="AW31" s="96"/>
      <c r="AX31" s="86" t="s">
        <v>64</v>
      </c>
      <c r="AY31" s="86" t="s">
        <v>41</v>
      </c>
      <c r="AZ31" s="87" t="s">
        <v>65</v>
      </c>
      <c r="BA31" s="87" t="s">
        <v>11</v>
      </c>
      <c r="BB31" s="87" t="s">
        <v>25</v>
      </c>
    </row>
    <row r="32" spans="2:54">
      <c r="B32" s="35" t="s">
        <v>83</v>
      </c>
      <c r="C32" s="35" t="s">
        <v>84</v>
      </c>
      <c r="AW32" s="86"/>
      <c r="AX32" s="86" t="s">
        <v>66</v>
      </c>
      <c r="AY32" s="86">
        <v>2030</v>
      </c>
      <c r="AZ32" s="86">
        <f>AZ17*AK2/AJ2</f>
        <v>63.1582102380952</v>
      </c>
      <c r="BA32" s="86">
        <f>BA17*AK2/AJ2</f>
        <v>43.5967164285714</v>
      </c>
      <c r="BB32" s="86">
        <f>BB17*AK2/AJ2</f>
        <v>83.9339678571427</v>
      </c>
    </row>
    <row r="33" spans="2:54">
      <c r="B33" s="35">
        <v>121.57</v>
      </c>
      <c r="C33" s="35">
        <f>B33/0.75</f>
        <v>162.093333333333</v>
      </c>
      <c r="AW33" s="86"/>
      <c r="AX33" s="86" t="s">
        <v>69</v>
      </c>
      <c r="AY33" s="86">
        <f t="shared" ref="AY33:AY39" si="16">AY32</f>
        <v>2030</v>
      </c>
      <c r="AZ33" s="86">
        <f t="shared" ref="AZ33:AZ39" si="17">AZ18*AK3/AJ3</f>
        <v>74.9638999999999</v>
      </c>
      <c r="BA33" s="86">
        <f t="shared" ref="BA33:BA39" si="18">BA18*AK3/AJ3</f>
        <v>52.1130107142856</v>
      </c>
      <c r="BB33" s="86">
        <f t="shared" ref="BB33:BB39" si="19">BB18*AK3/AJ3</f>
        <v>99.2070749999999</v>
      </c>
    </row>
    <row r="34" spans="49:54">
      <c r="AW34" s="86"/>
      <c r="AX34" s="86" t="s">
        <v>71</v>
      </c>
      <c r="AY34" s="86">
        <f t="shared" si="16"/>
        <v>2030</v>
      </c>
      <c r="AZ34" s="86">
        <f t="shared" si="17"/>
        <v>67.0589045238094</v>
      </c>
      <c r="BA34" s="86">
        <f t="shared" si="18"/>
        <v>44.0797264285714</v>
      </c>
      <c r="BB34" s="86">
        <f t="shared" si="19"/>
        <v>91.4005399999999</v>
      </c>
    </row>
    <row r="35" spans="49:54">
      <c r="AW35" s="86"/>
      <c r="AX35" s="86" t="s">
        <v>73</v>
      </c>
      <c r="AY35" s="86">
        <f t="shared" si="16"/>
        <v>2030</v>
      </c>
      <c r="AZ35" s="86">
        <f t="shared" si="17"/>
        <v>67.1955192857142</v>
      </c>
      <c r="BA35" s="86">
        <f t="shared" si="18"/>
        <v>43.6539007142857</v>
      </c>
      <c r="BB35" s="86">
        <f t="shared" si="19"/>
        <v>92.167672142857</v>
      </c>
    </row>
    <row r="36" spans="49:54">
      <c r="AW36" s="86"/>
      <c r="AX36" s="86" t="s">
        <v>76</v>
      </c>
      <c r="AY36" s="86">
        <f t="shared" si="16"/>
        <v>2030</v>
      </c>
      <c r="AZ36" s="86">
        <f t="shared" si="17"/>
        <v>70.7872916666665</v>
      </c>
      <c r="BA36" s="86">
        <f t="shared" si="18"/>
        <v>46.6460499999999</v>
      </c>
      <c r="BB36" s="86">
        <f t="shared" si="19"/>
        <v>96.3828249999999</v>
      </c>
    </row>
    <row r="37" spans="49:54">
      <c r="AW37" s="86"/>
      <c r="AX37" s="86" t="s">
        <v>78</v>
      </c>
      <c r="AY37" s="86">
        <f t="shared" si="16"/>
        <v>2030</v>
      </c>
      <c r="AZ37" s="86">
        <f t="shared" si="17"/>
        <v>68.2960273809523</v>
      </c>
      <c r="BA37" s="86">
        <f t="shared" si="18"/>
        <v>45.0509321428571</v>
      </c>
      <c r="BB37" s="86">
        <f t="shared" si="19"/>
        <v>92.9282357142856</v>
      </c>
    </row>
    <row r="38" spans="49:54">
      <c r="AW38" s="86"/>
      <c r="AX38" s="86" t="s">
        <v>80</v>
      </c>
      <c r="AY38" s="86">
        <f t="shared" si="16"/>
        <v>2030</v>
      </c>
      <c r="AZ38" s="86">
        <f t="shared" si="17"/>
        <v>70.3628095238094</v>
      </c>
      <c r="BA38" s="86">
        <f t="shared" si="18"/>
        <v>47.1345914285714</v>
      </c>
      <c r="BB38" s="86">
        <f t="shared" si="19"/>
        <v>94.972837142857</v>
      </c>
    </row>
    <row r="39" spans="49:54">
      <c r="AW39" s="95"/>
      <c r="AX39" s="95" t="s">
        <v>82</v>
      </c>
      <c r="AY39" s="86">
        <f t="shared" si="16"/>
        <v>2030</v>
      </c>
      <c r="AZ39" s="86">
        <f t="shared" si="17"/>
        <v>127.359047619047</v>
      </c>
      <c r="BA39" s="86">
        <f t="shared" si="18"/>
        <v>127.359047619047</v>
      </c>
      <c r="BB39" s="86">
        <f t="shared" si="19"/>
        <v>127.359047619047</v>
      </c>
    </row>
    <row r="44" spans="50:52">
      <c r="AX44" t="s">
        <v>62</v>
      </c>
      <c r="AY44"/>
      <c r="AZ44" s="86"/>
    </row>
    <row r="45" spans="50:54">
      <c r="AX45" s="86" t="s">
        <v>64</v>
      </c>
      <c r="AY45" s="86" t="s">
        <v>41</v>
      </c>
      <c r="AZ45" s="87" t="s">
        <v>65</v>
      </c>
      <c r="BA45" s="87" t="s">
        <v>11</v>
      </c>
      <c r="BB45" s="87" t="s">
        <v>25</v>
      </c>
    </row>
    <row r="46" spans="2:54">
      <c r="B46"/>
      <c r="C46" s="86"/>
      <c r="AX46" s="86" t="s">
        <v>66</v>
      </c>
      <c r="AY46" s="86">
        <v>2035</v>
      </c>
      <c r="AZ46" s="86">
        <f>AZ32*AL2/AK2</f>
        <v>57.4165547619049</v>
      </c>
      <c r="BA46" s="86">
        <f>BA32*AL2/AK2</f>
        <v>39.6333785714287</v>
      </c>
      <c r="BB46" s="86">
        <f>BB32*AL2/AK2</f>
        <v>76.3036071428573</v>
      </c>
    </row>
    <row r="47" spans="2:54">
      <c r="B47" s="86"/>
      <c r="C47" s="87"/>
      <c r="D47" s="87"/>
      <c r="E47" s="87"/>
      <c r="AX47" s="86" t="s">
        <v>69</v>
      </c>
      <c r="AY47" s="86">
        <f t="shared" ref="AY47:AY53" si="20">AY46</f>
        <v>2035</v>
      </c>
      <c r="AZ47" s="86">
        <f t="shared" ref="AZ47:AZ53" si="21">AZ33*AL3/AK3</f>
        <v>68.1490000000002</v>
      </c>
      <c r="BA47" s="86">
        <f t="shared" ref="BA47:BA53" si="22">BA33*AL3/AK3</f>
        <v>47.3754642857144</v>
      </c>
      <c r="BB47" s="86">
        <f t="shared" ref="BB47:BB53" si="23">BB33*AL3/AK3</f>
        <v>90.1882500000002</v>
      </c>
    </row>
    <row r="48" spans="2:54">
      <c r="B48" s="86"/>
      <c r="C48" s="86"/>
      <c r="D48" s="86"/>
      <c r="E48" s="86"/>
      <c r="AX48" s="86" t="s">
        <v>71</v>
      </c>
      <c r="AY48" s="86">
        <f t="shared" si="20"/>
        <v>2035</v>
      </c>
      <c r="AZ48" s="86">
        <f t="shared" si="21"/>
        <v>60.9626404761906</v>
      </c>
      <c r="BA48" s="86">
        <f t="shared" si="22"/>
        <v>40.0724785714287</v>
      </c>
      <c r="BB48" s="86">
        <f t="shared" si="23"/>
        <v>83.0914000000002</v>
      </c>
    </row>
    <row r="49" spans="2:54">
      <c r="B49" s="86"/>
      <c r="C49" s="86"/>
      <c r="D49" s="86"/>
      <c r="E49" s="86"/>
      <c r="AX49" s="86" t="s">
        <v>73</v>
      </c>
      <c r="AY49" s="86">
        <f t="shared" si="20"/>
        <v>2035</v>
      </c>
      <c r="AZ49" s="86">
        <f t="shared" si="21"/>
        <v>61.0868357142859</v>
      </c>
      <c r="BA49" s="86">
        <f t="shared" si="22"/>
        <v>39.6853642857144</v>
      </c>
      <c r="BB49" s="86">
        <f t="shared" si="23"/>
        <v>83.7887928571431</v>
      </c>
    </row>
    <row r="50" spans="2:54">
      <c r="B50" s="86"/>
      <c r="C50" s="86"/>
      <c r="D50" s="86"/>
      <c r="E50" s="86"/>
      <c r="AX50" s="86" t="s">
        <v>76</v>
      </c>
      <c r="AY50" s="86">
        <f t="shared" si="20"/>
        <v>2035</v>
      </c>
      <c r="AZ50" s="86">
        <f t="shared" si="21"/>
        <v>64.3520833333335</v>
      </c>
      <c r="BA50" s="86">
        <f t="shared" si="22"/>
        <v>42.4055000000001</v>
      </c>
      <c r="BB50" s="86">
        <f t="shared" si="23"/>
        <v>87.6207500000002</v>
      </c>
    </row>
    <row r="51" spans="2:54">
      <c r="B51" s="86"/>
      <c r="C51" s="86"/>
      <c r="D51" s="86"/>
      <c r="E51" s="86"/>
      <c r="AX51" s="86" t="s">
        <v>78</v>
      </c>
      <c r="AY51" s="86">
        <f t="shared" si="20"/>
        <v>2035</v>
      </c>
      <c r="AZ51" s="86">
        <f t="shared" si="21"/>
        <v>62.0872976190478</v>
      </c>
      <c r="BA51" s="86">
        <f t="shared" si="22"/>
        <v>40.955392857143</v>
      </c>
      <c r="BB51" s="86">
        <f t="shared" si="23"/>
        <v>84.4802142857145</v>
      </c>
    </row>
    <row r="52" spans="2:54">
      <c r="B52" s="86"/>
      <c r="C52" s="86"/>
      <c r="D52" s="86"/>
      <c r="E52" s="86"/>
      <c r="AX52" s="86" t="s">
        <v>80</v>
      </c>
      <c r="AY52" s="86">
        <f t="shared" si="20"/>
        <v>2035</v>
      </c>
      <c r="AZ52" s="86">
        <f t="shared" si="21"/>
        <v>63.9661904761907</v>
      </c>
      <c r="BA52" s="86">
        <f t="shared" si="22"/>
        <v>42.8496285714287</v>
      </c>
      <c r="BB52" s="86">
        <f t="shared" si="23"/>
        <v>86.3389428571431</v>
      </c>
    </row>
    <row r="53" spans="2:54">
      <c r="B53" s="86"/>
      <c r="C53" s="86"/>
      <c r="D53" s="86"/>
      <c r="E53" s="86"/>
      <c r="AW53" s="81"/>
      <c r="AX53" s="95" t="s">
        <v>82</v>
      </c>
      <c r="AY53" s="86">
        <f t="shared" si="20"/>
        <v>2035</v>
      </c>
      <c r="AZ53" s="86">
        <f t="shared" si="21"/>
        <v>115.780952380953</v>
      </c>
      <c r="BA53" s="86">
        <f t="shared" si="22"/>
        <v>115.780952380953</v>
      </c>
      <c r="BB53" s="86">
        <f t="shared" si="23"/>
        <v>115.780952380953</v>
      </c>
    </row>
    <row r="54" spans="2:5">
      <c r="B54" s="86"/>
      <c r="C54" s="86"/>
      <c r="D54" s="86"/>
      <c r="E54" s="86"/>
    </row>
    <row r="55" spans="2:5">
      <c r="B55" s="88"/>
      <c r="C55" s="89"/>
      <c r="D55" s="89"/>
      <c r="E55" s="89"/>
    </row>
    <row r="58" spans="50:52">
      <c r="AX58" t="s">
        <v>62</v>
      </c>
      <c r="AY58"/>
      <c r="AZ58" s="86"/>
    </row>
    <row r="59" spans="50:54">
      <c r="AX59" s="86" t="s">
        <v>64</v>
      </c>
      <c r="AY59" s="86" t="s">
        <v>41</v>
      </c>
      <c r="AZ59" s="87" t="s">
        <v>65</v>
      </c>
      <c r="BA59" s="87" t="s">
        <v>11</v>
      </c>
      <c r="BB59" s="87" t="s">
        <v>25</v>
      </c>
    </row>
    <row r="60" spans="50:54">
      <c r="AX60" s="86" t="s">
        <v>66</v>
      </c>
      <c r="AY60" s="86">
        <v>2040</v>
      </c>
      <c r="AZ60" s="86">
        <f>AZ46*0.97</f>
        <v>55.6940581190478</v>
      </c>
      <c r="BA60" s="86">
        <f>BA46*0.97</f>
        <v>38.4443772142858</v>
      </c>
      <c r="BB60" s="86">
        <f>BB46*0.97</f>
        <v>74.0144989285716</v>
      </c>
    </row>
    <row r="61" spans="50:54">
      <c r="AX61" s="86" t="s">
        <v>69</v>
      </c>
      <c r="AY61" s="86">
        <f t="shared" ref="AY61:AY67" si="24">AY60</f>
        <v>2040</v>
      </c>
      <c r="AZ61" s="86">
        <f t="shared" ref="AZ61:AZ67" si="25">AZ47*0.97</f>
        <v>66.1045300000002</v>
      </c>
      <c r="BA61" s="86">
        <f t="shared" ref="BA61:BA67" si="26">BA47*0.97</f>
        <v>45.954200357143</v>
      </c>
      <c r="BB61" s="86">
        <f t="shared" ref="BB61:BB67" si="27">BB47*0.97</f>
        <v>87.4826025000002</v>
      </c>
    </row>
    <row r="62" spans="50:54">
      <c r="AX62" s="86" t="s">
        <v>71</v>
      </c>
      <c r="AY62" s="86">
        <f t="shared" si="24"/>
        <v>2040</v>
      </c>
      <c r="AZ62" s="86">
        <f t="shared" si="25"/>
        <v>59.1337612619049</v>
      </c>
      <c r="BA62" s="86">
        <f t="shared" si="26"/>
        <v>38.8703042142858</v>
      </c>
      <c r="BB62" s="86">
        <f t="shared" si="27"/>
        <v>80.5986580000002</v>
      </c>
    </row>
    <row r="63" spans="50:54">
      <c r="AX63" s="86" t="s">
        <v>73</v>
      </c>
      <c r="AY63" s="86">
        <f t="shared" si="24"/>
        <v>2040</v>
      </c>
      <c r="AZ63" s="86">
        <f t="shared" si="25"/>
        <v>59.2542306428573</v>
      </c>
      <c r="BA63" s="86">
        <f t="shared" si="26"/>
        <v>38.494803357143</v>
      </c>
      <c r="BB63" s="86">
        <f t="shared" si="27"/>
        <v>81.2751290714288</v>
      </c>
    </row>
    <row r="64" spans="50:54">
      <c r="AX64" s="86" t="s">
        <v>76</v>
      </c>
      <c r="AY64" s="86">
        <f t="shared" si="24"/>
        <v>2040</v>
      </c>
      <c r="AZ64" s="86">
        <f t="shared" si="25"/>
        <v>62.4215208333334</v>
      </c>
      <c r="BA64" s="86">
        <f t="shared" si="26"/>
        <v>41.1333350000001</v>
      </c>
      <c r="BB64" s="86">
        <f t="shared" si="27"/>
        <v>84.9921275000002</v>
      </c>
    </row>
    <row r="65" spans="50:54">
      <c r="AX65" s="86" t="s">
        <v>78</v>
      </c>
      <c r="AY65" s="86">
        <f t="shared" si="24"/>
        <v>2040</v>
      </c>
      <c r="AZ65" s="86">
        <f t="shared" si="25"/>
        <v>60.2246786904764</v>
      </c>
      <c r="BA65" s="86">
        <f t="shared" si="26"/>
        <v>39.7267310714287</v>
      </c>
      <c r="BB65" s="86">
        <f t="shared" si="27"/>
        <v>81.9458078571431</v>
      </c>
    </row>
    <row r="66" spans="50:54">
      <c r="AX66" s="86" t="s">
        <v>80</v>
      </c>
      <c r="AY66" s="86">
        <f t="shared" si="24"/>
        <v>2040</v>
      </c>
      <c r="AZ66" s="86">
        <f t="shared" si="25"/>
        <v>62.0472047619049</v>
      </c>
      <c r="BA66" s="86">
        <f t="shared" si="26"/>
        <v>41.5641397142858</v>
      </c>
      <c r="BB66" s="86">
        <f t="shared" si="27"/>
        <v>83.7487745714288</v>
      </c>
    </row>
    <row r="67" spans="49:54">
      <c r="AW67" s="81"/>
      <c r="AX67" s="95" t="s">
        <v>82</v>
      </c>
      <c r="AY67" s="86">
        <f t="shared" si="24"/>
        <v>2040</v>
      </c>
      <c r="AZ67" s="86">
        <f t="shared" si="25"/>
        <v>112.307523809524</v>
      </c>
      <c r="BA67" s="86">
        <f t="shared" si="26"/>
        <v>112.307523809524</v>
      </c>
      <c r="BB67" s="86">
        <f t="shared" si="27"/>
        <v>112.307523809524</v>
      </c>
    </row>
    <row r="74" spans="50:52">
      <c r="AX74" t="s">
        <v>62</v>
      </c>
      <c r="AY74"/>
      <c r="AZ74" s="86"/>
    </row>
    <row r="75" spans="50:54">
      <c r="AX75" s="86" t="s">
        <v>64</v>
      </c>
      <c r="AY75" s="86" t="s">
        <v>41</v>
      </c>
      <c r="AZ75" s="87" t="s">
        <v>65</v>
      </c>
      <c r="BA75" s="87" t="s">
        <v>11</v>
      </c>
      <c r="BB75" s="87" t="s">
        <v>25</v>
      </c>
    </row>
    <row r="76" spans="50:54">
      <c r="AX76" s="86" t="s">
        <v>66</v>
      </c>
      <c r="AY76" s="86">
        <v>2045</v>
      </c>
      <c r="AZ76" s="86">
        <f>AZ60*0.96</f>
        <v>53.4662957942859</v>
      </c>
      <c r="BA76" s="86">
        <f>BA60*0.96</f>
        <v>36.9066021257144</v>
      </c>
      <c r="BB76" s="86">
        <f>BB60*0.96</f>
        <v>71.0539189714287</v>
      </c>
    </row>
    <row r="77" spans="50:54">
      <c r="AX77" s="86" t="s">
        <v>69</v>
      </c>
      <c r="AY77" s="86">
        <f t="shared" ref="AY77:AY83" si="28">AY76</f>
        <v>2045</v>
      </c>
      <c r="AZ77" s="86">
        <f t="shared" ref="AZ77:AZ83" si="29">AZ61*0.96</f>
        <v>63.4603488000002</v>
      </c>
      <c r="BA77" s="86">
        <f t="shared" ref="BA77:BA83" si="30">BA61*0.96</f>
        <v>44.1160323428573</v>
      </c>
      <c r="BB77" s="86">
        <f t="shared" ref="BB77:BB83" si="31">BB61*0.96</f>
        <v>83.9832984000002</v>
      </c>
    </row>
    <row r="78" spans="50:54">
      <c r="AX78" s="86" t="s">
        <v>71</v>
      </c>
      <c r="AY78" s="86">
        <f t="shared" si="28"/>
        <v>2045</v>
      </c>
      <c r="AZ78" s="86">
        <f t="shared" si="29"/>
        <v>56.7684108114287</v>
      </c>
      <c r="BA78" s="86">
        <f t="shared" si="30"/>
        <v>37.3154920457144</v>
      </c>
      <c r="BB78" s="86">
        <f t="shared" si="31"/>
        <v>77.3747116800002</v>
      </c>
    </row>
    <row r="79" spans="50:54">
      <c r="AX79" s="86" t="s">
        <v>73</v>
      </c>
      <c r="AY79" s="86">
        <f t="shared" si="28"/>
        <v>2045</v>
      </c>
      <c r="AZ79" s="86">
        <f t="shared" si="29"/>
        <v>56.884061417143</v>
      </c>
      <c r="BA79" s="86">
        <f t="shared" si="30"/>
        <v>36.9550112228572</v>
      </c>
      <c r="BB79" s="86">
        <f t="shared" si="31"/>
        <v>78.0241239085716</v>
      </c>
    </row>
    <row r="80" spans="50:54">
      <c r="AX80" s="86" t="s">
        <v>76</v>
      </c>
      <c r="AY80" s="86">
        <f t="shared" si="28"/>
        <v>2045</v>
      </c>
      <c r="AZ80" s="86">
        <f t="shared" si="29"/>
        <v>59.9246600000001</v>
      </c>
      <c r="BA80" s="86">
        <f t="shared" si="30"/>
        <v>39.4880016000001</v>
      </c>
      <c r="BB80" s="86">
        <f t="shared" si="31"/>
        <v>81.5924424000002</v>
      </c>
    </row>
    <row r="81" spans="50:54">
      <c r="AX81" s="86" t="s">
        <v>78</v>
      </c>
      <c r="AY81" s="86">
        <f t="shared" si="28"/>
        <v>2045</v>
      </c>
      <c r="AZ81" s="86">
        <f t="shared" si="29"/>
        <v>57.8156915428573</v>
      </c>
      <c r="BA81" s="86">
        <f t="shared" si="30"/>
        <v>38.1376618285715</v>
      </c>
      <c r="BB81" s="86">
        <f t="shared" si="31"/>
        <v>78.6679755428573</v>
      </c>
    </row>
    <row r="82" spans="50:54">
      <c r="AX82" s="86" t="s">
        <v>80</v>
      </c>
      <c r="AY82" s="86">
        <f t="shared" si="28"/>
        <v>2045</v>
      </c>
      <c r="AZ82" s="86">
        <f t="shared" si="29"/>
        <v>59.5653165714287</v>
      </c>
      <c r="BA82" s="86">
        <f t="shared" si="30"/>
        <v>39.9015741257144</v>
      </c>
      <c r="BB82" s="86">
        <f t="shared" si="31"/>
        <v>80.3988235885716</v>
      </c>
    </row>
    <row r="83" spans="49:54">
      <c r="AW83" s="81"/>
      <c r="AX83" s="95" t="s">
        <v>82</v>
      </c>
      <c r="AY83" s="86">
        <f t="shared" si="28"/>
        <v>2045</v>
      </c>
      <c r="AZ83" s="86">
        <f t="shared" si="29"/>
        <v>107.815222857143</v>
      </c>
      <c r="BA83" s="86">
        <f t="shared" si="30"/>
        <v>107.815222857143</v>
      </c>
      <c r="BB83" s="86">
        <f t="shared" si="31"/>
        <v>107.815222857143</v>
      </c>
    </row>
    <row r="87" spans="50:52">
      <c r="AX87" t="s">
        <v>62</v>
      </c>
      <c r="AY87"/>
      <c r="AZ87" s="86"/>
    </row>
    <row r="88" spans="50:54">
      <c r="AX88" s="86" t="s">
        <v>64</v>
      </c>
      <c r="AY88" s="86" t="s">
        <v>41</v>
      </c>
      <c r="AZ88" s="87" t="s">
        <v>65</v>
      </c>
      <c r="BA88" s="87" t="s">
        <v>11</v>
      </c>
      <c r="BB88" s="87" t="s">
        <v>25</v>
      </c>
    </row>
    <row r="89" spans="50:54">
      <c r="AX89" s="86" t="s">
        <v>66</v>
      </c>
      <c r="AY89" s="86">
        <v>2050</v>
      </c>
      <c r="AZ89" s="86">
        <f>AZ76*0.96</f>
        <v>51.3276439625144</v>
      </c>
      <c r="BA89" s="86">
        <f>BA76*0.96</f>
        <v>35.4303380406858</v>
      </c>
      <c r="BB89" s="86">
        <f>BB76*0.96</f>
        <v>68.2117622125716</v>
      </c>
    </row>
    <row r="90" spans="50:54">
      <c r="AX90" s="86" t="s">
        <v>69</v>
      </c>
      <c r="AY90" s="86">
        <f t="shared" ref="AY90:AY96" si="32">AY89</f>
        <v>2050</v>
      </c>
      <c r="AZ90" s="86">
        <f t="shared" ref="AZ90:BB90" si="33">AZ77*0.96</f>
        <v>60.9219348480002</v>
      </c>
      <c r="BA90" s="86">
        <f t="shared" si="33"/>
        <v>42.351391049143</v>
      </c>
      <c r="BB90" s="86">
        <f t="shared" si="33"/>
        <v>80.6239664640002</v>
      </c>
    </row>
    <row r="91" spans="50:54">
      <c r="AX91" s="86" t="s">
        <v>71</v>
      </c>
      <c r="AY91" s="86">
        <f t="shared" si="32"/>
        <v>2050</v>
      </c>
      <c r="AZ91" s="86">
        <f t="shared" ref="AZ91:BB91" si="34">AZ78*0.96</f>
        <v>54.4976743789715</v>
      </c>
      <c r="BA91" s="86">
        <f t="shared" si="34"/>
        <v>35.8228723638858</v>
      </c>
      <c r="BB91" s="86">
        <f t="shared" si="34"/>
        <v>74.2797232128002</v>
      </c>
    </row>
    <row r="92" spans="50:54">
      <c r="AX92" s="86" t="s">
        <v>73</v>
      </c>
      <c r="AY92" s="86">
        <f t="shared" si="32"/>
        <v>2050</v>
      </c>
      <c r="AZ92" s="86">
        <f t="shared" ref="AZ92:BB92" si="35">AZ79*0.96</f>
        <v>54.6086989604573</v>
      </c>
      <c r="BA92" s="86">
        <f t="shared" si="35"/>
        <v>35.4768107739429</v>
      </c>
      <c r="BB92" s="86">
        <f t="shared" si="35"/>
        <v>74.9031589522287</v>
      </c>
    </row>
    <row r="93" spans="50:54">
      <c r="AX93" s="86" t="s">
        <v>76</v>
      </c>
      <c r="AY93" s="86">
        <f t="shared" si="32"/>
        <v>2050</v>
      </c>
      <c r="AZ93" s="86">
        <f t="shared" ref="AZ93:BB93" si="36">AZ80*0.96</f>
        <v>57.5276736000001</v>
      </c>
      <c r="BA93" s="86">
        <f t="shared" si="36"/>
        <v>37.9084815360001</v>
      </c>
      <c r="BB93" s="86">
        <f t="shared" si="36"/>
        <v>78.3287447040002</v>
      </c>
    </row>
    <row r="94" spans="50:54">
      <c r="AX94" s="86" t="s">
        <v>78</v>
      </c>
      <c r="AY94" s="86">
        <f t="shared" si="32"/>
        <v>2050</v>
      </c>
      <c r="AZ94" s="86">
        <f t="shared" ref="AZ94:BB94" si="37">AZ81*0.96</f>
        <v>55.503063881143</v>
      </c>
      <c r="BA94" s="86">
        <f t="shared" si="37"/>
        <v>36.6121553554287</v>
      </c>
      <c r="BB94" s="86">
        <f t="shared" si="37"/>
        <v>75.521256521143</v>
      </c>
    </row>
    <row r="95" spans="50:54">
      <c r="AX95" s="86" t="s">
        <v>80</v>
      </c>
      <c r="AY95" s="86">
        <f t="shared" si="32"/>
        <v>2050</v>
      </c>
      <c r="AZ95" s="86">
        <f t="shared" ref="AZ95:BB95" si="38">AZ82*0.96</f>
        <v>57.1827039085716</v>
      </c>
      <c r="BA95" s="86">
        <f t="shared" si="38"/>
        <v>38.3055111606858</v>
      </c>
      <c r="BB95" s="86">
        <f t="shared" si="38"/>
        <v>77.1828706450288</v>
      </c>
    </row>
    <row r="96" spans="49:54">
      <c r="AW96" s="81"/>
      <c r="AX96" s="95" t="s">
        <v>82</v>
      </c>
      <c r="AY96" s="86">
        <f t="shared" si="32"/>
        <v>2050</v>
      </c>
      <c r="AZ96" s="86">
        <f>AZ83*0.96</f>
        <v>103.502613942857</v>
      </c>
      <c r="BA96" s="86">
        <f>BA83*0.96</f>
        <v>103.502613942857</v>
      </c>
      <c r="BB96" s="86">
        <f>BB83*0.96</f>
        <v>103.502613942857</v>
      </c>
    </row>
    <row r="104" spans="50:52">
      <c r="AX104" t="s">
        <v>62</v>
      </c>
      <c r="AY104"/>
      <c r="AZ104" s="86"/>
    </row>
    <row r="105" spans="50:54">
      <c r="AX105" s="86" t="s">
        <v>64</v>
      </c>
      <c r="AY105" s="86" t="s">
        <v>41</v>
      </c>
      <c r="AZ105" s="87" t="s">
        <v>65</v>
      </c>
      <c r="BA105" s="87" t="s">
        <v>11</v>
      </c>
      <c r="BB105" s="87" t="s">
        <v>25</v>
      </c>
    </row>
    <row r="106" spans="50:54">
      <c r="AX106" s="86" t="s">
        <v>66</v>
      </c>
      <c r="AY106" s="86">
        <v>2100</v>
      </c>
      <c r="AZ106" s="86">
        <f>AZ89</f>
        <v>51.3276439625144</v>
      </c>
      <c r="BA106" s="86">
        <f t="shared" ref="BA106:BA113" si="39">BA89</f>
        <v>35.4303380406858</v>
      </c>
      <c r="BB106" s="86">
        <f t="shared" ref="BB106:BB113" si="40">BB89</f>
        <v>68.2117622125716</v>
      </c>
    </row>
    <row r="107" spans="50:54">
      <c r="AX107" s="86" t="s">
        <v>69</v>
      </c>
      <c r="AY107" s="86">
        <f t="shared" ref="AY107:AY113" si="41">AY106</f>
        <v>2100</v>
      </c>
      <c r="AZ107" s="86">
        <f t="shared" ref="AZ107:AZ113" si="42">AZ90</f>
        <v>60.9219348480002</v>
      </c>
      <c r="BA107" s="86">
        <f t="shared" si="39"/>
        <v>42.351391049143</v>
      </c>
      <c r="BB107" s="86">
        <f t="shared" si="40"/>
        <v>80.6239664640002</v>
      </c>
    </row>
    <row r="108" spans="50:54">
      <c r="AX108" s="86" t="s">
        <v>71</v>
      </c>
      <c r="AY108" s="86">
        <f t="shared" si="41"/>
        <v>2100</v>
      </c>
      <c r="AZ108" s="86">
        <f t="shared" si="42"/>
        <v>54.4976743789715</v>
      </c>
      <c r="BA108" s="86">
        <f t="shared" si="39"/>
        <v>35.8228723638858</v>
      </c>
      <c r="BB108" s="86">
        <f t="shared" si="40"/>
        <v>74.2797232128002</v>
      </c>
    </row>
    <row r="109" spans="50:54">
      <c r="AX109" s="86" t="s">
        <v>73</v>
      </c>
      <c r="AY109" s="86">
        <f t="shared" si="41"/>
        <v>2100</v>
      </c>
      <c r="AZ109" s="86">
        <f t="shared" si="42"/>
        <v>54.6086989604573</v>
      </c>
      <c r="BA109" s="86">
        <f t="shared" si="39"/>
        <v>35.4768107739429</v>
      </c>
      <c r="BB109" s="86">
        <f t="shared" si="40"/>
        <v>74.9031589522287</v>
      </c>
    </row>
    <row r="110" spans="50:54">
      <c r="AX110" s="86" t="s">
        <v>76</v>
      </c>
      <c r="AY110" s="86">
        <f t="shared" si="41"/>
        <v>2100</v>
      </c>
      <c r="AZ110" s="86">
        <f t="shared" si="42"/>
        <v>57.5276736000001</v>
      </c>
      <c r="BA110" s="86">
        <f t="shared" si="39"/>
        <v>37.9084815360001</v>
      </c>
      <c r="BB110" s="86">
        <f t="shared" si="40"/>
        <v>78.3287447040002</v>
      </c>
    </row>
    <row r="111" spans="50:54">
      <c r="AX111" s="86" t="s">
        <v>78</v>
      </c>
      <c r="AY111" s="86">
        <f t="shared" si="41"/>
        <v>2100</v>
      </c>
      <c r="AZ111" s="86">
        <f t="shared" si="42"/>
        <v>55.503063881143</v>
      </c>
      <c r="BA111" s="86">
        <f t="shared" si="39"/>
        <v>36.6121553554287</v>
      </c>
      <c r="BB111" s="86">
        <f t="shared" si="40"/>
        <v>75.521256521143</v>
      </c>
    </row>
    <row r="112" spans="50:54">
      <c r="AX112" s="86" t="s">
        <v>80</v>
      </c>
      <c r="AY112" s="86">
        <f t="shared" si="41"/>
        <v>2100</v>
      </c>
      <c r="AZ112" s="86">
        <f t="shared" si="42"/>
        <v>57.1827039085716</v>
      </c>
      <c r="BA112" s="86">
        <f t="shared" si="39"/>
        <v>38.3055111606858</v>
      </c>
      <c r="BB112" s="86">
        <f t="shared" si="40"/>
        <v>77.1828706450288</v>
      </c>
    </row>
    <row r="113" spans="49:54">
      <c r="AW113" s="81"/>
      <c r="AX113" s="95" t="s">
        <v>82</v>
      </c>
      <c r="AY113" s="86">
        <f t="shared" si="41"/>
        <v>2100</v>
      </c>
      <c r="AZ113" s="86">
        <f t="shared" si="42"/>
        <v>103.502613942857</v>
      </c>
      <c r="BA113" s="86">
        <f t="shared" si="39"/>
        <v>103.502613942857</v>
      </c>
      <c r="BB113" s="86">
        <f t="shared" si="40"/>
        <v>103.502613942857</v>
      </c>
    </row>
    <row r="118" spans="50:52">
      <c r="AX118" t="s">
        <v>62</v>
      </c>
      <c r="AY118"/>
      <c r="AZ118" s="86"/>
    </row>
    <row r="119" spans="50:54">
      <c r="AX119" s="86" t="s">
        <v>64</v>
      </c>
      <c r="AY119" s="86" t="s">
        <v>41</v>
      </c>
      <c r="AZ119" s="87" t="s">
        <v>65</v>
      </c>
      <c r="BA119" s="87" t="s">
        <v>11</v>
      </c>
      <c r="BB119" s="87" t="s">
        <v>25</v>
      </c>
    </row>
    <row r="120" spans="50:54">
      <c r="AX120" s="86" t="s">
        <v>66</v>
      </c>
      <c r="AY120" s="86">
        <v>0</v>
      </c>
      <c r="AZ120" s="86">
        <v>3</v>
      </c>
      <c r="BA120" s="86">
        <v>3</v>
      </c>
      <c r="BB120" s="86">
        <v>3</v>
      </c>
    </row>
    <row r="121" spans="50:54">
      <c r="AX121" s="86" t="s">
        <v>69</v>
      </c>
      <c r="AY121" s="86">
        <f t="shared" ref="AY121:AY127" si="43">AY120</f>
        <v>0</v>
      </c>
      <c r="AZ121" s="86">
        <v>3</v>
      </c>
      <c r="BA121" s="86">
        <v>3</v>
      </c>
      <c r="BB121" s="86">
        <v>3</v>
      </c>
    </row>
    <row r="122" spans="50:54">
      <c r="AX122" s="86" t="s">
        <v>71</v>
      </c>
      <c r="AY122" s="86">
        <f t="shared" si="43"/>
        <v>0</v>
      </c>
      <c r="AZ122" s="86">
        <v>3</v>
      </c>
      <c r="BA122" s="86">
        <v>3</v>
      </c>
      <c r="BB122" s="86">
        <v>3</v>
      </c>
    </row>
    <row r="123" spans="50:54">
      <c r="AX123" s="86" t="s">
        <v>73</v>
      </c>
      <c r="AY123" s="86">
        <f t="shared" si="43"/>
        <v>0</v>
      </c>
      <c r="AZ123" s="86">
        <v>3</v>
      </c>
      <c r="BA123" s="86">
        <v>3</v>
      </c>
      <c r="BB123" s="86">
        <v>3</v>
      </c>
    </row>
    <row r="124" spans="50:54">
      <c r="AX124" s="86" t="s">
        <v>76</v>
      </c>
      <c r="AY124" s="86">
        <f t="shared" si="43"/>
        <v>0</v>
      </c>
      <c r="AZ124" s="86">
        <v>3</v>
      </c>
      <c r="BA124" s="86">
        <v>3</v>
      </c>
      <c r="BB124" s="86">
        <v>3</v>
      </c>
    </row>
    <row r="125" spans="50:54">
      <c r="AX125" s="86" t="s">
        <v>78</v>
      </c>
      <c r="AY125" s="86">
        <f t="shared" si="43"/>
        <v>0</v>
      </c>
      <c r="AZ125" s="86">
        <v>3</v>
      </c>
      <c r="BA125" s="86">
        <v>3</v>
      </c>
      <c r="BB125" s="86">
        <v>3</v>
      </c>
    </row>
    <row r="126" spans="50:54">
      <c r="AX126" s="86" t="s">
        <v>80</v>
      </c>
      <c r="AY126" s="86">
        <f t="shared" si="43"/>
        <v>0</v>
      </c>
      <c r="AZ126" s="86">
        <v>3</v>
      </c>
      <c r="BA126" s="86">
        <v>3</v>
      </c>
      <c r="BB126" s="86">
        <v>3</v>
      </c>
    </row>
    <row r="127" spans="49:54">
      <c r="AW127" s="81"/>
      <c r="AX127" s="95" t="s">
        <v>82</v>
      </c>
      <c r="AY127" s="86">
        <f t="shared" si="43"/>
        <v>0</v>
      </c>
      <c r="AZ127" s="86">
        <v>3</v>
      </c>
      <c r="BA127" s="86">
        <v>3</v>
      </c>
      <c r="BB127" s="86">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tabSelected="1" zoomScale="49" zoomScaleNormal="49" topLeftCell="Q19" workbookViewId="0">
      <selection activeCell="AB58" sqref="AB58"/>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s>
  <sheetData>
    <row r="2" spans="2:19">
      <c r="B2" s="53" t="s">
        <v>85</v>
      </c>
      <c r="C2" s="53"/>
      <c r="D2" s="53"/>
      <c r="E2" s="53"/>
      <c r="K2" t="s">
        <v>86</v>
      </c>
      <c r="P2" s="57" t="s">
        <v>87</v>
      </c>
      <c r="Q2" s="57"/>
      <c r="R2" s="57"/>
      <c r="S2" s="57"/>
    </row>
    <row r="3" spans="2:19">
      <c r="B3" s="54" t="s">
        <v>88</v>
      </c>
      <c r="C3" s="54" t="s">
        <v>89</v>
      </c>
      <c r="D3" s="54" t="s">
        <v>90</v>
      </c>
      <c r="E3" s="54" t="s">
        <v>65</v>
      </c>
      <c r="K3" t="s">
        <v>64</v>
      </c>
      <c r="L3" t="s">
        <v>91</v>
      </c>
      <c r="M3" t="s">
        <v>92</v>
      </c>
      <c r="P3" s="57" t="s">
        <v>93</v>
      </c>
      <c r="Q3" s="57" t="s">
        <v>94</v>
      </c>
      <c r="R3" s="57" t="s">
        <v>95</v>
      </c>
      <c r="S3" s="57" t="s">
        <v>91</v>
      </c>
    </row>
    <row r="4" spans="2:19">
      <c r="B4" s="53" t="s">
        <v>96</v>
      </c>
      <c r="C4" s="53" t="s">
        <v>97</v>
      </c>
      <c r="D4" s="53" t="s">
        <v>98</v>
      </c>
      <c r="E4" s="53" t="s">
        <v>99</v>
      </c>
      <c r="K4" t="s">
        <v>100</v>
      </c>
      <c r="L4" t="s">
        <v>101</v>
      </c>
      <c r="M4" t="s">
        <v>102</v>
      </c>
      <c r="P4" s="57" t="s">
        <v>103</v>
      </c>
      <c r="Q4" s="57" t="s">
        <v>104</v>
      </c>
      <c r="R4" s="57" t="s">
        <v>105</v>
      </c>
      <c r="S4" s="57" t="s">
        <v>106</v>
      </c>
    </row>
    <row r="5" spans="2:13">
      <c r="B5" s="53" t="s">
        <v>96</v>
      </c>
      <c r="C5" s="53" t="s">
        <v>107</v>
      </c>
      <c r="D5" s="53" t="s">
        <v>98</v>
      </c>
      <c r="E5" s="53" t="s">
        <v>99</v>
      </c>
      <c r="K5" t="s">
        <v>108</v>
      </c>
      <c r="L5" t="s">
        <v>101</v>
      </c>
      <c r="M5" t="s">
        <v>109</v>
      </c>
    </row>
    <row r="6" spans="11:13">
      <c r="K6" t="s">
        <v>110</v>
      </c>
      <c r="L6" t="s">
        <v>101</v>
      </c>
      <c r="M6" t="s">
        <v>111</v>
      </c>
    </row>
    <row r="7" spans="11:13">
      <c r="K7" t="s">
        <v>112</v>
      </c>
      <c r="L7" t="s">
        <v>101</v>
      </c>
      <c r="M7" t="s">
        <v>113</v>
      </c>
    </row>
    <row r="8" spans="2:13">
      <c r="B8" t="s">
        <v>114</v>
      </c>
      <c r="K8" t="s">
        <v>115</v>
      </c>
      <c r="L8" t="s">
        <v>101</v>
      </c>
      <c r="M8" t="s">
        <v>104</v>
      </c>
    </row>
    <row r="9" spans="2:13">
      <c r="B9" t="s">
        <v>116</v>
      </c>
      <c r="C9" t="s">
        <v>117</v>
      </c>
      <c r="D9" t="s">
        <v>118</v>
      </c>
      <c r="E9" t="s">
        <v>119</v>
      </c>
      <c r="F9" t="s">
        <v>50</v>
      </c>
      <c r="G9" t="s">
        <v>120</v>
      </c>
      <c r="H9" t="s">
        <v>41</v>
      </c>
      <c r="K9" t="s">
        <v>121</v>
      </c>
      <c r="L9" t="s">
        <v>101</v>
      </c>
      <c r="M9" t="s">
        <v>113</v>
      </c>
    </row>
    <row r="10" spans="2:13">
      <c r="B10" t="s">
        <v>122</v>
      </c>
      <c r="C10" t="s">
        <v>123</v>
      </c>
      <c r="E10" t="s">
        <v>104</v>
      </c>
      <c r="F10">
        <v>0.25</v>
      </c>
      <c r="G10" t="s">
        <v>124</v>
      </c>
      <c r="K10" t="s">
        <v>123</v>
      </c>
      <c r="L10" t="s">
        <v>101</v>
      </c>
      <c r="M10" t="s">
        <v>104</v>
      </c>
    </row>
    <row r="11" spans="2:8">
      <c r="B11" t="s">
        <v>122</v>
      </c>
      <c r="C11" t="s">
        <v>123</v>
      </c>
      <c r="E11" t="s">
        <v>104</v>
      </c>
      <c r="F11">
        <v>3</v>
      </c>
      <c r="G11" t="s">
        <v>124</v>
      </c>
      <c r="H11">
        <v>0</v>
      </c>
    </row>
    <row r="12" spans="2:11">
      <c r="B12" t="s">
        <v>125</v>
      </c>
      <c r="D12" t="s">
        <v>126</v>
      </c>
      <c r="E12" t="s">
        <v>127</v>
      </c>
      <c r="F12">
        <v>0.93</v>
      </c>
      <c r="K12" t="s">
        <v>128</v>
      </c>
    </row>
    <row r="13" spans="2:14">
      <c r="B13" t="s">
        <v>129</v>
      </c>
      <c r="C13" t="s">
        <v>98</v>
      </c>
      <c r="F13">
        <v>25</v>
      </c>
      <c r="K13" t="s">
        <v>116</v>
      </c>
      <c r="L13" t="s">
        <v>50</v>
      </c>
      <c r="M13" t="s">
        <v>130</v>
      </c>
      <c r="N13" t="s">
        <v>131</v>
      </c>
    </row>
    <row r="14" spans="2:14">
      <c r="B14" t="s">
        <v>132</v>
      </c>
      <c r="C14" t="s">
        <v>98</v>
      </c>
      <c r="E14" s="98" t="s">
        <v>133</v>
      </c>
      <c r="F14">
        <v>2020</v>
      </c>
      <c r="K14" t="s">
        <v>134</v>
      </c>
      <c r="L14" t="s">
        <v>135</v>
      </c>
      <c r="M14" t="s">
        <v>136</v>
      </c>
      <c r="N14" t="s">
        <v>98</v>
      </c>
    </row>
    <row r="15" spans="11:14">
      <c r="K15" t="s">
        <v>134</v>
      </c>
      <c r="L15" t="s">
        <v>137</v>
      </c>
      <c r="M15" t="s">
        <v>136</v>
      </c>
      <c r="N15" t="s">
        <v>115</v>
      </c>
    </row>
    <row r="16" spans="2:2">
      <c r="B16" t="s">
        <v>138</v>
      </c>
    </row>
    <row r="17" spans="2:7">
      <c r="B17" t="s">
        <v>93</v>
      </c>
      <c r="C17">
        <v>2020</v>
      </c>
      <c r="D17">
        <v>0</v>
      </c>
      <c r="E17" t="s">
        <v>139</v>
      </c>
      <c r="F17" t="s">
        <v>92</v>
      </c>
      <c r="G17" t="s">
        <v>140</v>
      </c>
    </row>
    <row r="18" spans="2:7">
      <c r="B18" s="98" t="s">
        <v>133</v>
      </c>
      <c r="C18">
        <v>0.2</v>
      </c>
      <c r="D18">
        <v>3</v>
      </c>
      <c r="E18" s="98" t="s">
        <v>141</v>
      </c>
      <c r="F18" t="s">
        <v>98</v>
      </c>
      <c r="G18" t="s">
        <v>142</v>
      </c>
    </row>
    <row r="21" spans="3:3">
      <c r="C21" t="s">
        <v>114</v>
      </c>
    </row>
    <row r="22" spans="3: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3:50">
      <c r="C23" t="s">
        <v>97</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143</v>
      </c>
    </row>
    <row r="24" spans="3:50">
      <c r="C24" t="s">
        <v>97</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144</v>
      </c>
    </row>
    <row r="25" spans="3:50">
      <c r="C25" t="s">
        <v>97</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145</v>
      </c>
    </row>
    <row r="26" spans="3:50">
      <c r="C26" t="s">
        <v>97</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146</v>
      </c>
    </row>
    <row r="27" spans="3:50">
      <c r="C27" t="s">
        <v>97</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147</v>
      </c>
    </row>
    <row r="28" spans="3:50">
      <c r="C28" t="s">
        <v>97</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148</v>
      </c>
    </row>
    <row r="31" spans="3:3">
      <c r="C31" t="s">
        <v>149</v>
      </c>
    </row>
    <row r="32" spans="3: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3: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3: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3: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3: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3: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3: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5:5">
      <c r="E45" s="56"/>
    </row>
    <row r="48" spans="2:2">
      <c r="B48" t="s">
        <v>149</v>
      </c>
    </row>
    <row r="49" spans="2:9">
      <c r="B49" t="s">
        <v>116</v>
      </c>
      <c r="C49" t="s">
        <v>50</v>
      </c>
      <c r="D49" t="s">
        <v>93</v>
      </c>
      <c r="E49" t="s">
        <v>94</v>
      </c>
      <c r="I49" t="s">
        <v>156</v>
      </c>
    </row>
    <row r="50" spans="2:5">
      <c r="B50" t="s">
        <v>107</v>
      </c>
      <c r="C50" t="s">
        <v>157</v>
      </c>
      <c r="D50" t="s">
        <v>104</v>
      </c>
      <c r="E50" t="s">
        <v>158</v>
      </c>
    </row>
    <row r="53" spans="2:2">
      <c r="B53" t="s">
        <v>114</v>
      </c>
    </row>
    <row r="54" spans="2:8">
      <c r="B54" t="s">
        <v>116</v>
      </c>
      <c r="C54" t="s">
        <v>50</v>
      </c>
      <c r="D54" t="s">
        <v>159</v>
      </c>
      <c r="E54" t="s">
        <v>139</v>
      </c>
      <c r="F54" t="s">
        <v>95</v>
      </c>
      <c r="G54" t="s">
        <v>160</v>
      </c>
      <c r="H54" t="s">
        <v>94</v>
      </c>
    </row>
    <row r="55" spans="2:5">
      <c r="B55" t="s">
        <v>134</v>
      </c>
      <c r="C55">
        <v>10</v>
      </c>
      <c r="D55" t="s">
        <v>161</v>
      </c>
      <c r="E55" s="98" t="s">
        <v>162</v>
      </c>
    </row>
    <row r="56" spans="2:8">
      <c r="B56" t="s">
        <v>163</v>
      </c>
      <c r="C56">
        <v>1</v>
      </c>
      <c r="F56" t="s">
        <v>164</v>
      </c>
      <c r="G56" t="s">
        <v>103</v>
      </c>
      <c r="H56" t="str">
        <f>F56</f>
        <v>AuxStoIN</v>
      </c>
    </row>
    <row r="62" spans="8:8">
      <c r="H62" s="52"/>
    </row>
    <row r="63" spans="8:53">
      <c r="H63" s="52"/>
      <c r="BA63" s="50"/>
    </row>
    <row r="65" s="49" customFormat="1" spans="1:106">
      <c r="A65" s="50"/>
      <c r="B65" s="58" t="s">
        <v>114</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4"/>
      <c r="CP65" s="74"/>
      <c r="CR65" s="74"/>
      <c r="CS65" s="74"/>
      <c r="CT65" s="74"/>
      <c r="CU65" s="74"/>
      <c r="CW65" s="52"/>
      <c r="CX65" s="77" t="s">
        <v>114</v>
      </c>
      <c r="CY65" s="52"/>
      <c r="CZ65" s="52"/>
      <c r="DA65" s="52"/>
      <c r="DB65" s="52"/>
    </row>
    <row r="66" s="50" customFormat="1" spans="2:106">
      <c r="B66" s="58" t="s">
        <v>116</v>
      </c>
      <c r="C66" s="58" t="s">
        <v>120</v>
      </c>
      <c r="D66" s="58" t="s">
        <v>64</v>
      </c>
      <c r="E66" s="58"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165</v>
      </c>
      <c r="CQ66" s="75"/>
      <c r="CR66" s="75"/>
      <c r="CT66" s="75"/>
      <c r="CU66" s="75"/>
      <c r="CW66" t="s">
        <v>116</v>
      </c>
      <c r="CX66" t="s">
        <v>120</v>
      </c>
      <c r="CY66" t="s">
        <v>64</v>
      </c>
      <c r="CZ66" t="s">
        <v>95</v>
      </c>
      <c r="DA66" s="80" t="s">
        <v>41</v>
      </c>
      <c r="DB66" s="80" t="s">
        <v>65</v>
      </c>
    </row>
    <row r="67" s="50" customFormat="1" ht="14.5" spans="2:106">
      <c r="B67" s="60" t="s">
        <v>166</v>
      </c>
      <c r="C67" s="58" t="s">
        <v>167</v>
      </c>
      <c r="D67" s="61" t="s">
        <v>168</v>
      </c>
      <c r="E67" s="59" t="s">
        <v>169</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5"/>
      <c r="CR67" s="75"/>
      <c r="CT67" s="75"/>
      <c r="CU67" s="75"/>
      <c r="CW67" s="78" t="s">
        <v>166</v>
      </c>
      <c r="CX67" t="s">
        <v>167</v>
      </c>
      <c r="CY67" s="52" t="s">
        <v>170</v>
      </c>
      <c r="CZ67" s="52" t="s">
        <v>169</v>
      </c>
      <c r="DA67" s="80">
        <v>0</v>
      </c>
      <c r="DB67" s="80">
        <v>5</v>
      </c>
    </row>
    <row r="68" s="50" customFormat="1" ht="16" spans="2:106">
      <c r="B68" s="60" t="s">
        <v>166</v>
      </c>
      <c r="C68" s="58" t="s">
        <v>167</v>
      </c>
      <c r="D68" s="62" t="s">
        <v>171</v>
      </c>
      <c r="E68" s="59" t="s">
        <v>172</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5"/>
      <c r="CR68" s="75"/>
      <c r="CT68" s="75"/>
      <c r="CU68" s="75"/>
      <c r="CW68" s="78" t="s">
        <v>166</v>
      </c>
      <c r="CX68" t="s">
        <v>167</v>
      </c>
      <c r="CY68" s="52" t="s">
        <v>170</v>
      </c>
      <c r="CZ68" s="52" t="s">
        <v>172</v>
      </c>
      <c r="DA68" s="80">
        <v>0</v>
      </c>
      <c r="DB68" s="80">
        <v>5</v>
      </c>
    </row>
    <row r="69" s="51" customFormat="1" ht="16" spans="2:106">
      <c r="B69" s="63" t="s">
        <v>166</v>
      </c>
      <c r="C69" s="51" t="s">
        <v>167</v>
      </c>
      <c r="D69" s="62" t="s">
        <v>173</v>
      </c>
      <c r="E69" s="64" t="s">
        <v>174</v>
      </c>
      <c r="F69" s="65">
        <v>0</v>
      </c>
      <c r="G69" s="65">
        <f>E79/10000</f>
        <v>410</v>
      </c>
      <c r="H69" s="65">
        <f>F79/10000</f>
        <v>150</v>
      </c>
      <c r="I69" s="65">
        <f>G79/10000</f>
        <v>0</v>
      </c>
      <c r="J69" s="65">
        <f>H79/10000</f>
        <v>0</v>
      </c>
      <c r="K69" s="65">
        <f>I79/10000</f>
        <v>0</v>
      </c>
      <c r="L69" s="65">
        <f t="shared" ref="L69:AM69" si="7">J79/10000</f>
        <v>0</v>
      </c>
      <c r="M69" s="65">
        <f t="shared" si="7"/>
        <v>14</v>
      </c>
      <c r="N69" s="65">
        <f t="shared" si="7"/>
        <v>0</v>
      </c>
      <c r="O69" s="65">
        <f t="shared" si="7"/>
        <v>0</v>
      </c>
      <c r="P69" s="65">
        <f t="shared" si="7"/>
        <v>0</v>
      </c>
      <c r="Q69" s="65">
        <f t="shared" si="7"/>
        <v>0</v>
      </c>
      <c r="R69" s="65">
        <f t="shared" si="7"/>
        <v>0</v>
      </c>
      <c r="S69" s="65">
        <f t="shared" si="7"/>
        <v>0</v>
      </c>
      <c r="T69" s="65">
        <f t="shared" si="7"/>
        <v>0</v>
      </c>
      <c r="U69" s="65">
        <f t="shared" si="7"/>
        <v>0</v>
      </c>
      <c r="V69" s="65">
        <f t="shared" si="7"/>
        <v>0</v>
      </c>
      <c r="W69" s="65">
        <f t="shared" si="7"/>
        <v>0</v>
      </c>
      <c r="X69" s="65">
        <f t="shared" si="7"/>
        <v>0</v>
      </c>
      <c r="Y69" s="65">
        <f t="shared" si="7"/>
        <v>50</v>
      </c>
      <c r="Z69" s="65">
        <f t="shared" si="7"/>
        <v>3.6</v>
      </c>
      <c r="AA69" s="65">
        <f t="shared" si="7"/>
        <v>28.9</v>
      </c>
      <c r="AB69" s="65">
        <f t="shared" si="7"/>
        <v>0</v>
      </c>
      <c r="AC69" s="65">
        <f t="shared" si="7"/>
        <v>0</v>
      </c>
      <c r="AD69" s="65">
        <f t="shared" si="7"/>
        <v>151.7</v>
      </c>
      <c r="AE69" s="65">
        <f t="shared" si="7"/>
        <v>25</v>
      </c>
      <c r="AF69" s="65">
        <f t="shared" si="7"/>
        <v>0</v>
      </c>
      <c r="AG69" s="65">
        <f t="shared" si="7"/>
        <v>0</v>
      </c>
      <c r="AH69" s="65">
        <f t="shared" si="7"/>
        <v>0</v>
      </c>
      <c r="AI69" s="65">
        <f t="shared" si="7"/>
        <v>0</v>
      </c>
      <c r="AJ69" s="65">
        <f t="shared" si="7"/>
        <v>0</v>
      </c>
      <c r="AK69" s="65">
        <f t="shared" si="7"/>
        <v>3.6</v>
      </c>
      <c r="AL69" s="65">
        <f t="shared" si="7"/>
        <v>0</v>
      </c>
      <c r="AM69" s="65">
        <f t="shared" si="7"/>
        <v>0</v>
      </c>
      <c r="AN69" s="50" t="str">
        <f t="shared" si="6"/>
        <v>m_cobalt</v>
      </c>
      <c r="CQ69" s="76"/>
      <c r="CR69" s="76"/>
      <c r="CT69" s="76"/>
      <c r="CU69" s="76"/>
      <c r="CW69" s="63" t="s">
        <v>166</v>
      </c>
      <c r="CX69" s="51" t="s">
        <v>167</v>
      </c>
      <c r="CY69" s="64" t="s">
        <v>170</v>
      </c>
      <c r="CZ69" s="64" t="s">
        <v>174</v>
      </c>
      <c r="DA69" s="76">
        <v>0</v>
      </c>
      <c r="DB69" s="76">
        <v>5</v>
      </c>
    </row>
    <row r="70" s="50" customFormat="1" ht="16" spans="2:106">
      <c r="B70" s="60" t="s">
        <v>166</v>
      </c>
      <c r="C70" s="58" t="s">
        <v>167</v>
      </c>
      <c r="D70" s="62" t="s">
        <v>175</v>
      </c>
      <c r="E70" s="66" t="s">
        <v>176</v>
      </c>
      <c r="F70" s="67">
        <f t="shared" ref="F70:Z70" si="8">D80/1000</f>
        <v>0</v>
      </c>
      <c r="G70" s="67">
        <f t="shared" si="8"/>
        <v>74000</v>
      </c>
      <c r="H70" s="67">
        <f t="shared" si="8"/>
        <v>270000</v>
      </c>
      <c r="I70" s="67">
        <f t="shared" si="8"/>
        <v>0</v>
      </c>
      <c r="J70" s="67">
        <f t="shared" si="8"/>
        <v>0</v>
      </c>
      <c r="K70" s="67">
        <f t="shared" si="8"/>
        <v>0</v>
      </c>
      <c r="L70" s="67">
        <f t="shared" si="8"/>
        <v>270000</v>
      </c>
      <c r="M70" s="67">
        <f t="shared" si="8"/>
        <v>280000</v>
      </c>
      <c r="N70" s="67">
        <f t="shared" si="8"/>
        <v>0</v>
      </c>
      <c r="O70" s="67">
        <f t="shared" si="8"/>
        <v>0</v>
      </c>
      <c r="P70" s="67">
        <f t="shared" si="8"/>
        <v>0</v>
      </c>
      <c r="Q70" s="67">
        <f t="shared" si="8"/>
        <v>0</v>
      </c>
      <c r="R70" s="67">
        <f t="shared" si="8"/>
        <v>0</v>
      </c>
      <c r="S70" s="67">
        <f t="shared" si="8"/>
        <v>0</v>
      </c>
      <c r="T70" s="67">
        <f t="shared" si="8"/>
        <v>0</v>
      </c>
      <c r="U70" s="67">
        <f t="shared" si="8"/>
        <v>34000</v>
      </c>
      <c r="V70" s="67">
        <f t="shared" si="8"/>
        <v>0</v>
      </c>
      <c r="W70" s="67">
        <f t="shared" si="8"/>
        <v>0</v>
      </c>
      <c r="X70" s="67">
        <f t="shared" si="8"/>
        <v>0</v>
      </c>
      <c r="Y70" s="67">
        <f t="shared" si="8"/>
        <v>275000</v>
      </c>
      <c r="Z70" s="67">
        <f t="shared" si="8"/>
        <v>0</v>
      </c>
      <c r="AA70" s="73">
        <v>100</v>
      </c>
      <c r="AB70" s="50">
        <f t="shared" ref="AB70:AM73" si="9">Z80/1000</f>
        <v>0</v>
      </c>
      <c r="AC70" s="50">
        <f t="shared" si="9"/>
        <v>0</v>
      </c>
      <c r="AD70" s="50">
        <f t="shared" si="9"/>
        <v>5000</v>
      </c>
      <c r="AE70" s="50">
        <f t="shared" si="9"/>
        <v>0</v>
      </c>
      <c r="AF70" s="50">
        <f t="shared" si="9"/>
        <v>0</v>
      </c>
      <c r="AG70" s="58">
        <f t="shared" si="9"/>
        <v>640000</v>
      </c>
      <c r="AH70" s="50">
        <f t="shared" si="9"/>
        <v>0</v>
      </c>
      <c r="AI70" s="50">
        <f t="shared" si="9"/>
        <v>0</v>
      </c>
      <c r="AJ70" s="50">
        <f t="shared" si="9"/>
        <v>0</v>
      </c>
      <c r="AK70" s="50">
        <f t="shared" si="9"/>
        <v>0</v>
      </c>
      <c r="AL70" s="50">
        <f t="shared" si="9"/>
        <v>0</v>
      </c>
      <c r="AM70" s="50">
        <f t="shared" si="9"/>
        <v>140000</v>
      </c>
      <c r="AN70" s="50" t="str">
        <f t="shared" si="6"/>
        <v>m_manganese</v>
      </c>
      <c r="CQ70" s="75"/>
      <c r="CR70" s="75"/>
      <c r="CT70" s="75"/>
      <c r="CU70" s="75"/>
      <c r="CW70" s="78" t="s">
        <v>166</v>
      </c>
      <c r="CX70" t="s">
        <v>167</v>
      </c>
      <c r="CY70" s="52" t="s">
        <v>170</v>
      </c>
      <c r="CZ70" s="79" t="s">
        <v>176</v>
      </c>
      <c r="DA70" s="80">
        <v>0</v>
      </c>
      <c r="DB70" s="80">
        <v>5</v>
      </c>
    </row>
    <row r="71" s="50" customFormat="1" ht="16" spans="2:106">
      <c r="B71" s="60" t="s">
        <v>166</v>
      </c>
      <c r="C71" s="58" t="s">
        <v>167</v>
      </c>
      <c r="D71" s="62" t="s">
        <v>177</v>
      </c>
      <c r="E71" s="59" t="s">
        <v>178</v>
      </c>
      <c r="F71" s="50">
        <f t="shared" ref="F71:L73" si="10">D81/1000</f>
        <v>0</v>
      </c>
      <c r="G71" s="50">
        <f t="shared" si="10"/>
        <v>0</v>
      </c>
      <c r="H71" s="50">
        <f t="shared" si="10"/>
        <v>0</v>
      </c>
      <c r="I71" s="50">
        <f t="shared" si="10"/>
        <v>0</v>
      </c>
      <c r="J71" s="50">
        <f t="shared" si="10"/>
        <v>0</v>
      </c>
      <c r="K71" s="50">
        <f t="shared" si="10"/>
        <v>0</v>
      </c>
      <c r="L71" s="50">
        <f t="shared" si="10"/>
        <v>0</v>
      </c>
      <c r="M71" s="72">
        <v>41500</v>
      </c>
      <c r="N71" s="50">
        <f t="shared" ref="N71:Z73" si="11">L81/1000</f>
        <v>0</v>
      </c>
      <c r="O71" s="50">
        <f t="shared" si="11"/>
        <v>0</v>
      </c>
      <c r="P71" s="50">
        <f t="shared" si="11"/>
        <v>0</v>
      </c>
      <c r="Q71" s="50">
        <f t="shared" si="11"/>
        <v>0</v>
      </c>
      <c r="R71" s="50">
        <f t="shared" si="11"/>
        <v>0</v>
      </c>
      <c r="S71" s="50">
        <f t="shared" si="11"/>
        <v>0</v>
      </c>
      <c r="T71" s="50">
        <f t="shared" si="11"/>
        <v>0</v>
      </c>
      <c r="U71" s="50">
        <f t="shared" si="11"/>
        <v>0</v>
      </c>
      <c r="V71" s="50">
        <f t="shared" si="11"/>
        <v>0</v>
      </c>
      <c r="W71" s="50">
        <f t="shared" si="11"/>
        <v>0</v>
      </c>
      <c r="X71" s="50">
        <f t="shared" si="11"/>
        <v>0</v>
      </c>
      <c r="Y71" s="50">
        <f t="shared" si="11"/>
        <v>0</v>
      </c>
      <c r="Z71" s="50">
        <f t="shared" si="11"/>
        <v>0</v>
      </c>
      <c r="AA71" s="72">
        <v>3650</v>
      </c>
      <c r="AB71" s="50">
        <f t="shared" si="9"/>
        <v>0</v>
      </c>
      <c r="AC71" s="50">
        <f t="shared" si="9"/>
        <v>0</v>
      </c>
      <c r="AD71" s="50">
        <f t="shared" si="9"/>
        <v>0</v>
      </c>
      <c r="AE71" s="50">
        <f t="shared" si="9"/>
        <v>0</v>
      </c>
      <c r="AF71" s="50">
        <f t="shared" si="9"/>
        <v>0</v>
      </c>
      <c r="AG71" s="50">
        <f t="shared" si="9"/>
        <v>0</v>
      </c>
      <c r="AH71" s="50">
        <f t="shared" si="9"/>
        <v>0</v>
      </c>
      <c r="AI71" s="50">
        <f t="shared" si="9"/>
        <v>0</v>
      </c>
      <c r="AJ71" s="50">
        <f t="shared" si="9"/>
        <v>0</v>
      </c>
      <c r="AK71" s="50">
        <f t="shared" si="9"/>
        <v>0</v>
      </c>
      <c r="AL71" s="50">
        <f t="shared" si="9"/>
        <v>0</v>
      </c>
      <c r="AM71" s="50">
        <f t="shared" si="9"/>
        <v>0</v>
      </c>
      <c r="AN71" s="50" t="str">
        <f t="shared" si="6"/>
        <v>m_aluminum</v>
      </c>
      <c r="CQ71" s="75"/>
      <c r="CR71" s="75"/>
      <c r="CT71" s="75"/>
      <c r="CU71" s="75"/>
      <c r="CW71" s="78" t="s">
        <v>166</v>
      </c>
      <c r="CX71" t="s">
        <v>167</v>
      </c>
      <c r="CY71" s="52" t="s">
        <v>170</v>
      </c>
      <c r="CZ71" s="52" t="s">
        <v>178</v>
      </c>
      <c r="DA71" s="80">
        <v>0</v>
      </c>
      <c r="DB71" s="80">
        <v>5</v>
      </c>
    </row>
    <row r="72" s="50" customFormat="1" ht="16" spans="2:106">
      <c r="B72" s="60" t="s">
        <v>166</v>
      </c>
      <c r="C72" s="58" t="s">
        <v>167</v>
      </c>
      <c r="D72" s="62" t="s">
        <v>179</v>
      </c>
      <c r="E72" s="59" t="s">
        <v>180</v>
      </c>
      <c r="F72" s="50">
        <f t="shared" si="10"/>
        <v>0</v>
      </c>
      <c r="G72" s="50">
        <f t="shared" si="10"/>
        <v>50000</v>
      </c>
      <c r="H72" s="50">
        <f t="shared" si="10"/>
        <v>97000</v>
      </c>
      <c r="I72" s="50">
        <f t="shared" si="10"/>
        <v>0</v>
      </c>
      <c r="J72" s="50">
        <f t="shared" si="10"/>
        <v>0</v>
      </c>
      <c r="K72" s="50">
        <f t="shared" si="10"/>
        <v>0</v>
      </c>
      <c r="L72" s="50">
        <f t="shared" si="10"/>
        <v>0</v>
      </c>
      <c r="M72" s="50">
        <f>K82/1000</f>
        <v>27000</v>
      </c>
      <c r="N72" s="50">
        <f t="shared" si="11"/>
        <v>0</v>
      </c>
      <c r="O72" s="50">
        <f t="shared" si="11"/>
        <v>0</v>
      </c>
      <c r="P72" s="50">
        <f t="shared" si="11"/>
        <v>0</v>
      </c>
      <c r="Q72" s="50">
        <f t="shared" si="11"/>
        <v>0</v>
      </c>
      <c r="R72" s="50">
        <f t="shared" si="11"/>
        <v>0</v>
      </c>
      <c r="S72" s="50">
        <f t="shared" si="11"/>
        <v>0</v>
      </c>
      <c r="T72" s="50">
        <f t="shared" si="11"/>
        <v>0</v>
      </c>
      <c r="U72" s="50">
        <f t="shared" si="11"/>
        <v>0</v>
      </c>
      <c r="V72" s="50">
        <f t="shared" si="11"/>
        <v>0</v>
      </c>
      <c r="W72" s="50">
        <f t="shared" si="11"/>
        <v>0</v>
      </c>
      <c r="X72" s="50">
        <f t="shared" si="11"/>
        <v>0</v>
      </c>
      <c r="Y72" s="50">
        <f t="shared" si="11"/>
        <v>324000</v>
      </c>
      <c r="Z72" s="50">
        <f t="shared" si="11"/>
        <v>0</v>
      </c>
      <c r="AA72" s="50">
        <f>Y82/1000</f>
        <v>51600</v>
      </c>
      <c r="AB72" s="50">
        <f t="shared" si="9"/>
        <v>0</v>
      </c>
      <c r="AC72" s="50">
        <f t="shared" si="9"/>
        <v>30000</v>
      </c>
      <c r="AD72" s="50">
        <f t="shared" si="9"/>
        <v>244000</v>
      </c>
      <c r="AE72" s="50">
        <f t="shared" si="9"/>
        <v>62000</v>
      </c>
      <c r="AF72" s="50">
        <f t="shared" si="9"/>
        <v>0</v>
      </c>
      <c r="AG72" s="50">
        <f t="shared" si="9"/>
        <v>0</v>
      </c>
      <c r="AH72" s="50">
        <f t="shared" si="9"/>
        <v>0</v>
      </c>
      <c r="AI72" s="50">
        <f t="shared" si="9"/>
        <v>0</v>
      </c>
      <c r="AJ72" s="50">
        <f t="shared" si="9"/>
        <v>0</v>
      </c>
      <c r="AK72" s="50">
        <f t="shared" si="9"/>
        <v>0</v>
      </c>
      <c r="AL72" s="50">
        <f t="shared" si="9"/>
        <v>0</v>
      </c>
      <c r="AM72" s="50">
        <f t="shared" si="9"/>
        <v>0</v>
      </c>
      <c r="AN72" s="50" t="str">
        <f t="shared" si="6"/>
        <v>m_copper</v>
      </c>
      <c r="CQ72" s="75"/>
      <c r="CR72" s="75"/>
      <c r="CT72" s="75"/>
      <c r="CU72" s="75"/>
      <c r="CW72" s="78" t="s">
        <v>166</v>
      </c>
      <c r="CX72" t="s">
        <v>167</v>
      </c>
      <c r="CY72" s="52" t="s">
        <v>170</v>
      </c>
      <c r="CZ72" s="52" t="s">
        <v>180</v>
      </c>
      <c r="DA72" s="80">
        <v>0</v>
      </c>
      <c r="DB72" s="80">
        <v>5</v>
      </c>
    </row>
    <row r="73" s="49" customFormat="1" ht="16" spans="1:106">
      <c r="A73" s="50"/>
      <c r="B73" s="60" t="s">
        <v>166</v>
      </c>
      <c r="C73" s="58" t="s">
        <v>167</v>
      </c>
      <c r="D73" s="62" t="s">
        <v>181</v>
      </c>
      <c r="E73" s="59" t="s">
        <v>182</v>
      </c>
      <c r="F73" s="50">
        <f t="shared" si="10"/>
        <v>0</v>
      </c>
      <c r="G73" s="50">
        <f t="shared" si="10"/>
        <v>69000</v>
      </c>
      <c r="H73" s="50">
        <f t="shared" si="10"/>
        <v>0</v>
      </c>
      <c r="I73" s="50">
        <f t="shared" si="10"/>
        <v>0</v>
      </c>
      <c r="J73" s="50">
        <f t="shared" si="10"/>
        <v>0</v>
      </c>
      <c r="K73" s="50">
        <f t="shared" si="10"/>
        <v>0</v>
      </c>
      <c r="L73" s="50">
        <f t="shared" si="10"/>
        <v>74000</v>
      </c>
      <c r="M73" s="50">
        <f>K83/1000</f>
        <v>52000</v>
      </c>
      <c r="N73" s="50">
        <f t="shared" si="11"/>
        <v>0</v>
      </c>
      <c r="O73" s="50">
        <f t="shared" si="11"/>
        <v>0</v>
      </c>
      <c r="P73" s="50">
        <f t="shared" si="11"/>
        <v>0</v>
      </c>
      <c r="Q73" s="50">
        <f t="shared" si="11"/>
        <v>0</v>
      </c>
      <c r="R73" s="50">
        <f t="shared" si="11"/>
        <v>0</v>
      </c>
      <c r="S73" s="50">
        <f t="shared" si="11"/>
        <v>0</v>
      </c>
      <c r="T73" s="50">
        <f t="shared" si="11"/>
        <v>0</v>
      </c>
      <c r="U73" s="50">
        <f t="shared" si="11"/>
        <v>8000</v>
      </c>
      <c r="V73" s="50">
        <f t="shared" si="11"/>
        <v>0</v>
      </c>
      <c r="W73" s="50">
        <f t="shared" si="11"/>
        <v>0</v>
      </c>
      <c r="X73" s="50">
        <f t="shared" si="11"/>
        <v>0</v>
      </c>
      <c r="Y73" s="50">
        <f t="shared" si="11"/>
        <v>77100</v>
      </c>
      <c r="Z73" s="50">
        <f t="shared" si="11"/>
        <v>90000</v>
      </c>
      <c r="AA73" s="50">
        <f>Y83/1000</f>
        <v>5700</v>
      </c>
      <c r="AB73" s="50">
        <f t="shared" si="9"/>
        <v>600</v>
      </c>
      <c r="AC73" s="50">
        <f t="shared" si="9"/>
        <v>0</v>
      </c>
      <c r="AD73" s="50">
        <f t="shared" si="9"/>
        <v>12900</v>
      </c>
      <c r="AE73" s="50">
        <f t="shared" si="9"/>
        <v>14000</v>
      </c>
      <c r="AF73" s="50">
        <f t="shared" si="9"/>
        <v>0</v>
      </c>
      <c r="AG73" s="50">
        <f t="shared" si="9"/>
        <v>0</v>
      </c>
      <c r="AH73" s="50">
        <f t="shared" si="9"/>
        <v>0</v>
      </c>
      <c r="AI73" s="50">
        <f t="shared" si="9"/>
        <v>0</v>
      </c>
      <c r="AJ73" s="50">
        <f t="shared" si="9"/>
        <v>0</v>
      </c>
      <c r="AK73" s="50">
        <f t="shared" si="9"/>
        <v>90000</v>
      </c>
      <c r="AL73" s="50">
        <f t="shared" si="9"/>
        <v>0</v>
      </c>
      <c r="AM73" s="50">
        <f t="shared" si="9"/>
        <v>0</v>
      </c>
      <c r="AN73" s="50" t="str">
        <f t="shared" si="6"/>
        <v>m_graphite</v>
      </c>
      <c r="AY73" s="50"/>
      <c r="BB73" s="50"/>
      <c r="CQ73" s="74"/>
      <c r="CR73" s="75"/>
      <c r="CT73" s="74"/>
      <c r="CU73" s="74"/>
      <c r="CW73" s="78" t="s">
        <v>166</v>
      </c>
      <c r="CX73" t="s">
        <v>167</v>
      </c>
      <c r="CY73" s="52" t="s">
        <v>170</v>
      </c>
      <c r="CZ73" s="52" t="s">
        <v>182</v>
      </c>
      <c r="DA73" s="80">
        <v>0</v>
      </c>
      <c r="DB73" s="80">
        <v>5</v>
      </c>
    </row>
    <row r="74" s="52" customFormat="1"/>
    <row r="75" s="52" customFormat="1" spans="5:5">
      <c r="E75" s="52" t="s">
        <v>183</v>
      </c>
    </row>
    <row r="76" s="52" customFormat="1"/>
    <row r="77" s="52" customFormat="1" spans="4:37">
      <c r="D77" s="68">
        <v>0</v>
      </c>
      <c r="E77" s="68">
        <v>310000</v>
      </c>
      <c r="F77" s="68">
        <v>6200000</v>
      </c>
      <c r="G77" s="68">
        <v>0</v>
      </c>
      <c r="H77" s="68"/>
      <c r="I77" s="68"/>
      <c r="J77" s="68">
        <v>250000</v>
      </c>
      <c r="K77" s="68">
        <v>2000000</v>
      </c>
      <c r="L77" s="68"/>
      <c r="M77" s="68">
        <v>0</v>
      </c>
      <c r="N77" s="68">
        <v>0</v>
      </c>
      <c r="O77" s="68">
        <v>0</v>
      </c>
      <c r="P77" s="68">
        <v>0</v>
      </c>
      <c r="Q77" s="68"/>
      <c r="R77" s="68"/>
      <c r="S77" s="68">
        <v>0</v>
      </c>
      <c r="T77" s="68"/>
      <c r="U77" s="68"/>
      <c r="V77" s="68">
        <v>0</v>
      </c>
      <c r="W77" s="68">
        <v>12250000</v>
      </c>
      <c r="X77" s="68">
        <v>0</v>
      </c>
      <c r="Y77" s="68">
        <v>1930000</v>
      </c>
      <c r="Z77" s="68">
        <v>0</v>
      </c>
      <c r="AA77" s="68">
        <v>0</v>
      </c>
      <c r="AB77" s="68">
        <v>3300000</v>
      </c>
      <c r="AC77" s="68">
        <v>0</v>
      </c>
      <c r="AD77" s="68">
        <v>0</v>
      </c>
      <c r="AE77" s="68">
        <v>0</v>
      </c>
      <c r="AF77" s="68">
        <v>60000</v>
      </c>
      <c r="AG77" s="68">
        <v>0</v>
      </c>
      <c r="AH77" s="68"/>
      <c r="AI77" s="68">
        <v>0</v>
      </c>
      <c r="AJ77" s="68">
        <v>0</v>
      </c>
      <c r="AK77" s="68">
        <v>0</v>
      </c>
    </row>
    <row r="78" s="52" customFormat="1" spans="4:37">
      <c r="D78" s="68">
        <v>0</v>
      </c>
      <c r="E78" s="68">
        <v>0</v>
      </c>
      <c r="F78" s="68">
        <v>21000000</v>
      </c>
      <c r="G78" s="68">
        <v>0</v>
      </c>
      <c r="H78" s="68"/>
      <c r="I78" s="68"/>
      <c r="J78" s="68">
        <v>16000000</v>
      </c>
      <c r="K78" s="68">
        <v>2100000</v>
      </c>
      <c r="L78" s="68"/>
      <c r="M78" s="68">
        <v>0</v>
      </c>
      <c r="N78" s="68">
        <v>0</v>
      </c>
      <c r="O78" s="68">
        <v>0</v>
      </c>
      <c r="P78" s="68">
        <v>0</v>
      </c>
      <c r="Q78" s="68"/>
      <c r="R78" s="68"/>
      <c r="S78" s="68">
        <v>0</v>
      </c>
      <c r="T78" s="68"/>
      <c r="U78" s="68"/>
      <c r="V78" s="68">
        <v>0</v>
      </c>
      <c r="W78" s="68">
        <v>16000000</v>
      </c>
      <c r="X78" s="68">
        <v>0</v>
      </c>
      <c r="Y78" s="68">
        <v>2570000</v>
      </c>
      <c r="Z78" s="68">
        <v>0</v>
      </c>
      <c r="AA78" s="68">
        <v>0</v>
      </c>
      <c r="AB78" s="68">
        <v>52900000</v>
      </c>
      <c r="AC78" s="68">
        <v>7500000</v>
      </c>
      <c r="AD78" s="68">
        <v>0</v>
      </c>
      <c r="AE78" s="68">
        <v>0</v>
      </c>
      <c r="AF78" s="68">
        <v>0</v>
      </c>
      <c r="AG78" s="68">
        <v>0</v>
      </c>
      <c r="AH78" s="68"/>
      <c r="AI78" s="68">
        <v>0</v>
      </c>
      <c r="AJ78" s="68">
        <v>0</v>
      </c>
      <c r="AK78" s="68">
        <v>0</v>
      </c>
    </row>
    <row r="79" s="52" customFormat="1" spans="4:37">
      <c r="D79" s="68">
        <v>13000</v>
      </c>
      <c r="E79" s="68">
        <v>4100000</v>
      </c>
      <c r="F79" s="68">
        <v>1500000</v>
      </c>
      <c r="G79" s="68">
        <v>0</v>
      </c>
      <c r="H79" s="68"/>
      <c r="I79" s="68"/>
      <c r="J79" s="68">
        <v>0</v>
      </c>
      <c r="K79" s="68">
        <v>140000</v>
      </c>
      <c r="L79" s="68"/>
      <c r="M79" s="68">
        <v>0</v>
      </c>
      <c r="N79" s="68">
        <v>0</v>
      </c>
      <c r="O79" s="68">
        <v>0</v>
      </c>
      <c r="P79" s="68">
        <v>0</v>
      </c>
      <c r="Q79" s="68"/>
      <c r="R79" s="68"/>
      <c r="S79" s="68">
        <v>0</v>
      </c>
      <c r="T79" s="68"/>
      <c r="U79" s="68"/>
      <c r="V79" s="68">
        <v>0</v>
      </c>
      <c r="W79" s="68">
        <v>500000</v>
      </c>
      <c r="X79" s="68">
        <v>36000</v>
      </c>
      <c r="Y79" s="68">
        <v>289000</v>
      </c>
      <c r="Z79" s="68">
        <v>0</v>
      </c>
      <c r="AA79" s="68">
        <v>0</v>
      </c>
      <c r="AB79" s="68">
        <v>1517000</v>
      </c>
      <c r="AC79" s="68">
        <v>250000</v>
      </c>
      <c r="AD79" s="68">
        <v>0</v>
      </c>
      <c r="AE79" s="68">
        <v>0</v>
      </c>
      <c r="AF79" s="68">
        <v>0</v>
      </c>
      <c r="AG79" s="68">
        <v>0</v>
      </c>
      <c r="AH79" s="68"/>
      <c r="AI79" s="68">
        <v>36000</v>
      </c>
      <c r="AJ79" s="68">
        <v>0</v>
      </c>
      <c r="AK79" s="68">
        <v>0</v>
      </c>
    </row>
    <row r="80" s="52" customFormat="1" spans="4:37">
      <c r="D80" s="68">
        <v>0</v>
      </c>
      <c r="E80" s="68">
        <v>74000000</v>
      </c>
      <c r="F80" s="68">
        <v>270000000</v>
      </c>
      <c r="G80" s="68">
        <v>0</v>
      </c>
      <c r="H80" s="68"/>
      <c r="I80" s="68"/>
      <c r="J80" s="68">
        <v>270000000</v>
      </c>
      <c r="K80" s="68">
        <v>280000000</v>
      </c>
      <c r="L80" s="68"/>
      <c r="M80" s="68">
        <v>0</v>
      </c>
      <c r="N80" s="68">
        <v>0</v>
      </c>
      <c r="O80" s="68">
        <v>0</v>
      </c>
      <c r="P80" s="68">
        <v>0</v>
      </c>
      <c r="Q80" s="68"/>
      <c r="R80" s="68"/>
      <c r="S80" s="68">
        <v>34000000</v>
      </c>
      <c r="T80" s="68"/>
      <c r="U80" s="68"/>
      <c r="V80" s="68">
        <v>0</v>
      </c>
      <c r="W80" s="68">
        <v>275000000</v>
      </c>
      <c r="X80" s="68">
        <v>0</v>
      </c>
      <c r="Y80" s="68">
        <v>0</v>
      </c>
      <c r="Z80" s="68">
        <v>0</v>
      </c>
      <c r="AA80" s="68">
        <v>0</v>
      </c>
      <c r="AB80" s="68">
        <v>5000000</v>
      </c>
      <c r="AC80" s="68">
        <v>0</v>
      </c>
      <c r="AD80" s="68">
        <v>0</v>
      </c>
      <c r="AE80" s="68">
        <v>640000000</v>
      </c>
      <c r="AF80" s="68">
        <v>0</v>
      </c>
      <c r="AG80" s="68">
        <v>0</v>
      </c>
      <c r="AH80" s="68"/>
      <c r="AI80" s="68">
        <v>0</v>
      </c>
      <c r="AJ80" s="68">
        <v>0</v>
      </c>
      <c r="AK80" s="68">
        <v>140000000</v>
      </c>
    </row>
    <row r="81" s="52" customFormat="1" spans="4:37">
      <c r="D81" s="68"/>
      <c r="E81" s="68"/>
      <c r="F81" s="68"/>
      <c r="G81" s="68"/>
      <c r="H81" s="68"/>
      <c r="I81" s="68"/>
      <c r="J81" s="68"/>
      <c r="K81" s="68"/>
      <c r="L81" s="68"/>
      <c r="M81" s="68"/>
      <c r="N81" s="68"/>
      <c r="O81" s="68"/>
      <c r="P81" s="68"/>
      <c r="Q81" s="68"/>
      <c r="R81" s="68"/>
      <c r="S81" s="68"/>
      <c r="T81" s="68"/>
      <c r="U81" s="68"/>
      <c r="V81" s="68"/>
      <c r="W81" s="68"/>
      <c r="X81" s="68"/>
      <c r="Y81" s="68">
        <v>0</v>
      </c>
      <c r="Z81" s="68"/>
      <c r="AA81" s="68"/>
      <c r="AB81" s="68"/>
      <c r="AC81" s="68"/>
      <c r="AD81" s="68"/>
      <c r="AE81" s="68"/>
      <c r="AF81" s="68"/>
      <c r="AG81" s="68"/>
      <c r="AH81" s="68"/>
      <c r="AI81" s="68"/>
      <c r="AJ81" s="68"/>
      <c r="AK81" s="68"/>
    </row>
    <row r="82" s="52" customFormat="1" spans="4:37">
      <c r="D82" s="68">
        <v>0</v>
      </c>
      <c r="E82" s="68">
        <v>50000000</v>
      </c>
      <c r="F82" s="68">
        <v>97000000</v>
      </c>
      <c r="G82" s="68">
        <v>0</v>
      </c>
      <c r="H82" s="68"/>
      <c r="I82" s="68"/>
      <c r="J82" s="68">
        <v>0</v>
      </c>
      <c r="K82" s="68">
        <v>27000000</v>
      </c>
      <c r="L82" s="68"/>
      <c r="M82" s="68">
        <v>0</v>
      </c>
      <c r="N82" s="68">
        <v>0</v>
      </c>
      <c r="O82" s="68">
        <v>0</v>
      </c>
      <c r="P82" s="68">
        <v>0</v>
      </c>
      <c r="Q82" s="68"/>
      <c r="R82" s="68"/>
      <c r="S82" s="68">
        <v>0</v>
      </c>
      <c r="T82" s="68"/>
      <c r="U82" s="68"/>
      <c r="V82" s="68">
        <v>0</v>
      </c>
      <c r="W82" s="68">
        <v>324000000</v>
      </c>
      <c r="X82" s="68">
        <v>0</v>
      </c>
      <c r="Y82" s="68">
        <v>51600000</v>
      </c>
      <c r="Z82" s="68">
        <v>0</v>
      </c>
      <c r="AA82" s="68">
        <v>30000000</v>
      </c>
      <c r="AB82" s="68">
        <v>244000000</v>
      </c>
      <c r="AC82" s="68">
        <v>62000000</v>
      </c>
      <c r="AD82" s="68">
        <v>0</v>
      </c>
      <c r="AE82" s="68">
        <v>0</v>
      </c>
      <c r="AF82" s="68">
        <v>0</v>
      </c>
      <c r="AG82" s="68">
        <v>0</v>
      </c>
      <c r="AH82" s="68"/>
      <c r="AI82" s="68">
        <v>0</v>
      </c>
      <c r="AJ82" s="68">
        <v>0</v>
      </c>
      <c r="AK82" s="68">
        <v>0</v>
      </c>
    </row>
    <row r="83" s="52" customFormat="1" spans="4:37">
      <c r="D83" s="68">
        <v>0</v>
      </c>
      <c r="E83" s="68">
        <v>69000000</v>
      </c>
      <c r="F83" s="68">
        <v>0</v>
      </c>
      <c r="G83" s="68">
        <v>0</v>
      </c>
      <c r="H83" s="68"/>
      <c r="I83" s="68"/>
      <c r="J83" s="68">
        <v>74000000</v>
      </c>
      <c r="K83" s="68">
        <v>52000000</v>
      </c>
      <c r="L83" s="68"/>
      <c r="M83" s="68">
        <v>0</v>
      </c>
      <c r="N83" s="68">
        <v>0</v>
      </c>
      <c r="O83" s="68">
        <v>0</v>
      </c>
      <c r="P83" s="68">
        <v>0</v>
      </c>
      <c r="Q83" s="68"/>
      <c r="R83" s="68"/>
      <c r="S83" s="68">
        <v>8000000</v>
      </c>
      <c r="T83" s="68"/>
      <c r="U83" s="68"/>
      <c r="V83" s="68">
        <v>0</v>
      </c>
      <c r="W83" s="68">
        <v>77100000</v>
      </c>
      <c r="X83" s="68">
        <v>90000000</v>
      </c>
      <c r="Y83" s="68">
        <v>5700000</v>
      </c>
      <c r="Z83" s="68">
        <v>600000</v>
      </c>
      <c r="AA83" s="68">
        <v>0</v>
      </c>
      <c r="AB83" s="68">
        <v>12900000</v>
      </c>
      <c r="AC83" s="68">
        <v>14000000</v>
      </c>
      <c r="AD83" s="68">
        <v>0</v>
      </c>
      <c r="AE83" s="68">
        <v>0</v>
      </c>
      <c r="AF83" s="68">
        <v>0</v>
      </c>
      <c r="AG83" s="68">
        <v>0</v>
      </c>
      <c r="AH83" s="68"/>
      <c r="AI83" s="68">
        <v>90000000</v>
      </c>
      <c r="AJ83" s="68">
        <v>0</v>
      </c>
      <c r="AK83" s="68">
        <v>0</v>
      </c>
    </row>
    <row r="84" s="52" customFormat="1"/>
    <row r="88" spans="2:2">
      <c r="B88" t="s">
        <v>184</v>
      </c>
    </row>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9"/>
      <c r="E101" s="69"/>
      <c r="F101" s="69"/>
      <c r="G101" s="69"/>
    </row>
    <row r="102" spans="3:26">
      <c r="C102" s="52"/>
      <c r="D102" t="s">
        <v>114</v>
      </c>
      <c r="M102" s="52"/>
      <c r="N102" t="s">
        <v>114</v>
      </c>
      <c r="Y102" s="52"/>
      <c r="Z102" t="s">
        <v>114</v>
      </c>
    </row>
    <row r="103" spans="3:29">
      <c r="C103" s="52" t="s">
        <v>116</v>
      </c>
      <c r="D103" s="69" t="s">
        <v>64</v>
      </c>
      <c r="E103" s="69" t="s">
        <v>65</v>
      </c>
      <c r="F103" s="69" t="s">
        <v>11</v>
      </c>
      <c r="G103" s="69" t="s">
        <v>25</v>
      </c>
      <c r="L103" t="s">
        <v>41</v>
      </c>
      <c r="M103" s="52" t="s">
        <v>116</v>
      </c>
      <c r="N103" s="69" t="s">
        <v>64</v>
      </c>
      <c r="O103" s="69" t="s">
        <v>65</v>
      </c>
      <c r="P103" s="69" t="s">
        <v>11</v>
      </c>
      <c r="Q103" s="69" t="s">
        <v>25</v>
      </c>
      <c r="X103" t="s">
        <v>41</v>
      </c>
      <c r="Y103" s="52" t="s">
        <v>116</v>
      </c>
      <c r="Z103" s="69" t="s">
        <v>64</v>
      </c>
      <c r="AA103" s="69" t="s">
        <v>65</v>
      </c>
      <c r="AB103" s="69" t="s">
        <v>11</v>
      </c>
      <c r="AC103" s="69" t="s">
        <v>25</v>
      </c>
    </row>
    <row r="104" spans="3:29">
      <c r="C104" s="52" t="s">
        <v>185</v>
      </c>
      <c r="D104" s="69" t="s">
        <v>186</v>
      </c>
      <c r="E104" s="69">
        <v>7.11384396954065</v>
      </c>
      <c r="F104" s="70">
        <v>5.40179852616065</v>
      </c>
      <c r="G104" s="70">
        <v>8.85540744288872</v>
      </c>
      <c r="L104">
        <v>2050</v>
      </c>
      <c r="M104" s="52" t="s">
        <v>185</v>
      </c>
      <c r="N104" s="69" t="s">
        <v>186</v>
      </c>
      <c r="O104" s="69">
        <f>E104*0.313</f>
        <v>2.22663316246622</v>
      </c>
      <c r="P104" s="69">
        <f>F104*0.313</f>
        <v>1.69076293868828</v>
      </c>
      <c r="Q104" s="69">
        <f>G104*0.313</f>
        <v>2.77174252962417</v>
      </c>
      <c r="X104">
        <v>0</v>
      </c>
      <c r="Y104" s="52" t="s">
        <v>185</v>
      </c>
      <c r="Z104" s="69" t="s">
        <v>186</v>
      </c>
      <c r="AA104" s="69">
        <v>5</v>
      </c>
      <c r="AB104" s="69">
        <v>5</v>
      </c>
      <c r="AC104" s="69">
        <v>5</v>
      </c>
    </row>
    <row r="105" spans="3:29">
      <c r="C105" s="52" t="s">
        <v>185</v>
      </c>
      <c r="D105" s="69" t="s">
        <v>187</v>
      </c>
      <c r="E105" s="69">
        <v>7.11384396954065</v>
      </c>
      <c r="F105" s="70">
        <v>5.40179852616065</v>
      </c>
      <c r="G105" s="70">
        <v>8.85540744288872</v>
      </c>
      <c r="L105">
        <v>2050</v>
      </c>
      <c r="M105" s="52" t="s">
        <v>185</v>
      </c>
      <c r="N105" s="69" t="s">
        <v>187</v>
      </c>
      <c r="O105" s="69">
        <f t="shared" ref="O105:O124" si="12">E105*0.313</f>
        <v>2.22663316246622</v>
      </c>
      <c r="P105" s="69">
        <f t="shared" ref="P105:P124" si="13">F105*0.313</f>
        <v>1.69076293868828</v>
      </c>
      <c r="Q105" s="69">
        <f t="shared" ref="Q105:Q124" si="14">G105*0.313</f>
        <v>2.77174252962417</v>
      </c>
      <c r="X105">
        <v>0</v>
      </c>
      <c r="Y105" s="52" t="s">
        <v>185</v>
      </c>
      <c r="Z105" s="69" t="s">
        <v>187</v>
      </c>
      <c r="AA105" s="69">
        <v>5</v>
      </c>
      <c r="AB105" s="69">
        <v>5</v>
      </c>
      <c r="AC105" s="69">
        <v>5</v>
      </c>
    </row>
    <row r="106" spans="3:29">
      <c r="C106" s="52" t="s">
        <v>185</v>
      </c>
      <c r="D106" s="69" t="s">
        <v>188</v>
      </c>
      <c r="E106" s="69">
        <v>7.62975445836404</v>
      </c>
      <c r="F106" s="70">
        <v>5.79354797347089</v>
      </c>
      <c r="G106" s="70">
        <v>9.49761967575534</v>
      </c>
      <c r="L106">
        <v>2050</v>
      </c>
      <c r="M106" s="52" t="s">
        <v>185</v>
      </c>
      <c r="N106" s="69" t="s">
        <v>188</v>
      </c>
      <c r="O106" s="69">
        <f t="shared" si="12"/>
        <v>2.38811314546794</v>
      </c>
      <c r="P106" s="69">
        <f t="shared" si="13"/>
        <v>1.81338051569639</v>
      </c>
      <c r="Q106" s="69">
        <f t="shared" si="14"/>
        <v>2.97275495851142</v>
      </c>
      <c r="X106">
        <v>0</v>
      </c>
      <c r="Y106" s="52" t="s">
        <v>185</v>
      </c>
      <c r="Z106" s="69" t="s">
        <v>188</v>
      </c>
      <c r="AA106" s="69">
        <v>5</v>
      </c>
      <c r="AB106" s="69">
        <v>5</v>
      </c>
      <c r="AC106" s="69">
        <v>5</v>
      </c>
    </row>
    <row r="107" spans="3:29">
      <c r="C107" s="52" t="s">
        <v>185</v>
      </c>
      <c r="D107" s="69" t="s">
        <v>189</v>
      </c>
      <c r="E107" s="69">
        <v>7.47097081798084</v>
      </c>
      <c r="F107" s="70">
        <v>5.67297781871776</v>
      </c>
      <c r="G107" s="70">
        <v>9.29996366985999</v>
      </c>
      <c r="L107">
        <v>2050</v>
      </c>
      <c r="M107" s="52" t="s">
        <v>185</v>
      </c>
      <c r="N107" s="69" t="s">
        <v>189</v>
      </c>
      <c r="O107" s="69">
        <f t="shared" si="12"/>
        <v>2.338413866028</v>
      </c>
      <c r="P107" s="69">
        <f t="shared" si="13"/>
        <v>1.77564205725866</v>
      </c>
      <c r="Q107" s="69">
        <f t="shared" si="14"/>
        <v>2.91088862866618</v>
      </c>
      <c r="X107">
        <v>0</v>
      </c>
      <c r="Y107" s="52" t="s">
        <v>185</v>
      </c>
      <c r="Z107" s="69" t="s">
        <v>189</v>
      </c>
      <c r="AA107" s="69">
        <v>5</v>
      </c>
      <c r="AB107" s="69">
        <v>5</v>
      </c>
      <c r="AC107" s="69">
        <v>5</v>
      </c>
    </row>
    <row r="108" spans="3:29">
      <c r="C108" s="52" t="s">
        <v>185</v>
      </c>
      <c r="D108" s="69" t="s">
        <v>190</v>
      </c>
      <c r="E108" s="69">
        <v>7.51643520019651</v>
      </c>
      <c r="F108" s="70">
        <v>5.70750058953574</v>
      </c>
      <c r="G108" s="70">
        <v>9.35655836403832</v>
      </c>
      <c r="L108">
        <v>2050</v>
      </c>
      <c r="M108" s="52" t="s">
        <v>185</v>
      </c>
      <c r="N108" s="69" t="s">
        <v>190</v>
      </c>
      <c r="O108" s="69">
        <f t="shared" si="12"/>
        <v>2.35264421766151</v>
      </c>
      <c r="P108" s="69">
        <f t="shared" si="13"/>
        <v>1.78644768452469</v>
      </c>
      <c r="Q108" s="69">
        <f t="shared" si="14"/>
        <v>2.92860276794399</v>
      </c>
      <c r="X108">
        <v>0</v>
      </c>
      <c r="Y108" s="52" t="s">
        <v>185</v>
      </c>
      <c r="Z108" s="69" t="s">
        <v>190</v>
      </c>
      <c r="AA108" s="69">
        <v>5</v>
      </c>
      <c r="AB108" s="69">
        <v>5</v>
      </c>
      <c r="AC108" s="69">
        <v>5</v>
      </c>
    </row>
    <row r="109" spans="3:29">
      <c r="C109" s="52" t="s">
        <v>185</v>
      </c>
      <c r="D109" s="69" t="s">
        <v>191</v>
      </c>
      <c r="E109" s="69">
        <v>7.55036263817244</v>
      </c>
      <c r="F109" s="70">
        <v>5.73326293294031</v>
      </c>
      <c r="G109" s="70">
        <v>9.39879167280766</v>
      </c>
      <c r="L109">
        <v>2050</v>
      </c>
      <c r="M109" s="52" t="s">
        <v>185</v>
      </c>
      <c r="N109" s="69" t="s">
        <v>191</v>
      </c>
      <c r="O109" s="69">
        <f t="shared" si="12"/>
        <v>2.36326350574797</v>
      </c>
      <c r="P109" s="69">
        <f t="shared" si="13"/>
        <v>1.79451129801032</v>
      </c>
      <c r="Q109" s="69">
        <f t="shared" si="14"/>
        <v>2.9418217935888</v>
      </c>
      <c r="X109">
        <v>0</v>
      </c>
      <c r="Y109" s="52" t="s">
        <v>185</v>
      </c>
      <c r="Z109" s="69" t="s">
        <v>191</v>
      </c>
      <c r="AA109" s="69">
        <v>5</v>
      </c>
      <c r="AB109" s="69">
        <v>5</v>
      </c>
      <c r="AC109" s="69">
        <v>5</v>
      </c>
    </row>
    <row r="110" spans="3:29">
      <c r="C110" s="52" t="s">
        <v>185</v>
      </c>
      <c r="D110" s="69" t="s">
        <v>192</v>
      </c>
      <c r="E110" s="69">
        <v>7.62975445836404</v>
      </c>
      <c r="F110" s="70">
        <v>5.79354797347089</v>
      </c>
      <c r="G110" s="70">
        <v>9.49761967575534</v>
      </c>
      <c r="L110">
        <v>2050</v>
      </c>
      <c r="M110" s="52" t="s">
        <v>185</v>
      </c>
      <c r="N110" s="69" t="s">
        <v>192</v>
      </c>
      <c r="O110" s="69">
        <f t="shared" si="12"/>
        <v>2.38811314546794</v>
      </c>
      <c r="P110" s="69">
        <f t="shared" si="13"/>
        <v>1.81338051569639</v>
      </c>
      <c r="Q110" s="69">
        <f t="shared" si="14"/>
        <v>2.97275495851142</v>
      </c>
      <c r="X110">
        <v>0</v>
      </c>
      <c r="Y110" s="52" t="s">
        <v>185</v>
      </c>
      <c r="Z110" s="69" t="s">
        <v>192</v>
      </c>
      <c r="AA110" s="69">
        <v>5</v>
      </c>
      <c r="AB110" s="69">
        <v>5</v>
      </c>
      <c r="AC110" s="69">
        <v>5</v>
      </c>
    </row>
    <row r="111" spans="3:29">
      <c r="C111" s="52" t="s">
        <v>185</v>
      </c>
      <c r="D111" s="69" t="s">
        <v>193</v>
      </c>
      <c r="E111" s="69">
        <v>4.18384600835176</v>
      </c>
      <c r="F111" s="70">
        <v>3.17694532056006</v>
      </c>
      <c r="G111" s="70">
        <v>5.20810707442889</v>
      </c>
      <c r="L111">
        <v>2050</v>
      </c>
      <c r="M111" s="52" t="s">
        <v>185</v>
      </c>
      <c r="N111" s="69" t="s">
        <v>193</v>
      </c>
      <c r="O111" s="69">
        <f t="shared" si="12"/>
        <v>1.3095438006141</v>
      </c>
      <c r="P111" s="69">
        <f t="shared" si="13"/>
        <v>0.994383885335299</v>
      </c>
      <c r="Q111" s="69">
        <f t="shared" si="14"/>
        <v>1.63013751429624</v>
      </c>
      <c r="X111">
        <v>0</v>
      </c>
      <c r="Y111" s="52" t="s">
        <v>185</v>
      </c>
      <c r="Z111" s="69" t="s">
        <v>193</v>
      </c>
      <c r="AA111" s="69">
        <v>5</v>
      </c>
      <c r="AB111" s="69">
        <v>5</v>
      </c>
      <c r="AC111" s="69">
        <v>5</v>
      </c>
    </row>
    <row r="112" spans="3:29">
      <c r="C112" s="52" t="s">
        <v>185</v>
      </c>
      <c r="D112" s="69" t="s">
        <v>194</v>
      </c>
      <c r="E112" s="69">
        <v>4.18384600835176</v>
      </c>
      <c r="F112" s="70">
        <v>3.17694532056006</v>
      </c>
      <c r="G112" s="70">
        <v>5.20810707442889</v>
      </c>
      <c r="L112">
        <v>2050</v>
      </c>
      <c r="M112" s="52" t="s">
        <v>185</v>
      </c>
      <c r="N112" s="69" t="s">
        <v>194</v>
      </c>
      <c r="O112" s="69">
        <f t="shared" si="12"/>
        <v>1.3095438006141</v>
      </c>
      <c r="P112" s="69">
        <f t="shared" si="13"/>
        <v>0.994383885335299</v>
      </c>
      <c r="Q112" s="69">
        <f t="shared" si="14"/>
        <v>1.63013751429624</v>
      </c>
      <c r="X112">
        <v>0</v>
      </c>
      <c r="Y112" s="52" t="s">
        <v>185</v>
      </c>
      <c r="Z112" s="69" t="s">
        <v>194</v>
      </c>
      <c r="AA112" s="69">
        <v>5</v>
      </c>
      <c r="AB112" s="69">
        <v>5</v>
      </c>
      <c r="AC112" s="69">
        <v>5</v>
      </c>
    </row>
    <row r="113" spans="3:29">
      <c r="C113" s="52" t="s">
        <v>185</v>
      </c>
      <c r="D113" s="69" t="s">
        <v>195</v>
      </c>
      <c r="E113" s="69">
        <v>4.18384600835176</v>
      </c>
      <c r="F113" s="70">
        <v>3.17694532056006</v>
      </c>
      <c r="G113" s="70">
        <v>5.20810707442889</v>
      </c>
      <c r="L113">
        <v>2050</v>
      </c>
      <c r="M113" s="52" t="s">
        <v>185</v>
      </c>
      <c r="N113" s="69" t="s">
        <v>195</v>
      </c>
      <c r="O113" s="69">
        <f t="shared" si="12"/>
        <v>1.3095438006141</v>
      </c>
      <c r="P113" s="69">
        <f t="shared" si="13"/>
        <v>0.994383885335299</v>
      </c>
      <c r="Q113" s="69">
        <f t="shared" si="14"/>
        <v>1.63013751429624</v>
      </c>
      <c r="X113">
        <v>0</v>
      </c>
      <c r="Y113" s="52" t="s">
        <v>185</v>
      </c>
      <c r="Z113" s="69" t="s">
        <v>195</v>
      </c>
      <c r="AA113" s="69">
        <v>5</v>
      </c>
      <c r="AB113" s="69">
        <v>5</v>
      </c>
      <c r="AC113" s="69">
        <v>5</v>
      </c>
    </row>
    <row r="114" spans="3:29">
      <c r="C114" s="52" t="s">
        <v>185</v>
      </c>
      <c r="D114" s="69" t="s">
        <v>196</v>
      </c>
      <c r="E114" s="69">
        <v>4.18384600835176</v>
      </c>
      <c r="F114" s="70">
        <v>3.17694532056006</v>
      </c>
      <c r="G114" s="70">
        <v>5.20810707442889</v>
      </c>
      <c r="L114">
        <v>2050</v>
      </c>
      <c r="M114" s="52" t="s">
        <v>185</v>
      </c>
      <c r="N114" s="69" t="s">
        <v>196</v>
      </c>
      <c r="O114" s="69">
        <f t="shared" si="12"/>
        <v>1.3095438006141</v>
      </c>
      <c r="P114" s="69">
        <f t="shared" si="13"/>
        <v>0.994383885335299</v>
      </c>
      <c r="Q114" s="69">
        <f t="shared" si="14"/>
        <v>1.63013751429624</v>
      </c>
      <c r="X114">
        <v>0</v>
      </c>
      <c r="Y114" s="52" t="s">
        <v>185</v>
      </c>
      <c r="Z114" s="69" t="s">
        <v>196</v>
      </c>
      <c r="AA114" s="69">
        <v>5</v>
      </c>
      <c r="AB114" s="69">
        <v>5</v>
      </c>
      <c r="AC114" s="69">
        <v>5</v>
      </c>
    </row>
    <row r="115" spans="3:29">
      <c r="C115" s="52" t="s">
        <v>185</v>
      </c>
      <c r="D115" s="69" t="s">
        <v>197</v>
      </c>
      <c r="E115" s="69">
        <v>4.18384600835176</v>
      </c>
      <c r="F115" s="70">
        <v>3.17694532056006</v>
      </c>
      <c r="G115" s="70">
        <v>5.20810707442889</v>
      </c>
      <c r="L115">
        <v>2050</v>
      </c>
      <c r="M115" s="52" t="s">
        <v>185</v>
      </c>
      <c r="N115" s="69" t="s">
        <v>197</v>
      </c>
      <c r="O115" s="69">
        <f t="shared" si="12"/>
        <v>1.3095438006141</v>
      </c>
      <c r="P115" s="69">
        <f t="shared" si="13"/>
        <v>0.994383885335299</v>
      </c>
      <c r="Q115" s="69">
        <f t="shared" si="14"/>
        <v>1.63013751429624</v>
      </c>
      <c r="X115">
        <v>0</v>
      </c>
      <c r="Y115" s="52" t="s">
        <v>185</v>
      </c>
      <c r="Z115" s="69" t="s">
        <v>197</v>
      </c>
      <c r="AA115" s="69">
        <v>5</v>
      </c>
      <c r="AB115" s="69">
        <v>5</v>
      </c>
      <c r="AC115" s="69">
        <v>5</v>
      </c>
    </row>
    <row r="116" spans="3:29">
      <c r="C116" s="52" t="s">
        <v>185</v>
      </c>
      <c r="D116" s="69" t="s">
        <v>198</v>
      </c>
      <c r="E116" s="69">
        <v>4.18384600835176</v>
      </c>
      <c r="F116" s="70">
        <v>3.17694532056006</v>
      </c>
      <c r="G116" s="70">
        <v>5.20810707442889</v>
      </c>
      <c r="L116">
        <v>2050</v>
      </c>
      <c r="M116" s="52" t="s">
        <v>185</v>
      </c>
      <c r="N116" s="69" t="s">
        <v>198</v>
      </c>
      <c r="O116" s="69">
        <f t="shared" si="12"/>
        <v>1.3095438006141</v>
      </c>
      <c r="P116" s="69">
        <f t="shared" si="13"/>
        <v>0.994383885335299</v>
      </c>
      <c r="Q116" s="69">
        <f t="shared" si="14"/>
        <v>1.63013751429624</v>
      </c>
      <c r="X116">
        <v>0</v>
      </c>
      <c r="Y116" s="52" t="s">
        <v>185</v>
      </c>
      <c r="Z116" s="69" t="s">
        <v>198</v>
      </c>
      <c r="AA116" s="69">
        <v>5</v>
      </c>
      <c r="AB116" s="69">
        <v>5</v>
      </c>
      <c r="AC116" s="69">
        <v>5</v>
      </c>
    </row>
    <row r="117" spans="3:29">
      <c r="C117" s="52" t="s">
        <v>185</v>
      </c>
      <c r="D117" s="69" t="s">
        <v>199</v>
      </c>
      <c r="E117" s="69">
        <v>4.18384600835176</v>
      </c>
      <c r="F117" s="70">
        <v>3.17694532056006</v>
      </c>
      <c r="G117" s="70">
        <v>5.20810707442889</v>
      </c>
      <c r="L117">
        <v>2050</v>
      </c>
      <c r="M117" s="52" t="s">
        <v>185</v>
      </c>
      <c r="N117" s="69" t="s">
        <v>199</v>
      </c>
      <c r="O117" s="69">
        <f t="shared" si="12"/>
        <v>1.3095438006141</v>
      </c>
      <c r="P117" s="69">
        <f t="shared" si="13"/>
        <v>0.994383885335299</v>
      </c>
      <c r="Q117" s="69">
        <f t="shared" si="14"/>
        <v>1.63013751429624</v>
      </c>
      <c r="X117">
        <v>0</v>
      </c>
      <c r="Y117" s="52" t="s">
        <v>185</v>
      </c>
      <c r="Z117" s="69" t="s">
        <v>199</v>
      </c>
      <c r="AA117" s="69">
        <v>5</v>
      </c>
      <c r="AB117" s="69">
        <v>5</v>
      </c>
      <c r="AC117" s="69">
        <v>5</v>
      </c>
    </row>
    <row r="118" spans="3:29">
      <c r="C118" s="52" t="s">
        <v>185</v>
      </c>
      <c r="D118" s="69" t="s">
        <v>200</v>
      </c>
      <c r="E118" s="69">
        <v>3.56556266273643</v>
      </c>
      <c r="F118" s="70">
        <v>2.70746042741341</v>
      </c>
      <c r="G118" s="70">
        <v>4.4384597641857</v>
      </c>
      <c r="L118">
        <v>2050</v>
      </c>
      <c r="M118" s="52" t="s">
        <v>185</v>
      </c>
      <c r="N118" s="69" t="s">
        <v>200</v>
      </c>
      <c r="O118" s="69">
        <f t="shared" si="12"/>
        <v>1.1160211134365</v>
      </c>
      <c r="P118" s="69">
        <f t="shared" si="13"/>
        <v>0.847435113780397</v>
      </c>
      <c r="Q118" s="69">
        <f t="shared" si="14"/>
        <v>1.38923790619012</v>
      </c>
      <c r="X118">
        <v>0</v>
      </c>
      <c r="Y118" s="52" t="s">
        <v>185</v>
      </c>
      <c r="Z118" s="69" t="s">
        <v>200</v>
      </c>
      <c r="AA118" s="69">
        <v>5</v>
      </c>
      <c r="AB118" s="69">
        <v>5</v>
      </c>
      <c r="AC118" s="69">
        <v>5</v>
      </c>
    </row>
    <row r="119" spans="3:29">
      <c r="C119" s="52" t="s">
        <v>185</v>
      </c>
      <c r="D119" s="69" t="s">
        <v>201</v>
      </c>
      <c r="E119" s="69">
        <v>3.60087708179809</v>
      </c>
      <c r="F119" s="70">
        <v>2.73427597641857</v>
      </c>
      <c r="G119" s="70">
        <v>4.48241960206338</v>
      </c>
      <c r="L119">
        <v>2050</v>
      </c>
      <c r="M119" s="52" t="s">
        <v>185</v>
      </c>
      <c r="N119" s="69" t="s">
        <v>201</v>
      </c>
      <c r="O119" s="69">
        <f t="shared" si="12"/>
        <v>1.1270745266028</v>
      </c>
      <c r="P119" s="69">
        <f t="shared" si="13"/>
        <v>0.855828380619012</v>
      </c>
      <c r="Q119" s="69">
        <f t="shared" si="14"/>
        <v>1.40299733544584</v>
      </c>
      <c r="X119">
        <v>0</v>
      </c>
      <c r="Y119" s="52" t="s">
        <v>185</v>
      </c>
      <c r="Z119" s="69" t="s">
        <v>201</v>
      </c>
      <c r="AA119" s="69">
        <v>5</v>
      </c>
      <c r="AB119" s="69">
        <v>5</v>
      </c>
      <c r="AC119" s="69">
        <v>5</v>
      </c>
    </row>
    <row r="120" spans="3:29">
      <c r="C120" s="52" t="s">
        <v>185</v>
      </c>
      <c r="D120" s="69" t="s">
        <v>202</v>
      </c>
      <c r="E120" s="69">
        <v>3.56556266273643</v>
      </c>
      <c r="F120" s="70">
        <v>2.70746042741341</v>
      </c>
      <c r="G120" s="70">
        <v>4.4384597641857</v>
      </c>
      <c r="L120">
        <v>2050</v>
      </c>
      <c r="M120" s="52" t="s">
        <v>185</v>
      </c>
      <c r="N120" s="69" t="s">
        <v>202</v>
      </c>
      <c r="O120" s="69">
        <f t="shared" si="12"/>
        <v>1.1160211134365</v>
      </c>
      <c r="P120" s="69">
        <f t="shared" si="13"/>
        <v>0.847435113780397</v>
      </c>
      <c r="Q120" s="69">
        <f t="shared" si="14"/>
        <v>1.38923790619012</v>
      </c>
      <c r="X120">
        <v>0</v>
      </c>
      <c r="Y120" s="52" t="s">
        <v>185</v>
      </c>
      <c r="Z120" s="69" t="s">
        <v>202</v>
      </c>
      <c r="AA120" s="69">
        <v>5</v>
      </c>
      <c r="AB120" s="69">
        <v>5</v>
      </c>
      <c r="AC120" s="69">
        <v>5</v>
      </c>
    </row>
    <row r="121" spans="3:29">
      <c r="C121" s="52" t="s">
        <v>185</v>
      </c>
      <c r="D121" s="69" t="s">
        <v>203</v>
      </c>
      <c r="E121" s="69">
        <v>3.56645369688037</v>
      </c>
      <c r="F121" s="70">
        <v>2.70813706705969</v>
      </c>
      <c r="G121" s="70">
        <v>4.43956890198968</v>
      </c>
      <c r="L121">
        <v>2050</v>
      </c>
      <c r="M121" s="52" t="s">
        <v>185</v>
      </c>
      <c r="N121" s="69" t="s">
        <v>203</v>
      </c>
      <c r="O121" s="69">
        <f t="shared" si="12"/>
        <v>1.11630000712356</v>
      </c>
      <c r="P121" s="69">
        <f t="shared" si="13"/>
        <v>0.847646901989683</v>
      </c>
      <c r="Q121" s="69">
        <f t="shared" si="14"/>
        <v>1.38958506632277</v>
      </c>
      <c r="X121">
        <v>0</v>
      </c>
      <c r="Y121" s="52" t="s">
        <v>185</v>
      </c>
      <c r="Z121" s="69" t="s">
        <v>203</v>
      </c>
      <c r="AA121" s="69">
        <v>5</v>
      </c>
      <c r="AB121" s="69">
        <v>5</v>
      </c>
      <c r="AC121" s="69">
        <v>5</v>
      </c>
    </row>
    <row r="122" spans="3:29">
      <c r="C122" s="52" t="s">
        <v>185</v>
      </c>
      <c r="D122" s="69" t="s">
        <v>204</v>
      </c>
      <c r="E122" s="69">
        <v>3.56585961680177</v>
      </c>
      <c r="F122" s="70">
        <v>2.70768592483419</v>
      </c>
      <c r="G122" s="70">
        <v>4.43882940309506</v>
      </c>
      <c r="L122">
        <v>2050</v>
      </c>
      <c r="M122" s="52" t="s">
        <v>185</v>
      </c>
      <c r="N122" s="69" t="s">
        <v>204</v>
      </c>
      <c r="O122" s="69">
        <f t="shared" si="12"/>
        <v>1.11611406005895</v>
      </c>
      <c r="P122" s="69">
        <f t="shared" si="13"/>
        <v>0.847505694473101</v>
      </c>
      <c r="Q122" s="69">
        <f t="shared" si="14"/>
        <v>1.38935360316875</v>
      </c>
      <c r="X122">
        <v>0</v>
      </c>
      <c r="Y122" s="52" t="s">
        <v>185</v>
      </c>
      <c r="Z122" s="69" t="s">
        <v>204</v>
      </c>
      <c r="AA122" s="69">
        <v>5</v>
      </c>
      <c r="AB122" s="69">
        <v>5</v>
      </c>
      <c r="AC122" s="69">
        <v>5</v>
      </c>
    </row>
    <row r="123" spans="3:29">
      <c r="C123" s="52" t="s">
        <v>185</v>
      </c>
      <c r="D123" s="69" t="s">
        <v>205</v>
      </c>
      <c r="E123" s="69">
        <v>3.56556266273643</v>
      </c>
      <c r="F123" s="70">
        <v>2.70746042741341</v>
      </c>
      <c r="G123" s="70">
        <v>4.4384597641857</v>
      </c>
      <c r="L123">
        <v>2050</v>
      </c>
      <c r="M123" s="52" t="s">
        <v>185</v>
      </c>
      <c r="N123" s="69" t="s">
        <v>205</v>
      </c>
      <c r="O123" s="69">
        <f t="shared" si="12"/>
        <v>1.1160211134365</v>
      </c>
      <c r="P123" s="69">
        <f t="shared" si="13"/>
        <v>0.847435113780397</v>
      </c>
      <c r="Q123" s="69">
        <f t="shared" si="14"/>
        <v>1.38923790619012</v>
      </c>
      <c r="X123">
        <v>0</v>
      </c>
      <c r="Y123" s="52" t="s">
        <v>185</v>
      </c>
      <c r="Z123" s="69" t="s">
        <v>205</v>
      </c>
      <c r="AA123" s="69">
        <v>5</v>
      </c>
      <c r="AB123" s="69">
        <v>5</v>
      </c>
      <c r="AC123" s="69">
        <v>5</v>
      </c>
    </row>
    <row r="124" spans="3:29">
      <c r="C124" s="52" t="s">
        <v>185</v>
      </c>
      <c r="D124" s="71" t="s">
        <v>206</v>
      </c>
      <c r="E124" s="69">
        <v>3.56496890198968</v>
      </c>
      <c r="F124" s="70">
        <v>2.70700957995578</v>
      </c>
      <c r="G124" s="70">
        <v>4.43772063375092</v>
      </c>
      <c r="L124">
        <v>2050</v>
      </c>
      <c r="M124" s="52" t="s">
        <v>185</v>
      </c>
      <c r="N124" s="71" t="s">
        <v>206</v>
      </c>
      <c r="O124" s="69">
        <f t="shared" si="12"/>
        <v>1.11583526632277</v>
      </c>
      <c r="P124" s="69">
        <f t="shared" si="13"/>
        <v>0.847293998526159</v>
      </c>
      <c r="Q124" s="69">
        <f t="shared" si="14"/>
        <v>1.38900655836404</v>
      </c>
      <c r="X124">
        <v>0</v>
      </c>
      <c r="Y124" s="52" t="s">
        <v>185</v>
      </c>
      <c r="Z124" s="69" t="s">
        <v>206</v>
      </c>
      <c r="AA124" s="69">
        <v>5</v>
      </c>
      <c r="AB124" s="69">
        <v>5</v>
      </c>
      <c r="AC124" s="69">
        <v>5</v>
      </c>
    </row>
    <row r="132" spans="3:25">
      <c r="C132" s="52"/>
      <c r="D132" t="s">
        <v>114</v>
      </c>
      <c r="M132" s="52"/>
      <c r="Y132" s="52"/>
    </row>
    <row r="133" spans="3:29">
      <c r="C133" s="52" t="s">
        <v>116</v>
      </c>
      <c r="D133" s="69" t="s">
        <v>64</v>
      </c>
      <c r="E133" s="69" t="s">
        <v>65</v>
      </c>
      <c r="F133" s="69"/>
      <c r="G133" s="69"/>
      <c r="M133" s="52"/>
      <c r="N133" s="52"/>
      <c r="O133" s="52"/>
      <c r="P133" s="52"/>
      <c r="Q133" s="52"/>
      <c r="Y133" s="52"/>
      <c r="Z133" s="52"/>
      <c r="AA133" s="52"/>
      <c r="AB133" s="52"/>
      <c r="AC133" s="52"/>
    </row>
    <row r="134" spans="3:29">
      <c r="C134" s="52" t="s">
        <v>207</v>
      </c>
      <c r="D134" s="69" t="s">
        <v>186</v>
      </c>
      <c r="E134" s="69">
        <v>0.001</v>
      </c>
      <c r="F134" s="70"/>
      <c r="G134" s="70"/>
      <c r="M134" s="52"/>
      <c r="N134" s="52"/>
      <c r="O134" s="52"/>
      <c r="P134" s="52"/>
      <c r="Q134" s="52"/>
      <c r="Y134" s="52"/>
      <c r="Z134" s="52"/>
      <c r="AA134" s="52"/>
      <c r="AB134" s="52"/>
      <c r="AC134" s="52"/>
    </row>
    <row r="135" spans="3:29">
      <c r="C135" s="52" t="s">
        <v>207</v>
      </c>
      <c r="D135" s="69" t="s">
        <v>187</v>
      </c>
      <c r="E135" s="69">
        <f>E134</f>
        <v>0.001</v>
      </c>
      <c r="F135" s="70"/>
      <c r="G135" s="70"/>
      <c r="M135" s="52"/>
      <c r="N135" s="52"/>
      <c r="O135" s="52"/>
      <c r="P135" s="52"/>
      <c r="Q135" s="52"/>
      <c r="Y135" s="52"/>
      <c r="Z135" s="52"/>
      <c r="AA135" s="52"/>
      <c r="AB135" s="52"/>
      <c r="AC135" s="52"/>
    </row>
    <row r="136" spans="3:29">
      <c r="C136" s="52" t="s">
        <v>207</v>
      </c>
      <c r="D136" s="69" t="s">
        <v>188</v>
      </c>
      <c r="E136" s="69">
        <f t="shared" ref="E136:E154" si="15">E135</f>
        <v>0.001</v>
      </c>
      <c r="F136" s="70"/>
      <c r="G136" s="70"/>
      <c r="M136" s="52"/>
      <c r="N136" s="52"/>
      <c r="O136" s="52"/>
      <c r="P136" s="52"/>
      <c r="Q136" s="52"/>
      <c r="Y136" s="52"/>
      <c r="Z136" s="52"/>
      <c r="AA136" s="52"/>
      <c r="AB136" s="52"/>
      <c r="AC136" s="52"/>
    </row>
    <row r="137" spans="3:29">
      <c r="C137" s="52" t="s">
        <v>207</v>
      </c>
      <c r="D137" s="69" t="s">
        <v>189</v>
      </c>
      <c r="E137" s="69">
        <f t="shared" si="15"/>
        <v>0.001</v>
      </c>
      <c r="F137" s="70"/>
      <c r="G137" s="70"/>
      <c r="M137" s="52"/>
      <c r="N137" s="52"/>
      <c r="O137" s="52"/>
      <c r="P137" s="52"/>
      <c r="Q137" s="52"/>
      <c r="Y137" s="52"/>
      <c r="Z137" s="52"/>
      <c r="AA137" s="52"/>
      <c r="AB137" s="52"/>
      <c r="AC137" s="52"/>
    </row>
    <row r="138" spans="3:29">
      <c r="C138" s="52" t="s">
        <v>207</v>
      </c>
      <c r="D138" s="69" t="s">
        <v>190</v>
      </c>
      <c r="E138" s="69">
        <f t="shared" si="15"/>
        <v>0.001</v>
      </c>
      <c r="F138" s="70"/>
      <c r="G138" s="70"/>
      <c r="M138" s="52"/>
      <c r="N138" s="52"/>
      <c r="O138" s="52"/>
      <c r="P138" s="52"/>
      <c r="Q138" s="52"/>
      <c r="Y138" s="52"/>
      <c r="Z138" s="52"/>
      <c r="AA138" s="52"/>
      <c r="AB138" s="52"/>
      <c r="AC138" s="52"/>
    </row>
    <row r="139" spans="3:29">
      <c r="C139" s="52" t="s">
        <v>207</v>
      </c>
      <c r="D139" s="69" t="s">
        <v>191</v>
      </c>
      <c r="E139" s="69">
        <f t="shared" si="15"/>
        <v>0.001</v>
      </c>
      <c r="F139" s="70"/>
      <c r="G139" s="70"/>
      <c r="M139" s="52"/>
      <c r="N139" s="52"/>
      <c r="O139" s="52"/>
      <c r="P139" s="52"/>
      <c r="Q139" s="52"/>
      <c r="Y139" s="52"/>
      <c r="Z139" s="52"/>
      <c r="AA139" s="52"/>
      <c r="AB139" s="52"/>
      <c r="AC139" s="52"/>
    </row>
    <row r="140" spans="3:29">
      <c r="C140" s="52" t="s">
        <v>207</v>
      </c>
      <c r="D140" s="69" t="s">
        <v>192</v>
      </c>
      <c r="E140" s="69">
        <f t="shared" si="15"/>
        <v>0.001</v>
      </c>
      <c r="F140" s="70"/>
      <c r="G140" s="70"/>
      <c r="M140" s="52"/>
      <c r="N140" s="52"/>
      <c r="O140" s="52"/>
      <c r="P140" s="52"/>
      <c r="Q140" s="52"/>
      <c r="Y140" s="52"/>
      <c r="Z140" s="52"/>
      <c r="AA140" s="52"/>
      <c r="AB140" s="52"/>
      <c r="AC140" s="52"/>
    </row>
    <row r="141" spans="3:29">
      <c r="C141" s="52" t="s">
        <v>207</v>
      </c>
      <c r="D141" s="69" t="s">
        <v>193</v>
      </c>
      <c r="E141" s="69">
        <f t="shared" si="15"/>
        <v>0.001</v>
      </c>
      <c r="F141" s="70"/>
      <c r="G141" s="70"/>
      <c r="M141" s="52"/>
      <c r="N141" s="52"/>
      <c r="O141" s="52"/>
      <c r="P141" s="52"/>
      <c r="Q141" s="52"/>
      <c r="Y141" s="52"/>
      <c r="Z141" s="52"/>
      <c r="AA141" s="52"/>
      <c r="AB141" s="52"/>
      <c r="AC141" s="52"/>
    </row>
    <row r="142" spans="3:29">
      <c r="C142" s="52" t="s">
        <v>207</v>
      </c>
      <c r="D142" s="69" t="s">
        <v>194</v>
      </c>
      <c r="E142" s="69">
        <f t="shared" si="15"/>
        <v>0.001</v>
      </c>
      <c r="F142" s="70"/>
      <c r="G142" s="70"/>
      <c r="M142" s="52"/>
      <c r="N142" s="52"/>
      <c r="O142" s="52"/>
      <c r="P142" s="52"/>
      <c r="Q142" s="52"/>
      <c r="Y142" s="52"/>
      <c r="Z142" s="52"/>
      <c r="AA142" s="52"/>
      <c r="AB142" s="52"/>
      <c r="AC142" s="52"/>
    </row>
    <row r="143" spans="3:29">
      <c r="C143" s="52" t="s">
        <v>207</v>
      </c>
      <c r="D143" s="69" t="s">
        <v>195</v>
      </c>
      <c r="E143" s="69">
        <f t="shared" si="15"/>
        <v>0.001</v>
      </c>
      <c r="F143" s="70"/>
      <c r="G143" s="70"/>
      <c r="M143" s="52"/>
      <c r="N143" s="52"/>
      <c r="O143" s="52"/>
      <c r="P143" s="52"/>
      <c r="Q143" s="52"/>
      <c r="Y143" s="52"/>
      <c r="Z143" s="52"/>
      <c r="AA143" s="52"/>
      <c r="AB143" s="52"/>
      <c r="AC143" s="52"/>
    </row>
    <row r="144" spans="3:29">
      <c r="C144" s="52" t="s">
        <v>207</v>
      </c>
      <c r="D144" s="69" t="s">
        <v>196</v>
      </c>
      <c r="E144" s="69">
        <f t="shared" si="15"/>
        <v>0.001</v>
      </c>
      <c r="F144" s="70"/>
      <c r="G144" s="70"/>
      <c r="M144" s="52"/>
      <c r="N144" s="52"/>
      <c r="O144" s="52"/>
      <c r="P144" s="52"/>
      <c r="Q144" s="52"/>
      <c r="Y144" s="52"/>
      <c r="Z144" s="52"/>
      <c r="AA144" s="52"/>
      <c r="AB144" s="52"/>
      <c r="AC144" s="52"/>
    </row>
    <row r="145" spans="3:29">
      <c r="C145" s="52" t="s">
        <v>207</v>
      </c>
      <c r="D145" s="69" t="s">
        <v>197</v>
      </c>
      <c r="E145" s="69">
        <f t="shared" si="15"/>
        <v>0.001</v>
      </c>
      <c r="F145" s="70"/>
      <c r="G145" s="70"/>
      <c r="M145" s="52"/>
      <c r="N145" s="52"/>
      <c r="O145" s="52"/>
      <c r="P145" s="52"/>
      <c r="Q145" s="52"/>
      <c r="Y145" s="52"/>
      <c r="Z145" s="52"/>
      <c r="AA145" s="52"/>
      <c r="AB145" s="52"/>
      <c r="AC145" s="52"/>
    </row>
    <row r="146" spans="3:29">
      <c r="C146" s="52" t="s">
        <v>207</v>
      </c>
      <c r="D146" s="69" t="s">
        <v>198</v>
      </c>
      <c r="E146" s="69">
        <f t="shared" si="15"/>
        <v>0.001</v>
      </c>
      <c r="F146" s="70"/>
      <c r="G146" s="70"/>
      <c r="M146" s="52"/>
      <c r="N146" s="52"/>
      <c r="O146" s="52"/>
      <c r="P146" s="52"/>
      <c r="Q146" s="52"/>
      <c r="Y146" s="52"/>
      <c r="Z146" s="52"/>
      <c r="AA146" s="52"/>
      <c r="AB146" s="52"/>
      <c r="AC146" s="52"/>
    </row>
    <row r="147" spans="3:29">
      <c r="C147" s="52" t="s">
        <v>207</v>
      </c>
      <c r="D147" s="69" t="s">
        <v>199</v>
      </c>
      <c r="E147" s="69">
        <f t="shared" si="15"/>
        <v>0.001</v>
      </c>
      <c r="F147" s="70"/>
      <c r="G147" s="70"/>
      <c r="M147" s="52"/>
      <c r="N147" s="52"/>
      <c r="O147" s="52"/>
      <c r="P147" s="52"/>
      <c r="Q147" s="52"/>
      <c r="Y147" s="52"/>
      <c r="Z147" s="52"/>
      <c r="AA147" s="52"/>
      <c r="AB147" s="52"/>
      <c r="AC147" s="52"/>
    </row>
    <row r="148" spans="3:29">
      <c r="C148" s="52" t="s">
        <v>207</v>
      </c>
      <c r="D148" s="69" t="s">
        <v>200</v>
      </c>
      <c r="E148" s="69">
        <f t="shared" si="15"/>
        <v>0.001</v>
      </c>
      <c r="F148" s="70"/>
      <c r="G148" s="70"/>
      <c r="M148" s="52"/>
      <c r="N148" s="52"/>
      <c r="O148" s="52"/>
      <c r="P148" s="52"/>
      <c r="Q148" s="52"/>
      <c r="Y148" s="52"/>
      <c r="Z148" s="52"/>
      <c r="AA148" s="52"/>
      <c r="AB148" s="52"/>
      <c r="AC148" s="52"/>
    </row>
    <row r="149" spans="3:29">
      <c r="C149" s="52" t="s">
        <v>207</v>
      </c>
      <c r="D149" s="69" t="s">
        <v>201</v>
      </c>
      <c r="E149" s="69">
        <f t="shared" si="15"/>
        <v>0.001</v>
      </c>
      <c r="F149" s="70"/>
      <c r="G149" s="70"/>
      <c r="M149" s="52"/>
      <c r="N149" s="52"/>
      <c r="O149" s="52"/>
      <c r="P149" s="52"/>
      <c r="Q149" s="52"/>
      <c r="Y149" s="52"/>
      <c r="Z149" s="52"/>
      <c r="AA149" s="52"/>
      <c r="AB149" s="52"/>
      <c r="AC149" s="52"/>
    </row>
    <row r="150" spans="3:29">
      <c r="C150" s="52" t="s">
        <v>207</v>
      </c>
      <c r="D150" s="69" t="s">
        <v>202</v>
      </c>
      <c r="E150" s="69">
        <f t="shared" si="15"/>
        <v>0.001</v>
      </c>
      <c r="F150" s="70"/>
      <c r="G150" s="70"/>
      <c r="M150" s="52"/>
      <c r="N150" s="52"/>
      <c r="O150" s="52"/>
      <c r="P150" s="52"/>
      <c r="Q150" s="52"/>
      <c r="Y150" s="52"/>
      <c r="Z150" s="52"/>
      <c r="AA150" s="52"/>
      <c r="AB150" s="52"/>
      <c r="AC150" s="52"/>
    </row>
    <row r="151" spans="3:29">
      <c r="C151" s="52" t="s">
        <v>207</v>
      </c>
      <c r="D151" s="69" t="s">
        <v>203</v>
      </c>
      <c r="E151" s="69">
        <f t="shared" si="15"/>
        <v>0.001</v>
      </c>
      <c r="F151" s="70"/>
      <c r="G151" s="70"/>
      <c r="M151" s="52"/>
      <c r="N151" s="52"/>
      <c r="O151" s="52"/>
      <c r="P151" s="52"/>
      <c r="Q151" s="52"/>
      <c r="Y151" s="52"/>
      <c r="Z151" s="52"/>
      <c r="AA151" s="52"/>
      <c r="AB151" s="52"/>
      <c r="AC151" s="52"/>
    </row>
    <row r="152" spans="3:29">
      <c r="C152" s="52" t="s">
        <v>207</v>
      </c>
      <c r="D152" s="69" t="s">
        <v>204</v>
      </c>
      <c r="E152" s="69">
        <f t="shared" si="15"/>
        <v>0.001</v>
      </c>
      <c r="F152" s="70"/>
      <c r="G152" s="70"/>
      <c r="M152" s="52"/>
      <c r="N152" s="52"/>
      <c r="O152" s="52"/>
      <c r="P152" s="52"/>
      <c r="Q152" s="52"/>
      <c r="Y152" s="52"/>
      <c r="Z152" s="52"/>
      <c r="AA152" s="52"/>
      <c r="AB152" s="52"/>
      <c r="AC152" s="52"/>
    </row>
    <row r="153" spans="3:29">
      <c r="C153" s="52" t="s">
        <v>207</v>
      </c>
      <c r="D153" s="69" t="s">
        <v>205</v>
      </c>
      <c r="E153" s="69">
        <f t="shared" si="15"/>
        <v>0.001</v>
      </c>
      <c r="F153" s="70"/>
      <c r="G153" s="70"/>
      <c r="M153" s="52"/>
      <c r="N153" s="52"/>
      <c r="O153" s="52"/>
      <c r="P153" s="52"/>
      <c r="Q153" s="52"/>
      <c r="Y153" s="52"/>
      <c r="Z153" s="52"/>
      <c r="AA153" s="52"/>
      <c r="AB153" s="52"/>
      <c r="AC153" s="52"/>
    </row>
    <row r="154" spans="3:29">
      <c r="C154" s="52" t="s">
        <v>207</v>
      </c>
      <c r="D154" s="71" t="s">
        <v>206</v>
      </c>
      <c r="E154" s="69">
        <f t="shared" si="15"/>
        <v>0.001</v>
      </c>
      <c r="F154" s="70"/>
      <c r="G154" s="70"/>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V26" sqref="V26"/>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208</v>
      </c>
      <c r="F1" t="s">
        <v>209</v>
      </c>
      <c r="G1" t="s">
        <v>41</v>
      </c>
      <c r="H1" t="s">
        <v>210</v>
      </c>
      <c r="I1" t="s">
        <v>211</v>
      </c>
      <c r="J1" t="s">
        <v>212</v>
      </c>
      <c r="K1" t="s">
        <v>213</v>
      </c>
      <c r="L1" t="s">
        <v>214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topLeftCell="R1" workbookViewId="0">
      <selection activeCell="V25" sqref="V25:X25"/>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215</v>
      </c>
      <c r="M4" s="29"/>
      <c r="N4" s="30"/>
      <c r="O4" s="30"/>
      <c r="P4" s="30"/>
      <c r="Q4" s="30"/>
      <c r="R4" s="22" t="s">
        <v>215</v>
      </c>
      <c r="S4" s="30"/>
      <c r="T4" s="30"/>
      <c r="U4" s="30"/>
      <c r="V4" s="30"/>
      <c r="W4" s="30"/>
      <c r="X4" s="22" t="s">
        <v>215</v>
      </c>
      <c r="Y4" s="30"/>
      <c r="Z4" s="30"/>
      <c r="AA4" s="30"/>
      <c r="AB4" s="30"/>
      <c r="AC4" s="30"/>
      <c r="AD4" s="22" t="s">
        <v>215</v>
      </c>
      <c r="AE4" s="30"/>
      <c r="AF4" s="30"/>
      <c r="AG4" s="30"/>
      <c r="AH4" s="30"/>
      <c r="AI4" s="30"/>
      <c r="AJ4" s="22" t="s">
        <v>215</v>
      </c>
      <c r="AK4" s="30"/>
      <c r="AL4" s="30"/>
      <c r="AM4" s="30"/>
      <c r="AN4" s="30"/>
      <c r="AO4" s="30"/>
      <c r="AP4" s="22" t="s">
        <v>215</v>
      </c>
      <c r="AQ4" s="30"/>
      <c r="AT4" s="30"/>
      <c r="AU4" s="30"/>
      <c r="AV4" s="22" t="s">
        <v>215</v>
      </c>
      <c r="AW4" s="30"/>
      <c r="AZ4" s="2"/>
      <c r="BA4" s="2"/>
      <c r="BB4" s="2"/>
      <c r="BC4" s="2"/>
    </row>
    <row r="5" s="27" customFormat="1" ht="14.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6" spans="4:55">
      <c r="D6" s="29"/>
      <c r="E6" s="32"/>
      <c r="F6" s="31"/>
      <c r="G6" s="33"/>
      <c r="H6" s="30"/>
      <c r="I6" s="30"/>
      <c r="J6" s="29" t="s">
        <v>124</v>
      </c>
      <c r="K6" s="32" t="s">
        <v>216</v>
      </c>
      <c r="L6" s="24" t="s">
        <v>217</v>
      </c>
      <c r="M6" s="36">
        <f t="shared" ref="M6:M9" si="0">M16/1000</f>
        <v>0.0768000000000001</v>
      </c>
      <c r="N6" s="30"/>
      <c r="O6" s="30"/>
      <c r="P6" s="29" t="s">
        <v>124</v>
      </c>
      <c r="Q6" s="32" t="s">
        <v>218</v>
      </c>
      <c r="R6" s="24" t="s">
        <v>217</v>
      </c>
      <c r="S6" s="36">
        <f t="shared" ref="S6:S9" si="1">S16/1000</f>
        <v>0.0713</v>
      </c>
      <c r="T6" s="30"/>
      <c r="U6" s="30"/>
      <c r="V6" s="29" t="s">
        <v>124</v>
      </c>
      <c r="W6" s="32" t="s">
        <v>219</v>
      </c>
      <c r="X6" s="24" t="s">
        <v>217</v>
      </c>
      <c r="Y6" s="36">
        <f t="shared" ref="Y6:Y9" si="2">Y16/1000</f>
        <v>0.0712</v>
      </c>
      <c r="Z6" s="30"/>
      <c r="AA6" s="30"/>
      <c r="AB6" s="29" t="s">
        <v>124</v>
      </c>
      <c r="AC6" s="32" t="s">
        <v>220</v>
      </c>
      <c r="AD6" s="24" t="s">
        <v>217</v>
      </c>
      <c r="AE6" s="36">
        <f t="shared" ref="AE6:AE9" si="3">AE16/1000</f>
        <v>0.0725</v>
      </c>
      <c r="AF6" s="30"/>
      <c r="AG6" s="30"/>
      <c r="AH6" s="29" t="s">
        <v>124</v>
      </c>
      <c r="AI6" s="32" t="s">
        <v>221</v>
      </c>
      <c r="AJ6" s="24" t="s">
        <v>217</v>
      </c>
      <c r="AK6" s="36">
        <f t="shared" ref="AK6:AK9" si="4">AK16/1000</f>
        <v>0.077</v>
      </c>
      <c r="AL6" s="30"/>
      <c r="AM6" s="30"/>
      <c r="AN6" s="29" t="s">
        <v>124</v>
      </c>
      <c r="AO6" s="32" t="s">
        <v>222</v>
      </c>
      <c r="AP6" s="24" t="s">
        <v>217</v>
      </c>
      <c r="AQ6" s="36">
        <f t="shared" ref="AQ6:AQ9" si="5">AQ16/1000</f>
        <v>0.0424</v>
      </c>
      <c r="AT6" s="29" t="s">
        <v>124</v>
      </c>
      <c r="AU6" s="32" t="s">
        <v>223</v>
      </c>
      <c r="AV6" s="24" t="s">
        <v>217</v>
      </c>
      <c r="AW6" s="36">
        <f t="shared" ref="AW6:AW9" si="6">AW16/1000</f>
        <v>0.0472</v>
      </c>
      <c r="AZ6" s="2"/>
      <c r="BA6" s="2"/>
      <c r="BB6" s="2"/>
      <c r="BC6" s="2"/>
    </row>
    <row r="7" s="27" customFormat="1" ht="16" spans="4:55">
      <c r="D7" s="29"/>
      <c r="E7" s="32"/>
      <c r="F7" s="31"/>
      <c r="G7" s="33"/>
      <c r="H7" s="30"/>
      <c r="I7" s="30"/>
      <c r="J7" s="29" t="s">
        <v>124</v>
      </c>
      <c r="K7" s="32" t="s">
        <v>216</v>
      </c>
      <c r="L7" s="24" t="s">
        <v>224</v>
      </c>
      <c r="M7" s="36">
        <f t="shared" si="0"/>
        <v>0.2026</v>
      </c>
      <c r="N7" s="30"/>
      <c r="O7" s="30"/>
      <c r="P7" s="29" t="s">
        <v>124</v>
      </c>
      <c r="Q7" s="32" t="s">
        <v>218</v>
      </c>
      <c r="R7" s="24" t="s">
        <v>224</v>
      </c>
      <c r="S7" s="36">
        <f t="shared" si="1"/>
        <v>0.1913</v>
      </c>
      <c r="T7" s="30"/>
      <c r="U7" s="30"/>
      <c r="V7" s="29" t="s">
        <v>124</v>
      </c>
      <c r="W7" s="32" t="s">
        <v>219</v>
      </c>
      <c r="X7" s="24" t="s">
        <v>224</v>
      </c>
      <c r="Y7" s="36">
        <f t="shared" si="2"/>
        <v>0.1915</v>
      </c>
      <c r="Z7" s="30"/>
      <c r="AA7" s="30"/>
      <c r="AB7" s="29" t="s">
        <v>124</v>
      </c>
      <c r="AC7" s="32" t="s">
        <v>220</v>
      </c>
      <c r="AD7" s="24" t="s">
        <v>224</v>
      </c>
      <c r="AE7" s="36">
        <f t="shared" si="3"/>
        <v>0.1859</v>
      </c>
      <c r="AF7" s="30"/>
      <c r="AG7" s="30"/>
      <c r="AH7" s="29" t="s">
        <v>124</v>
      </c>
      <c r="AI7" s="32" t="s">
        <v>221</v>
      </c>
      <c r="AJ7" s="24" t="s">
        <v>224</v>
      </c>
      <c r="AK7" s="36">
        <f t="shared" si="4"/>
        <v>0.1982</v>
      </c>
      <c r="AL7" s="30"/>
      <c r="AM7" s="30"/>
      <c r="AN7" s="29" t="s">
        <v>124</v>
      </c>
      <c r="AO7" s="32" t="s">
        <v>222</v>
      </c>
      <c r="AP7" s="24" t="s">
        <v>224</v>
      </c>
      <c r="AQ7" s="36">
        <f t="shared" si="5"/>
        <v>0.0768</v>
      </c>
      <c r="AT7" s="29" t="s">
        <v>124</v>
      </c>
      <c r="AU7" s="32" t="s">
        <v>223</v>
      </c>
      <c r="AV7" s="24" t="s">
        <v>224</v>
      </c>
      <c r="AW7" s="36">
        <f t="shared" si="6"/>
        <v>0.1555</v>
      </c>
      <c r="AZ7" s="2"/>
      <c r="BA7" s="2"/>
      <c r="BB7" s="2"/>
      <c r="BC7" s="2"/>
    </row>
    <row r="8" s="27" customFormat="1" ht="14.5" customHeight="1" spans="4:55">
      <c r="D8" s="29"/>
      <c r="E8" s="32"/>
      <c r="F8" s="31"/>
      <c r="G8" s="33"/>
      <c r="H8" s="30"/>
      <c r="I8" s="30"/>
      <c r="J8" s="29" t="s">
        <v>124</v>
      </c>
      <c r="K8" s="32" t="s">
        <v>216</v>
      </c>
      <c r="L8" s="24" t="s">
        <v>225</v>
      </c>
      <c r="M8" s="36">
        <f t="shared" si="0"/>
        <v>0.5838</v>
      </c>
      <c r="N8" s="30"/>
      <c r="O8" s="30"/>
      <c r="P8" s="29" t="s">
        <v>124</v>
      </c>
      <c r="Q8" s="32" t="s">
        <v>218</v>
      </c>
      <c r="R8" s="24" t="s">
        <v>225</v>
      </c>
      <c r="S8" s="36">
        <f t="shared" si="1"/>
        <v>0.5561</v>
      </c>
      <c r="T8" s="30"/>
      <c r="U8" s="30"/>
      <c r="V8" s="29" t="s">
        <v>124</v>
      </c>
      <c r="W8" s="32" t="s">
        <v>219</v>
      </c>
      <c r="X8" s="24" t="s">
        <v>225</v>
      </c>
      <c r="Y8" s="36">
        <f t="shared" si="2"/>
        <v>0.5579</v>
      </c>
      <c r="Z8" s="30"/>
      <c r="AA8" s="30"/>
      <c r="AB8" s="29" t="s">
        <v>124</v>
      </c>
      <c r="AC8" s="32" t="s">
        <v>220</v>
      </c>
      <c r="AD8" s="24" t="s">
        <v>225</v>
      </c>
      <c r="AE8" s="36">
        <f t="shared" si="3"/>
        <v>0.5505</v>
      </c>
      <c r="AF8" s="30"/>
      <c r="AG8" s="30"/>
      <c r="AH8" s="29" t="s">
        <v>124</v>
      </c>
      <c r="AI8" s="32" t="s">
        <v>221</v>
      </c>
      <c r="AJ8" s="24" t="s">
        <v>225</v>
      </c>
      <c r="AK8" s="36">
        <f t="shared" si="4"/>
        <v>0.5942</v>
      </c>
      <c r="AL8" s="30"/>
      <c r="AM8" s="30"/>
      <c r="AN8" s="29" t="s">
        <v>124</v>
      </c>
      <c r="AO8" s="32" t="s">
        <v>222</v>
      </c>
      <c r="AP8" s="24" t="s">
        <v>225</v>
      </c>
      <c r="AQ8" s="36">
        <f t="shared" si="5"/>
        <v>0.4099</v>
      </c>
      <c r="AT8" s="29" t="s">
        <v>124</v>
      </c>
      <c r="AU8" s="32" t="s">
        <v>223</v>
      </c>
      <c r="AV8" s="24" t="s">
        <v>225</v>
      </c>
      <c r="AW8" s="36">
        <f t="shared" si="6"/>
        <v>0.477</v>
      </c>
      <c r="AZ8" s="2"/>
      <c r="BA8" s="2"/>
      <c r="BB8" s="2"/>
      <c r="BC8" s="2"/>
    </row>
    <row r="9" s="27" customFormat="1" ht="16" spans="4:55">
      <c r="D9" s="29"/>
      <c r="E9" s="32"/>
      <c r="F9" s="31"/>
      <c r="G9" s="33"/>
      <c r="H9" s="30"/>
      <c r="I9" s="30"/>
      <c r="J9" s="29" t="s">
        <v>124</v>
      </c>
      <c r="K9" s="32" t="s">
        <v>216</v>
      </c>
      <c r="L9" s="24" t="s">
        <v>226</v>
      </c>
      <c r="M9" s="36">
        <f t="shared" si="0"/>
        <v>0.1275</v>
      </c>
      <c r="N9" s="30"/>
      <c r="O9" s="30"/>
      <c r="P9" s="29" t="s">
        <v>124</v>
      </c>
      <c r="Q9" s="32" t="s">
        <v>218</v>
      </c>
      <c r="R9" s="24" t="s">
        <v>226</v>
      </c>
      <c r="S9" s="36">
        <f t="shared" si="1"/>
        <v>0.1337</v>
      </c>
      <c r="T9" s="30"/>
      <c r="U9" s="30"/>
      <c r="V9" s="29" t="s">
        <v>124</v>
      </c>
      <c r="W9" s="32" t="s">
        <v>219</v>
      </c>
      <c r="X9" s="24" t="s">
        <v>226</v>
      </c>
      <c r="Y9" s="36">
        <f t="shared" si="2"/>
        <v>0.1403</v>
      </c>
      <c r="Z9" s="30"/>
      <c r="AA9" s="30"/>
      <c r="AB9" s="29" t="s">
        <v>124</v>
      </c>
      <c r="AC9" s="32" t="s">
        <v>220</v>
      </c>
      <c r="AD9" s="24" t="s">
        <v>226</v>
      </c>
      <c r="AE9" s="36">
        <f t="shared" si="3"/>
        <v>0.1499</v>
      </c>
      <c r="AF9" s="30"/>
      <c r="AG9" s="30"/>
      <c r="AH9" s="29" t="s">
        <v>124</v>
      </c>
      <c r="AI9" s="32" t="s">
        <v>221</v>
      </c>
      <c r="AJ9" s="24" t="s">
        <v>226</v>
      </c>
      <c r="AK9" s="36">
        <f t="shared" si="4"/>
        <v>0.1608</v>
      </c>
      <c r="AL9" s="30"/>
      <c r="AM9" s="30"/>
      <c r="AN9" s="29" t="s">
        <v>124</v>
      </c>
      <c r="AO9" s="32" t="s">
        <v>222</v>
      </c>
      <c r="AP9" s="24" t="s">
        <v>226</v>
      </c>
      <c r="AQ9" s="36">
        <f t="shared" si="5"/>
        <v>0.057</v>
      </c>
      <c r="AT9" s="29" t="s">
        <v>124</v>
      </c>
      <c r="AU9" s="32" t="s">
        <v>223</v>
      </c>
      <c r="AV9" s="24" t="s">
        <v>226</v>
      </c>
      <c r="AW9" s="36">
        <f t="shared" si="6"/>
        <v>0.0952</v>
      </c>
      <c r="AZ9" s="2"/>
      <c r="BA9" s="2"/>
      <c r="BB9" s="2"/>
      <c r="BC9" s="2"/>
    </row>
    <row r="10" s="27" customFormat="1" ht="16" spans="4:9">
      <c r="D10" s="30"/>
      <c r="E10" s="32"/>
      <c r="G10" s="33"/>
      <c r="H10" s="30"/>
      <c r="I10" s="30"/>
    </row>
    <row r="13" s="28" customFormat="1"/>
    <row r="14" s="1" customFormat="1" ht="14.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6"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6"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6"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6"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 spans="4:55">
      <c r="D24" s="29"/>
      <c r="E24" s="29"/>
      <c r="F24" s="29"/>
      <c r="G24" s="29"/>
      <c r="H24" s="30"/>
      <c r="I24" s="30"/>
      <c r="J24" s="29"/>
      <c r="K24" s="29"/>
      <c r="L24" s="22" t="s">
        <v>215</v>
      </c>
      <c r="M24" s="29"/>
      <c r="N24" s="30"/>
      <c r="O24" s="30"/>
      <c r="P24" s="30"/>
      <c r="Q24" s="30"/>
      <c r="R24" s="22" t="s">
        <v>215</v>
      </c>
      <c r="S24" s="30"/>
      <c r="T24" s="30"/>
      <c r="U24" s="30"/>
      <c r="V24" s="30"/>
      <c r="W24" s="30"/>
      <c r="X24" s="22" t="s">
        <v>215</v>
      </c>
      <c r="Y24" s="30"/>
      <c r="Z24" s="30"/>
      <c r="AA24" s="30"/>
      <c r="AB24" s="30"/>
      <c r="AC24" s="30"/>
      <c r="AD24" s="22" t="s">
        <v>215</v>
      </c>
      <c r="AE24" s="30"/>
      <c r="AF24" s="30"/>
      <c r="AG24" s="30"/>
      <c r="AH24" s="30"/>
      <c r="AI24" s="30"/>
      <c r="AJ24" s="22" t="s">
        <v>215</v>
      </c>
      <c r="AK24" s="30"/>
      <c r="AL24" s="30"/>
      <c r="AM24" s="30"/>
      <c r="AN24" s="30"/>
      <c r="AO24" s="30"/>
      <c r="AP24" s="22" t="s">
        <v>215</v>
      </c>
      <c r="AQ24" s="30"/>
      <c r="AT24" s="30"/>
      <c r="AU24" s="30"/>
      <c r="AV24" s="22" t="s">
        <v>215</v>
      </c>
      <c r="AW24" s="30"/>
      <c r="AZ24" s="2"/>
      <c r="BA24" s="2"/>
      <c r="BB24" s="2"/>
      <c r="BC24" s="2"/>
    </row>
    <row r="25" s="27" customFormat="1" ht="14.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6" spans="10:49">
      <c r="J26" s="29" t="s">
        <v>124</v>
      </c>
      <c r="K26" s="32" t="str">
        <f t="shared" ref="K26:K29" si="14">K6</f>
        <v>Tra_EV_Batt-NMC 111_virgin</v>
      </c>
      <c r="L26" s="24" t="s">
        <v>217</v>
      </c>
      <c r="M26" s="33">
        <f t="shared" ref="M26:M29" si="15">T73/1000</f>
        <v>0.0774</v>
      </c>
      <c r="N26" s="30"/>
      <c r="O26" s="30"/>
      <c r="P26" s="29" t="s">
        <v>124</v>
      </c>
      <c r="Q26" s="32" t="str">
        <f t="shared" ref="Q26:Q29" si="16">Q6</f>
        <v>Tra_EV_Batt-NMC532_virgin</v>
      </c>
      <c r="R26" s="24" t="s">
        <v>217</v>
      </c>
      <c r="S26" s="39">
        <f t="shared" ref="S26:S29" si="17">S32/1000</f>
        <v>0.072</v>
      </c>
      <c r="T26" s="30"/>
      <c r="U26" s="30"/>
      <c r="V26" s="29" t="s">
        <v>124</v>
      </c>
      <c r="W26" s="32" t="str">
        <f t="shared" ref="W26:W29" si="18">W6</f>
        <v>Tra_EV_Batt-NMC 622_virgin</v>
      </c>
      <c r="X26" s="24" t="s">
        <v>217</v>
      </c>
      <c r="Y26" s="39">
        <f t="shared" ref="Y26:Y29" si="19">Y32/1000</f>
        <v>0.0719</v>
      </c>
      <c r="Z26" s="30"/>
      <c r="AA26" s="30"/>
      <c r="AB26" s="29" t="s">
        <v>124</v>
      </c>
      <c r="AC26" s="32" t="str">
        <f t="shared" ref="AC26:AC29" si="20">AC6</f>
        <v>Tra_EV_Batt-NMC 811_virgin</v>
      </c>
      <c r="AD26" s="24" t="s">
        <v>217</v>
      </c>
      <c r="AE26" s="39">
        <f t="shared" ref="AE26:AE29" si="21">AE32/1000</f>
        <v>0.0731</v>
      </c>
      <c r="AF26" s="30"/>
      <c r="AG26" s="30"/>
      <c r="AH26" s="29" t="s">
        <v>124</v>
      </c>
      <c r="AI26" s="32" t="str">
        <f t="shared" ref="AI26:AI29" si="22">AI6</f>
        <v>Tra_EV_Batt-NCA_virgin</v>
      </c>
      <c r="AJ26" s="24" t="s">
        <v>217</v>
      </c>
      <c r="AK26" s="39">
        <f t="shared" ref="AK26:AK29" si="23">AK32/1000</f>
        <v>0.0776999999999999</v>
      </c>
      <c r="AL26" s="30"/>
      <c r="AM26" s="30"/>
      <c r="AN26" s="29" t="s">
        <v>124</v>
      </c>
      <c r="AO26" s="32" t="str">
        <f t="shared" ref="AO26:AO29" si="24">AO6</f>
        <v>Tra_EV_Batt-LMO_virgin</v>
      </c>
      <c r="AP26" s="24" t="s">
        <v>217</v>
      </c>
      <c r="AQ26" s="39">
        <f t="shared" ref="AQ26:AQ29" si="25">AQ32/1000</f>
        <v>0.0431</v>
      </c>
      <c r="AR26" s="27"/>
      <c r="AS26" s="27"/>
      <c r="AT26" s="29" t="s">
        <v>124</v>
      </c>
      <c r="AU26" s="32" t="str">
        <f t="shared" ref="AU26:AU29" si="26">AU6</f>
        <v>Tra_EV_Batt-LFP_virgin</v>
      </c>
      <c r="AV26" s="24" t="s">
        <v>217</v>
      </c>
      <c r="AW26" s="39">
        <f t="shared" ref="AW26:AW29" si="27">AW32/1000</f>
        <v>0.0478</v>
      </c>
    </row>
    <row r="27" ht="16" spans="10:49">
      <c r="J27" s="29" t="s">
        <v>124</v>
      </c>
      <c r="K27" s="32" t="str">
        <f t="shared" si="14"/>
        <v>Tra_EV_Batt-NMC 111_virgin</v>
      </c>
      <c r="L27" s="24" t="s">
        <v>224</v>
      </c>
      <c r="M27" s="33">
        <f t="shared" si="15"/>
        <v>0.2366</v>
      </c>
      <c r="N27" s="30"/>
      <c r="O27" s="30"/>
      <c r="P27" s="29" t="s">
        <v>124</v>
      </c>
      <c r="Q27" s="32" t="str">
        <f t="shared" si="16"/>
        <v>Tra_EV_Batt-NMC532_virgin</v>
      </c>
      <c r="R27" s="24" t="s">
        <v>224</v>
      </c>
      <c r="S27" s="39">
        <f t="shared" si="17"/>
        <v>0.2252</v>
      </c>
      <c r="T27" s="30"/>
      <c r="U27" s="30"/>
      <c r="V27" s="29" t="s">
        <v>124</v>
      </c>
      <c r="W27" s="32" t="str">
        <f t="shared" si="18"/>
        <v>Tra_EV_Batt-NMC 622_virgin</v>
      </c>
      <c r="X27" s="24" t="s">
        <v>224</v>
      </c>
      <c r="Y27" s="39">
        <f t="shared" si="19"/>
        <v>0.2255</v>
      </c>
      <c r="Z27" s="30"/>
      <c r="AA27" s="30"/>
      <c r="AB27" s="29" t="s">
        <v>124</v>
      </c>
      <c r="AC27" s="32" t="str">
        <f t="shared" si="20"/>
        <v>Tra_EV_Batt-NMC 811_virgin</v>
      </c>
      <c r="AD27" s="24" t="s">
        <v>224</v>
      </c>
      <c r="AE27" s="39">
        <f t="shared" si="21"/>
        <v>0.2198</v>
      </c>
      <c r="AF27" s="30"/>
      <c r="AG27" s="30"/>
      <c r="AH27" s="29" t="s">
        <v>124</v>
      </c>
      <c r="AI27" s="32" t="str">
        <f t="shared" si="22"/>
        <v>Tra_EV_Batt-NCA_virgin</v>
      </c>
      <c r="AJ27" s="24" t="s">
        <v>224</v>
      </c>
      <c r="AK27" s="39">
        <f t="shared" si="23"/>
        <v>0.2322</v>
      </c>
      <c r="AL27" s="30"/>
      <c r="AM27" s="30"/>
      <c r="AN27" s="29" t="s">
        <v>124</v>
      </c>
      <c r="AO27" s="32" t="str">
        <f t="shared" si="24"/>
        <v>Tra_EV_Batt-LMO_virgin</v>
      </c>
      <c r="AP27" s="24" t="s">
        <v>224</v>
      </c>
      <c r="AQ27" s="39">
        <f t="shared" si="25"/>
        <v>0.1108</v>
      </c>
      <c r="AR27" s="27"/>
      <c r="AS27" s="27"/>
      <c r="AT27" s="29" t="s">
        <v>124</v>
      </c>
      <c r="AU27" s="32" t="str">
        <f t="shared" si="26"/>
        <v>Tra_EV_Batt-LFP_virgin</v>
      </c>
      <c r="AV27" s="24" t="s">
        <v>224</v>
      </c>
      <c r="AW27" s="39">
        <f t="shared" si="27"/>
        <v>0.1895</v>
      </c>
    </row>
    <row r="28" ht="16" spans="10:49">
      <c r="J28" s="29" t="s">
        <v>124</v>
      </c>
      <c r="K28" s="32" t="str">
        <f t="shared" si="14"/>
        <v>Tra_EV_Batt-NMC 111_virgin</v>
      </c>
      <c r="L28" s="24" t="s">
        <v>225</v>
      </c>
      <c r="M28" s="33">
        <f t="shared" si="15"/>
        <v>0.5598</v>
      </c>
      <c r="N28" s="30"/>
      <c r="O28" s="30"/>
      <c r="P28" s="29" t="s">
        <v>124</v>
      </c>
      <c r="Q28" s="32" t="str">
        <f t="shared" si="16"/>
        <v>Tra_EV_Batt-NMC532_virgin</v>
      </c>
      <c r="R28" s="24" t="s">
        <v>225</v>
      </c>
      <c r="S28" s="39">
        <f t="shared" si="17"/>
        <v>0.5321</v>
      </c>
      <c r="T28" s="30"/>
      <c r="U28" s="30"/>
      <c r="V28" s="29" t="s">
        <v>124</v>
      </c>
      <c r="W28" s="32" t="str">
        <f t="shared" si="18"/>
        <v>Tra_EV_Batt-NMC 622_virgin</v>
      </c>
      <c r="X28" s="24" t="s">
        <v>225</v>
      </c>
      <c r="Y28" s="39">
        <f t="shared" si="19"/>
        <v>0.5339</v>
      </c>
      <c r="Z28" s="30"/>
      <c r="AA28" s="30"/>
      <c r="AB28" s="29" t="s">
        <v>124</v>
      </c>
      <c r="AC28" s="32" t="str">
        <f t="shared" si="20"/>
        <v>Tra_EV_Batt-NMC 811_virgin</v>
      </c>
      <c r="AD28" s="24" t="s">
        <v>225</v>
      </c>
      <c r="AE28" s="39">
        <f t="shared" si="21"/>
        <v>0.5264</v>
      </c>
      <c r="AF28" s="30"/>
      <c r="AG28" s="30"/>
      <c r="AH28" s="29" t="s">
        <v>124</v>
      </c>
      <c r="AI28" s="32" t="str">
        <f t="shared" si="22"/>
        <v>Tra_EV_Batt-NCA_virgin</v>
      </c>
      <c r="AJ28" s="24" t="s">
        <v>225</v>
      </c>
      <c r="AK28" s="39">
        <f t="shared" si="23"/>
        <v>0.5702</v>
      </c>
      <c r="AL28" s="30"/>
      <c r="AM28" s="30"/>
      <c r="AN28" s="29" t="s">
        <v>124</v>
      </c>
      <c r="AO28" s="32" t="str">
        <f t="shared" si="24"/>
        <v>Tra_EV_Batt-LMO_virgin</v>
      </c>
      <c r="AP28" s="24" t="s">
        <v>225</v>
      </c>
      <c r="AQ28" s="39">
        <f t="shared" si="25"/>
        <v>0.3858</v>
      </c>
      <c r="AR28" s="27"/>
      <c r="AS28" s="27"/>
      <c r="AT28" s="29" t="s">
        <v>124</v>
      </c>
      <c r="AU28" s="32" t="str">
        <f t="shared" si="26"/>
        <v>Tra_EV_Batt-LFP_virgin</v>
      </c>
      <c r="AV28" s="24" t="s">
        <v>225</v>
      </c>
      <c r="AW28" s="39">
        <f t="shared" si="27"/>
        <v>0.453</v>
      </c>
    </row>
    <row r="29" ht="16" spans="10:49">
      <c r="J29" s="29" t="s">
        <v>124</v>
      </c>
      <c r="K29" s="32" t="str">
        <f t="shared" si="14"/>
        <v>Tra_EV_Batt-NMC 111_virgin</v>
      </c>
      <c r="L29" s="24" t="s">
        <v>226</v>
      </c>
      <c r="M29" s="33">
        <f t="shared" si="15"/>
        <v>0.1277</v>
      </c>
      <c r="N29" s="30"/>
      <c r="O29" s="30"/>
      <c r="P29" s="29" t="s">
        <v>124</v>
      </c>
      <c r="Q29" s="32" t="str">
        <f t="shared" si="16"/>
        <v>Tra_EV_Batt-NMC532_virgin</v>
      </c>
      <c r="R29" s="24" t="s">
        <v>226</v>
      </c>
      <c r="S29" s="39">
        <f t="shared" si="17"/>
        <v>0.134</v>
      </c>
      <c r="T29" s="30"/>
      <c r="U29" s="30"/>
      <c r="V29" s="29" t="s">
        <v>124</v>
      </c>
      <c r="W29" s="32" t="str">
        <f t="shared" si="18"/>
        <v>Tra_EV_Batt-NMC 622_virgin</v>
      </c>
      <c r="X29" s="24" t="s">
        <v>226</v>
      </c>
      <c r="Y29" s="39">
        <f t="shared" si="19"/>
        <v>0.1406</v>
      </c>
      <c r="Z29" s="30"/>
      <c r="AA29" s="30"/>
      <c r="AB29" s="29" t="s">
        <v>124</v>
      </c>
      <c r="AC29" s="32" t="str">
        <f t="shared" si="20"/>
        <v>Tra_EV_Batt-NMC 811_virgin</v>
      </c>
      <c r="AD29" s="24" t="s">
        <v>226</v>
      </c>
      <c r="AE29" s="39">
        <f t="shared" si="21"/>
        <v>0.1502</v>
      </c>
      <c r="AF29" s="30"/>
      <c r="AG29" s="30"/>
      <c r="AH29" s="29" t="s">
        <v>124</v>
      </c>
      <c r="AI29" s="32" t="str">
        <f t="shared" si="22"/>
        <v>Tra_EV_Batt-NCA_virgin</v>
      </c>
      <c r="AJ29" s="24" t="s">
        <v>226</v>
      </c>
      <c r="AK29" s="39">
        <f t="shared" si="23"/>
        <v>0.1611</v>
      </c>
      <c r="AL29" s="30"/>
      <c r="AM29" s="30"/>
      <c r="AN29" s="29" t="s">
        <v>124</v>
      </c>
      <c r="AO29" s="32" t="str">
        <f t="shared" si="24"/>
        <v>Tra_EV_Batt-LMO_virgin</v>
      </c>
      <c r="AP29" s="24" t="s">
        <v>226</v>
      </c>
      <c r="AQ29" s="39">
        <f t="shared" si="25"/>
        <v>0.0572</v>
      </c>
      <c r="AR29" s="27"/>
      <c r="AS29" s="27"/>
      <c r="AT29" s="29" t="s">
        <v>124</v>
      </c>
      <c r="AU29" s="32" t="str">
        <f t="shared" si="26"/>
        <v>Tra_EV_Batt-LFP_virgin</v>
      </c>
      <c r="AV29" s="24" t="s">
        <v>226</v>
      </c>
      <c r="AW29" s="39">
        <f t="shared" si="27"/>
        <v>0.0955</v>
      </c>
    </row>
    <row r="32" ht="14.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9:49">
      <c r="S33" s="38">
        <f t="shared" si="28"/>
        <v>225.2</v>
      </c>
      <c r="Y33" s="38">
        <f t="shared" si="29"/>
        <v>225.5</v>
      </c>
      <c r="AE33" s="38">
        <f t="shared" si="30"/>
        <v>219.8</v>
      </c>
      <c r="AK33" s="38">
        <f t="shared" si="31"/>
        <v>232.2</v>
      </c>
      <c r="AQ33" s="38">
        <f t="shared" si="32"/>
        <v>110.8</v>
      </c>
      <c r="AW33" s="38">
        <f t="shared" si="33"/>
        <v>189.5</v>
      </c>
    </row>
    <row r="34" ht="14.5" spans="19:49">
      <c r="S34" s="38">
        <f t="shared" si="28"/>
        <v>532.1</v>
      </c>
      <c r="Y34" s="38">
        <f t="shared" si="29"/>
        <v>533.9</v>
      </c>
      <c r="AE34" s="38">
        <f t="shared" si="30"/>
        <v>526.4</v>
      </c>
      <c r="AK34" s="38">
        <f t="shared" si="31"/>
        <v>570.2</v>
      </c>
      <c r="AQ34" s="38">
        <f t="shared" si="32"/>
        <v>385.8</v>
      </c>
      <c r="AW34" s="38">
        <f t="shared" si="33"/>
        <v>453</v>
      </c>
    </row>
    <row r="35" ht="14.5" spans="19:49">
      <c r="S35" s="38">
        <f t="shared" si="28"/>
        <v>134</v>
      </c>
      <c r="Y35" s="38">
        <f t="shared" si="29"/>
        <v>140.6</v>
      </c>
      <c r="AE35" s="38">
        <f t="shared" si="30"/>
        <v>150.2</v>
      </c>
      <c r="AK35" s="38">
        <f t="shared" si="31"/>
        <v>161.1</v>
      </c>
      <c r="AQ35" s="38">
        <f t="shared" si="32"/>
        <v>57.2</v>
      </c>
      <c r="AW35" s="38">
        <f t="shared" si="33"/>
        <v>95.5</v>
      </c>
    </row>
    <row r="42" ht="14.5" spans="17:26">
      <c r="Q42" s="1" t="s">
        <v>227</v>
      </c>
      <c r="R42" s="1"/>
      <c r="S42" s="1"/>
      <c r="T42" s="1"/>
      <c r="U42" s="1"/>
      <c r="V42" s="1"/>
      <c r="W42" s="1"/>
      <c r="X42" s="1"/>
      <c r="Y42" s="1"/>
      <c r="Z42" s="1"/>
    </row>
    <row r="43" ht="15.5" spans="17:26">
      <c r="Q43" s="40" t="s">
        <v>228</v>
      </c>
      <c r="R43" s="40" t="s">
        <v>229</v>
      </c>
      <c r="S43" s="41" t="s">
        <v>230</v>
      </c>
      <c r="T43" s="41"/>
      <c r="U43" s="41"/>
      <c r="V43" s="41"/>
      <c r="W43" s="41"/>
      <c r="X43" s="41"/>
      <c r="Y43" s="41"/>
      <c r="Z43" s="41"/>
    </row>
    <row r="44" ht="15.5" spans="17:26">
      <c r="Q44" s="40"/>
      <c r="R44" s="40"/>
      <c r="S44" s="41" t="s">
        <v>231</v>
      </c>
      <c r="T44" s="41" t="s">
        <v>232</v>
      </c>
      <c r="U44" s="41" t="s">
        <v>233</v>
      </c>
      <c r="V44" s="41" t="s">
        <v>234</v>
      </c>
      <c r="W44" s="41" t="s">
        <v>235</v>
      </c>
      <c r="X44" s="41" t="s">
        <v>236</v>
      </c>
      <c r="Y44" s="41" t="s">
        <v>237</v>
      </c>
      <c r="Z44" s="41" t="s">
        <v>238</v>
      </c>
    </row>
    <row r="45" ht="15.5" spans="17:26">
      <c r="Q45" s="40" t="s">
        <v>239</v>
      </c>
      <c r="R45" s="42" t="s">
        <v>240</v>
      </c>
      <c r="S45" s="43">
        <v>1211.3</v>
      </c>
      <c r="T45" s="43">
        <v>990.7</v>
      </c>
      <c r="U45" s="43">
        <v>952.4</v>
      </c>
      <c r="V45" s="43">
        <v>961</v>
      </c>
      <c r="W45" s="43">
        <v>958.7</v>
      </c>
      <c r="X45" s="43">
        <v>1030.2</v>
      </c>
      <c r="Y45" s="43">
        <v>586.1</v>
      </c>
      <c r="Z45" s="43">
        <v>775</v>
      </c>
    </row>
    <row r="46" ht="15.5" spans="17:26">
      <c r="Q46" s="40"/>
      <c r="R46" s="42" t="s">
        <v>241</v>
      </c>
      <c r="S46" s="43">
        <v>1103.7</v>
      </c>
      <c r="T46" s="43">
        <v>913.9</v>
      </c>
      <c r="U46" s="43">
        <v>881.1</v>
      </c>
      <c r="V46" s="43">
        <v>889.8</v>
      </c>
      <c r="W46" s="43">
        <v>886.2</v>
      </c>
      <c r="X46" s="43">
        <v>953.2</v>
      </c>
      <c r="Y46" s="43">
        <v>543.7</v>
      </c>
      <c r="Z46" s="43">
        <v>727.8</v>
      </c>
    </row>
    <row r="47" ht="15.5" spans="17:26">
      <c r="Q47" s="40"/>
      <c r="R47" s="42" t="s">
        <v>242</v>
      </c>
      <c r="S47" s="43">
        <v>267.3</v>
      </c>
      <c r="T47" s="43">
        <v>202.6</v>
      </c>
      <c r="U47" s="43">
        <v>191.3</v>
      </c>
      <c r="V47" s="43">
        <v>191.5</v>
      </c>
      <c r="W47" s="43">
        <v>185.9</v>
      </c>
      <c r="X47" s="43">
        <v>198.2</v>
      </c>
      <c r="Y47" s="43">
        <v>76.8</v>
      </c>
      <c r="Z47" s="43">
        <v>155.5</v>
      </c>
    </row>
    <row r="48" ht="15.5" spans="17:26">
      <c r="Q48" s="40"/>
      <c r="R48" s="42" t="s">
        <v>243</v>
      </c>
      <c r="S48" s="43">
        <v>692.5</v>
      </c>
      <c r="T48" s="43">
        <v>583.8</v>
      </c>
      <c r="U48" s="43">
        <v>556.1</v>
      </c>
      <c r="V48" s="43">
        <v>557.9</v>
      </c>
      <c r="W48" s="43">
        <v>550.5</v>
      </c>
      <c r="X48" s="43">
        <v>594.2</v>
      </c>
      <c r="Y48" s="43">
        <v>409.9</v>
      </c>
      <c r="Z48" s="43">
        <v>477</v>
      </c>
    </row>
    <row r="49" ht="15.5" spans="17:26">
      <c r="Q49" s="40"/>
      <c r="R49" s="42" t="s">
        <v>244</v>
      </c>
      <c r="S49" s="43">
        <v>144</v>
      </c>
      <c r="T49" s="43">
        <v>127.5</v>
      </c>
      <c r="U49" s="43">
        <v>133.7</v>
      </c>
      <c r="V49" s="43">
        <v>140.3</v>
      </c>
      <c r="W49" s="43">
        <v>149.9</v>
      </c>
      <c r="X49" s="43">
        <v>160.8</v>
      </c>
      <c r="Y49" s="43">
        <v>57</v>
      </c>
      <c r="Z49" s="43">
        <v>95.2</v>
      </c>
    </row>
    <row r="50" ht="15.5" spans="17:26">
      <c r="Q50" s="40" t="s">
        <v>245</v>
      </c>
      <c r="R50" s="42" t="s">
        <v>240</v>
      </c>
      <c r="S50" s="43">
        <v>1217.1</v>
      </c>
      <c r="T50" s="43">
        <v>996.4</v>
      </c>
      <c r="U50" s="43">
        <v>958.2</v>
      </c>
      <c r="V50" s="43">
        <v>966.8</v>
      </c>
      <c r="W50" s="43">
        <v>964.4</v>
      </c>
      <c r="X50" s="43">
        <v>1036</v>
      </c>
      <c r="Y50" s="43">
        <v>591.9</v>
      </c>
      <c r="Z50" s="43">
        <v>780.8</v>
      </c>
    </row>
    <row r="51" ht="15.5" spans="17:26">
      <c r="Q51" s="40"/>
      <c r="R51" s="42" t="s">
        <v>241</v>
      </c>
      <c r="S51" s="43">
        <v>1109.8</v>
      </c>
      <c r="T51" s="43">
        <v>920</v>
      </c>
      <c r="U51" s="43">
        <v>887.2</v>
      </c>
      <c r="V51" s="43">
        <v>895.9</v>
      </c>
      <c r="W51" s="43">
        <v>892.3</v>
      </c>
      <c r="X51" s="43">
        <v>959.3</v>
      </c>
      <c r="Y51" s="43">
        <v>549.8</v>
      </c>
      <c r="Z51" s="43">
        <v>733.9</v>
      </c>
    </row>
    <row r="52" ht="15.5" spans="17:26">
      <c r="Q52" s="40"/>
      <c r="R52" s="42" t="s">
        <v>242</v>
      </c>
      <c r="S52" s="43">
        <v>280.2</v>
      </c>
      <c r="T52" s="43">
        <v>215.6</v>
      </c>
      <c r="U52" s="43">
        <v>204.2</v>
      </c>
      <c r="V52" s="43">
        <v>204.5</v>
      </c>
      <c r="W52" s="43">
        <v>198.8</v>
      </c>
      <c r="X52" s="43">
        <v>211.1</v>
      </c>
      <c r="Y52" s="43">
        <v>89.8</v>
      </c>
      <c r="Z52" s="43">
        <v>168.5</v>
      </c>
    </row>
    <row r="53" ht="15.5" spans="17:26">
      <c r="Q53" s="40"/>
      <c r="R53" s="42" t="s">
        <v>243</v>
      </c>
      <c r="S53" s="43">
        <v>684.6</v>
      </c>
      <c r="T53" s="43">
        <v>575.9</v>
      </c>
      <c r="U53" s="43">
        <v>548.2</v>
      </c>
      <c r="V53" s="43">
        <v>550</v>
      </c>
      <c r="W53" s="43">
        <v>542.6</v>
      </c>
      <c r="X53" s="43">
        <v>586.3</v>
      </c>
      <c r="Y53" s="43">
        <v>402</v>
      </c>
      <c r="Z53" s="43">
        <v>469.1</v>
      </c>
    </row>
    <row r="54" ht="15.5" spans="17:26">
      <c r="Q54" s="40"/>
      <c r="R54" s="42" t="s">
        <v>244</v>
      </c>
      <c r="S54" s="43">
        <v>145</v>
      </c>
      <c r="T54" s="43">
        <v>128.5</v>
      </c>
      <c r="U54" s="43">
        <v>134.7</v>
      </c>
      <c r="V54" s="43">
        <v>141.3</v>
      </c>
      <c r="W54" s="43">
        <v>150.9</v>
      </c>
      <c r="X54" s="43">
        <v>161.9</v>
      </c>
      <c r="Y54" s="43">
        <v>58</v>
      </c>
      <c r="Z54" s="43">
        <v>96.3</v>
      </c>
    </row>
    <row r="55" ht="15.5" spans="17:26">
      <c r="Q55" s="40" t="s">
        <v>11</v>
      </c>
      <c r="R55" s="42" t="s">
        <v>240</v>
      </c>
      <c r="S55" s="43">
        <v>1222.2</v>
      </c>
      <c r="T55" s="43">
        <v>1001.5</v>
      </c>
      <c r="U55" s="43">
        <v>963.3</v>
      </c>
      <c r="V55" s="43">
        <v>971.9</v>
      </c>
      <c r="W55" s="43">
        <v>969.5</v>
      </c>
      <c r="X55" s="43">
        <v>1041.1</v>
      </c>
      <c r="Y55" s="43">
        <v>597</v>
      </c>
      <c r="Z55" s="43">
        <v>785.8</v>
      </c>
    </row>
    <row r="56" ht="15.5" spans="17:26">
      <c r="Q56" s="40"/>
      <c r="R56" s="42" t="s">
        <v>241</v>
      </c>
      <c r="S56" s="43">
        <v>1113.9</v>
      </c>
      <c r="T56" s="43">
        <v>924.1</v>
      </c>
      <c r="U56" s="43">
        <v>891.3</v>
      </c>
      <c r="V56" s="43">
        <v>900</v>
      </c>
      <c r="W56" s="43">
        <v>896.4</v>
      </c>
      <c r="X56" s="43">
        <v>963.4</v>
      </c>
      <c r="Y56" s="43">
        <v>553.9</v>
      </c>
      <c r="Z56" s="43">
        <v>738</v>
      </c>
    </row>
    <row r="57" ht="15.5" spans="17:26">
      <c r="Q57" s="40"/>
      <c r="R57" s="42" t="s">
        <v>242</v>
      </c>
      <c r="S57" s="43">
        <v>301.2</v>
      </c>
      <c r="T57" s="43">
        <v>236.6</v>
      </c>
      <c r="U57" s="43">
        <v>225.2</v>
      </c>
      <c r="V57" s="43">
        <v>225.5</v>
      </c>
      <c r="W57" s="43">
        <v>219.8</v>
      </c>
      <c r="X57" s="43">
        <v>232.2</v>
      </c>
      <c r="Y57" s="43">
        <v>110.8</v>
      </c>
      <c r="Z57" s="43">
        <v>189.5</v>
      </c>
    </row>
    <row r="58" ht="15.5" spans="17:26">
      <c r="Q58" s="40"/>
      <c r="R58" s="42" t="s">
        <v>243</v>
      </c>
      <c r="S58" s="43">
        <v>668.4</v>
      </c>
      <c r="T58" s="43">
        <v>559.8</v>
      </c>
      <c r="U58" s="43">
        <v>532.1</v>
      </c>
      <c r="V58" s="43">
        <v>533.9</v>
      </c>
      <c r="W58" s="43">
        <v>526.4</v>
      </c>
      <c r="X58" s="43">
        <v>570.2</v>
      </c>
      <c r="Y58" s="43">
        <v>385.8</v>
      </c>
      <c r="Z58" s="43">
        <v>453</v>
      </c>
    </row>
    <row r="59" ht="15.5" spans="17:26">
      <c r="Q59" s="40"/>
      <c r="R59" s="42" t="s">
        <v>244</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246</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231</v>
      </c>
      <c r="T64" s="41" t="s">
        <v>232</v>
      </c>
      <c r="U64" s="41" t="s">
        <v>233</v>
      </c>
      <c r="V64" s="41" t="s">
        <v>234</v>
      </c>
      <c r="W64" s="41" t="s">
        <v>235</v>
      </c>
      <c r="X64" s="41" t="s">
        <v>236</v>
      </c>
      <c r="Y64" s="41" t="s">
        <v>237</v>
      </c>
      <c r="Z64" s="41" t="s">
        <v>238</v>
      </c>
    </row>
    <row r="65" ht="14.5" spans="17:26">
      <c r="Q65" s="44" t="s">
        <v>239</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242</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243</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244</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245</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242</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243</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244</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242</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243</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244</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247</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242</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243</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244</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6" zoomScaleNormal="36" topLeftCell="C143" workbookViewId="0">
      <selection activeCell="AP162" sqref="AP162:AP165"/>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5"/>
      <c r="L1" s="5" t="s">
        <v>249</v>
      </c>
      <c r="M1" s="5"/>
      <c r="N1" s="5"/>
      <c r="O1" s="5"/>
      <c r="P1" s="5"/>
      <c r="Q1" s="5"/>
      <c r="R1" s="5"/>
      <c r="S1" s="5"/>
      <c r="T1" s="5"/>
      <c r="U1" s="5"/>
      <c r="V1" s="5"/>
      <c r="W1" s="5" t="s">
        <v>250</v>
      </c>
      <c r="X1" s="5"/>
      <c r="Y1" s="5"/>
      <c r="Z1" s="5"/>
      <c r="AA1" s="5"/>
      <c r="AB1" s="14" t="s">
        <v>251</v>
      </c>
      <c r="AC1" s="14"/>
      <c r="AD1" s="5"/>
      <c r="AE1" s="5"/>
      <c r="AF1" s="5" t="s">
        <v>252</v>
      </c>
      <c r="AG1" s="5"/>
      <c r="AH1" s="5"/>
      <c r="AI1" s="5"/>
      <c r="AJ1" s="5"/>
      <c r="AK1" s="5"/>
      <c r="AL1" s="5"/>
      <c r="AM1" s="5"/>
      <c r="AN1" s="5"/>
      <c r="AO1" s="5" t="s">
        <v>253</v>
      </c>
      <c r="AP1" s="5"/>
      <c r="AQ1" s="5"/>
      <c r="AR1" s="5"/>
      <c r="AS1" s="5"/>
      <c r="AT1" s="5"/>
      <c r="AU1" s="5"/>
      <c r="AZ1" s="3" t="s">
        <v>248</v>
      </c>
      <c r="BA1" s="3"/>
      <c r="BB1" s="3"/>
      <c r="BC1" s="3"/>
      <c r="BD1" s="3"/>
      <c r="BE1" s="3"/>
      <c r="BF1" s="3"/>
      <c r="BG1" s="3"/>
      <c r="BH1" s="3"/>
      <c r="BI1" s="3"/>
      <c r="BJ1" s="5"/>
      <c r="BK1" s="5"/>
      <c r="BL1" s="5"/>
      <c r="BM1" s="5"/>
      <c r="BN1" s="5"/>
      <c r="BO1" s="5"/>
    </row>
    <row r="2" ht="30" spans="1:67">
      <c r="A2" s="3" t="s">
        <v>228</v>
      </c>
      <c r="B2" s="3" t="s">
        <v>254</v>
      </c>
      <c r="C2" s="3" t="s">
        <v>230</v>
      </c>
      <c r="D2" s="3"/>
      <c r="E2" s="3"/>
      <c r="F2" s="3"/>
      <c r="G2" s="3"/>
      <c r="H2" s="3"/>
      <c r="I2" s="3"/>
      <c r="J2" s="3"/>
      <c r="K2" s="5"/>
      <c r="L2" s="5"/>
      <c r="M2" s="5"/>
      <c r="N2" s="5"/>
      <c r="O2" s="5"/>
      <c r="P2" s="5"/>
      <c r="Q2" s="5"/>
      <c r="R2" s="5"/>
      <c r="S2" s="5"/>
      <c r="T2" s="5"/>
      <c r="U2" s="5"/>
      <c r="V2" s="12" t="s">
        <v>255</v>
      </c>
      <c r="W2" s="5"/>
      <c r="X2" s="5"/>
      <c r="Y2" s="5"/>
      <c r="Z2" s="5"/>
      <c r="AA2" s="5"/>
      <c r="AB2" s="5"/>
      <c r="AC2" s="5"/>
      <c r="AD2" s="5"/>
      <c r="AE2" s="5"/>
      <c r="AF2" s="5"/>
      <c r="AG2" s="5"/>
      <c r="AH2" s="5"/>
      <c r="AI2" s="5"/>
      <c r="AJ2" s="5"/>
      <c r="AK2" s="5"/>
      <c r="AL2" s="5"/>
      <c r="AM2" s="5"/>
      <c r="AN2" s="5"/>
      <c r="AO2" s="5"/>
      <c r="AP2" s="5"/>
      <c r="AQ2" s="5"/>
      <c r="AR2" s="5"/>
      <c r="AS2" s="5"/>
      <c r="AT2" s="5"/>
      <c r="AU2" s="5"/>
      <c r="AZ2" s="3" t="s">
        <v>228</v>
      </c>
      <c r="BA2" s="3" t="s">
        <v>254</v>
      </c>
      <c r="BB2" s="3" t="s">
        <v>230</v>
      </c>
      <c r="BC2" s="3"/>
      <c r="BD2" s="3"/>
      <c r="BE2" s="3"/>
      <c r="BF2" s="3"/>
      <c r="BG2" s="3"/>
      <c r="BH2" s="3"/>
      <c r="BI2" s="3"/>
      <c r="BJ2" s="5"/>
      <c r="BK2" s="5"/>
      <c r="BL2" s="5"/>
      <c r="BM2" s="5"/>
      <c r="BN2" s="5"/>
      <c r="BO2" s="5"/>
    </row>
    <row r="3" ht="30" spans="1:67">
      <c r="A3" s="3"/>
      <c r="B3" s="3"/>
      <c r="C3" s="4" t="s">
        <v>231</v>
      </c>
      <c r="D3" s="5" t="s">
        <v>232</v>
      </c>
      <c r="E3" s="5" t="s">
        <v>233</v>
      </c>
      <c r="F3" s="6" t="s">
        <v>234</v>
      </c>
      <c r="G3" s="5" t="s">
        <v>235</v>
      </c>
      <c r="H3" s="5" t="s">
        <v>236</v>
      </c>
      <c r="I3" s="5" t="s">
        <v>237</v>
      </c>
      <c r="J3" s="5" t="s">
        <v>238</v>
      </c>
      <c r="K3" s="5"/>
      <c r="L3" s="9" t="s">
        <v>231</v>
      </c>
      <c r="M3" s="5" t="s">
        <v>232</v>
      </c>
      <c r="N3" s="5" t="s">
        <v>233</v>
      </c>
      <c r="O3" s="5" t="s">
        <v>234</v>
      </c>
      <c r="P3" s="5" t="s">
        <v>235</v>
      </c>
      <c r="Q3" s="5" t="s">
        <v>236</v>
      </c>
      <c r="R3" s="5" t="s">
        <v>237</v>
      </c>
      <c r="S3" s="5" t="s">
        <v>238</v>
      </c>
      <c r="T3" s="5"/>
      <c r="U3" s="5"/>
      <c r="V3" s="12" t="s">
        <v>256</v>
      </c>
      <c r="W3" s="5" t="s">
        <v>232</v>
      </c>
      <c r="X3" s="5" t="s">
        <v>233</v>
      </c>
      <c r="Y3" s="6" t="s">
        <v>234</v>
      </c>
      <c r="Z3" s="5" t="s">
        <v>235</v>
      </c>
      <c r="AA3" s="5" t="s">
        <v>236</v>
      </c>
      <c r="AB3" s="15" t="s">
        <v>237</v>
      </c>
      <c r="AC3" s="15" t="s">
        <v>238</v>
      </c>
      <c r="AD3" s="5"/>
      <c r="AE3" s="5"/>
      <c r="AF3" s="5" t="s">
        <v>232</v>
      </c>
      <c r="AG3" s="5" t="s">
        <v>233</v>
      </c>
      <c r="AH3" s="6" t="s">
        <v>234</v>
      </c>
      <c r="AI3" s="5" t="s">
        <v>235</v>
      </c>
      <c r="AJ3" s="5" t="s">
        <v>236</v>
      </c>
      <c r="AK3" s="15" t="s">
        <v>237</v>
      </c>
      <c r="AL3" s="15" t="s">
        <v>238</v>
      </c>
      <c r="AM3" s="5"/>
      <c r="AN3" s="5"/>
      <c r="AO3" s="5" t="s">
        <v>232</v>
      </c>
      <c r="AP3" s="5" t="s">
        <v>233</v>
      </c>
      <c r="AQ3" s="6" t="s">
        <v>234</v>
      </c>
      <c r="AR3" s="5" t="s">
        <v>235</v>
      </c>
      <c r="AS3" s="5" t="s">
        <v>236</v>
      </c>
      <c r="AT3" s="15" t="s">
        <v>237</v>
      </c>
      <c r="AU3" s="15" t="s">
        <v>238</v>
      </c>
      <c r="AZ3" s="3"/>
      <c r="BA3" s="3"/>
      <c r="BB3" s="4" t="s">
        <v>231</v>
      </c>
      <c r="BC3" s="5" t="s">
        <v>232</v>
      </c>
      <c r="BD3" s="5" t="s">
        <v>233</v>
      </c>
      <c r="BE3" s="6" t="s">
        <v>234</v>
      </c>
      <c r="BF3" s="5" t="s">
        <v>235</v>
      </c>
      <c r="BG3" s="5" t="s">
        <v>236</v>
      </c>
      <c r="BH3" s="5" t="s">
        <v>237</v>
      </c>
      <c r="BI3" s="5" t="s">
        <v>238</v>
      </c>
      <c r="BJ3" s="5"/>
      <c r="BK3" s="9"/>
      <c r="BL3" s="5"/>
      <c r="BM3" s="5"/>
      <c r="BN3" s="5"/>
      <c r="BO3" s="5"/>
    </row>
    <row r="4" ht="15.5" spans="1:67">
      <c r="A4" s="3" t="s">
        <v>239</v>
      </c>
      <c r="B4" s="7" t="s">
        <v>240</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239</v>
      </c>
      <c r="V4" s="7" t="s">
        <v>240</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239</v>
      </c>
      <c r="BA4" s="7" t="s">
        <v>240</v>
      </c>
      <c r="BB4" s="8">
        <v>837.4</v>
      </c>
      <c r="BC4" s="13">
        <v>808.1</v>
      </c>
      <c r="BD4" s="13">
        <v>770.5</v>
      </c>
      <c r="BE4" s="13">
        <v>760</v>
      </c>
      <c r="BF4" s="13">
        <v>755.1</v>
      </c>
      <c r="BG4" s="13">
        <v>796</v>
      </c>
      <c r="BH4" s="13">
        <v>760</v>
      </c>
      <c r="BI4" s="13">
        <v>760</v>
      </c>
      <c r="BJ4" s="5"/>
      <c r="BK4" s="9"/>
      <c r="BL4" s="10"/>
      <c r="BM4" s="10"/>
      <c r="BN4" s="10"/>
      <c r="BO4" s="10"/>
    </row>
    <row r="5" ht="15.5" spans="1:67">
      <c r="A5" s="3"/>
      <c r="B5" s="7" t="s">
        <v>241</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241</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241</v>
      </c>
      <c r="BB5" s="8">
        <v>770.1</v>
      </c>
      <c r="BC5" s="13">
        <v>745.7</v>
      </c>
      <c r="BD5" s="13">
        <v>711.5</v>
      </c>
      <c r="BE5" s="13">
        <v>702.1</v>
      </c>
      <c r="BF5" s="13">
        <v>694.8</v>
      </c>
      <c r="BG5" s="13">
        <v>733.8</v>
      </c>
      <c r="BH5" s="13">
        <v>702.1</v>
      </c>
      <c r="BI5" s="13">
        <v>702.1</v>
      </c>
      <c r="BJ5" s="5"/>
      <c r="BK5" s="5"/>
      <c r="BL5" s="11"/>
      <c r="BM5" s="11"/>
      <c r="BN5" s="11"/>
      <c r="BO5" s="11"/>
    </row>
    <row r="6" ht="15.5" spans="1:67">
      <c r="A6" s="3"/>
      <c r="B6" s="7" t="s">
        <v>242</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242</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242</v>
      </c>
      <c r="BB6" s="8">
        <v>198.6</v>
      </c>
      <c r="BC6" s="13">
        <v>171.7</v>
      </c>
      <c r="BD6" s="13">
        <v>161.1</v>
      </c>
      <c r="BE6" s="13">
        <v>157.9</v>
      </c>
      <c r="BF6" s="13">
        <v>152.1</v>
      </c>
      <c r="BG6" s="13">
        <v>158.8</v>
      </c>
      <c r="BH6" s="13">
        <v>157.9</v>
      </c>
      <c r="BI6" s="13">
        <v>157.9</v>
      </c>
      <c r="BJ6" s="5"/>
      <c r="BK6" s="5"/>
      <c r="BL6" s="11"/>
      <c r="BM6" s="11"/>
      <c r="BN6" s="11"/>
      <c r="BO6" s="11"/>
    </row>
    <row r="7" ht="15.5" spans="1:67">
      <c r="A7" s="3"/>
      <c r="B7" s="7" t="s">
        <v>243</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243</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243</v>
      </c>
      <c r="BB7" s="8">
        <v>487</v>
      </c>
      <c r="BC7" s="13">
        <v>496.7</v>
      </c>
      <c r="BD7" s="13">
        <v>475.8</v>
      </c>
      <c r="BE7" s="13">
        <v>470.5</v>
      </c>
      <c r="BF7" s="13">
        <v>466.5</v>
      </c>
      <c r="BG7" s="13">
        <v>496</v>
      </c>
      <c r="BH7" s="13">
        <v>470.5</v>
      </c>
      <c r="BI7" s="13">
        <v>470.5</v>
      </c>
      <c r="BJ7" s="5"/>
      <c r="BK7" s="5"/>
      <c r="BL7" s="11"/>
      <c r="BM7" s="11"/>
      <c r="BN7" s="11"/>
      <c r="BO7" s="11"/>
    </row>
    <row r="8" ht="15.5" spans="1:67">
      <c r="A8" s="3"/>
      <c r="B8" s="7" t="s">
        <v>244</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244</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244</v>
      </c>
      <c r="BB8" s="8">
        <v>84.5</v>
      </c>
      <c r="BC8" s="13">
        <v>77.3</v>
      </c>
      <c r="BD8" s="13">
        <v>74.5</v>
      </c>
      <c r="BE8" s="13">
        <v>73.6</v>
      </c>
      <c r="BF8" s="13">
        <v>76.1</v>
      </c>
      <c r="BG8" s="13">
        <v>78.9</v>
      </c>
      <c r="BH8" s="13">
        <v>73.6</v>
      </c>
      <c r="BI8" s="13">
        <v>73.6</v>
      </c>
      <c r="BJ8" s="5"/>
      <c r="BK8" s="5"/>
      <c r="BL8" s="11"/>
      <c r="BM8" s="11"/>
      <c r="BN8" s="11"/>
      <c r="BO8" s="11"/>
    </row>
    <row r="9" ht="15.5" spans="1:67">
      <c r="A9" s="3" t="s">
        <v>245</v>
      </c>
      <c r="B9" s="7" t="s">
        <v>240</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245</v>
      </c>
      <c r="V9" s="7" t="s">
        <v>240</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245</v>
      </c>
      <c r="BA9" s="7" t="s">
        <v>240</v>
      </c>
      <c r="BB9" s="8">
        <v>855</v>
      </c>
      <c r="BC9" s="13">
        <v>824.1</v>
      </c>
      <c r="BD9" s="13">
        <v>785.7</v>
      </c>
      <c r="BE9" s="13">
        <v>775</v>
      </c>
      <c r="BF9" s="13">
        <v>770.2</v>
      </c>
      <c r="BG9" s="13">
        <v>811.6</v>
      </c>
      <c r="BH9" s="13">
        <v>775</v>
      </c>
      <c r="BI9" s="13">
        <v>775</v>
      </c>
      <c r="BJ9" s="5"/>
      <c r="BK9" s="5"/>
      <c r="BL9" s="11"/>
      <c r="BM9" s="11"/>
      <c r="BN9" s="11"/>
      <c r="BO9" s="11"/>
    </row>
    <row r="10" ht="15.5" spans="1:67">
      <c r="A10" s="3"/>
      <c r="B10" s="7" t="s">
        <v>241</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241</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241</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242</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242</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242</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243</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243</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243</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244</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244</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244</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240</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240</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240</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241</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241</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241</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242</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242</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242</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243</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243</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243</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244</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244</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244</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257</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257</v>
      </c>
      <c r="BA21" s="3"/>
      <c r="BB21" s="3"/>
      <c r="BC21" s="3"/>
      <c r="BD21" s="3"/>
      <c r="BE21" s="3"/>
      <c r="BF21" s="3"/>
      <c r="BG21" s="3"/>
      <c r="BH21" s="3"/>
      <c r="BI21" s="3"/>
      <c r="BJ21" s="5"/>
      <c r="BK21" s="5"/>
      <c r="BL21" s="5"/>
      <c r="BM21" s="5"/>
      <c r="BN21" s="5"/>
      <c r="BO21" s="5"/>
    </row>
    <row r="22" ht="15.5" spans="1:67">
      <c r="A22" s="3" t="s">
        <v>228</v>
      </c>
      <c r="B22" s="3" t="s">
        <v>258</v>
      </c>
      <c r="C22" s="3" t="s">
        <v>230</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228</v>
      </c>
      <c r="BA22" s="3" t="s">
        <v>258</v>
      </c>
      <c r="BB22" s="3" t="s">
        <v>230</v>
      </c>
      <c r="BC22" s="3"/>
      <c r="BD22" s="3"/>
      <c r="BE22" s="3"/>
      <c r="BF22" s="3"/>
      <c r="BG22" s="3"/>
      <c r="BH22" s="3"/>
      <c r="BI22" s="3"/>
      <c r="BJ22" s="5"/>
      <c r="BK22" s="5"/>
      <c r="BL22" s="5"/>
      <c r="BM22" s="5"/>
      <c r="BN22" s="5"/>
      <c r="BO22" s="5"/>
    </row>
    <row r="23" ht="30" spans="1:67">
      <c r="A23" s="3"/>
      <c r="B23" s="3"/>
      <c r="C23" s="4" t="s">
        <v>231</v>
      </c>
      <c r="D23" s="5" t="s">
        <v>232</v>
      </c>
      <c r="E23" s="5" t="s">
        <v>233</v>
      </c>
      <c r="F23" s="6" t="s">
        <v>234</v>
      </c>
      <c r="G23" s="5" t="s">
        <v>235</v>
      </c>
      <c r="H23" s="5" t="s">
        <v>236</v>
      </c>
      <c r="I23" s="5" t="s">
        <v>237</v>
      </c>
      <c r="J23" s="5" t="s">
        <v>238</v>
      </c>
      <c r="K23" s="5"/>
      <c r="L23" s="5"/>
      <c r="M23" s="5" t="s">
        <v>232</v>
      </c>
      <c r="N23" s="5" t="s">
        <v>233</v>
      </c>
      <c r="O23" s="5" t="s">
        <v>234</v>
      </c>
      <c r="P23" s="5" t="s">
        <v>235</v>
      </c>
      <c r="Q23" s="5" t="s">
        <v>236</v>
      </c>
      <c r="R23" s="5" t="s">
        <v>237</v>
      </c>
      <c r="S23" s="5" t="s">
        <v>238</v>
      </c>
      <c r="T23" s="5"/>
      <c r="U23" s="5"/>
      <c r="V23" s="12" t="s">
        <v>256</v>
      </c>
      <c r="W23" s="5" t="s">
        <v>232</v>
      </c>
      <c r="X23" s="5" t="s">
        <v>233</v>
      </c>
      <c r="Y23" s="6" t="s">
        <v>234</v>
      </c>
      <c r="Z23" s="5" t="s">
        <v>235</v>
      </c>
      <c r="AA23" s="5" t="s">
        <v>236</v>
      </c>
      <c r="AB23" s="15" t="s">
        <v>237</v>
      </c>
      <c r="AC23" s="15" t="s">
        <v>238</v>
      </c>
      <c r="AD23" s="5"/>
      <c r="AE23" s="5"/>
      <c r="AF23" s="5" t="s">
        <v>232</v>
      </c>
      <c r="AG23" s="5" t="s">
        <v>233</v>
      </c>
      <c r="AH23" s="6" t="s">
        <v>234</v>
      </c>
      <c r="AI23" s="5" t="s">
        <v>235</v>
      </c>
      <c r="AJ23" s="5" t="s">
        <v>236</v>
      </c>
      <c r="AK23" s="15" t="s">
        <v>237</v>
      </c>
      <c r="AL23" s="15" t="s">
        <v>238</v>
      </c>
      <c r="AM23" s="5"/>
      <c r="AN23" s="5"/>
      <c r="AO23" s="5" t="s">
        <v>232</v>
      </c>
      <c r="AP23" s="5" t="s">
        <v>233</v>
      </c>
      <c r="AQ23" s="6" t="s">
        <v>234</v>
      </c>
      <c r="AR23" s="5" t="s">
        <v>235</v>
      </c>
      <c r="AS23" s="5" t="s">
        <v>236</v>
      </c>
      <c r="AT23" s="15" t="s">
        <v>237</v>
      </c>
      <c r="AU23" s="15" t="s">
        <v>238</v>
      </c>
      <c r="AZ23" s="3"/>
      <c r="BA23" s="3"/>
      <c r="BB23" s="4" t="s">
        <v>231</v>
      </c>
      <c r="BC23" s="5" t="s">
        <v>232</v>
      </c>
      <c r="BD23" s="5" t="s">
        <v>233</v>
      </c>
      <c r="BE23" s="6" t="s">
        <v>234</v>
      </c>
      <c r="BF23" s="5" t="s">
        <v>235</v>
      </c>
      <c r="BG23" s="5" t="s">
        <v>236</v>
      </c>
      <c r="BH23" s="5" t="s">
        <v>237</v>
      </c>
      <c r="BI23" s="5" t="s">
        <v>238</v>
      </c>
      <c r="BJ23" s="5"/>
      <c r="BK23" s="5"/>
      <c r="BL23" s="5"/>
      <c r="BM23" s="5"/>
      <c r="BN23" s="5"/>
      <c r="BO23" s="5"/>
    </row>
    <row r="24" ht="15.5" spans="1:67">
      <c r="A24" s="3" t="s">
        <v>239</v>
      </c>
      <c r="B24" s="7" t="s">
        <v>240</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239</v>
      </c>
      <c r="V24" s="7" t="s">
        <v>240</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239</v>
      </c>
      <c r="BA24" s="7" t="s">
        <v>240</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241</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241</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241</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242</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242</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242</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243</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243</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243</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244</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244</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244</v>
      </c>
      <c r="BB28" s="8">
        <v>85</v>
      </c>
      <c r="BC28" s="13">
        <v>78.6</v>
      </c>
      <c r="BD28" s="13">
        <v>76.3</v>
      </c>
      <c r="BE28" s="13">
        <v>75.9</v>
      </c>
      <c r="BF28" s="13">
        <v>73.7</v>
      </c>
      <c r="BG28" s="13">
        <v>76</v>
      </c>
      <c r="BH28" s="13">
        <v>75.9</v>
      </c>
      <c r="BI28" s="13">
        <v>75.9</v>
      </c>
      <c r="BJ28" s="5"/>
      <c r="BK28" s="5"/>
      <c r="BL28" s="11"/>
      <c r="BM28" s="11"/>
      <c r="BN28" s="11"/>
      <c r="BO28" s="11"/>
    </row>
    <row r="29" ht="15.5" spans="1:67">
      <c r="A29" s="3" t="s">
        <v>245</v>
      </c>
      <c r="B29" s="7" t="s">
        <v>240</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245</v>
      </c>
      <c r="V29" s="7" t="s">
        <v>240</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245</v>
      </c>
      <c r="BA29" s="7" t="s">
        <v>240</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241</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241</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241</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242</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242</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242</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243</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243</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243</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244</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244</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244</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240</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240</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240</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241</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241</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241</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242</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242</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242</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243</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243</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243</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244</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244</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244</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259</v>
      </c>
      <c r="B41" s="3"/>
      <c r="C41" s="3"/>
      <c r="D41" s="3"/>
      <c r="E41" s="3"/>
      <c r="F41" s="3"/>
      <c r="G41" s="3"/>
      <c r="H41" s="3"/>
      <c r="I41" s="3"/>
      <c r="J41" s="3"/>
      <c r="K41" s="5"/>
      <c r="L41" s="5"/>
      <c r="M41" s="5"/>
      <c r="N41" s="5"/>
      <c r="O41" s="5"/>
      <c r="P41" s="5"/>
      <c r="Q41" s="5"/>
      <c r="R41" s="5"/>
      <c r="S41" s="5"/>
      <c r="T41" s="5"/>
      <c r="AZ41" s="3" t="s">
        <v>259</v>
      </c>
      <c r="BA41" s="3"/>
      <c r="BB41" s="3"/>
      <c r="BC41" s="3"/>
      <c r="BD41" s="3"/>
      <c r="BE41" s="3"/>
      <c r="BF41" s="3"/>
      <c r="BG41" s="3"/>
      <c r="BH41" s="3"/>
      <c r="BI41" s="3"/>
      <c r="BJ41" s="5"/>
      <c r="BK41" s="5"/>
      <c r="BL41" s="5"/>
      <c r="BM41" s="5"/>
      <c r="BN41" s="5"/>
      <c r="BO41" s="5"/>
    </row>
    <row r="42" ht="15.5" spans="1:67">
      <c r="A42" s="3" t="s">
        <v>228</v>
      </c>
      <c r="B42" s="3" t="s">
        <v>258</v>
      </c>
      <c r="C42" s="3" t="s">
        <v>230</v>
      </c>
      <c r="D42" s="3"/>
      <c r="E42" s="3"/>
      <c r="F42" s="3"/>
      <c r="G42" s="3"/>
      <c r="H42" s="3"/>
      <c r="I42" s="3"/>
      <c r="J42" s="3"/>
      <c r="K42" s="5"/>
      <c r="L42" s="5"/>
      <c r="M42" s="5"/>
      <c r="N42" s="5"/>
      <c r="O42" s="5"/>
      <c r="P42" s="5"/>
      <c r="Q42" s="5"/>
      <c r="R42" s="5"/>
      <c r="S42" s="5"/>
      <c r="T42" s="5"/>
      <c r="AZ42" s="3" t="s">
        <v>228</v>
      </c>
      <c r="BA42" s="3" t="s">
        <v>258</v>
      </c>
      <c r="BB42" s="3" t="s">
        <v>230</v>
      </c>
      <c r="BC42" s="3"/>
      <c r="BD42" s="3"/>
      <c r="BE42" s="3"/>
      <c r="BF42" s="3"/>
      <c r="BG42" s="3"/>
      <c r="BH42" s="3"/>
      <c r="BI42" s="3"/>
      <c r="BJ42" s="5"/>
      <c r="BK42" s="5"/>
      <c r="BL42" s="5"/>
      <c r="BM42" s="5"/>
      <c r="BN42" s="5"/>
      <c r="BO42" s="5"/>
    </row>
    <row r="43" ht="30" spans="1:67">
      <c r="A43" s="3"/>
      <c r="B43" s="3"/>
      <c r="C43" s="4" t="s">
        <v>231</v>
      </c>
      <c r="D43" s="5" t="s">
        <v>232</v>
      </c>
      <c r="E43" s="5" t="s">
        <v>233</v>
      </c>
      <c r="F43" s="6" t="s">
        <v>234</v>
      </c>
      <c r="G43" s="5" t="s">
        <v>235</v>
      </c>
      <c r="H43" s="5" t="s">
        <v>236</v>
      </c>
      <c r="I43" s="5" t="s">
        <v>237</v>
      </c>
      <c r="J43" s="5" t="s">
        <v>238</v>
      </c>
      <c r="K43" s="5"/>
      <c r="L43" s="5"/>
      <c r="M43" s="5" t="s">
        <v>232</v>
      </c>
      <c r="N43" s="5" t="s">
        <v>233</v>
      </c>
      <c r="O43" s="5" t="s">
        <v>234</v>
      </c>
      <c r="P43" s="5" t="s">
        <v>235</v>
      </c>
      <c r="Q43" s="5" t="s">
        <v>236</v>
      </c>
      <c r="R43" s="5" t="s">
        <v>237</v>
      </c>
      <c r="S43" s="5" t="s">
        <v>238</v>
      </c>
      <c r="T43" s="5"/>
      <c r="U43" s="5"/>
      <c r="V43" s="12" t="s">
        <v>256</v>
      </c>
      <c r="W43" s="5" t="s">
        <v>232</v>
      </c>
      <c r="X43" s="5" t="s">
        <v>233</v>
      </c>
      <c r="Y43" s="6" t="s">
        <v>234</v>
      </c>
      <c r="Z43" s="5" t="s">
        <v>235</v>
      </c>
      <c r="AA43" s="5" t="s">
        <v>236</v>
      </c>
      <c r="AB43" s="15" t="s">
        <v>237</v>
      </c>
      <c r="AC43" s="15" t="s">
        <v>238</v>
      </c>
      <c r="AD43" s="5"/>
      <c r="AE43" s="5"/>
      <c r="AF43" s="5" t="s">
        <v>232</v>
      </c>
      <c r="AG43" s="5" t="s">
        <v>233</v>
      </c>
      <c r="AH43" s="6" t="s">
        <v>234</v>
      </c>
      <c r="AI43" s="5" t="s">
        <v>235</v>
      </c>
      <c r="AJ43" s="5" t="s">
        <v>236</v>
      </c>
      <c r="AK43" s="15" t="s">
        <v>237</v>
      </c>
      <c r="AL43" s="15" t="s">
        <v>238</v>
      </c>
      <c r="AO43" s="5" t="s">
        <v>232</v>
      </c>
      <c r="AP43" s="5" t="s">
        <v>233</v>
      </c>
      <c r="AQ43" s="6" t="s">
        <v>234</v>
      </c>
      <c r="AR43" s="5" t="s">
        <v>235</v>
      </c>
      <c r="AS43" s="5" t="s">
        <v>236</v>
      </c>
      <c r="AT43" s="15" t="s">
        <v>237</v>
      </c>
      <c r="AU43" s="15" t="s">
        <v>238</v>
      </c>
      <c r="AZ43" s="3"/>
      <c r="BA43" s="3"/>
      <c r="BB43" s="4" t="s">
        <v>231</v>
      </c>
      <c r="BC43" s="5" t="s">
        <v>232</v>
      </c>
      <c r="BD43" s="5" t="s">
        <v>233</v>
      </c>
      <c r="BE43" s="6" t="s">
        <v>234</v>
      </c>
      <c r="BF43" s="5" t="s">
        <v>235</v>
      </c>
      <c r="BG43" s="5" t="s">
        <v>236</v>
      </c>
      <c r="BH43" s="5" t="s">
        <v>237</v>
      </c>
      <c r="BI43" s="5" t="s">
        <v>238</v>
      </c>
      <c r="BJ43" s="5"/>
      <c r="BK43" s="5"/>
      <c r="BL43" s="5"/>
      <c r="BM43" s="5"/>
      <c r="BN43" s="5"/>
      <c r="BO43" s="5"/>
    </row>
    <row r="44" ht="15.5" spans="1:67">
      <c r="A44" s="3" t="s">
        <v>239</v>
      </c>
      <c r="B44" s="7" t="s">
        <v>240</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239</v>
      </c>
      <c r="V44" s="7" t="s">
        <v>240</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239</v>
      </c>
      <c r="BA44" s="7" t="s">
        <v>240</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241</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241</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241</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242</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242</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242</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243</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243</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243</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244</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244</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244</v>
      </c>
      <c r="BB48" s="8">
        <v>84.6</v>
      </c>
      <c r="BC48" s="13">
        <v>77</v>
      </c>
      <c r="BD48" s="13">
        <v>74.9</v>
      </c>
      <c r="BE48" s="13">
        <v>74.4</v>
      </c>
      <c r="BF48" s="13">
        <v>71.7</v>
      </c>
      <c r="BG48" s="13">
        <v>73.1</v>
      </c>
      <c r="BH48" s="13">
        <v>74.4</v>
      </c>
      <c r="BI48" s="13">
        <v>74.4</v>
      </c>
      <c r="BJ48" s="5"/>
      <c r="BK48" s="5"/>
      <c r="BL48" s="11"/>
      <c r="BM48" s="11"/>
      <c r="BN48" s="11"/>
      <c r="BO48" s="11"/>
    </row>
    <row r="49" ht="15.5" spans="1:67">
      <c r="A49" s="3" t="s">
        <v>245</v>
      </c>
      <c r="B49" s="7" t="s">
        <v>240</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245</v>
      </c>
      <c r="V49" s="7" t="s">
        <v>240</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245</v>
      </c>
      <c r="BA49" s="7" t="s">
        <v>240</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241</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241</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241</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242</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242</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242</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243</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243</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243</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244</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244</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244</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240</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240</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240</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241</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241</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241</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242</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242</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242</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243</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243</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243</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244</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244</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244</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246</v>
      </c>
      <c r="B60" s="5"/>
      <c r="C60" s="4"/>
      <c r="D60" s="5"/>
      <c r="E60" s="5"/>
      <c r="F60" s="5"/>
      <c r="G60" s="5"/>
      <c r="H60" s="5"/>
      <c r="I60" s="5"/>
      <c r="J60" s="5"/>
      <c r="K60" s="5"/>
      <c r="L60" s="5"/>
      <c r="M60" s="5"/>
      <c r="N60" s="5"/>
      <c r="O60" s="5"/>
      <c r="P60" s="5"/>
      <c r="Q60" s="5"/>
      <c r="R60" s="5"/>
      <c r="S60" s="5"/>
      <c r="T60" s="5"/>
      <c r="AZ60" s="5" t="s">
        <v>246</v>
      </c>
      <c r="BA60" s="5"/>
      <c r="BB60" s="4"/>
      <c r="BC60" s="5"/>
      <c r="BD60" s="5"/>
      <c r="BE60" s="5"/>
      <c r="BF60" s="5"/>
      <c r="BG60" s="5"/>
      <c r="BH60" s="5"/>
      <c r="BI60" s="5"/>
      <c r="BJ60" s="5"/>
      <c r="BK60" s="5"/>
      <c r="BL60" s="5"/>
      <c r="BM60" s="5"/>
      <c r="BN60" s="5"/>
      <c r="BO60" s="5"/>
    </row>
    <row r="61" ht="15.5" spans="1:67">
      <c r="A61" s="5" t="s">
        <v>260</v>
      </c>
      <c r="B61" s="5"/>
      <c r="C61" s="4"/>
      <c r="D61" s="5"/>
      <c r="E61" s="5"/>
      <c r="F61" s="5"/>
      <c r="G61" s="5"/>
      <c r="H61" s="5"/>
      <c r="I61" s="5"/>
      <c r="J61" s="5"/>
      <c r="K61" s="5"/>
      <c r="L61" s="5"/>
      <c r="M61" s="5"/>
      <c r="N61" s="5"/>
      <c r="O61" s="5"/>
      <c r="P61" s="5"/>
      <c r="Q61" s="5"/>
      <c r="R61" s="5"/>
      <c r="S61" s="5"/>
      <c r="T61" s="5"/>
      <c r="AZ61" s="5" t="s">
        <v>260</v>
      </c>
      <c r="BA61" s="5"/>
      <c r="BB61" s="4"/>
      <c r="BC61" s="5"/>
      <c r="BD61" s="5"/>
      <c r="BE61" s="5"/>
      <c r="BF61" s="5"/>
      <c r="BG61" s="5"/>
      <c r="BH61" s="5"/>
      <c r="BI61" s="5"/>
      <c r="BJ61" s="5"/>
      <c r="BK61" s="5"/>
      <c r="BL61" s="5"/>
      <c r="BM61" s="5"/>
      <c r="BN61" s="5"/>
      <c r="BO61" s="5"/>
    </row>
    <row r="62" ht="15.5" spans="1:67">
      <c r="A62" s="5" t="s">
        <v>261</v>
      </c>
      <c r="B62" s="5"/>
      <c r="C62" s="4"/>
      <c r="D62" s="5"/>
      <c r="E62" s="5"/>
      <c r="F62" s="5"/>
      <c r="G62" s="5"/>
      <c r="H62" s="5"/>
      <c r="I62" s="5"/>
      <c r="J62" s="5"/>
      <c r="K62" s="5"/>
      <c r="L62" s="5"/>
      <c r="M62" s="5"/>
      <c r="N62" s="5"/>
      <c r="O62" s="5"/>
      <c r="P62" s="5"/>
      <c r="Q62" s="5"/>
      <c r="R62" s="5"/>
      <c r="S62" s="5"/>
      <c r="T62" s="5"/>
      <c r="AZ62" s="5" t="s">
        <v>261</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232</v>
      </c>
      <c r="X72" s="5" t="s">
        <v>233</v>
      </c>
      <c r="Y72" s="6" t="s">
        <v>234</v>
      </c>
      <c r="Z72" s="5" t="s">
        <v>235</v>
      </c>
      <c r="AA72" s="5" t="s">
        <v>236</v>
      </c>
      <c r="AB72" s="15" t="s">
        <v>237</v>
      </c>
      <c r="AC72" s="15" t="s">
        <v>238</v>
      </c>
      <c r="AD72" s="5"/>
      <c r="AE72" s="5"/>
      <c r="AF72" s="5" t="s">
        <v>232</v>
      </c>
      <c r="AG72" s="5" t="s">
        <v>233</v>
      </c>
      <c r="AH72" s="6" t="s">
        <v>234</v>
      </c>
      <c r="AI72" s="5" t="s">
        <v>235</v>
      </c>
      <c r="AJ72" s="5" t="s">
        <v>236</v>
      </c>
      <c r="AK72" s="15" t="s">
        <v>237</v>
      </c>
      <c r="AL72" s="15" t="s">
        <v>238</v>
      </c>
      <c r="AM72" s="5"/>
      <c r="AN72" s="5"/>
      <c r="AO72" s="5" t="s">
        <v>232</v>
      </c>
      <c r="AP72" s="5" t="s">
        <v>233</v>
      </c>
      <c r="AQ72" s="6" t="s">
        <v>234</v>
      </c>
      <c r="AR72" s="5" t="s">
        <v>235</v>
      </c>
      <c r="AS72" s="5" t="s">
        <v>236</v>
      </c>
      <c r="AT72" s="15" t="s">
        <v>237</v>
      </c>
      <c r="AU72" s="15"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262</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263</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264</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26" t="s">
        <v>239</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262</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263</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264</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232</v>
      </c>
      <c r="X92" s="5" t="s">
        <v>233</v>
      </c>
      <c r="Y92" s="6" t="s">
        <v>234</v>
      </c>
      <c r="Z92" s="5" t="s">
        <v>235</v>
      </c>
      <c r="AA92" s="5" t="s">
        <v>236</v>
      </c>
      <c r="AB92" s="15" t="s">
        <v>237</v>
      </c>
      <c r="AC92" s="15" t="s">
        <v>238</v>
      </c>
      <c r="AD92" s="5"/>
      <c r="AE92" s="5"/>
      <c r="AF92" s="5" t="s">
        <v>232</v>
      </c>
      <c r="AG92" s="5" t="s">
        <v>233</v>
      </c>
      <c r="AH92" s="6" t="s">
        <v>234</v>
      </c>
      <c r="AI92" s="5" t="s">
        <v>235</v>
      </c>
      <c r="AJ92" s="5" t="s">
        <v>236</v>
      </c>
      <c r="AK92" s="15" t="s">
        <v>237</v>
      </c>
      <c r="AL92" s="15" t="s">
        <v>238</v>
      </c>
      <c r="AM92" s="5"/>
      <c r="AN92" s="5"/>
      <c r="AO92" s="5" t="s">
        <v>232</v>
      </c>
      <c r="AP92" s="5" t="s">
        <v>233</v>
      </c>
      <c r="AQ92" s="6" t="s">
        <v>234</v>
      </c>
      <c r="AR92" s="5" t="s">
        <v>235</v>
      </c>
      <c r="AS92" s="5" t="s">
        <v>236</v>
      </c>
      <c r="AT92" s="15" t="s">
        <v>237</v>
      </c>
      <c r="AU92" s="15"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262</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263</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264</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26" t="s">
        <v>239</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262</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263</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264</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5"/>
      <c r="V112" s="5"/>
      <c r="W112" s="5" t="s">
        <v>232</v>
      </c>
      <c r="X112" s="5" t="s">
        <v>233</v>
      </c>
      <c r="Y112" s="6" t="s">
        <v>234</v>
      </c>
      <c r="Z112" s="5" t="s">
        <v>235</v>
      </c>
      <c r="AA112" s="5" t="s">
        <v>236</v>
      </c>
      <c r="AB112" s="15" t="s">
        <v>237</v>
      </c>
      <c r="AC112" s="15" t="s">
        <v>238</v>
      </c>
      <c r="AD112" s="5"/>
      <c r="AE112" s="5"/>
      <c r="AF112" s="5" t="s">
        <v>232</v>
      </c>
      <c r="AG112" s="5" t="s">
        <v>233</v>
      </c>
      <c r="AH112" s="6" t="s">
        <v>234</v>
      </c>
      <c r="AI112" s="5" t="s">
        <v>235</v>
      </c>
      <c r="AJ112" s="5" t="s">
        <v>236</v>
      </c>
      <c r="AK112" s="15" t="s">
        <v>237</v>
      </c>
      <c r="AL112" s="15" t="s">
        <v>238</v>
      </c>
      <c r="AM112" s="5"/>
      <c r="AN112" s="5"/>
      <c r="AO112" s="5" t="s">
        <v>232</v>
      </c>
      <c r="AP112" s="5" t="s">
        <v>233</v>
      </c>
      <c r="AQ112" s="6" t="s">
        <v>234</v>
      </c>
      <c r="AR112" s="5" t="s">
        <v>235</v>
      </c>
      <c r="AS112" s="5" t="s">
        <v>236</v>
      </c>
      <c r="AT112" s="15" t="s">
        <v>237</v>
      </c>
      <c r="AU112" s="15"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262</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263</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264</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26" t="s">
        <v>239</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262</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263</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264</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5" spans="21:47">
      <c r="U162" s="23" t="s">
        <v>189</v>
      </c>
      <c r="V162" s="24" t="s">
        <v>217</v>
      </c>
      <c r="W162" s="23">
        <f t="shared" ref="W162:W165" si="336">W85</f>
        <v>0.0105103587670541</v>
      </c>
      <c r="X162" s="23"/>
      <c r="Y162" s="23" t="s">
        <v>190</v>
      </c>
      <c r="Z162" s="24" t="s">
        <v>217</v>
      </c>
      <c r="AA162" s="23">
        <f t="shared" ref="AA162:AA165" si="337">X85</f>
        <v>0.0100940975192472</v>
      </c>
      <c r="AB162" s="23"/>
      <c r="AC162" s="23" t="s">
        <v>191</v>
      </c>
      <c r="AD162" s="24" t="s">
        <v>217</v>
      </c>
      <c r="AE162" s="23">
        <f t="shared" ref="AE162:AE165" si="338">Y85</f>
        <v>0.0103856502242152</v>
      </c>
      <c r="AF162" s="23"/>
      <c r="AG162" s="23" t="s">
        <v>192</v>
      </c>
      <c r="AH162" s="24" t="s">
        <v>217</v>
      </c>
      <c r="AI162" s="23">
        <f t="shared" ref="AI162:AI165" si="339">Z85</f>
        <v>0.0114291129643669</v>
      </c>
      <c r="AJ162" s="23"/>
      <c r="AK162" s="23" t="s">
        <v>188</v>
      </c>
      <c r="AL162" s="24" t="s">
        <v>217</v>
      </c>
      <c r="AM162" s="23">
        <f t="shared" ref="AM162:AM165" si="340">AA85</f>
        <v>0.0115979862017528</v>
      </c>
      <c r="AN162" s="23"/>
      <c r="AO162" s="23" t="s">
        <v>187</v>
      </c>
      <c r="AP162" s="24" t="s">
        <v>217</v>
      </c>
      <c r="AQ162" s="23">
        <f t="shared" ref="AQ162:AQ165" si="341">AB85</f>
        <v>0.00871331828442437</v>
      </c>
      <c r="AR162" s="23"/>
      <c r="AS162" s="23" t="s">
        <v>186</v>
      </c>
      <c r="AT162" s="24" t="s">
        <v>217</v>
      </c>
      <c r="AU162" s="23">
        <f t="shared" ref="AU162:AU165" si="342">AC85</f>
        <v>0.0102405376724443</v>
      </c>
    </row>
    <row r="163" ht="15.5" spans="21:47">
      <c r="U163" s="23" t="str">
        <f>U162</f>
        <v>PyroRecy-NMC111</v>
      </c>
      <c r="V163" s="24" t="s">
        <v>224</v>
      </c>
      <c r="W163" s="23">
        <f t="shared" si="336"/>
        <v>0.0289203301330638</v>
      </c>
      <c r="X163" s="23"/>
      <c r="Y163" s="23" t="str">
        <f t="shared" ref="Y163:Y165" si="343">Y162</f>
        <v>PyroRecy-NMC532</v>
      </c>
      <c r="Z163" s="24" t="s">
        <v>224</v>
      </c>
      <c r="AA163" s="23">
        <f t="shared" si="337"/>
        <v>0.0275620188195039</v>
      </c>
      <c r="AB163" s="23"/>
      <c r="AC163" s="23" t="str">
        <f t="shared" ref="AC163:AC165" si="344">AC162</f>
        <v>PyroRecy-NMC622</v>
      </c>
      <c r="AD163" s="24" t="s">
        <v>224</v>
      </c>
      <c r="AE163" s="23">
        <f t="shared" si="338"/>
        <v>0.028322869955157</v>
      </c>
      <c r="AF163" s="23"/>
      <c r="AG163" s="23" t="str">
        <f t="shared" ref="AG163:AG165" si="345">AG162</f>
        <v>PyroRecy-NMC811</v>
      </c>
      <c r="AH163" s="24" t="s">
        <v>224</v>
      </c>
      <c r="AI163" s="23">
        <f t="shared" si="339"/>
        <v>0.0288286580742987</v>
      </c>
      <c r="AJ163" s="23"/>
      <c r="AK163" s="23" t="str">
        <f t="shared" ref="AK163:AK165" si="346">AK162</f>
        <v>PyroRecy-NCA</v>
      </c>
      <c r="AL163" s="24" t="s">
        <v>224</v>
      </c>
      <c r="AM163" s="23">
        <f t="shared" si="340"/>
        <v>0.0296102927465971</v>
      </c>
      <c r="AN163" s="23"/>
      <c r="AO163" s="23" t="str">
        <f t="shared" ref="AO163:AO165" si="347">AO162</f>
        <v>PyroRecy-LMO</v>
      </c>
      <c r="AP163" s="24" t="s">
        <v>224</v>
      </c>
      <c r="AQ163" s="23">
        <f t="shared" si="341"/>
        <v>0.0237622272385252</v>
      </c>
      <c r="AR163" s="23"/>
      <c r="AS163" s="23" t="str">
        <f t="shared" ref="AS163:AS165" si="348">AS162</f>
        <v>PyroRecy-LFP</v>
      </c>
      <c r="AT163" s="24" t="s">
        <v>224</v>
      </c>
      <c r="AU163" s="23">
        <f t="shared" si="342"/>
        <v>0.0279271312345242</v>
      </c>
    </row>
    <row r="164" ht="15.5" spans="21:47">
      <c r="U164" s="23" t="str">
        <f>U163</f>
        <v>PyroRecy-NMC111</v>
      </c>
      <c r="V164" s="24" t="s">
        <v>225</v>
      </c>
      <c r="W164" s="23">
        <f t="shared" si="336"/>
        <v>0.0836617820448038</v>
      </c>
      <c r="X164" s="23"/>
      <c r="Y164" s="23" t="str">
        <f t="shared" si="343"/>
        <v>PyroRecy-NMC532</v>
      </c>
      <c r="Z164" s="24" t="s">
        <v>225</v>
      </c>
      <c r="AA164" s="23">
        <f t="shared" si="337"/>
        <v>0.0814029084687767</v>
      </c>
      <c r="AB164" s="23"/>
      <c r="AC164" s="23" t="str">
        <f t="shared" si="344"/>
        <v>PyroRecy-NMC622</v>
      </c>
      <c r="AD164" s="24" t="s">
        <v>225</v>
      </c>
      <c r="AE164" s="23">
        <f t="shared" si="338"/>
        <v>0.0843946188340807</v>
      </c>
      <c r="AF164" s="23"/>
      <c r="AG164" s="23" t="str">
        <f t="shared" si="345"/>
        <v>PyroRecy-NMC811</v>
      </c>
      <c r="AH164" s="24" t="s">
        <v>225</v>
      </c>
      <c r="AI164" s="23">
        <f t="shared" si="339"/>
        <v>0.0884192570128886</v>
      </c>
      <c r="AJ164" s="23"/>
      <c r="AK164" s="23" t="str">
        <f t="shared" si="346"/>
        <v>PyroRecy-NCA</v>
      </c>
      <c r="AL164" s="24" t="s">
        <v>225</v>
      </c>
      <c r="AM164" s="23">
        <f t="shared" si="340"/>
        <v>0.092485549132948</v>
      </c>
      <c r="AN164" s="23"/>
      <c r="AO164" s="23" t="str">
        <f t="shared" si="347"/>
        <v>PyroRecy-LMO</v>
      </c>
      <c r="AP164" s="24" t="s">
        <v>225</v>
      </c>
      <c r="AQ164" s="23">
        <f t="shared" si="341"/>
        <v>0.0708051166290444</v>
      </c>
      <c r="AR164" s="23"/>
      <c r="AS164" s="23" t="str">
        <f t="shared" si="348"/>
        <v>PyroRecy-LFP</v>
      </c>
      <c r="AT164" s="24" t="s">
        <v>225</v>
      </c>
      <c r="AU164" s="23">
        <f t="shared" si="342"/>
        <v>0.0832154227095861</v>
      </c>
    </row>
    <row r="165" ht="15.5" spans="21:47">
      <c r="U165" s="23" t="str">
        <f>U164</f>
        <v>PyroRecy-NMC111</v>
      </c>
      <c r="V165" s="24" t="s">
        <v>226</v>
      </c>
      <c r="W165" s="23">
        <f t="shared" si="336"/>
        <v>0.0130200437931615</v>
      </c>
      <c r="X165" s="25"/>
      <c r="Y165" s="23" t="str">
        <f t="shared" si="343"/>
        <v>PyroRecy-NMC532</v>
      </c>
      <c r="Z165" s="24" t="s">
        <v>226</v>
      </c>
      <c r="AA165" s="23">
        <f t="shared" si="337"/>
        <v>0.0127459366980325</v>
      </c>
      <c r="AB165" s="25"/>
      <c r="AC165" s="23" t="str">
        <f t="shared" si="344"/>
        <v>PyroRecy-NMC622</v>
      </c>
      <c r="AD165" s="24" t="s">
        <v>226</v>
      </c>
      <c r="AE165" s="23">
        <f t="shared" si="338"/>
        <v>0.0132017937219731</v>
      </c>
      <c r="AF165" s="25"/>
      <c r="AG165" s="23" t="str">
        <f t="shared" si="345"/>
        <v>PyroRecy-NMC811</v>
      </c>
      <c r="AH165" s="24" t="s">
        <v>226</v>
      </c>
      <c r="AI165" s="23">
        <f t="shared" si="339"/>
        <v>0.0144238059135709</v>
      </c>
      <c r="AJ165" s="25"/>
      <c r="AK165" s="23" t="str">
        <f t="shared" si="346"/>
        <v>PyroRecy-NCA</v>
      </c>
      <c r="AL165" s="24" t="s">
        <v>226</v>
      </c>
      <c r="AM165" s="23">
        <f t="shared" si="340"/>
        <v>0.0147119149729629</v>
      </c>
      <c r="AN165" s="25"/>
      <c r="AO165" s="23" t="str">
        <f t="shared" si="347"/>
        <v>PyroRecy-LMO</v>
      </c>
      <c r="AP165" s="24" t="s">
        <v>226</v>
      </c>
      <c r="AQ165" s="23">
        <f t="shared" si="341"/>
        <v>0.0110759969902182</v>
      </c>
      <c r="AR165" s="25"/>
      <c r="AS165" s="23" t="str">
        <f t="shared" si="348"/>
        <v>PyroRecy-LFP</v>
      </c>
      <c r="AT165" s="24" t="s">
        <v>226</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5" spans="21:47">
      <c r="U174" s="23" t="s">
        <v>196</v>
      </c>
      <c r="V174" s="24" t="s">
        <v>217</v>
      </c>
      <c r="W174" s="23">
        <f t="shared" ref="W174:W177" si="349">W105</f>
        <v>0.0115546572342934</v>
      </c>
      <c r="X174" s="23"/>
      <c r="Y174" s="23" t="s">
        <v>197</v>
      </c>
      <c r="Z174" s="24" t="s">
        <v>217</v>
      </c>
      <c r="AA174" s="23">
        <f t="shared" ref="AA174:AA177" si="350">X105</f>
        <v>0.0110863986313088</v>
      </c>
      <c r="AB174" s="23"/>
      <c r="AC174" s="23" t="s">
        <v>198</v>
      </c>
      <c r="AD174" s="24" t="s">
        <v>217</v>
      </c>
      <c r="AE174" s="23">
        <f t="shared" ref="AE174:AE177" si="351">Y105</f>
        <v>0.0114618834080717</v>
      </c>
      <c r="AF174" s="23"/>
      <c r="AG174" s="23" t="s">
        <v>199</v>
      </c>
      <c r="AH174" s="24" t="s">
        <v>217</v>
      </c>
      <c r="AI174" s="23">
        <f t="shared" ref="AI174:AI177" si="352">Z105</f>
        <v>0.011751326762699</v>
      </c>
      <c r="AJ174" s="23"/>
      <c r="AK174" s="23" t="s">
        <v>195</v>
      </c>
      <c r="AL174" s="24" t="s">
        <v>217</v>
      </c>
      <c r="AM174" s="23">
        <f t="shared" ref="AM174:AM177" si="353">AA105</f>
        <v>0.0119709118030953</v>
      </c>
      <c r="AN174" s="23"/>
      <c r="AO174" s="23" t="s">
        <v>194</v>
      </c>
      <c r="AP174" s="24" t="s">
        <v>217</v>
      </c>
      <c r="AQ174" s="23">
        <f t="shared" ref="AQ174:AQ177" si="354">AB105</f>
        <v>0.00961625282167042</v>
      </c>
      <c r="AR174" s="23"/>
      <c r="AS174" s="23" t="s">
        <v>193</v>
      </c>
      <c r="AT174" s="24" t="s">
        <v>217</v>
      </c>
      <c r="AU174" s="23">
        <f t="shared" ref="AU174:AU177" si="355">AC105</f>
        <v>0.0113017332861691</v>
      </c>
    </row>
    <row r="175" ht="15.5" spans="21:47">
      <c r="U175" s="23" t="str">
        <f t="shared" ref="U175:U177" si="356">U174</f>
        <v>HydRecy-NMC111</v>
      </c>
      <c r="V175" s="24" t="s">
        <v>224</v>
      </c>
      <c r="W175" s="23">
        <f t="shared" si="349"/>
        <v>0.0252147549267307</v>
      </c>
      <c r="X175" s="23"/>
      <c r="Y175" s="23" t="str">
        <f t="shared" ref="Y175:Y177" si="357">Y174</f>
        <v>HydRecy-NMC532</v>
      </c>
      <c r="Z175" s="24" t="s">
        <v>224</v>
      </c>
      <c r="AA175" s="23">
        <f t="shared" si="350"/>
        <v>0.0242600513259196</v>
      </c>
      <c r="AB175" s="23"/>
      <c r="AC175" s="23" t="str">
        <f t="shared" ref="AC175:AC177" si="358">AC174</f>
        <v>HydRecy-NMC622</v>
      </c>
      <c r="AD175" s="24" t="s">
        <v>224</v>
      </c>
      <c r="AE175" s="23">
        <f t="shared" si="351"/>
        <v>0.0250941704035874</v>
      </c>
      <c r="AF175" s="23"/>
      <c r="AG175" s="23" t="str">
        <f t="shared" ref="AG175:AG177" si="359">AG174</f>
        <v>HydRecy-NMC811</v>
      </c>
      <c r="AH175" s="24" t="s">
        <v>224</v>
      </c>
      <c r="AI175" s="23">
        <f t="shared" si="352"/>
        <v>0.0257581501137225</v>
      </c>
      <c r="AJ175" s="23"/>
      <c r="AK175" s="23" t="str">
        <f t="shared" ref="AK175:AK177" si="360">AK174</f>
        <v>HydRecy-NCA</v>
      </c>
      <c r="AL175" s="24" t="s">
        <v>224</v>
      </c>
      <c r="AM175" s="23">
        <f t="shared" si="353"/>
        <v>0.0262539623345143</v>
      </c>
      <c r="AN175" s="23"/>
      <c r="AO175" s="23" t="str">
        <f t="shared" ref="AO175:AO177" si="361">AO174</f>
        <v>HydRecy-LMO</v>
      </c>
      <c r="AP175" s="24" t="s">
        <v>224</v>
      </c>
      <c r="AQ175" s="23">
        <f t="shared" si="354"/>
        <v>0.0210534236267871</v>
      </c>
      <c r="AR175" s="23"/>
      <c r="AS175" s="23" t="str">
        <f t="shared" ref="AS175:AS177" si="362">AS174</f>
        <v>HydRecy-LFP</v>
      </c>
      <c r="AT175" s="24" t="s">
        <v>224</v>
      </c>
      <c r="AU175" s="23">
        <f t="shared" si="355"/>
        <v>0.0247435443933498</v>
      </c>
    </row>
    <row r="176" ht="15.5" spans="21:47">
      <c r="U176" s="23" t="str">
        <f t="shared" si="356"/>
        <v>HydRecy-NMC111</v>
      </c>
      <c r="V176" s="24" t="s">
        <v>225</v>
      </c>
      <c r="W176" s="23">
        <f t="shared" si="349"/>
        <v>0.0978103419235304</v>
      </c>
      <c r="X176" s="23"/>
      <c r="Y176" s="23" t="str">
        <f t="shared" si="357"/>
        <v>HydRecy-NMC532</v>
      </c>
      <c r="Z176" s="24" t="s">
        <v>225</v>
      </c>
      <c r="AA176" s="23">
        <f t="shared" si="350"/>
        <v>0.0947818648417451</v>
      </c>
      <c r="AB176" s="23"/>
      <c r="AC176" s="23" t="str">
        <f t="shared" si="358"/>
        <v>HydRecy-NMC622</v>
      </c>
      <c r="AD176" s="24" t="s">
        <v>225</v>
      </c>
      <c r="AE176" s="23">
        <f t="shared" si="351"/>
        <v>0.0982600896860986</v>
      </c>
      <c r="AF176" s="23"/>
      <c r="AG176" s="23" t="str">
        <f t="shared" si="359"/>
        <v>HydRecy-NMC811</v>
      </c>
      <c r="AH176" s="24" t="s">
        <v>225</v>
      </c>
      <c r="AI176" s="23">
        <f t="shared" si="352"/>
        <v>0.099696739954511</v>
      </c>
      <c r="AJ176" s="23"/>
      <c r="AK176" s="23" t="str">
        <f t="shared" si="360"/>
        <v>HydRecy-NCA</v>
      </c>
      <c r="AL176" s="24" t="s">
        <v>225</v>
      </c>
      <c r="AM176" s="23">
        <f t="shared" si="353"/>
        <v>0.103953011374231</v>
      </c>
      <c r="AN176" s="23"/>
      <c r="AO176" s="23" t="str">
        <f t="shared" si="361"/>
        <v>HydRecy-LMO</v>
      </c>
      <c r="AP176" s="24" t="s">
        <v>225</v>
      </c>
      <c r="AQ176" s="23">
        <f t="shared" si="354"/>
        <v>0.0824379232505643</v>
      </c>
      <c r="AR176" s="23"/>
      <c r="AS176" s="23" t="str">
        <f t="shared" si="362"/>
        <v>HydRecy-LFP</v>
      </c>
      <c r="AT176" s="24" t="s">
        <v>225</v>
      </c>
      <c r="AU176" s="23">
        <f t="shared" si="355"/>
        <v>0.0968871595330739</v>
      </c>
    </row>
    <row r="177" ht="15.5" spans="21:47">
      <c r="U177" s="23" t="str">
        <f t="shared" si="356"/>
        <v>HydRecy-NMC111</v>
      </c>
      <c r="V177" s="24" t="s">
        <v>226</v>
      </c>
      <c r="W177" s="23">
        <f t="shared" si="349"/>
        <v>0.0132390096008085</v>
      </c>
      <c r="X177" s="25"/>
      <c r="Y177" s="23" t="str">
        <f t="shared" si="357"/>
        <v>HydRecy-NMC532</v>
      </c>
      <c r="Z177" s="24" t="s">
        <v>226</v>
      </c>
      <c r="AA177" s="23">
        <f t="shared" si="350"/>
        <v>0.0130538922155689</v>
      </c>
      <c r="AB177" s="25"/>
      <c r="AC177" s="23" t="str">
        <f t="shared" si="358"/>
        <v>HydRecy-NMC622</v>
      </c>
      <c r="AD177" s="24" t="s">
        <v>226</v>
      </c>
      <c r="AE177" s="23">
        <f t="shared" si="351"/>
        <v>0.0136143497757848</v>
      </c>
      <c r="AF177" s="25"/>
      <c r="AG177" s="23" t="str">
        <f t="shared" si="359"/>
        <v>HydRecy-NMC811</v>
      </c>
      <c r="AH177" s="24" t="s">
        <v>226</v>
      </c>
      <c r="AI177" s="23">
        <f t="shared" si="352"/>
        <v>0.0139689158453374</v>
      </c>
      <c r="AJ177" s="25"/>
      <c r="AK177" s="23" t="str">
        <f t="shared" si="360"/>
        <v>HydRecy-NCA</v>
      </c>
      <c r="AL177" s="24" t="s">
        <v>226</v>
      </c>
      <c r="AM177" s="23">
        <f t="shared" si="353"/>
        <v>0.0141711728510162</v>
      </c>
      <c r="AN177" s="25"/>
      <c r="AO177" s="23" t="str">
        <f t="shared" si="361"/>
        <v>HydRecy-LMO</v>
      </c>
      <c r="AP177" s="24" t="s">
        <v>226</v>
      </c>
      <c r="AQ177" s="23">
        <f t="shared" si="354"/>
        <v>0.0114221218961625</v>
      </c>
      <c r="AR177" s="25"/>
      <c r="AS177" s="23" t="str">
        <f t="shared" si="362"/>
        <v>HydRecy-LFP</v>
      </c>
      <c r="AT177" s="24" t="s">
        <v>226</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5" spans="21:47">
      <c r="U185" s="23" t="s">
        <v>203</v>
      </c>
      <c r="V185" s="24" t="s">
        <v>217</v>
      </c>
      <c r="W185" s="23">
        <f t="shared" ref="W185:W188" si="363">W125</f>
        <v>0.00788276907529056</v>
      </c>
      <c r="X185" s="23"/>
      <c r="Y185" s="23" t="s">
        <v>204</v>
      </c>
      <c r="Z185" s="24" t="s">
        <v>217</v>
      </c>
      <c r="AA185" s="23">
        <f t="shared" ref="AA185:AA188" si="364">X125</f>
        <v>0.00764756201881948</v>
      </c>
      <c r="AB185" s="23"/>
      <c r="AC185" s="23" t="s">
        <v>205</v>
      </c>
      <c r="AD185" s="24" t="s">
        <v>217</v>
      </c>
      <c r="AE185" s="23">
        <f t="shared" ref="AE185:AE188" si="365">Y125</f>
        <v>0.00794618834080718</v>
      </c>
      <c r="AF185" s="23"/>
      <c r="AG185" s="23" t="s">
        <v>206</v>
      </c>
      <c r="AH185" s="24" t="s">
        <v>217</v>
      </c>
      <c r="AI185" s="23">
        <f t="shared" ref="AI185:AI188" si="366">Z125</f>
        <v>0.00794162244124336</v>
      </c>
      <c r="AJ185" s="23"/>
      <c r="AK185" s="23" t="s">
        <v>202</v>
      </c>
      <c r="AL185" s="24" t="s">
        <v>217</v>
      </c>
      <c r="AM185" s="23">
        <f t="shared" ref="AM185:AM188" si="367">AA125</f>
        <v>0.00801790042886445</v>
      </c>
      <c r="AN185" s="23"/>
      <c r="AO185" s="23" t="s">
        <v>201</v>
      </c>
      <c r="AP185" s="24" t="s">
        <v>217</v>
      </c>
      <c r="AQ185" s="23">
        <f t="shared" ref="AQ185:AQ188" si="368">AB125</f>
        <v>0.00666666666666667</v>
      </c>
      <c r="AR185" s="23"/>
      <c r="AS185" s="23" t="s">
        <v>200</v>
      </c>
      <c r="AT185" s="24" t="s">
        <v>217</v>
      </c>
      <c r="AU185" s="23">
        <f t="shared" ref="AU185:AU188" si="369">AC125</f>
        <v>0.00783516094800141</v>
      </c>
    </row>
    <row r="186" ht="15.5" spans="21:47">
      <c r="U186" s="23" t="str">
        <f t="shared" ref="U186:U188" si="370">U185</f>
        <v>DirRecy-NMC111</v>
      </c>
      <c r="V186" s="24" t="s">
        <v>224</v>
      </c>
      <c r="W186" s="23">
        <f t="shared" si="363"/>
        <v>0.02011116725619</v>
      </c>
      <c r="X186" s="23"/>
      <c r="Y186" s="23" t="str">
        <f t="shared" ref="Y186:Y188" si="371">Y185</f>
        <v>DirRecy-NMC532</v>
      </c>
      <c r="Z186" s="24" t="s">
        <v>224</v>
      </c>
      <c r="AA186" s="23">
        <f t="shared" si="364"/>
        <v>0.0195038494439692</v>
      </c>
      <c r="AB186" s="23"/>
      <c r="AC186" s="23" t="str">
        <f t="shared" ref="AC186:AC188" si="372">AC185</f>
        <v>DirRecy-NMC622</v>
      </c>
      <c r="AD186" s="24" t="s">
        <v>224</v>
      </c>
      <c r="AE186" s="23">
        <f t="shared" si="365"/>
        <v>0.0202152466367713</v>
      </c>
      <c r="AF186" s="23"/>
      <c r="AG186" s="23" t="str">
        <f t="shared" ref="AG186:AG188" si="373">AG185</f>
        <v>DirRecy-NMC811</v>
      </c>
      <c r="AH186" s="24" t="s">
        <v>224</v>
      </c>
      <c r="AI186" s="23">
        <f t="shared" si="366"/>
        <v>0.0201099317664898</v>
      </c>
      <c r="AJ186" s="23"/>
      <c r="AK186" s="23" t="str">
        <f t="shared" ref="AK186:AK188" si="374">AK185</f>
        <v>DirRecy-NCA</v>
      </c>
      <c r="AL186" s="24" t="s">
        <v>224</v>
      </c>
      <c r="AM186" s="23">
        <f t="shared" si="367"/>
        <v>0.0203990303934365</v>
      </c>
      <c r="AN186" s="23"/>
      <c r="AO186" s="23" t="str">
        <f t="shared" ref="AO186:AO188" si="375">AO185</f>
        <v>DirRecy-LMO</v>
      </c>
      <c r="AP186" s="24" t="s">
        <v>224</v>
      </c>
      <c r="AQ186" s="23">
        <f t="shared" si="368"/>
        <v>0.0169601203912716</v>
      </c>
      <c r="AR186" s="23"/>
      <c r="AS186" s="23" t="str">
        <f t="shared" ref="AS186:AS188" si="376">AS185</f>
        <v>DirRecy-LFP</v>
      </c>
      <c r="AT186" s="24" t="s">
        <v>224</v>
      </c>
      <c r="AU186" s="23">
        <f t="shared" si="369"/>
        <v>0.0199327909444641</v>
      </c>
    </row>
    <row r="187" ht="15.5" spans="21:47">
      <c r="U187" s="23" t="str">
        <f t="shared" si="370"/>
        <v>DirRecy-NMC111</v>
      </c>
      <c r="V187" s="24" t="s">
        <v>225</v>
      </c>
      <c r="W187" s="23">
        <f t="shared" si="363"/>
        <v>0.0641232945932289</v>
      </c>
      <c r="X187" s="23"/>
      <c r="Y187" s="23" t="str">
        <f t="shared" si="371"/>
        <v>DirRecy-NMC532</v>
      </c>
      <c r="Z187" s="24" t="s">
        <v>225</v>
      </c>
      <c r="AA187" s="23">
        <f t="shared" si="364"/>
        <v>0.0633532934131737</v>
      </c>
      <c r="AB187" s="23"/>
      <c r="AC187" s="23" t="str">
        <f t="shared" si="372"/>
        <v>DirRecy-NMC622</v>
      </c>
      <c r="AD187" s="24" t="s">
        <v>225</v>
      </c>
      <c r="AE187" s="23">
        <f t="shared" si="365"/>
        <v>0.0659910313901345</v>
      </c>
      <c r="AF187" s="23"/>
      <c r="AG187" s="23" t="str">
        <f t="shared" si="373"/>
        <v>DirRecy-NMC811</v>
      </c>
      <c r="AH187" s="24" t="s">
        <v>225</v>
      </c>
      <c r="AI187" s="23">
        <f t="shared" si="366"/>
        <v>0.0673237300985595</v>
      </c>
      <c r="AJ187" s="23"/>
      <c r="AK187" s="23" t="str">
        <f t="shared" si="374"/>
        <v>DirRecy-NCA</v>
      </c>
      <c r="AL187" s="24" t="s">
        <v>225</v>
      </c>
      <c r="AM187" s="23">
        <f t="shared" si="367"/>
        <v>0.0673690098825284</v>
      </c>
      <c r="AN187" s="23"/>
      <c r="AO187" s="23" t="str">
        <f t="shared" si="375"/>
        <v>DirRecy-LMO</v>
      </c>
      <c r="AP187" s="24" t="s">
        <v>225</v>
      </c>
      <c r="AQ187" s="23">
        <f t="shared" si="368"/>
        <v>0.055364936042137</v>
      </c>
      <c r="AR187" s="23"/>
      <c r="AS187" s="23" t="str">
        <f t="shared" si="376"/>
        <v>DirRecy-LFP</v>
      </c>
      <c r="AT187" s="24" t="s">
        <v>225</v>
      </c>
      <c r="AU187" s="23">
        <f t="shared" si="369"/>
        <v>0.0650689777148921</v>
      </c>
    </row>
    <row r="188" ht="15.5" spans="21:47">
      <c r="U188" s="23" t="str">
        <f t="shared" si="370"/>
        <v>DirRecy-NMC111</v>
      </c>
      <c r="V188" s="24" t="s">
        <v>226</v>
      </c>
      <c r="W188" s="23">
        <f t="shared" si="363"/>
        <v>0.0129695132221661</v>
      </c>
      <c r="X188" s="25"/>
      <c r="Y188" s="23" t="str">
        <f t="shared" si="371"/>
        <v>DirRecy-NMC532</v>
      </c>
      <c r="Z188" s="24" t="s">
        <v>226</v>
      </c>
      <c r="AA188" s="23">
        <f t="shared" si="364"/>
        <v>0.012814371257485</v>
      </c>
      <c r="AB188" s="25"/>
      <c r="AC188" s="23" t="str">
        <f t="shared" si="372"/>
        <v>DirRecy-NMC622</v>
      </c>
      <c r="AD188" s="24" t="s">
        <v>226</v>
      </c>
      <c r="AE188" s="23">
        <f t="shared" si="365"/>
        <v>0.0133452914798206</v>
      </c>
      <c r="AF188" s="25"/>
      <c r="AG188" s="23" t="str">
        <f t="shared" si="373"/>
        <v>DirRecy-NMC811</v>
      </c>
      <c r="AH188" s="24" t="s">
        <v>226</v>
      </c>
      <c r="AI188" s="23">
        <f t="shared" si="366"/>
        <v>0.0135898407884761</v>
      </c>
      <c r="AJ188" s="25"/>
      <c r="AK188" s="23" t="str">
        <f t="shared" si="374"/>
        <v>DirRecy-NCA</v>
      </c>
      <c r="AL188" s="24" t="s">
        <v>226</v>
      </c>
      <c r="AM188" s="23">
        <f t="shared" si="367"/>
        <v>0.0136304307290695</v>
      </c>
      <c r="AN188" s="25"/>
      <c r="AO188" s="23" t="str">
        <f t="shared" si="375"/>
        <v>DirRecy-LMO</v>
      </c>
      <c r="AP188" s="24" t="s">
        <v>226</v>
      </c>
      <c r="AQ188" s="23">
        <f t="shared" si="368"/>
        <v>0.011196388261851</v>
      </c>
      <c r="AR188" s="25"/>
      <c r="AS188" s="23" t="str">
        <f t="shared" si="376"/>
        <v>DirRecy-LFP</v>
      </c>
      <c r="AT188" s="24" t="s">
        <v>226</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topLeftCell="BA126" workbookViewId="0">
      <selection activeCell="BV209" sqref="BV209"/>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5"/>
      <c r="L1" s="5" t="s">
        <v>249</v>
      </c>
      <c r="M1" s="5"/>
      <c r="N1" s="5"/>
      <c r="O1" s="5"/>
      <c r="P1" s="5"/>
      <c r="Q1" s="5"/>
      <c r="R1" s="5"/>
      <c r="S1" s="5"/>
      <c r="T1" s="5"/>
      <c r="U1" s="5"/>
      <c r="V1" s="5"/>
      <c r="W1" s="5" t="s">
        <v>250</v>
      </c>
      <c r="X1" s="5"/>
      <c r="Y1" s="5"/>
      <c r="Z1" s="5"/>
      <c r="AA1" s="5"/>
      <c r="AB1" s="14" t="s">
        <v>251</v>
      </c>
      <c r="AC1" s="14"/>
      <c r="AD1" s="5"/>
      <c r="AE1" s="5"/>
      <c r="AF1" s="5" t="s">
        <v>252</v>
      </c>
      <c r="AG1" s="5"/>
      <c r="AH1" s="5"/>
      <c r="AI1" s="5"/>
      <c r="AJ1" s="5"/>
      <c r="AK1" s="5"/>
      <c r="AL1" s="5"/>
      <c r="AM1" s="5"/>
      <c r="AN1" s="5"/>
      <c r="AO1" s="5" t="s">
        <v>253</v>
      </c>
      <c r="AP1" s="5"/>
      <c r="AQ1" s="5"/>
      <c r="AR1" s="5"/>
      <c r="AS1" s="5"/>
      <c r="AT1" s="5"/>
      <c r="AU1" s="5"/>
      <c r="AZ1" s="3" t="s">
        <v>248</v>
      </c>
      <c r="BA1" s="3"/>
      <c r="BB1" s="3"/>
      <c r="BC1" s="3"/>
      <c r="BD1" s="3"/>
      <c r="BE1" s="3"/>
      <c r="BF1" s="3"/>
      <c r="BG1" s="3"/>
      <c r="BH1" s="3"/>
      <c r="BI1" s="3"/>
      <c r="BJ1" s="5"/>
      <c r="BK1" s="5"/>
      <c r="BL1" s="5"/>
      <c r="BM1" s="5"/>
      <c r="BN1" s="5"/>
      <c r="BO1" s="5"/>
    </row>
    <row r="2" ht="30" spans="1:67">
      <c r="A2" s="3" t="s">
        <v>228</v>
      </c>
      <c r="B2" s="3" t="s">
        <v>254</v>
      </c>
      <c r="C2" s="3" t="s">
        <v>230</v>
      </c>
      <c r="D2" s="3"/>
      <c r="E2" s="3"/>
      <c r="F2" s="3"/>
      <c r="G2" s="3"/>
      <c r="H2" s="3"/>
      <c r="I2" s="3"/>
      <c r="J2" s="3"/>
      <c r="K2" s="5"/>
      <c r="L2" s="5"/>
      <c r="M2" s="5"/>
      <c r="N2" s="5"/>
      <c r="O2" s="5"/>
      <c r="P2" s="5"/>
      <c r="Q2" s="5"/>
      <c r="R2" s="5"/>
      <c r="S2" s="5"/>
      <c r="T2" s="5"/>
      <c r="U2" s="5"/>
      <c r="V2" s="12" t="s">
        <v>255</v>
      </c>
      <c r="W2" s="5"/>
      <c r="X2" s="5"/>
      <c r="Y2" s="5"/>
      <c r="Z2" s="5"/>
      <c r="AA2" s="5"/>
      <c r="AB2" s="5"/>
      <c r="AC2" s="5"/>
      <c r="AD2" s="5"/>
      <c r="AE2" s="5"/>
      <c r="AF2" s="5"/>
      <c r="AG2" s="5"/>
      <c r="AH2" s="5"/>
      <c r="AI2" s="5"/>
      <c r="AJ2" s="5"/>
      <c r="AK2" s="5"/>
      <c r="AL2" s="5"/>
      <c r="AM2" s="5"/>
      <c r="AN2" s="5"/>
      <c r="AO2" s="5"/>
      <c r="AP2" s="5"/>
      <c r="AQ2" s="5"/>
      <c r="AR2" s="5"/>
      <c r="AS2" s="5"/>
      <c r="AT2" s="5"/>
      <c r="AU2" s="5"/>
      <c r="AZ2" s="3" t="s">
        <v>228</v>
      </c>
      <c r="BA2" s="3" t="s">
        <v>254</v>
      </c>
      <c r="BB2" s="3" t="s">
        <v>230</v>
      </c>
      <c r="BC2" s="3"/>
      <c r="BD2" s="3"/>
      <c r="BE2" s="3"/>
      <c r="BF2" s="3"/>
      <c r="BG2" s="3"/>
      <c r="BH2" s="3"/>
      <c r="BI2" s="3"/>
      <c r="BJ2" s="5"/>
      <c r="BK2" s="5"/>
      <c r="BL2" s="5"/>
      <c r="BM2" s="5"/>
      <c r="BN2" s="5"/>
      <c r="BO2" s="5"/>
    </row>
    <row r="3" ht="30" spans="1:67">
      <c r="A3" s="3"/>
      <c r="B3" s="3"/>
      <c r="C3" s="4" t="s">
        <v>231</v>
      </c>
      <c r="D3" s="5" t="s">
        <v>232</v>
      </c>
      <c r="E3" s="5" t="s">
        <v>233</v>
      </c>
      <c r="F3" s="6" t="s">
        <v>234</v>
      </c>
      <c r="G3" s="5" t="s">
        <v>235</v>
      </c>
      <c r="H3" s="5" t="s">
        <v>236</v>
      </c>
      <c r="I3" s="5" t="s">
        <v>237</v>
      </c>
      <c r="J3" s="5" t="s">
        <v>238</v>
      </c>
      <c r="K3" s="5"/>
      <c r="L3" s="9" t="s">
        <v>231</v>
      </c>
      <c r="M3" s="5" t="s">
        <v>232</v>
      </c>
      <c r="N3" s="5" t="s">
        <v>233</v>
      </c>
      <c r="O3" s="5" t="s">
        <v>234</v>
      </c>
      <c r="P3" s="5" t="s">
        <v>235</v>
      </c>
      <c r="Q3" s="5" t="s">
        <v>236</v>
      </c>
      <c r="R3" s="5" t="s">
        <v>237</v>
      </c>
      <c r="S3" s="5" t="s">
        <v>238</v>
      </c>
      <c r="T3" s="5"/>
      <c r="U3" s="5"/>
      <c r="V3" s="12" t="s">
        <v>256</v>
      </c>
      <c r="W3" s="5" t="s">
        <v>232</v>
      </c>
      <c r="X3" s="5" t="s">
        <v>233</v>
      </c>
      <c r="Y3" s="6" t="s">
        <v>234</v>
      </c>
      <c r="Z3" s="5" t="s">
        <v>235</v>
      </c>
      <c r="AA3" s="5" t="s">
        <v>236</v>
      </c>
      <c r="AB3" s="15" t="s">
        <v>237</v>
      </c>
      <c r="AC3" s="15" t="s">
        <v>238</v>
      </c>
      <c r="AD3" s="5"/>
      <c r="AE3" s="5"/>
      <c r="AF3" s="5" t="s">
        <v>232</v>
      </c>
      <c r="AG3" s="5" t="s">
        <v>233</v>
      </c>
      <c r="AH3" s="6" t="s">
        <v>234</v>
      </c>
      <c r="AI3" s="5" t="s">
        <v>235</v>
      </c>
      <c r="AJ3" s="5" t="s">
        <v>236</v>
      </c>
      <c r="AK3" s="15" t="s">
        <v>237</v>
      </c>
      <c r="AL3" s="15" t="s">
        <v>238</v>
      </c>
      <c r="AM3" s="5"/>
      <c r="AN3" s="5"/>
      <c r="AO3" s="5" t="s">
        <v>232</v>
      </c>
      <c r="AP3" s="5" t="s">
        <v>233</v>
      </c>
      <c r="AQ3" s="6" t="s">
        <v>234</v>
      </c>
      <c r="AR3" s="5" t="s">
        <v>235</v>
      </c>
      <c r="AS3" s="5" t="s">
        <v>236</v>
      </c>
      <c r="AT3" s="15" t="s">
        <v>237</v>
      </c>
      <c r="AU3" s="15" t="s">
        <v>238</v>
      </c>
      <c r="AZ3" s="3"/>
      <c r="BA3" s="3"/>
      <c r="BB3" s="4" t="s">
        <v>231</v>
      </c>
      <c r="BC3" s="5" t="s">
        <v>232</v>
      </c>
      <c r="BD3" s="5" t="s">
        <v>233</v>
      </c>
      <c r="BE3" s="6" t="s">
        <v>234</v>
      </c>
      <c r="BF3" s="5" t="s">
        <v>235</v>
      </c>
      <c r="BG3" s="5" t="s">
        <v>236</v>
      </c>
      <c r="BH3" s="5" t="s">
        <v>237</v>
      </c>
      <c r="BI3" s="5" t="s">
        <v>238</v>
      </c>
      <c r="BJ3" s="5"/>
      <c r="BK3" s="9"/>
      <c r="BL3" s="5"/>
      <c r="BM3" s="5"/>
      <c r="BN3" s="5"/>
      <c r="BO3" s="5"/>
    </row>
    <row r="4" ht="15.5" spans="1:67">
      <c r="A4" s="3" t="s">
        <v>239</v>
      </c>
      <c r="B4" s="7" t="s">
        <v>240</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239</v>
      </c>
      <c r="V4" s="7" t="s">
        <v>240</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239</v>
      </c>
      <c r="BA4" s="7" t="s">
        <v>240</v>
      </c>
      <c r="BB4" s="8">
        <v>837.4</v>
      </c>
      <c r="BC4" s="13">
        <v>808.1</v>
      </c>
      <c r="BD4" s="13">
        <v>770.5</v>
      </c>
      <c r="BE4" s="13">
        <v>760</v>
      </c>
      <c r="BF4" s="13">
        <v>755.1</v>
      </c>
      <c r="BG4" s="13">
        <v>796</v>
      </c>
      <c r="BH4" s="13">
        <v>760</v>
      </c>
      <c r="BI4" s="13">
        <v>760</v>
      </c>
      <c r="BJ4" s="5"/>
      <c r="BK4" s="9"/>
      <c r="BL4" s="10"/>
      <c r="BM4" s="10"/>
      <c r="BN4" s="10"/>
      <c r="BO4" s="10"/>
    </row>
    <row r="5" ht="15.5" spans="1:67">
      <c r="A5" s="3"/>
      <c r="B5" s="7" t="s">
        <v>241</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241</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241</v>
      </c>
      <c r="BB5" s="8">
        <v>770.1</v>
      </c>
      <c r="BC5" s="13">
        <v>745.7</v>
      </c>
      <c r="BD5" s="13">
        <v>711.5</v>
      </c>
      <c r="BE5" s="13">
        <v>702.1</v>
      </c>
      <c r="BF5" s="13">
        <v>694.8</v>
      </c>
      <c r="BG5" s="13">
        <v>733.8</v>
      </c>
      <c r="BH5" s="13">
        <v>702.1</v>
      </c>
      <c r="BI5" s="13">
        <v>702.1</v>
      </c>
      <c r="BJ5" s="5"/>
      <c r="BK5" s="5"/>
      <c r="BL5" s="11"/>
      <c r="BM5" s="11"/>
      <c r="BN5" s="11"/>
      <c r="BO5" s="11"/>
    </row>
    <row r="6" ht="15.5" spans="1:67">
      <c r="A6" s="3"/>
      <c r="B6" s="7" t="s">
        <v>242</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242</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242</v>
      </c>
      <c r="BB6" s="8">
        <v>198.6</v>
      </c>
      <c r="BC6" s="13">
        <v>171.7</v>
      </c>
      <c r="BD6" s="13">
        <v>161.1</v>
      </c>
      <c r="BE6" s="13">
        <v>157.9</v>
      </c>
      <c r="BF6" s="13">
        <v>152.1</v>
      </c>
      <c r="BG6" s="13">
        <v>158.8</v>
      </c>
      <c r="BH6" s="13">
        <v>157.9</v>
      </c>
      <c r="BI6" s="13">
        <v>157.9</v>
      </c>
      <c r="BJ6" s="5"/>
      <c r="BK6" s="5"/>
      <c r="BL6" s="11"/>
      <c r="BM6" s="11"/>
      <c r="BN6" s="11"/>
      <c r="BO6" s="11"/>
    </row>
    <row r="7" ht="15.5" spans="1:67">
      <c r="A7" s="3"/>
      <c r="B7" s="7" t="s">
        <v>243</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243</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243</v>
      </c>
      <c r="BB7" s="8">
        <v>487</v>
      </c>
      <c r="BC7" s="13">
        <v>496.7</v>
      </c>
      <c r="BD7" s="13">
        <v>475.8</v>
      </c>
      <c r="BE7" s="13">
        <v>470.5</v>
      </c>
      <c r="BF7" s="13">
        <v>466.5</v>
      </c>
      <c r="BG7" s="13">
        <v>496</v>
      </c>
      <c r="BH7" s="13">
        <v>470.5</v>
      </c>
      <c r="BI7" s="13">
        <v>470.5</v>
      </c>
      <c r="BJ7" s="5"/>
      <c r="BK7" s="5"/>
      <c r="BL7" s="11"/>
      <c r="BM7" s="11"/>
      <c r="BN7" s="11"/>
      <c r="BO7" s="11"/>
    </row>
    <row r="8" ht="15.5" spans="1:67">
      <c r="A8" s="3"/>
      <c r="B8" s="7" t="s">
        <v>244</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244</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244</v>
      </c>
      <c r="BB8" s="8">
        <v>84.5</v>
      </c>
      <c r="BC8" s="13">
        <v>77.3</v>
      </c>
      <c r="BD8" s="13">
        <v>74.5</v>
      </c>
      <c r="BE8" s="13">
        <v>73.6</v>
      </c>
      <c r="BF8" s="13">
        <v>76.1</v>
      </c>
      <c r="BG8" s="13">
        <v>78.9</v>
      </c>
      <c r="BH8" s="13">
        <v>73.6</v>
      </c>
      <c r="BI8" s="13">
        <v>73.6</v>
      </c>
      <c r="BJ8" s="5"/>
      <c r="BK8" s="5"/>
      <c r="BL8" s="11"/>
      <c r="BM8" s="11"/>
      <c r="BN8" s="11"/>
      <c r="BO8" s="11"/>
    </row>
    <row r="9" ht="15.5" spans="1:67">
      <c r="A9" s="3" t="s">
        <v>245</v>
      </c>
      <c r="B9" s="7" t="s">
        <v>240</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245</v>
      </c>
      <c r="V9" s="7" t="s">
        <v>240</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245</v>
      </c>
      <c r="BA9" s="7" t="s">
        <v>240</v>
      </c>
      <c r="BB9" s="8">
        <v>855</v>
      </c>
      <c r="BC9" s="13">
        <v>824.1</v>
      </c>
      <c r="BD9" s="13">
        <v>785.7</v>
      </c>
      <c r="BE9" s="13">
        <v>775</v>
      </c>
      <c r="BF9" s="13">
        <v>770.2</v>
      </c>
      <c r="BG9" s="13">
        <v>811.6</v>
      </c>
      <c r="BH9" s="13">
        <v>775</v>
      </c>
      <c r="BI9" s="13">
        <v>775</v>
      </c>
      <c r="BJ9" s="5"/>
      <c r="BK9" s="5"/>
      <c r="BL9" s="11"/>
      <c r="BM9" s="11"/>
      <c r="BN9" s="11"/>
      <c r="BO9" s="11"/>
    </row>
    <row r="10" ht="15.5" spans="1:67">
      <c r="A10" s="3"/>
      <c r="B10" s="7" t="s">
        <v>241</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241</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241</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242</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242</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242</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243</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243</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243</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244</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244</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244</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240</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240</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240</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241</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241</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241</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242</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242</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242</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243</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243</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243</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244</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244</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244</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257</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257</v>
      </c>
      <c r="BA21" s="3"/>
      <c r="BB21" s="3"/>
      <c r="BC21" s="3"/>
      <c r="BD21" s="3"/>
      <c r="BE21" s="3"/>
      <c r="BF21" s="3"/>
      <c r="BG21" s="3"/>
      <c r="BH21" s="3"/>
      <c r="BI21" s="3"/>
      <c r="BJ21" s="5"/>
      <c r="BK21" s="5"/>
      <c r="BL21" s="5"/>
      <c r="BM21" s="5"/>
      <c r="BN21" s="5"/>
      <c r="BO21" s="5"/>
    </row>
    <row r="22" ht="15.5" spans="1:67">
      <c r="A22" s="3" t="s">
        <v>228</v>
      </c>
      <c r="B22" s="3" t="s">
        <v>258</v>
      </c>
      <c r="C22" s="3" t="s">
        <v>230</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228</v>
      </c>
      <c r="BA22" s="3" t="s">
        <v>258</v>
      </c>
      <c r="BB22" s="3" t="s">
        <v>230</v>
      </c>
      <c r="BC22" s="3"/>
      <c r="BD22" s="3"/>
      <c r="BE22" s="3"/>
      <c r="BF22" s="3"/>
      <c r="BG22" s="3"/>
      <c r="BH22" s="3"/>
      <c r="BI22" s="3"/>
      <c r="BJ22" s="5"/>
      <c r="BK22" s="5"/>
      <c r="BL22" s="5"/>
      <c r="BM22" s="5"/>
      <c r="BN22" s="5"/>
      <c r="BO22" s="5"/>
    </row>
    <row r="23" ht="30" spans="1:67">
      <c r="A23" s="3"/>
      <c r="B23" s="3"/>
      <c r="C23" s="4" t="s">
        <v>231</v>
      </c>
      <c r="D23" s="5" t="s">
        <v>232</v>
      </c>
      <c r="E23" s="5" t="s">
        <v>233</v>
      </c>
      <c r="F23" s="6" t="s">
        <v>234</v>
      </c>
      <c r="G23" s="5" t="s">
        <v>235</v>
      </c>
      <c r="H23" s="5" t="s">
        <v>236</v>
      </c>
      <c r="I23" s="5" t="s">
        <v>237</v>
      </c>
      <c r="J23" s="5" t="s">
        <v>238</v>
      </c>
      <c r="K23" s="5"/>
      <c r="L23" s="5"/>
      <c r="M23" s="5" t="s">
        <v>232</v>
      </c>
      <c r="N23" s="5" t="s">
        <v>233</v>
      </c>
      <c r="O23" s="5" t="s">
        <v>234</v>
      </c>
      <c r="P23" s="5" t="s">
        <v>235</v>
      </c>
      <c r="Q23" s="5" t="s">
        <v>236</v>
      </c>
      <c r="R23" s="5" t="s">
        <v>237</v>
      </c>
      <c r="S23" s="5" t="s">
        <v>238</v>
      </c>
      <c r="T23" s="5"/>
      <c r="U23" s="5"/>
      <c r="V23" s="12" t="s">
        <v>256</v>
      </c>
      <c r="W23" s="5" t="s">
        <v>232</v>
      </c>
      <c r="X23" s="5" t="s">
        <v>233</v>
      </c>
      <c r="Y23" s="6" t="s">
        <v>234</v>
      </c>
      <c r="Z23" s="5" t="s">
        <v>235</v>
      </c>
      <c r="AA23" s="5" t="s">
        <v>236</v>
      </c>
      <c r="AB23" s="15" t="s">
        <v>237</v>
      </c>
      <c r="AC23" s="15" t="s">
        <v>238</v>
      </c>
      <c r="AD23" s="5"/>
      <c r="AE23" s="5"/>
      <c r="AF23" s="5" t="s">
        <v>232</v>
      </c>
      <c r="AG23" s="5" t="s">
        <v>233</v>
      </c>
      <c r="AH23" s="6" t="s">
        <v>234</v>
      </c>
      <c r="AI23" s="5" t="s">
        <v>235</v>
      </c>
      <c r="AJ23" s="5" t="s">
        <v>236</v>
      </c>
      <c r="AK23" s="15" t="s">
        <v>237</v>
      </c>
      <c r="AL23" s="15" t="s">
        <v>238</v>
      </c>
      <c r="AM23" s="5"/>
      <c r="AN23" s="5"/>
      <c r="AO23" s="5" t="s">
        <v>232</v>
      </c>
      <c r="AP23" s="5" t="s">
        <v>233</v>
      </c>
      <c r="AQ23" s="6" t="s">
        <v>234</v>
      </c>
      <c r="AR23" s="5" t="s">
        <v>235</v>
      </c>
      <c r="AS23" s="5" t="s">
        <v>236</v>
      </c>
      <c r="AT23" s="15" t="s">
        <v>237</v>
      </c>
      <c r="AU23" s="15" t="s">
        <v>238</v>
      </c>
      <c r="AZ23" s="3"/>
      <c r="BA23" s="3"/>
      <c r="BB23" s="4" t="s">
        <v>231</v>
      </c>
      <c r="BC23" s="5" t="s">
        <v>232</v>
      </c>
      <c r="BD23" s="5" t="s">
        <v>233</v>
      </c>
      <c r="BE23" s="6" t="s">
        <v>234</v>
      </c>
      <c r="BF23" s="5" t="s">
        <v>235</v>
      </c>
      <c r="BG23" s="5" t="s">
        <v>236</v>
      </c>
      <c r="BH23" s="5" t="s">
        <v>237</v>
      </c>
      <c r="BI23" s="5" t="s">
        <v>238</v>
      </c>
      <c r="BJ23" s="5"/>
      <c r="BK23" s="5"/>
      <c r="BL23" s="5"/>
      <c r="BM23" s="5"/>
      <c r="BN23" s="5"/>
      <c r="BO23" s="5"/>
    </row>
    <row r="24" ht="15.5" spans="1:67">
      <c r="A24" s="3" t="s">
        <v>239</v>
      </c>
      <c r="B24" s="7" t="s">
        <v>240</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239</v>
      </c>
      <c r="V24" s="7" t="s">
        <v>240</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239</v>
      </c>
      <c r="BA24" s="7" t="s">
        <v>240</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241</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241</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241</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242</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242</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242</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243</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243</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243</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244</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244</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244</v>
      </c>
      <c r="BB28" s="8">
        <v>85</v>
      </c>
      <c r="BC28" s="13">
        <v>78.6</v>
      </c>
      <c r="BD28" s="13">
        <v>76.3</v>
      </c>
      <c r="BE28" s="13">
        <v>75.9</v>
      </c>
      <c r="BF28" s="13">
        <v>73.7</v>
      </c>
      <c r="BG28" s="13">
        <v>76</v>
      </c>
      <c r="BH28" s="13">
        <v>75.9</v>
      </c>
      <c r="BI28" s="13">
        <v>75.9</v>
      </c>
      <c r="BJ28" s="5"/>
      <c r="BK28" s="5"/>
      <c r="BL28" s="11"/>
      <c r="BM28" s="11"/>
      <c r="BN28" s="11"/>
      <c r="BO28" s="11"/>
    </row>
    <row r="29" ht="15.5" spans="1:67">
      <c r="A29" s="3" t="s">
        <v>245</v>
      </c>
      <c r="B29" s="7" t="s">
        <v>240</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245</v>
      </c>
      <c r="V29" s="7" t="s">
        <v>240</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245</v>
      </c>
      <c r="BA29" s="7" t="s">
        <v>240</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241</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241</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241</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242</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242</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242</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243</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243</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243</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244</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244</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244</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240</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240</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240</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241</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241</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241</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242</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242</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242</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243</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243</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243</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244</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244</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244</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259</v>
      </c>
      <c r="B41" s="3"/>
      <c r="C41" s="3"/>
      <c r="D41" s="3"/>
      <c r="E41" s="3"/>
      <c r="F41" s="3"/>
      <c r="G41" s="3"/>
      <c r="H41" s="3"/>
      <c r="I41" s="3"/>
      <c r="J41" s="3"/>
      <c r="K41" s="5"/>
      <c r="L41" s="5"/>
      <c r="M41" s="5"/>
      <c r="N41" s="5"/>
      <c r="O41" s="5"/>
      <c r="P41" s="5"/>
      <c r="Q41" s="5"/>
      <c r="R41" s="5"/>
      <c r="S41" s="5"/>
      <c r="T41" s="5"/>
      <c r="AZ41" s="3" t="s">
        <v>259</v>
      </c>
      <c r="BA41" s="3"/>
      <c r="BB41" s="3"/>
      <c r="BC41" s="3"/>
      <c r="BD41" s="3"/>
      <c r="BE41" s="3"/>
      <c r="BF41" s="3"/>
      <c r="BG41" s="3"/>
      <c r="BH41" s="3"/>
      <c r="BI41" s="3"/>
      <c r="BJ41" s="5"/>
      <c r="BK41" s="5"/>
      <c r="BL41" s="5"/>
      <c r="BM41" s="5"/>
      <c r="BN41" s="5"/>
      <c r="BO41" s="5"/>
    </row>
    <row r="42" ht="15.5" spans="1:67">
      <c r="A42" s="3" t="s">
        <v>228</v>
      </c>
      <c r="B42" s="3" t="s">
        <v>258</v>
      </c>
      <c r="C42" s="3" t="s">
        <v>230</v>
      </c>
      <c r="D42" s="3"/>
      <c r="E42" s="3"/>
      <c r="F42" s="3"/>
      <c r="G42" s="3"/>
      <c r="H42" s="3"/>
      <c r="I42" s="3"/>
      <c r="J42" s="3"/>
      <c r="K42" s="5"/>
      <c r="L42" s="5"/>
      <c r="M42" s="5"/>
      <c r="N42" s="5"/>
      <c r="O42" s="5"/>
      <c r="P42" s="5"/>
      <c r="Q42" s="5"/>
      <c r="R42" s="5"/>
      <c r="S42" s="5"/>
      <c r="T42" s="5"/>
      <c r="AZ42" s="3" t="s">
        <v>228</v>
      </c>
      <c r="BA42" s="3" t="s">
        <v>258</v>
      </c>
      <c r="BB42" s="3" t="s">
        <v>230</v>
      </c>
      <c r="BC42" s="3"/>
      <c r="BD42" s="3"/>
      <c r="BE42" s="3"/>
      <c r="BF42" s="3"/>
      <c r="BG42" s="3"/>
      <c r="BH42" s="3"/>
      <c r="BI42" s="3"/>
      <c r="BJ42" s="5"/>
      <c r="BK42" s="5"/>
      <c r="BL42" s="5"/>
      <c r="BM42" s="5"/>
      <c r="BN42" s="5"/>
      <c r="BO42" s="5"/>
    </row>
    <row r="43" ht="30" spans="1:67">
      <c r="A43" s="3"/>
      <c r="B43" s="3"/>
      <c r="C43" s="4" t="s">
        <v>231</v>
      </c>
      <c r="D43" s="5" t="s">
        <v>232</v>
      </c>
      <c r="E43" s="5" t="s">
        <v>233</v>
      </c>
      <c r="F43" s="6" t="s">
        <v>234</v>
      </c>
      <c r="G43" s="5" t="s">
        <v>235</v>
      </c>
      <c r="H43" s="5" t="s">
        <v>236</v>
      </c>
      <c r="I43" s="5" t="s">
        <v>237</v>
      </c>
      <c r="J43" s="5" t="s">
        <v>238</v>
      </c>
      <c r="K43" s="5"/>
      <c r="L43" s="5"/>
      <c r="M43" s="5" t="s">
        <v>232</v>
      </c>
      <c r="N43" s="5" t="s">
        <v>233</v>
      </c>
      <c r="O43" s="5" t="s">
        <v>234</v>
      </c>
      <c r="P43" s="5" t="s">
        <v>235</v>
      </c>
      <c r="Q43" s="5" t="s">
        <v>236</v>
      </c>
      <c r="R43" s="5" t="s">
        <v>237</v>
      </c>
      <c r="S43" s="5" t="s">
        <v>238</v>
      </c>
      <c r="T43" s="5"/>
      <c r="U43" s="5"/>
      <c r="V43" s="12" t="s">
        <v>256</v>
      </c>
      <c r="W43" s="5" t="s">
        <v>232</v>
      </c>
      <c r="X43" s="5" t="s">
        <v>233</v>
      </c>
      <c r="Y43" s="6" t="s">
        <v>234</v>
      </c>
      <c r="Z43" s="5" t="s">
        <v>235</v>
      </c>
      <c r="AA43" s="5" t="s">
        <v>236</v>
      </c>
      <c r="AB43" s="15" t="s">
        <v>237</v>
      </c>
      <c r="AC43" s="15" t="s">
        <v>238</v>
      </c>
      <c r="AD43" s="5"/>
      <c r="AE43" s="5"/>
      <c r="AF43" s="5" t="s">
        <v>232</v>
      </c>
      <c r="AG43" s="5" t="s">
        <v>233</v>
      </c>
      <c r="AH43" s="6" t="s">
        <v>234</v>
      </c>
      <c r="AI43" s="5" t="s">
        <v>235</v>
      </c>
      <c r="AJ43" s="5" t="s">
        <v>236</v>
      </c>
      <c r="AK43" s="15" t="s">
        <v>237</v>
      </c>
      <c r="AL43" s="15" t="s">
        <v>238</v>
      </c>
      <c r="AO43" s="5" t="s">
        <v>232</v>
      </c>
      <c r="AP43" s="5" t="s">
        <v>233</v>
      </c>
      <c r="AQ43" s="6" t="s">
        <v>234</v>
      </c>
      <c r="AR43" s="5" t="s">
        <v>235</v>
      </c>
      <c r="AS43" s="5" t="s">
        <v>236</v>
      </c>
      <c r="AT43" s="15" t="s">
        <v>237</v>
      </c>
      <c r="AU43" s="15" t="s">
        <v>238</v>
      </c>
      <c r="AZ43" s="3"/>
      <c r="BA43" s="3"/>
      <c r="BB43" s="4" t="s">
        <v>231</v>
      </c>
      <c r="BC43" s="5" t="s">
        <v>232</v>
      </c>
      <c r="BD43" s="5" t="s">
        <v>233</v>
      </c>
      <c r="BE43" s="6" t="s">
        <v>234</v>
      </c>
      <c r="BF43" s="5" t="s">
        <v>235</v>
      </c>
      <c r="BG43" s="5" t="s">
        <v>236</v>
      </c>
      <c r="BH43" s="5" t="s">
        <v>237</v>
      </c>
      <c r="BI43" s="5" t="s">
        <v>238</v>
      </c>
      <c r="BJ43" s="5"/>
      <c r="BK43" s="5"/>
      <c r="BL43" s="5"/>
      <c r="BM43" s="5"/>
      <c r="BN43" s="5"/>
      <c r="BO43" s="5"/>
    </row>
    <row r="44" ht="15.5" spans="1:67">
      <c r="A44" s="3" t="s">
        <v>239</v>
      </c>
      <c r="B44" s="7" t="s">
        <v>240</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239</v>
      </c>
      <c r="V44" s="7" t="s">
        <v>240</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239</v>
      </c>
      <c r="BA44" s="7" t="s">
        <v>240</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241</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241</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241</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242</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242</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242</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243</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243</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243</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244</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244</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244</v>
      </c>
      <c r="BB48" s="8">
        <v>84.6</v>
      </c>
      <c r="BC48" s="13">
        <v>77</v>
      </c>
      <c r="BD48" s="13">
        <v>74.9</v>
      </c>
      <c r="BE48" s="13">
        <v>74.4</v>
      </c>
      <c r="BF48" s="13">
        <v>71.7</v>
      </c>
      <c r="BG48" s="13">
        <v>73.1</v>
      </c>
      <c r="BH48" s="13">
        <v>74.4</v>
      </c>
      <c r="BI48" s="13">
        <v>74.4</v>
      </c>
      <c r="BJ48" s="5"/>
      <c r="BK48" s="5"/>
      <c r="BL48" s="11"/>
      <c r="BM48" s="11"/>
      <c r="BN48" s="11"/>
      <c r="BO48" s="11"/>
    </row>
    <row r="49" ht="15.5" spans="1:67">
      <c r="A49" s="3" t="s">
        <v>245</v>
      </c>
      <c r="B49" s="7" t="s">
        <v>240</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245</v>
      </c>
      <c r="V49" s="7" t="s">
        <v>240</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245</v>
      </c>
      <c r="BA49" s="7" t="s">
        <v>240</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241</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241</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241</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242</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242</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242</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243</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243</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243</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244</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244</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244</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240</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240</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240</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241</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241</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241</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242</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242</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242</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243</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243</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243</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244</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244</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244</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246</v>
      </c>
      <c r="B60" s="5"/>
      <c r="C60" s="4"/>
      <c r="D60" s="5"/>
      <c r="E60" s="5"/>
      <c r="F60" s="5"/>
      <c r="G60" s="5"/>
      <c r="H60" s="5"/>
      <c r="I60" s="5"/>
      <c r="J60" s="5"/>
      <c r="K60" s="5"/>
      <c r="L60" s="5"/>
      <c r="M60" s="5"/>
      <c r="N60" s="5"/>
      <c r="O60" s="5"/>
      <c r="P60" s="5"/>
      <c r="Q60" s="5"/>
      <c r="R60" s="5"/>
      <c r="S60" s="5"/>
      <c r="T60" s="5"/>
      <c r="AZ60" s="5" t="s">
        <v>246</v>
      </c>
      <c r="BA60" s="5"/>
      <c r="BB60" s="4"/>
      <c r="BC60" s="5"/>
      <c r="BD60" s="5"/>
      <c r="BE60" s="5"/>
      <c r="BF60" s="5"/>
      <c r="BG60" s="5"/>
      <c r="BH60" s="5"/>
      <c r="BI60" s="5"/>
      <c r="BJ60" s="5"/>
      <c r="BK60" s="5"/>
      <c r="BL60" s="5"/>
      <c r="BM60" s="5"/>
      <c r="BN60" s="5"/>
      <c r="BO60" s="5"/>
    </row>
    <row r="61" ht="15.5" spans="1:67">
      <c r="A61" s="5" t="s">
        <v>260</v>
      </c>
      <c r="B61" s="5"/>
      <c r="C61" s="4"/>
      <c r="D61" s="5"/>
      <c r="E61" s="5"/>
      <c r="F61" s="5"/>
      <c r="G61" s="5"/>
      <c r="H61" s="5"/>
      <c r="I61" s="5"/>
      <c r="J61" s="5"/>
      <c r="K61" s="5"/>
      <c r="L61" s="5"/>
      <c r="M61" s="5"/>
      <c r="N61" s="5"/>
      <c r="O61" s="5"/>
      <c r="P61" s="5"/>
      <c r="Q61" s="5"/>
      <c r="R61" s="5"/>
      <c r="S61" s="5"/>
      <c r="T61" s="5"/>
      <c r="AZ61" s="5" t="s">
        <v>260</v>
      </c>
      <c r="BA61" s="5"/>
      <c r="BB61" s="4"/>
      <c r="BC61" s="5"/>
      <c r="BD61" s="5"/>
      <c r="BE61" s="5"/>
      <c r="BF61" s="5"/>
      <c r="BG61" s="5"/>
      <c r="BH61" s="5"/>
      <c r="BI61" s="5"/>
      <c r="BJ61" s="5"/>
      <c r="BK61" s="5"/>
      <c r="BL61" s="5"/>
      <c r="BM61" s="5"/>
      <c r="BN61" s="5"/>
      <c r="BO61" s="5"/>
    </row>
    <row r="62" ht="15.5" spans="1:67">
      <c r="A62" s="5" t="s">
        <v>261</v>
      </c>
      <c r="B62" s="5"/>
      <c r="C62" s="4"/>
      <c r="D62" s="5"/>
      <c r="E62" s="5"/>
      <c r="F62" s="5"/>
      <c r="G62" s="5"/>
      <c r="H62" s="5"/>
      <c r="I62" s="5"/>
      <c r="J62" s="5"/>
      <c r="K62" s="5"/>
      <c r="L62" s="5"/>
      <c r="M62" s="5"/>
      <c r="N62" s="5"/>
      <c r="O62" s="5"/>
      <c r="P62" s="5"/>
      <c r="Q62" s="5"/>
      <c r="R62" s="5"/>
      <c r="S62" s="5"/>
      <c r="T62" s="5"/>
      <c r="AZ62" s="5" t="s">
        <v>261</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232</v>
      </c>
      <c r="X72" s="5" t="s">
        <v>233</v>
      </c>
      <c r="Y72" s="6" t="s">
        <v>234</v>
      </c>
      <c r="Z72" s="5" t="s">
        <v>235</v>
      </c>
      <c r="AA72" s="5" t="s">
        <v>236</v>
      </c>
      <c r="AB72" s="15" t="s">
        <v>237</v>
      </c>
      <c r="AC72" s="15" t="s">
        <v>238</v>
      </c>
      <c r="AD72" s="5"/>
      <c r="AE72" s="5"/>
      <c r="AF72" s="5" t="s">
        <v>232</v>
      </c>
      <c r="AG72" s="5" t="s">
        <v>233</v>
      </c>
      <c r="AH72" s="6" t="s">
        <v>234</v>
      </c>
      <c r="AI72" s="5" t="s">
        <v>235</v>
      </c>
      <c r="AJ72" s="5" t="s">
        <v>236</v>
      </c>
      <c r="AK72" s="15" t="s">
        <v>237</v>
      </c>
      <c r="AL72" s="15" t="s">
        <v>238</v>
      </c>
      <c r="AM72" s="5"/>
      <c r="AN72" s="5"/>
      <c r="AO72" s="5" t="s">
        <v>232</v>
      </c>
      <c r="AP72" s="5" t="s">
        <v>233</v>
      </c>
      <c r="AQ72" s="6" t="s">
        <v>234</v>
      </c>
      <c r="AR72" s="5" t="s">
        <v>235</v>
      </c>
      <c r="AS72" s="5" t="s">
        <v>236</v>
      </c>
      <c r="AT72" s="15" t="s">
        <v>237</v>
      </c>
      <c r="AU72" s="15"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262</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263</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264</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3" t="s">
        <v>265</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262</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263</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264</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232</v>
      </c>
      <c r="X92" s="5" t="s">
        <v>233</v>
      </c>
      <c r="Y92" s="6" t="s">
        <v>234</v>
      </c>
      <c r="Z92" s="5" t="s">
        <v>235</v>
      </c>
      <c r="AA92" s="5" t="s">
        <v>236</v>
      </c>
      <c r="AB92" s="15" t="s">
        <v>237</v>
      </c>
      <c r="AC92" s="15" t="s">
        <v>238</v>
      </c>
      <c r="AD92" s="5"/>
      <c r="AE92" s="5"/>
      <c r="AF92" s="5" t="s">
        <v>232</v>
      </c>
      <c r="AG92" s="5" t="s">
        <v>233</v>
      </c>
      <c r="AH92" s="6" t="s">
        <v>234</v>
      </c>
      <c r="AI92" s="5" t="s">
        <v>235</v>
      </c>
      <c r="AJ92" s="5" t="s">
        <v>236</v>
      </c>
      <c r="AK92" s="15" t="s">
        <v>237</v>
      </c>
      <c r="AL92" s="15" t="s">
        <v>238</v>
      </c>
      <c r="AM92" s="5"/>
      <c r="AN92" s="5"/>
      <c r="AO92" s="5" t="s">
        <v>232</v>
      </c>
      <c r="AP92" s="5" t="s">
        <v>233</v>
      </c>
      <c r="AQ92" s="6" t="s">
        <v>234</v>
      </c>
      <c r="AR92" s="5" t="s">
        <v>235</v>
      </c>
      <c r="AS92" s="5" t="s">
        <v>236</v>
      </c>
      <c r="AT92" s="15" t="s">
        <v>237</v>
      </c>
      <c r="AU92" s="15"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262</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263</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264</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3" t="s">
        <v>265</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262</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263</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264</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5"/>
      <c r="V112" s="5"/>
      <c r="W112" s="5" t="s">
        <v>232</v>
      </c>
      <c r="X112" s="5" t="s">
        <v>233</v>
      </c>
      <c r="Y112" s="6" t="s">
        <v>234</v>
      </c>
      <c r="Z112" s="5" t="s">
        <v>235</v>
      </c>
      <c r="AA112" s="5" t="s">
        <v>236</v>
      </c>
      <c r="AB112" s="15" t="s">
        <v>237</v>
      </c>
      <c r="AC112" s="15" t="s">
        <v>238</v>
      </c>
      <c r="AD112" s="5"/>
      <c r="AE112" s="5"/>
      <c r="AF112" s="5" t="s">
        <v>232</v>
      </c>
      <c r="AG112" s="5" t="s">
        <v>233</v>
      </c>
      <c r="AH112" s="6" t="s">
        <v>234</v>
      </c>
      <c r="AI112" s="5" t="s">
        <v>235</v>
      </c>
      <c r="AJ112" s="5" t="s">
        <v>236</v>
      </c>
      <c r="AK112" s="15" t="s">
        <v>237</v>
      </c>
      <c r="AL112" s="15" t="s">
        <v>238</v>
      </c>
      <c r="AM112" s="5"/>
      <c r="AN112" s="5"/>
      <c r="AO112" s="5" t="s">
        <v>232</v>
      </c>
      <c r="AP112" s="5" t="s">
        <v>233</v>
      </c>
      <c r="AQ112" s="6" t="s">
        <v>234</v>
      </c>
      <c r="AR112" s="5" t="s">
        <v>235</v>
      </c>
      <c r="AS112" s="5" t="s">
        <v>236</v>
      </c>
      <c r="AT112" s="15" t="s">
        <v>237</v>
      </c>
      <c r="AU112" s="15"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262</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263</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264</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3" t="s">
        <v>265</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262</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263</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264</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5" spans="21:47">
      <c r="U162" s="23" t="s">
        <v>189</v>
      </c>
      <c r="V162" s="24" t="s">
        <v>217</v>
      </c>
      <c r="W162" s="23">
        <f t="shared" ref="W162:W165" si="336">W85</f>
        <v>0.010830385716692</v>
      </c>
      <c r="X162" s="23"/>
      <c r="Y162" s="23" t="s">
        <v>190</v>
      </c>
      <c r="Z162" s="24" t="s">
        <v>217</v>
      </c>
      <c r="AA162" s="23">
        <f t="shared" ref="AA162:AA165" si="337">X85</f>
        <v>0.0104020530367836</v>
      </c>
      <c r="AB162" s="23"/>
      <c r="AC162" s="23" t="s">
        <v>191</v>
      </c>
      <c r="AD162" s="24" t="s">
        <v>217</v>
      </c>
      <c r="AE162" s="23">
        <f t="shared" ref="AE162:AE165" si="338">Y85</f>
        <v>0.0107085201793722</v>
      </c>
      <c r="AF162" s="23"/>
      <c r="AG162" s="23" t="s">
        <v>192</v>
      </c>
      <c r="AH162" s="24" t="s">
        <v>217</v>
      </c>
      <c r="AI162" s="23">
        <f t="shared" ref="AI162:AI165" si="339">Z85</f>
        <v>0.0117702805155421</v>
      </c>
      <c r="AJ162" s="23"/>
      <c r="AK162" s="23" t="s">
        <v>188</v>
      </c>
      <c r="AL162" s="24" t="s">
        <v>217</v>
      </c>
      <c r="AM162" s="23">
        <f t="shared" ref="AM162:AM165" si="340">AA85</f>
        <v>0.011933619242961</v>
      </c>
      <c r="AN162" s="23"/>
      <c r="AO162" s="23" t="s">
        <v>187</v>
      </c>
      <c r="AP162" s="24" t="s">
        <v>217</v>
      </c>
      <c r="AQ162" s="23">
        <f t="shared" ref="AQ162:AQ165" si="341">AB85</f>
        <v>0.00898419864559818</v>
      </c>
      <c r="AR162" s="23"/>
      <c r="AS162" s="23" t="s">
        <v>186</v>
      </c>
      <c r="AT162" s="24" t="s">
        <v>217</v>
      </c>
      <c r="AU162" s="23">
        <f t="shared" ref="AU162:AU165" si="342">AC85</f>
        <v>0.0105588963565617</v>
      </c>
    </row>
    <row r="163" ht="15.5" spans="21:47">
      <c r="U163" s="23" t="str">
        <f t="shared" ref="U163:U165" si="343">U162</f>
        <v>PyroRecy-NMC111</v>
      </c>
      <c r="V163" s="24" t="s">
        <v>224</v>
      </c>
      <c r="W163" s="23">
        <f t="shared" si="336"/>
        <v>0.0447027118073101</v>
      </c>
      <c r="X163" s="23"/>
      <c r="Y163" s="23" t="str">
        <f t="shared" ref="Y163:Y165" si="344">Y162</f>
        <v>PyroRecy-NMC532</v>
      </c>
      <c r="Z163" s="24" t="s">
        <v>224</v>
      </c>
      <c r="AA163" s="23">
        <f t="shared" si="337"/>
        <v>0.0428058169375535</v>
      </c>
      <c r="AB163" s="23"/>
      <c r="AC163" s="23" t="str">
        <f t="shared" ref="AC163:AC165" si="345">AC162</f>
        <v>PyroRecy-NMC622</v>
      </c>
      <c r="AD163" s="24" t="s">
        <v>224</v>
      </c>
      <c r="AE163" s="23">
        <f t="shared" si="338"/>
        <v>0.0441255605381166</v>
      </c>
      <c r="AF163" s="23"/>
      <c r="AG163" s="23" t="str">
        <f t="shared" ref="AG163:AG165" si="346">AG162</f>
        <v>PyroRecy-NMC811</v>
      </c>
      <c r="AH163" s="24" t="s">
        <v>224</v>
      </c>
      <c r="AI163" s="23">
        <f t="shared" si="339"/>
        <v>0.0456406368460955</v>
      </c>
      <c r="AJ163" s="23"/>
      <c r="AK163" s="23" t="str">
        <f t="shared" ref="AK163:AK165" si="347">AK162</f>
        <v>PyroRecy-NCA</v>
      </c>
      <c r="AL163" s="24" t="s">
        <v>224</v>
      </c>
      <c r="AM163" s="23">
        <f t="shared" si="340"/>
        <v>0.0467275778482193</v>
      </c>
      <c r="AN163" s="23"/>
      <c r="AO163" s="23" t="str">
        <f t="shared" ref="AO163:AO165" si="348">AO162</f>
        <v>PyroRecy-LMO</v>
      </c>
      <c r="AP163" s="24" t="s">
        <v>224</v>
      </c>
      <c r="AQ163" s="23">
        <f t="shared" si="341"/>
        <v>0.037020316027088</v>
      </c>
      <c r="AR163" s="23"/>
      <c r="AS163" s="23" t="str">
        <f t="shared" ref="AS163:AS165" si="349">AS162</f>
        <v>PyroRecy-LFP</v>
      </c>
      <c r="AT163" s="24" t="s">
        <v>224</v>
      </c>
      <c r="AU163" s="23">
        <f t="shared" si="342"/>
        <v>0.0435090201627167</v>
      </c>
    </row>
    <row r="164" ht="15.5" spans="21:47">
      <c r="U164" s="23" t="str">
        <f t="shared" si="343"/>
        <v>PyroRecy-NMC111</v>
      </c>
      <c r="V164" s="24" t="s">
        <v>225</v>
      </c>
      <c r="W164" s="23">
        <f t="shared" si="336"/>
        <v>0.0724945258548088</v>
      </c>
      <c r="X164" s="23"/>
      <c r="Y164" s="23" t="str">
        <f t="shared" si="344"/>
        <v>PyroRecy-NMC532</v>
      </c>
      <c r="Z164" s="24" t="s">
        <v>225</v>
      </c>
      <c r="AA164" s="23">
        <f t="shared" si="337"/>
        <v>0.0706073567151412</v>
      </c>
      <c r="AB164" s="23"/>
      <c r="AC164" s="23" t="str">
        <f t="shared" si="345"/>
        <v>PyroRecy-NMC622</v>
      </c>
      <c r="AD164" s="24" t="s">
        <v>225</v>
      </c>
      <c r="AE164" s="23">
        <f t="shared" si="338"/>
        <v>0.0732017937219731</v>
      </c>
      <c r="AF164" s="23"/>
      <c r="AG164" s="23" t="str">
        <f t="shared" si="346"/>
        <v>PyroRecy-NMC811</v>
      </c>
      <c r="AH164" s="24" t="s">
        <v>225</v>
      </c>
      <c r="AI164" s="23">
        <f t="shared" si="339"/>
        <v>0.076516300227445</v>
      </c>
      <c r="AJ164" s="23"/>
      <c r="AK164" s="23" t="str">
        <f t="shared" si="347"/>
        <v>PyroRecy-NCA</v>
      </c>
      <c r="AL164" s="24" t="s">
        <v>225</v>
      </c>
      <c r="AM164" s="23">
        <f t="shared" si="340"/>
        <v>0.0803841133693828</v>
      </c>
      <c r="AN164" s="23"/>
      <c r="AO164" s="23" t="str">
        <f t="shared" si="348"/>
        <v>PyroRecy-LMO</v>
      </c>
      <c r="AP164" s="24" t="s">
        <v>225</v>
      </c>
      <c r="AQ164" s="23">
        <f t="shared" si="341"/>
        <v>0.0614145974416855</v>
      </c>
      <c r="AR164" s="23"/>
      <c r="AS164" s="23" t="str">
        <f t="shared" si="349"/>
        <v>PyroRecy-LFP</v>
      </c>
      <c r="AT164" s="24" t="s">
        <v>225</v>
      </c>
      <c r="AU164" s="23">
        <f t="shared" si="342"/>
        <v>0.0721789883268483</v>
      </c>
    </row>
    <row r="165" ht="15.5" spans="21:47">
      <c r="U165" s="23" t="str">
        <f t="shared" si="343"/>
        <v>PyroRecy-NMC111</v>
      </c>
      <c r="V165" s="24" t="s">
        <v>226</v>
      </c>
      <c r="W165" s="23">
        <f t="shared" si="336"/>
        <v>0.0131547919824827</v>
      </c>
      <c r="X165" s="25"/>
      <c r="Y165" s="23" t="str">
        <f t="shared" si="344"/>
        <v>PyroRecy-NMC532</v>
      </c>
      <c r="Z165" s="24" t="s">
        <v>226</v>
      </c>
      <c r="AA165" s="23">
        <f t="shared" si="337"/>
        <v>0.0128656971770744</v>
      </c>
      <c r="AB165" s="25"/>
      <c r="AC165" s="23" t="str">
        <f t="shared" si="345"/>
        <v>PyroRecy-NMC622</v>
      </c>
      <c r="AD165" s="24" t="s">
        <v>226</v>
      </c>
      <c r="AE165" s="23">
        <f t="shared" si="338"/>
        <v>0.0133273542600897</v>
      </c>
      <c r="AF165" s="25"/>
      <c r="AG165" s="23" t="str">
        <f t="shared" si="346"/>
        <v>PyroRecy-NMC811</v>
      </c>
      <c r="AH165" s="24" t="s">
        <v>226</v>
      </c>
      <c r="AI165" s="23">
        <f t="shared" si="339"/>
        <v>0.0145564821834723</v>
      </c>
      <c r="AJ165" s="25"/>
      <c r="AK165" s="23" t="str">
        <f t="shared" si="347"/>
        <v>PyroRecy-NCA</v>
      </c>
      <c r="AL165" s="24" t="s">
        <v>226</v>
      </c>
      <c r="AM165" s="23">
        <f t="shared" si="340"/>
        <v>0.0148610852134999</v>
      </c>
      <c r="AN165" s="25"/>
      <c r="AO165" s="23" t="str">
        <f t="shared" si="348"/>
        <v>PyroRecy-LMO</v>
      </c>
      <c r="AP165" s="24" t="s">
        <v>226</v>
      </c>
      <c r="AQ165" s="23">
        <f t="shared" si="341"/>
        <v>0.0111813393528969</v>
      </c>
      <c r="AR165" s="25"/>
      <c r="AS165" s="23" t="str">
        <f t="shared" si="349"/>
        <v>PyroRecy-LFP</v>
      </c>
      <c r="AT165" s="24" t="s">
        <v>226</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5" spans="21:47">
      <c r="U174" s="23" t="s">
        <v>196</v>
      </c>
      <c r="V174" s="24" t="s">
        <v>217</v>
      </c>
      <c r="W174" s="23">
        <f t="shared" ref="W174:W177" si="350">W105</f>
        <v>0.011840997136601</v>
      </c>
      <c r="X174" s="23"/>
      <c r="Y174" s="23" t="s">
        <v>197</v>
      </c>
      <c r="Z174" s="24" t="s">
        <v>217</v>
      </c>
      <c r="AA174" s="23">
        <f t="shared" ref="AA174:AA177" si="351">X105</f>
        <v>0.011377245508982</v>
      </c>
      <c r="AB174" s="23"/>
      <c r="AC174" s="23" t="s">
        <v>198</v>
      </c>
      <c r="AD174" s="24" t="s">
        <v>217</v>
      </c>
      <c r="AE174" s="23">
        <f t="shared" ref="AE174:AE177" si="352">Y105</f>
        <v>0.0117668161434977</v>
      </c>
      <c r="AF174" s="23"/>
      <c r="AG174" s="23" t="s">
        <v>199</v>
      </c>
      <c r="AH174" s="24" t="s">
        <v>217</v>
      </c>
      <c r="AI174" s="23">
        <f t="shared" ref="AI174:AI177" si="353">Z105</f>
        <v>0.0120924943138741</v>
      </c>
      <c r="AJ174" s="23"/>
      <c r="AK174" s="23" t="s">
        <v>195</v>
      </c>
      <c r="AL174" s="24" t="s">
        <v>217</v>
      </c>
      <c r="AM174" s="23">
        <f t="shared" ref="AM174:AM177" si="354">AA105</f>
        <v>0.0122878985642364</v>
      </c>
      <c r="AN174" s="23"/>
      <c r="AO174" s="23" t="s">
        <v>194</v>
      </c>
      <c r="AP174" s="24" t="s">
        <v>217</v>
      </c>
      <c r="AQ174" s="23">
        <f t="shared" ref="AQ174:AQ177" si="355">AB105</f>
        <v>0.00987208427389014</v>
      </c>
      <c r="AR174" s="23"/>
      <c r="AS174" s="23" t="s">
        <v>193</v>
      </c>
      <c r="AT174" s="24" t="s">
        <v>217</v>
      </c>
      <c r="AU174" s="23">
        <f t="shared" ref="AU174:AU177" si="356">AC105</f>
        <v>0.0116024053767244</v>
      </c>
    </row>
    <row r="175" ht="15.5" spans="21:47">
      <c r="U175" s="23" t="str">
        <f t="shared" ref="U175:U177" si="357">U174</f>
        <v>HydRecy-NMC111</v>
      </c>
      <c r="V175" s="24" t="s">
        <v>224</v>
      </c>
      <c r="W175" s="23">
        <f t="shared" si="350"/>
        <v>0.0404413003200269</v>
      </c>
      <c r="X175" s="23"/>
      <c r="Y175" s="23" t="str">
        <f t="shared" ref="Y175:Y177" si="358">Y174</f>
        <v>HydRecy-NMC532</v>
      </c>
      <c r="Z175" s="24" t="s">
        <v>224</v>
      </c>
      <c r="AA175" s="23">
        <f t="shared" si="351"/>
        <v>0.0389734816082122</v>
      </c>
      <c r="AB175" s="23"/>
      <c r="AC175" s="23" t="str">
        <f t="shared" ref="AC175:AC177" si="359">AC174</f>
        <v>HydRecy-NMC622</v>
      </c>
      <c r="AD175" s="24" t="s">
        <v>224</v>
      </c>
      <c r="AE175" s="23">
        <f t="shared" si="352"/>
        <v>0.0403408071748879</v>
      </c>
      <c r="AF175" s="23"/>
      <c r="AG175" s="23" t="str">
        <f t="shared" ref="AG175:AG177" si="360">AG174</f>
        <v>HydRecy-NMC811</v>
      </c>
      <c r="AH175" s="24" t="s">
        <v>224</v>
      </c>
      <c r="AI175" s="23">
        <f t="shared" si="353"/>
        <v>0.0420204700530705</v>
      </c>
      <c r="AJ175" s="23"/>
      <c r="AK175" s="23" t="str">
        <f t="shared" ref="AK175:AK177" si="361">AK174</f>
        <v>HydRecy-NCA</v>
      </c>
      <c r="AL175" s="24" t="s">
        <v>224</v>
      </c>
      <c r="AM175" s="23">
        <f t="shared" si="354"/>
        <v>0.0428118590341227</v>
      </c>
      <c r="AN175" s="23"/>
      <c r="AO175" s="23" t="str">
        <f t="shared" ref="AO175:AO177" si="362">AO174</f>
        <v>HydRecy-LMO</v>
      </c>
      <c r="AP175" s="24" t="s">
        <v>224</v>
      </c>
      <c r="AQ175" s="23">
        <f t="shared" si="355"/>
        <v>0.0338449962377728</v>
      </c>
      <c r="AR175" s="23"/>
      <c r="AS175" s="23" t="str">
        <f t="shared" ref="AS175:AS177" si="363">AS174</f>
        <v>HydRecy-LFP</v>
      </c>
      <c r="AT175" s="24" t="s">
        <v>224</v>
      </c>
      <c r="AU175" s="23">
        <f t="shared" si="356"/>
        <v>0.0397771489211178</v>
      </c>
    </row>
    <row r="176" ht="15.5" spans="21:47">
      <c r="U176" s="23" t="str">
        <f t="shared" si="357"/>
        <v>HydRecy-NMC111</v>
      </c>
      <c r="V176" s="24" t="s">
        <v>225</v>
      </c>
      <c r="W176" s="23">
        <f t="shared" si="350"/>
        <v>0.0870304867778339</v>
      </c>
      <c r="X176" s="23"/>
      <c r="Y176" s="23" t="str">
        <f t="shared" si="358"/>
        <v>HydRecy-NMC532</v>
      </c>
      <c r="Z176" s="24" t="s">
        <v>225</v>
      </c>
      <c r="AA176" s="23">
        <f t="shared" si="351"/>
        <v>0.0843627031650984</v>
      </c>
      <c r="AB176" s="23"/>
      <c r="AC176" s="23" t="str">
        <f t="shared" si="359"/>
        <v>HydRecy-NMC622</v>
      </c>
      <c r="AD176" s="24" t="s">
        <v>225</v>
      </c>
      <c r="AE176" s="23">
        <f t="shared" si="352"/>
        <v>0.0874439461883408</v>
      </c>
      <c r="AF176" s="23"/>
      <c r="AG176" s="23" t="str">
        <f t="shared" si="360"/>
        <v>HydRecy-NMC811</v>
      </c>
      <c r="AH176" s="24" t="s">
        <v>225</v>
      </c>
      <c r="AI176" s="23">
        <f t="shared" si="353"/>
        <v>0.0881918119787718</v>
      </c>
      <c r="AJ176" s="23"/>
      <c r="AK176" s="23" t="str">
        <f t="shared" si="361"/>
        <v>HydRecy-NCA</v>
      </c>
      <c r="AL176" s="24" t="s">
        <v>225</v>
      </c>
      <c r="AM176" s="23">
        <f t="shared" si="354"/>
        <v>0.0922245012120082</v>
      </c>
      <c r="AN176" s="23"/>
      <c r="AO176" s="23" t="str">
        <f t="shared" si="362"/>
        <v>HydRecy-LMO</v>
      </c>
      <c r="AP176" s="24" t="s">
        <v>225</v>
      </c>
      <c r="AQ176" s="23">
        <f t="shared" si="355"/>
        <v>0.0733634311512415</v>
      </c>
      <c r="AR176" s="23"/>
      <c r="AS176" s="23" t="str">
        <f t="shared" si="363"/>
        <v>HydRecy-LFP</v>
      </c>
      <c r="AT176" s="24" t="s">
        <v>225</v>
      </c>
      <c r="AU176" s="23">
        <f t="shared" si="356"/>
        <v>0.0862221436151397</v>
      </c>
    </row>
    <row r="177" ht="15.5" spans="21:47">
      <c r="U177" s="23" t="str">
        <f t="shared" si="357"/>
        <v>HydRecy-NMC111</v>
      </c>
      <c r="V177" s="24" t="s">
        <v>226</v>
      </c>
      <c r="W177" s="23">
        <f t="shared" si="350"/>
        <v>0.0133569142664645</v>
      </c>
      <c r="X177" s="25"/>
      <c r="Y177" s="23" t="str">
        <f t="shared" si="358"/>
        <v>HydRecy-NMC532</v>
      </c>
      <c r="Z177" s="24" t="s">
        <v>226</v>
      </c>
      <c r="AA177" s="23">
        <f t="shared" si="351"/>
        <v>0.0131907613344739</v>
      </c>
      <c r="AB177" s="25"/>
      <c r="AC177" s="23" t="str">
        <f t="shared" si="359"/>
        <v>HydRecy-NMC622</v>
      </c>
      <c r="AD177" s="24" t="s">
        <v>226</v>
      </c>
      <c r="AE177" s="23">
        <f t="shared" si="352"/>
        <v>0.0137399103139013</v>
      </c>
      <c r="AF177" s="25"/>
      <c r="AG177" s="23" t="str">
        <f t="shared" si="360"/>
        <v>HydRecy-NMC811</v>
      </c>
      <c r="AH177" s="24" t="s">
        <v>226</v>
      </c>
      <c r="AI177" s="23">
        <f t="shared" si="353"/>
        <v>0.0141015921152388</v>
      </c>
      <c r="AJ177" s="25"/>
      <c r="AK177" s="23" t="str">
        <f t="shared" si="361"/>
        <v>HydRecy-NCA</v>
      </c>
      <c r="AL177" s="24" t="s">
        <v>226</v>
      </c>
      <c r="AM177" s="23">
        <f t="shared" si="354"/>
        <v>0.0143016968114861</v>
      </c>
      <c r="AN177" s="25"/>
      <c r="AO177" s="23" t="str">
        <f t="shared" si="362"/>
        <v>HydRecy-LMO</v>
      </c>
      <c r="AP177" s="24" t="s">
        <v>226</v>
      </c>
      <c r="AQ177" s="23">
        <f t="shared" si="355"/>
        <v>0.0115274642588412</v>
      </c>
      <c r="AR177" s="25"/>
      <c r="AS177" s="23" t="str">
        <f t="shared" si="363"/>
        <v>HydRecy-LFP</v>
      </c>
      <c r="AT177" s="24" t="s">
        <v>226</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5" spans="21:47">
      <c r="U185" s="23" t="s">
        <v>203</v>
      </c>
      <c r="V185" s="24" t="s">
        <v>217</v>
      </c>
      <c r="W185" s="23">
        <f t="shared" ref="W185:W188" si="364">W125</f>
        <v>0.00810173488293751</v>
      </c>
      <c r="X185" s="23"/>
      <c r="Y185" s="23" t="s">
        <v>204</v>
      </c>
      <c r="Z185" s="24" t="s">
        <v>217</v>
      </c>
      <c r="AA185" s="23">
        <f t="shared" ref="AA185:AA188" si="365">X125</f>
        <v>0.00786997433704022</v>
      </c>
      <c r="AB185" s="23"/>
      <c r="AC185" s="23" t="s">
        <v>205</v>
      </c>
      <c r="AD185" s="24" t="s">
        <v>217</v>
      </c>
      <c r="AE185" s="23">
        <f t="shared" ref="AE185:AE188" si="366">Y125</f>
        <v>0.00817937219730942</v>
      </c>
      <c r="AF185" s="23"/>
      <c r="AG185" s="23" t="s">
        <v>206</v>
      </c>
      <c r="AH185" s="24" t="s">
        <v>217</v>
      </c>
      <c r="AI185" s="23">
        <f t="shared" ref="AI185:AI188" si="367">Z125</f>
        <v>0.00816906747536013</v>
      </c>
      <c r="AJ185" s="23"/>
      <c r="AK185" s="23" t="s">
        <v>202</v>
      </c>
      <c r="AL185" s="24" t="s">
        <v>217</v>
      </c>
      <c r="AM185" s="23">
        <f t="shared" ref="AM185:AM188" si="368">AA125</f>
        <v>0.00826030206973706</v>
      </c>
      <c r="AN185" s="23"/>
      <c r="AO185" s="23" t="s">
        <v>201</v>
      </c>
      <c r="AP185" s="24" t="s">
        <v>217</v>
      </c>
      <c r="AQ185" s="23">
        <f t="shared" ref="AQ185:AQ188" si="369">AB125</f>
        <v>0.00686230248306997</v>
      </c>
      <c r="AR185" s="23"/>
      <c r="AS185" s="23" t="s">
        <v>200</v>
      </c>
      <c r="AT185" s="24" t="s">
        <v>217</v>
      </c>
      <c r="AU185" s="23">
        <f t="shared" ref="AU185:AU188" si="370">AC125</f>
        <v>0.00806508666430845</v>
      </c>
    </row>
    <row r="186" ht="15.5" spans="21:47">
      <c r="U186" s="23" t="str">
        <f t="shared" ref="U186:U188" si="371">U185</f>
        <v>DirRecy-NMC111</v>
      </c>
      <c r="V186" s="24" t="s">
        <v>224</v>
      </c>
      <c r="W186" s="23">
        <f t="shared" si="364"/>
        <v>0.0319690079164561</v>
      </c>
      <c r="X186" s="23"/>
      <c r="Y186" s="23" t="str">
        <f t="shared" ref="Y186:Y188" si="372">Y185</f>
        <v>DirRecy-NMC532</v>
      </c>
      <c r="Z186" s="24" t="s">
        <v>224</v>
      </c>
      <c r="AA186" s="23">
        <f t="shared" si="365"/>
        <v>0.0310692899914457</v>
      </c>
      <c r="AB186" s="23"/>
      <c r="AC186" s="23" t="str">
        <f t="shared" ref="AC186:AC188" si="373">AC185</f>
        <v>DirRecy-NMC622</v>
      </c>
      <c r="AD186" s="24" t="s">
        <v>224</v>
      </c>
      <c r="AE186" s="23">
        <f t="shared" si="366"/>
        <v>0.0322331838565022</v>
      </c>
      <c r="AF186" s="23"/>
      <c r="AG186" s="23" t="str">
        <f t="shared" ref="AG186:AG188" si="374">AG185</f>
        <v>DirRecy-NMC811</v>
      </c>
      <c r="AH186" s="24" t="s">
        <v>224</v>
      </c>
      <c r="AI186" s="23">
        <f t="shared" si="367"/>
        <v>0.0321645185746778</v>
      </c>
      <c r="AJ186" s="23"/>
      <c r="AK186" s="23" t="str">
        <f t="shared" ref="AK186:AK188" si="375">AK185</f>
        <v>DirRecy-NCA</v>
      </c>
      <c r="AL186" s="24" t="s">
        <v>224</v>
      </c>
      <c r="AM186" s="23">
        <f t="shared" si="368"/>
        <v>0.0325750512772702</v>
      </c>
      <c r="AN186" s="23"/>
      <c r="AO186" s="23" t="str">
        <f t="shared" ref="AO186:AO188" si="376">AO185</f>
        <v>DirRecy-LMO</v>
      </c>
      <c r="AP186" s="24" t="s">
        <v>224</v>
      </c>
      <c r="AQ186" s="23">
        <f t="shared" si="369"/>
        <v>0.0270428893905192</v>
      </c>
      <c r="AR186" s="23"/>
      <c r="AS186" s="23" t="str">
        <f t="shared" ref="AS186:AS188" si="377">AS185</f>
        <v>DirRecy-LFP</v>
      </c>
      <c r="AT186" s="24" t="s">
        <v>224</v>
      </c>
      <c r="AU186" s="23">
        <f t="shared" si="370"/>
        <v>0.0317828086310577</v>
      </c>
    </row>
    <row r="187" ht="15.5" spans="21:47">
      <c r="U187" s="23" t="str">
        <f t="shared" si="371"/>
        <v>DirRecy-NMC111</v>
      </c>
      <c r="V187" s="24" t="s">
        <v>225</v>
      </c>
      <c r="W187" s="23">
        <f t="shared" si="364"/>
        <v>0.0557183762843187</v>
      </c>
      <c r="X187" s="23"/>
      <c r="Y187" s="23" t="str">
        <f t="shared" si="372"/>
        <v>DirRecy-NMC532</v>
      </c>
      <c r="Z187" s="24" t="s">
        <v>225</v>
      </c>
      <c r="AA187" s="23">
        <f t="shared" si="365"/>
        <v>0.055158254918734</v>
      </c>
      <c r="AB187" s="23"/>
      <c r="AC187" s="23" t="str">
        <f t="shared" si="373"/>
        <v>DirRecy-NMC622</v>
      </c>
      <c r="AD187" s="24" t="s">
        <v>225</v>
      </c>
      <c r="AE187" s="23">
        <f t="shared" si="366"/>
        <v>0.0574887892376682</v>
      </c>
      <c r="AF187" s="23"/>
      <c r="AG187" s="23" t="str">
        <f t="shared" si="374"/>
        <v>DirRecy-NMC811</v>
      </c>
      <c r="AH187" s="24" t="s">
        <v>225</v>
      </c>
      <c r="AI187" s="23">
        <f t="shared" si="367"/>
        <v>0.0587755875663381</v>
      </c>
      <c r="AJ187" s="23"/>
      <c r="AK187" s="23" t="str">
        <f t="shared" si="375"/>
        <v>DirRecy-NCA</v>
      </c>
      <c r="AL187" s="24" t="s">
        <v>225</v>
      </c>
      <c r="AM187" s="23">
        <f t="shared" si="368"/>
        <v>0.0587544284915159</v>
      </c>
      <c r="AN187" s="23"/>
      <c r="AO187" s="23" t="str">
        <f t="shared" si="376"/>
        <v>DirRecy-LMO</v>
      </c>
      <c r="AP187" s="24" t="s">
        <v>225</v>
      </c>
      <c r="AQ187" s="23">
        <f t="shared" si="369"/>
        <v>0.0482317531978932</v>
      </c>
      <c r="AR187" s="23"/>
      <c r="AS187" s="23" t="str">
        <f t="shared" si="377"/>
        <v>DirRecy-LFP</v>
      </c>
      <c r="AT187" s="24" t="s">
        <v>225</v>
      </c>
      <c r="AU187" s="23">
        <f t="shared" si="370"/>
        <v>0.0566855323664662</v>
      </c>
    </row>
    <row r="188" ht="15.5" spans="21:47">
      <c r="U188" s="23" t="str">
        <f t="shared" si="371"/>
        <v>DirRecy-NMC111</v>
      </c>
      <c r="V188" s="24" t="s">
        <v>226</v>
      </c>
      <c r="W188" s="23">
        <f t="shared" si="364"/>
        <v>0.0130537308404918</v>
      </c>
      <c r="X188" s="25"/>
      <c r="Y188" s="23" t="str">
        <f t="shared" si="372"/>
        <v>DirRecy-NMC532</v>
      </c>
      <c r="Z188" s="24" t="s">
        <v>226</v>
      </c>
      <c r="AA188" s="23">
        <f t="shared" si="365"/>
        <v>0.0129170230966638</v>
      </c>
      <c r="AB188" s="25"/>
      <c r="AC188" s="23" t="str">
        <f t="shared" si="373"/>
        <v>DirRecy-NMC622</v>
      </c>
      <c r="AD188" s="24" t="s">
        <v>226</v>
      </c>
      <c r="AE188" s="23">
        <f t="shared" si="366"/>
        <v>0.0134529147982063</v>
      </c>
      <c r="AF188" s="25"/>
      <c r="AG188" s="23" t="str">
        <f t="shared" si="374"/>
        <v>DirRecy-NMC811</v>
      </c>
      <c r="AH188" s="24" t="s">
        <v>226</v>
      </c>
      <c r="AI188" s="23">
        <f t="shared" si="367"/>
        <v>0.0136846095526914</v>
      </c>
      <c r="AJ188" s="25"/>
      <c r="AK188" s="23" t="str">
        <f t="shared" si="375"/>
        <v>DirRecy-NCA</v>
      </c>
      <c r="AL188" s="24" t="s">
        <v>226</v>
      </c>
      <c r="AM188" s="23">
        <f t="shared" si="368"/>
        <v>0.0137236621294052</v>
      </c>
      <c r="AN188" s="25"/>
      <c r="AO188" s="23" t="str">
        <f t="shared" si="376"/>
        <v>DirRecy-LMO</v>
      </c>
      <c r="AP188" s="24" t="s">
        <v>226</v>
      </c>
      <c r="AQ188" s="23">
        <f t="shared" si="369"/>
        <v>0.0112866817155756</v>
      </c>
      <c r="AR188" s="25"/>
      <c r="AS188" s="23" t="str">
        <f t="shared" si="377"/>
        <v>DirRecy-LFP</v>
      </c>
      <c r="AT188" s="24" t="s">
        <v>226</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7</vt:i4>
      </vt:variant>
    </vt:vector>
  </HeadingPairs>
  <TitlesOfParts>
    <vt:vector size="7" baseType="lpstr">
      <vt:lpstr>TechSelection</vt:lpstr>
      <vt:lpstr>InvCost_for_packManufacturing</vt:lpstr>
      <vt:lpstr>Road transport</vt:lpstr>
      <vt:lpstr>RoadTra_BY</vt:lpstr>
      <vt:lpstr>added_EnergyUse_for_Manu</vt:lpstr>
      <vt:lpstr>added_energyUse_for_US_1.0</vt:lpstr>
      <vt:lpstr>added_energyUse_for_CN_1.0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2026-03-14T01:27:19Z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