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(but should be attrbuted to be ACT_COST to align with the package production GWh);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<sst xmlns="http://schemas.openxmlformats.org/spreadsheetml/2006/main" count="6478" uniqueCount="366">
  <si>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</si>
  <si>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</si>
  <si>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</si>
  <si>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</si>
  <si>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</si>
  <si>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</si>
  <si>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</si>
  <si>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</si>
  <si>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</si>
  <si>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</si>
  <si>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</si>
  <si>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</si>
  <si>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</si>
  <si>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</si>
  <si>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</si>
  <si>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</si>
  <si>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</si>
  <si>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</si>
  <si>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</si>
  <si>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</si>
  <si>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</si>
  <si>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</si>
  <si>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</si>
  <si>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</si>
  <si>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</si>
  <si>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</si>
  <si>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</si>
  <si>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</si>
  <si>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</si>
  <si>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</si>
  <si>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</si>
  <si>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</si>
  <si>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</si>
  <si>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</si>
  <si>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</si>
  <si>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</si>
  <si>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</si>
  <si>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</si>
  <si>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</si>
  <si>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</si>
  <si>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</si>
  <si>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</si>
  <si>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</si>
  <si>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</si>
  <si>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</si>
  <si>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</si>
  <si>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</si>
  <si>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</si>
  <si>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</si>
  <si>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</si>
  <si>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</si>
  <si>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</si>
  <si>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</si>
  <si>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</si>
  <si>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</si>
  <si>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</si>
  <si>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</si>
  <si>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</si>
  <si>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</si>
  <si>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</si>
  <si>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</si>
  <si>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</si>
  <si>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</si>
  <si>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</si>
  <si>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</si>
  <si>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</si>
  <si>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</si>
  <si>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</si>
  <si>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</si>
  <si>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</si>
  <si>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</si>
  <si>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</si>
  <si>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</si>
  <si>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</si>
  <si>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</si>
  <si>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</si>
  <si>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</si>
  <si>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</si>
  <si>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</si>
  <si>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</si>
  <si>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</si>
  <si>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</si>
  <si>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</si>
  <si>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</si>
  <si>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</si>
  <si>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</si>
  <si>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</si>
  <si>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</si>
  <si>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</si>
  <si>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</si>
  <si>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</si>
  <si>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</si>
  <si>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</si>
  <si>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</si>
  <si>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</si>
  <si>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</si>
  <si>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</si>
  <si>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</si>
  <si>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</si>
  <si>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Tra_EV_Batt-LFP_virgin, Tra_EV_Batt-LFP_fromrecy</t>
  </si>
  <si>
    <t>Tra_EV_Batt-LMO_virgin, Tra_EV_Batt-LMO_fromrecy</t>
  </si>
  <si>
    <t>Tra_EV_Batt-NCA_virgin, Tra_EV_Batt-NCA_fromrecy</t>
  </si>
  <si>
    <t>Tra_EV_Batt-NMC111_virgin, Tra_EV_Batt-NMC111_fromrecy</t>
  </si>
  <si>
    <t>Tra_EV_Batt-NMC532_virgin, Tra_EV_Batt-NMC532_fromrecy</t>
  </si>
  <si>
    <t>Tra_EV_Batt-NMC622_virgin, Tra_EV_Batt-NMC622_fromrecy</t>
  </si>
  <si>
    <t>Tra_EV_Batt-NMC811_virgin, Tra_EV_Batt-NMC811_fromrecy</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</si>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</sst>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0"/>
    </font>
    <font>
      <b/>
      <sz val="9"/>
      <name val="Times New Roman"/>
      <charset val="134"/>
    </font>
    <font>
      <sz val="9"/>
      <name val="Times New Roman"/>
      <charset val="134"/>
    </font>
    <font>
      <sz val="9"/>
      <name val="Tahoma"/>
      <charset val="1"/>
    </font>
    <font>
      <b/>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27"/>
  <sheetViews>
    <sheetView tabSelected="1" zoomScale="62" zoomScaleNormal="62" topLeftCell="AX1" workbookViewId="0">
      <selection activeCell="BE27" sqref="BE27"/>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29" t="s">
        <v>63</v>
      </c>
      <c r="BL2" s="119" t="s">
        <v>62</v>
      </c>
      <c r="BS2" s="112"/>
      <c r="BT2" s="112"/>
      <c r="BU2" s="112"/>
    </row>
    <row r="3" s="3" customFormat="1" spans="2:73">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3" customFormat="1" spans="2:73">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67</v>
      </c>
      <c r="AY4" s="118">
        <v>2023</v>
      </c>
      <c r="AZ4" s="118">
        <f>G5</f>
        <v>80.3831766666667</v>
      </c>
      <c r="BA4" s="118">
        <f>H5</f>
        <v>55.48673</v>
      </c>
      <c r="BB4" s="118">
        <f>I5</f>
        <v>106.82505</v>
      </c>
      <c r="BE4" s="3" t="s">
        <v>68</v>
      </c>
      <c r="BF4" s="3">
        <v>2023</v>
      </c>
      <c r="BG4" s="3">
        <f>BS4*90%</f>
        <v>72.344859</v>
      </c>
      <c r="BH4" s="3">
        <f>BT4*90%</f>
        <v>49.938057</v>
      </c>
      <c r="BI4" s="3">
        <f>BU4*90%</f>
        <v>96.142545</v>
      </c>
      <c r="BL4" s="3" t="s">
        <v>69</v>
      </c>
      <c r="BM4" s="3">
        <v>2023</v>
      </c>
      <c r="BN4" s="3">
        <f>BS4*10%</f>
        <v>8.03831766666667</v>
      </c>
      <c r="BO4" s="3">
        <f>BT4*10%</f>
        <v>5.548673</v>
      </c>
      <c r="BP4" s="3">
        <f>BU4*10%</f>
        <v>10.682505</v>
      </c>
      <c r="BS4" s="112">
        <v>80.3831766666667</v>
      </c>
      <c r="BT4" s="112">
        <v>55.48673</v>
      </c>
      <c r="BU4" s="112">
        <v>106.82505</v>
      </c>
    </row>
    <row r="5" s="3" customFormat="1" ht="28" customHeight="1" spans="2:73">
      <c r="B5" s="123" t="s">
        <v>70</v>
      </c>
      <c r="F5" s="120" t="s">
        <v>71</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72</v>
      </c>
      <c r="AY5" s="118">
        <f>AY4</f>
        <v>2023</v>
      </c>
      <c r="AZ5" s="118">
        <f t="shared" ref="AZ5:AZ10" si="8">G6</f>
        <v>95.4086</v>
      </c>
      <c r="BA5" s="118">
        <f t="shared" ref="BA5:BA10" si="9">H6</f>
        <v>66.32565</v>
      </c>
      <c r="BB5" s="118">
        <f t="shared" ref="BB5:BB10" si="10">I6</f>
        <v>126.26355</v>
      </c>
      <c r="BE5" s="3" t="s">
        <v>73</v>
      </c>
      <c r="BF5" s="3">
        <v>2023</v>
      </c>
      <c r="BG5" s="3">
        <f t="shared" ref="BG5:BG11" si="11">BS5*90%</f>
        <v>85.86774</v>
      </c>
      <c r="BH5" s="3">
        <f t="shared" ref="BH5:BH11" si="12">BT5*90%</f>
        <v>59.693085</v>
      </c>
      <c r="BI5" s="3">
        <f t="shared" ref="BI5:BI11" si="13">BU5*90%</f>
        <v>113.637195</v>
      </c>
      <c r="BL5" s="3" t="s">
        <v>74</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75</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76</v>
      </c>
      <c r="AY6" s="118">
        <f t="shared" ref="AY6:AY11" si="17">AY5</f>
        <v>2023</v>
      </c>
      <c r="AZ6" s="118">
        <f t="shared" si="8"/>
        <v>85.3476966666666</v>
      </c>
      <c r="BA6" s="118">
        <f t="shared" si="9"/>
        <v>56.10147</v>
      </c>
      <c r="BB6" s="118">
        <f t="shared" si="10"/>
        <v>116.32796</v>
      </c>
      <c r="BE6" s="3" t="s">
        <v>77</v>
      </c>
      <c r="BF6" s="3">
        <v>2023</v>
      </c>
      <c r="BG6" s="3">
        <f t="shared" si="11"/>
        <v>76.8129269999999</v>
      </c>
      <c r="BH6" s="3">
        <f t="shared" si="12"/>
        <v>50.491323</v>
      </c>
      <c r="BI6" s="3">
        <f t="shared" si="13"/>
        <v>104.695164</v>
      </c>
      <c r="BL6" s="3" t="s">
        <v>78</v>
      </c>
      <c r="BM6" s="3">
        <v>2023</v>
      </c>
      <c r="BN6" s="3">
        <f t="shared" si="14"/>
        <v>8.53476966666666</v>
      </c>
      <c r="BO6" s="3">
        <f t="shared" si="15"/>
        <v>5.610147</v>
      </c>
      <c r="BP6" s="3">
        <f t="shared" si="16"/>
        <v>11.632796</v>
      </c>
      <c r="BS6" s="112">
        <v>85.3476966666666</v>
      </c>
      <c r="BT6" s="112">
        <v>56.10147</v>
      </c>
      <c r="BU6" s="112">
        <v>116.32796</v>
      </c>
    </row>
    <row r="7" s="3" customFormat="1" spans="2:73">
      <c r="F7" s="120" t="s">
        <v>79</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80</v>
      </c>
      <c r="AY7" s="118">
        <f t="shared" si="17"/>
        <v>2023</v>
      </c>
      <c r="AZ7" s="118">
        <f t="shared" si="8"/>
        <v>85.52157</v>
      </c>
      <c r="BA7" s="118">
        <f t="shared" si="9"/>
        <v>55.55951</v>
      </c>
      <c r="BB7" s="118">
        <f t="shared" si="10"/>
        <v>117.30431</v>
      </c>
      <c r="BE7" s="3" t="s">
        <v>81</v>
      </c>
      <c r="BF7" s="3">
        <v>2023</v>
      </c>
      <c r="BG7" s="3">
        <f t="shared" si="11"/>
        <v>76.969413</v>
      </c>
      <c r="BH7" s="3">
        <f t="shared" si="12"/>
        <v>50.003559</v>
      </c>
      <c r="BI7" s="3">
        <f t="shared" si="13"/>
        <v>105.573879</v>
      </c>
      <c r="BL7" s="3" t="s">
        <v>82</v>
      </c>
      <c r="BM7" s="3">
        <v>2023</v>
      </c>
      <c r="BN7" s="3">
        <f t="shared" si="14"/>
        <v>8.552157</v>
      </c>
      <c r="BO7" s="3">
        <f t="shared" si="15"/>
        <v>5.555951</v>
      </c>
      <c r="BP7" s="3">
        <f t="shared" si="16"/>
        <v>11.730431</v>
      </c>
      <c r="BS7" s="112">
        <v>85.52157</v>
      </c>
      <c r="BT7" s="112">
        <v>55.55951</v>
      </c>
      <c r="BU7" s="112">
        <v>117.30431</v>
      </c>
    </row>
    <row r="8" s="3" customFormat="1" ht="29" spans="2:73">
      <c r="B8" s="123" t="s">
        <v>83</v>
      </c>
      <c r="F8" s="120" t="s">
        <v>84</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85</v>
      </c>
      <c r="AY8" s="118">
        <f t="shared" si="17"/>
        <v>2023</v>
      </c>
      <c r="AZ8" s="118">
        <f t="shared" si="8"/>
        <v>90.0929166666666</v>
      </c>
      <c r="BA8" s="118">
        <f t="shared" si="9"/>
        <v>59.3677</v>
      </c>
      <c r="BB8" s="118">
        <f t="shared" si="10"/>
        <v>122.66905</v>
      </c>
      <c r="BE8" s="3" t="s">
        <v>86</v>
      </c>
      <c r="BF8" s="3">
        <v>2023</v>
      </c>
      <c r="BG8" s="3">
        <f t="shared" si="11"/>
        <v>81.0836249999999</v>
      </c>
      <c r="BH8" s="3">
        <f t="shared" si="12"/>
        <v>53.43093</v>
      </c>
      <c r="BI8" s="3">
        <f t="shared" si="13"/>
        <v>110.402145</v>
      </c>
      <c r="BL8" s="3" t="s">
        <v>87</v>
      </c>
      <c r="BM8" s="3">
        <v>2023</v>
      </c>
      <c r="BN8" s="3">
        <f t="shared" si="14"/>
        <v>9.00929166666666</v>
      </c>
      <c r="BO8" s="3">
        <f t="shared" si="15"/>
        <v>5.93677</v>
      </c>
      <c r="BP8" s="3">
        <f t="shared" si="16"/>
        <v>12.266905</v>
      </c>
      <c r="BS8" s="112">
        <v>90.0929166666666</v>
      </c>
      <c r="BT8" s="112">
        <v>59.3677</v>
      </c>
      <c r="BU8" s="112">
        <v>122.66905</v>
      </c>
    </row>
    <row r="9" s="3" customFormat="1" spans="2:73">
      <c r="F9" s="120" t="s">
        <v>88</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89</v>
      </c>
      <c r="AY9" s="118">
        <f t="shared" si="17"/>
        <v>2023</v>
      </c>
      <c r="AZ9" s="118">
        <f t="shared" si="8"/>
        <v>86.9222166666667</v>
      </c>
      <c r="BA9" s="118">
        <f t="shared" si="9"/>
        <v>57.33755</v>
      </c>
      <c r="BB9" s="118">
        <f t="shared" si="10"/>
        <v>118.2723</v>
      </c>
      <c r="BE9" s="3" t="s">
        <v>90</v>
      </c>
      <c r="BF9" s="3">
        <v>2023</v>
      </c>
      <c r="BG9" s="3">
        <f t="shared" si="11"/>
        <v>78.229995</v>
      </c>
      <c r="BH9" s="3">
        <f t="shared" si="12"/>
        <v>51.603795</v>
      </c>
      <c r="BI9" s="3">
        <f t="shared" si="13"/>
        <v>106.44507</v>
      </c>
      <c r="BL9" s="3" t="s">
        <v>91</v>
      </c>
      <c r="BM9" s="3">
        <v>2023</v>
      </c>
      <c r="BN9" s="3">
        <f t="shared" si="14"/>
        <v>8.69222166666667</v>
      </c>
      <c r="BO9" s="3">
        <f t="shared" si="15"/>
        <v>5.733755</v>
      </c>
      <c r="BP9" s="3">
        <f t="shared" si="16"/>
        <v>11.82723</v>
      </c>
      <c r="BS9" s="112">
        <v>86.9222166666667</v>
      </c>
      <c r="BT9" s="112">
        <v>57.33755</v>
      </c>
      <c r="BU9" s="112">
        <v>118.2723</v>
      </c>
    </row>
    <row r="10" s="3" customFormat="1" spans="2:73">
      <c r="F10" s="120" t="s">
        <v>92</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93</v>
      </c>
      <c r="AY10" s="118">
        <f t="shared" si="17"/>
        <v>2023</v>
      </c>
      <c r="AZ10" s="118">
        <f t="shared" si="8"/>
        <v>89.5526666666667</v>
      </c>
      <c r="BA10" s="118">
        <f t="shared" si="9"/>
        <v>59.98948</v>
      </c>
      <c r="BB10" s="118">
        <f t="shared" si="10"/>
        <v>120.87452</v>
      </c>
      <c r="BE10" s="3" t="s">
        <v>94</v>
      </c>
      <c r="BF10" s="3">
        <v>2023</v>
      </c>
      <c r="BG10" s="3">
        <f t="shared" si="11"/>
        <v>80.5974</v>
      </c>
      <c r="BH10" s="3">
        <f t="shared" si="12"/>
        <v>53.990532</v>
      </c>
      <c r="BI10" s="3">
        <f t="shared" si="13"/>
        <v>108.787068</v>
      </c>
      <c r="BL10" s="3" t="s">
        <v>95</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96</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97</v>
      </c>
      <c r="BF11" s="3">
        <v>2023</v>
      </c>
      <c r="BG11" s="3">
        <f t="shared" si="11"/>
        <v>145.884</v>
      </c>
      <c r="BH11" s="3">
        <f t="shared" si="12"/>
        <v>145.884</v>
      </c>
      <c r="BI11" s="3">
        <f t="shared" si="13"/>
        <v>145.884</v>
      </c>
      <c r="BL11" s="3" t="s">
        <v>98</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63</v>
      </c>
      <c r="BL15" s="3" t="s">
        <v>62</v>
      </c>
    </row>
    <row r="16" s="3" customFormat="1" spans="2:73">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3" customFormat="1" spans="2:73">
      <c r="AX17" s="118" t="s">
        <v>99</v>
      </c>
      <c r="AY17" s="118">
        <v>2025</v>
      </c>
      <c r="AZ17" s="118">
        <f t="shared" ref="AZ17:AZ24" si="18">AZ4*AJ2/AI2</f>
        <v>72.9190245476188</v>
      </c>
      <c r="BA17" s="118">
        <f>BA4*AJ2/AI2</f>
        <v>50.3343907857141</v>
      </c>
      <c r="BB17" s="118">
        <f>BB4*AJ2/AI2</f>
        <v>96.9055810714282</v>
      </c>
      <c r="BE17" s="3" t="s">
        <v>68</v>
      </c>
      <c r="BF17" s="3">
        <v>2025</v>
      </c>
      <c r="BG17" s="3">
        <f t="shared" ref="BG17:BI17" si="19">BS17*90%</f>
        <v>65.6271220928569</v>
      </c>
      <c r="BH17" s="3">
        <f t="shared" si="19"/>
        <v>45.3009517071427</v>
      </c>
      <c r="BI17" s="3">
        <f t="shared" si="19"/>
        <v>87.2150229642854</v>
      </c>
      <c r="BL17" s="3" t="s">
        <v>69</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100</v>
      </c>
      <c r="AY18" s="118">
        <f t="shared" ref="AY18:AY24" si="21">AY17</f>
        <v>2025</v>
      </c>
      <c r="AZ18" s="118">
        <f t="shared" si="18"/>
        <v>86.5492299999997</v>
      </c>
      <c r="BA18" s="118">
        <f t="shared" ref="BA18:BA24" si="22">BA5*AJ3/AI3</f>
        <v>60.1668396428569</v>
      </c>
      <c r="BB18" s="118">
        <f t="shared" ref="BB18:BB24" si="23">BB5*AJ3/AI3</f>
        <v>114.5390775</v>
      </c>
      <c r="BE18" s="3" t="s">
        <v>73</v>
      </c>
      <c r="BF18" s="3">
        <v>2025</v>
      </c>
      <c r="BG18" s="3">
        <f t="shared" ref="BG18:BI18" si="24">BS18*90%</f>
        <v>77.8943069999997</v>
      </c>
      <c r="BH18" s="3">
        <f t="shared" si="24"/>
        <v>54.1501556785712</v>
      </c>
      <c r="BI18" s="3">
        <f t="shared" si="24"/>
        <v>103.08516975</v>
      </c>
      <c r="BL18" s="3" t="s">
        <v>74</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101</v>
      </c>
      <c r="AY19" s="118">
        <f t="shared" si="21"/>
        <v>2025</v>
      </c>
      <c r="AZ19" s="118">
        <f t="shared" si="18"/>
        <v>77.4225534047616</v>
      </c>
      <c r="BA19" s="118">
        <f t="shared" si="22"/>
        <v>50.8920477857141</v>
      </c>
      <c r="BB19" s="118">
        <f t="shared" si="23"/>
        <v>105.526078</v>
      </c>
      <c r="BE19" s="3" t="s">
        <v>77</v>
      </c>
      <c r="BF19" s="3">
        <v>2025</v>
      </c>
      <c r="BG19" s="3">
        <f t="shared" ref="BG19:BI19" si="26">BS19*90%</f>
        <v>69.6802980642854</v>
      </c>
      <c r="BH19" s="3">
        <f t="shared" si="26"/>
        <v>45.8028430071427</v>
      </c>
      <c r="BI19" s="3">
        <f t="shared" si="26"/>
        <v>94.9734702</v>
      </c>
      <c r="BL19" s="3" t="s">
        <v>78</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102</v>
      </c>
      <c r="AY20" s="118">
        <f t="shared" si="21"/>
        <v>2025</v>
      </c>
      <c r="AZ20" s="118">
        <f t="shared" si="18"/>
        <v>77.5802813571426</v>
      </c>
      <c r="BA20" s="118">
        <f t="shared" si="22"/>
        <v>50.400412642857</v>
      </c>
      <c r="BB20" s="118">
        <f t="shared" si="23"/>
        <v>106.411766928571</v>
      </c>
      <c r="BE20" s="3" t="s">
        <v>81</v>
      </c>
      <c r="BF20" s="3">
        <v>2025</v>
      </c>
      <c r="BG20" s="3">
        <f t="shared" ref="BG20:BI20" si="28">BS20*90%</f>
        <v>69.8222532214283</v>
      </c>
      <c r="BH20" s="3">
        <f t="shared" si="28"/>
        <v>45.3603713785713</v>
      </c>
      <c r="BI20" s="3">
        <f t="shared" si="28"/>
        <v>95.7705902357139</v>
      </c>
      <c r="BL20" s="3" t="s">
        <v>82</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103</v>
      </c>
      <c r="AY21" s="118">
        <f t="shared" si="21"/>
        <v>2025</v>
      </c>
      <c r="AZ21" s="118">
        <f t="shared" si="18"/>
        <v>81.727145833333</v>
      </c>
      <c r="BA21" s="118">
        <f t="shared" si="22"/>
        <v>53.8549849999998</v>
      </c>
      <c r="BB21" s="118">
        <f t="shared" si="23"/>
        <v>111.2783525</v>
      </c>
      <c r="BE21" s="3" t="s">
        <v>86</v>
      </c>
      <c r="BF21" s="3">
        <v>2025</v>
      </c>
      <c r="BG21" s="3">
        <f t="shared" ref="BG21:BI21" si="30">BS21*90%</f>
        <v>73.5544312499997</v>
      </c>
      <c r="BH21" s="3">
        <f t="shared" si="30"/>
        <v>48.4694864999998</v>
      </c>
      <c r="BI21" s="3">
        <f t="shared" si="30"/>
        <v>100.15051725</v>
      </c>
      <c r="BL21" s="3" t="s">
        <v>87</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104</v>
      </c>
      <c r="AY22" s="118">
        <f t="shared" si="21"/>
        <v>2025</v>
      </c>
      <c r="AZ22" s="118">
        <f t="shared" si="18"/>
        <v>78.8508679761902</v>
      </c>
      <c r="BA22" s="118">
        <f t="shared" si="22"/>
        <v>52.0133489285712</v>
      </c>
      <c r="BB22" s="118">
        <f t="shared" si="23"/>
        <v>107.289872142857</v>
      </c>
      <c r="BE22" s="3" t="s">
        <v>90</v>
      </c>
      <c r="BF22" s="3">
        <v>2025</v>
      </c>
      <c r="BG22" s="3">
        <f t="shared" ref="BG22:BI22" si="32">BS22*90%</f>
        <v>70.9657811785712</v>
      </c>
      <c r="BH22" s="3">
        <f t="shared" si="32"/>
        <v>46.8120140357141</v>
      </c>
      <c r="BI22" s="3">
        <f t="shared" si="32"/>
        <v>96.5608849285713</v>
      </c>
      <c r="BL22" s="3" t="s">
        <v>91</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105</v>
      </c>
      <c r="AY23" s="118">
        <f t="shared" si="21"/>
        <v>2025</v>
      </c>
      <c r="AZ23" s="118">
        <f t="shared" si="18"/>
        <v>81.2370619047616</v>
      </c>
      <c r="BA23" s="118">
        <f t="shared" si="22"/>
        <v>54.4190282857141</v>
      </c>
      <c r="BB23" s="118">
        <f t="shared" si="23"/>
        <v>109.650457428571</v>
      </c>
      <c r="BE23" s="3" t="s">
        <v>94</v>
      </c>
      <c r="BF23" s="3">
        <v>2025</v>
      </c>
      <c r="BG23" s="3">
        <f t="shared" ref="BG23:BI23" si="34">BS23*90%</f>
        <v>73.1133557142854</v>
      </c>
      <c r="BH23" s="3">
        <f t="shared" si="34"/>
        <v>48.9771254571427</v>
      </c>
      <c r="BI23" s="3">
        <f t="shared" si="34"/>
        <v>98.6854116857139</v>
      </c>
      <c r="BL23" s="3" t="s">
        <v>95</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97</v>
      </c>
      <c r="BF24" s="3">
        <v>2025</v>
      </c>
      <c r="BG24" s="3">
        <f t="shared" ref="BG24:BI24" si="36">BS24*90%</f>
        <v>132.337628571428</v>
      </c>
      <c r="BH24" s="3">
        <f t="shared" si="36"/>
        <v>132.337628571428</v>
      </c>
      <c r="BI24" s="3">
        <f t="shared" si="36"/>
        <v>132.337628571428</v>
      </c>
      <c r="BL24" s="3" t="s">
        <v>98</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63</v>
      </c>
      <c r="BL30" s="3" t="s">
        <v>62</v>
      </c>
    </row>
    <row r="31" spans="2:73">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73">
      <c r="B32" s="38" t="s">
        <v>106</v>
      </c>
      <c r="C32" s="38" t="s">
        <v>107</v>
      </c>
      <c r="AW32" s="118"/>
      <c r="AX32" s="118" t="s">
        <v>99</v>
      </c>
      <c r="AY32" s="118">
        <v>2030</v>
      </c>
      <c r="AZ32" s="118">
        <f>AZ17*AK2/AJ2</f>
        <v>63.1582102380952</v>
      </c>
      <c r="BA32" s="118">
        <f>BA17*AK2/AJ2</f>
        <v>43.5967164285714</v>
      </c>
      <c r="BB32" s="118">
        <f>BB17*AK2/AJ2</f>
        <v>83.9339678571427</v>
      </c>
      <c r="BE32" s="3" t="s">
        <v>68</v>
      </c>
      <c r="BF32" s="3">
        <v>2030</v>
      </c>
      <c r="BG32" s="3">
        <f t="shared" ref="BG32:BI32" si="38">BS32*90%</f>
        <v>56.8423892142857</v>
      </c>
      <c r="BH32" s="3">
        <f t="shared" si="38"/>
        <v>39.2370447857143</v>
      </c>
      <c r="BI32" s="3">
        <f t="shared" si="38"/>
        <v>75.5405710714284</v>
      </c>
      <c r="BL32" s="3" t="s">
        <v>69</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100</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73</v>
      </c>
      <c r="BF33" s="3">
        <v>2030</v>
      </c>
      <c r="BG33" s="3">
        <f t="shared" ref="BG33:BI33" si="44">BS33*90%</f>
        <v>67.4675099999999</v>
      </c>
      <c r="BH33" s="3">
        <f t="shared" si="44"/>
        <v>46.901709642857</v>
      </c>
      <c r="BI33" s="3">
        <f t="shared" si="44"/>
        <v>89.2863674999999</v>
      </c>
      <c r="BL33" s="3" t="s">
        <v>74</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101</v>
      </c>
      <c r="AY34" s="118">
        <f t="shared" si="40"/>
        <v>2030</v>
      </c>
      <c r="AZ34" s="118">
        <f t="shared" si="41"/>
        <v>67.0589045238094</v>
      </c>
      <c r="BA34" s="118">
        <f t="shared" si="42"/>
        <v>44.0797264285714</v>
      </c>
      <c r="BB34" s="118">
        <f t="shared" si="43"/>
        <v>91.4005399999999</v>
      </c>
      <c r="BE34" s="3" t="s">
        <v>77</v>
      </c>
      <c r="BF34" s="3">
        <v>2030</v>
      </c>
      <c r="BG34" s="3">
        <f t="shared" ref="BG34:BI34" si="46">BS34*90%</f>
        <v>60.3530140714285</v>
      </c>
      <c r="BH34" s="3">
        <f t="shared" si="46"/>
        <v>39.6717537857143</v>
      </c>
      <c r="BI34" s="3">
        <f t="shared" si="46"/>
        <v>82.2604859999999</v>
      </c>
      <c r="BL34" s="3" t="s">
        <v>78</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102</v>
      </c>
      <c r="AY35" s="118">
        <f t="shared" si="40"/>
        <v>2030</v>
      </c>
      <c r="AZ35" s="118">
        <f t="shared" si="41"/>
        <v>67.1955192857142</v>
      </c>
      <c r="BA35" s="118">
        <f t="shared" si="42"/>
        <v>43.6539007142857</v>
      </c>
      <c r="BB35" s="118">
        <f t="shared" si="43"/>
        <v>92.167672142857</v>
      </c>
      <c r="BE35" s="3" t="s">
        <v>81</v>
      </c>
      <c r="BF35" s="3">
        <v>2030</v>
      </c>
      <c r="BG35" s="3">
        <f t="shared" ref="BG35:BI35" si="48">BS35*90%</f>
        <v>60.4759673571428</v>
      </c>
      <c r="BH35" s="3">
        <f t="shared" si="48"/>
        <v>39.2885106428571</v>
      </c>
      <c r="BI35" s="3">
        <f t="shared" si="48"/>
        <v>82.9509049285713</v>
      </c>
      <c r="BL35" s="3" t="s">
        <v>82</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103</v>
      </c>
      <c r="AY36" s="118">
        <f t="shared" si="40"/>
        <v>2030</v>
      </c>
      <c r="AZ36" s="118">
        <f t="shared" si="41"/>
        <v>70.7872916666665</v>
      </c>
      <c r="BA36" s="118">
        <f t="shared" si="42"/>
        <v>46.6460499999999</v>
      </c>
      <c r="BB36" s="118">
        <f t="shared" si="43"/>
        <v>96.3828249999999</v>
      </c>
      <c r="BE36" s="3" t="s">
        <v>86</v>
      </c>
      <c r="BF36" s="3">
        <v>2030</v>
      </c>
      <c r="BG36" s="3">
        <f t="shared" ref="BG36:BI36" si="50">BS36*90%</f>
        <v>63.7085624999999</v>
      </c>
      <c r="BH36" s="3">
        <f t="shared" si="50"/>
        <v>41.9814449999999</v>
      </c>
      <c r="BI36" s="3">
        <f t="shared" si="50"/>
        <v>86.7445424999999</v>
      </c>
      <c r="BL36" s="3" t="s">
        <v>87</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104</v>
      </c>
      <c r="AY37" s="118">
        <f t="shared" si="40"/>
        <v>2030</v>
      </c>
      <c r="AZ37" s="118">
        <f t="shared" si="41"/>
        <v>68.2960273809523</v>
      </c>
      <c r="BA37" s="118">
        <f t="shared" si="42"/>
        <v>45.0509321428571</v>
      </c>
      <c r="BB37" s="118">
        <f t="shared" si="43"/>
        <v>92.9282357142856</v>
      </c>
      <c r="BE37" s="3" t="s">
        <v>90</v>
      </c>
      <c r="BF37" s="3">
        <v>2030</v>
      </c>
      <c r="BG37" s="3">
        <f t="shared" ref="BG37:BI37" si="52">BS37*90%</f>
        <v>61.4664246428571</v>
      </c>
      <c r="BH37" s="3">
        <f t="shared" si="52"/>
        <v>40.5458389285714</v>
      </c>
      <c r="BI37" s="3">
        <f t="shared" si="52"/>
        <v>83.635412142857</v>
      </c>
      <c r="BL37" s="3" t="s">
        <v>91</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105</v>
      </c>
      <c r="AY38" s="118">
        <f t="shared" si="40"/>
        <v>2030</v>
      </c>
      <c r="AZ38" s="118">
        <f t="shared" si="41"/>
        <v>70.3628095238094</v>
      </c>
      <c r="BA38" s="118">
        <f t="shared" si="42"/>
        <v>47.1345914285714</v>
      </c>
      <c r="BB38" s="118">
        <f t="shared" si="43"/>
        <v>94.972837142857</v>
      </c>
      <c r="BE38" s="3" t="s">
        <v>94</v>
      </c>
      <c r="BF38" s="3">
        <v>2030</v>
      </c>
      <c r="BG38" s="3">
        <f t="shared" ref="BG38:BI38" si="54">BS38*90%</f>
        <v>63.3265285714285</v>
      </c>
      <c r="BH38" s="3">
        <f t="shared" si="54"/>
        <v>42.4211322857143</v>
      </c>
      <c r="BI38" s="3">
        <f t="shared" si="54"/>
        <v>85.4755534285713</v>
      </c>
      <c r="BL38" s="3" t="s">
        <v>95</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97</v>
      </c>
      <c r="BF39" s="3">
        <v>2030</v>
      </c>
      <c r="BG39" s="3">
        <f t="shared" ref="BG39:BI39" si="56">BS39*90%</f>
        <v>114.623142857142</v>
      </c>
      <c r="BH39" s="3">
        <f t="shared" si="56"/>
        <v>114.623142857142</v>
      </c>
      <c r="BI39" s="3">
        <f t="shared" si="56"/>
        <v>114.623142857142</v>
      </c>
      <c r="BL39" s="3" t="s">
        <v>98</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63</v>
      </c>
      <c r="BL44" s="3" t="s">
        <v>62</v>
      </c>
    </row>
    <row r="45" spans="2:73">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73">
      <c r="B46"/>
      <c r="C46" s="118"/>
      <c r="AX46" s="118" t="s">
        <v>99</v>
      </c>
      <c r="AY46" s="118">
        <v>2035</v>
      </c>
      <c r="AZ46" s="118">
        <f>AZ32*AL2/AK2</f>
        <v>57.4165547619049</v>
      </c>
      <c r="BA46" s="118">
        <f>BA32*AL2/AK2</f>
        <v>39.6333785714287</v>
      </c>
      <c r="BB46" s="118">
        <f>BB32*AL2/AK2</f>
        <v>76.3036071428573</v>
      </c>
      <c r="BE46" s="3" t="s">
        <v>68</v>
      </c>
      <c r="BF46" s="3">
        <v>2035</v>
      </c>
      <c r="BG46" s="3">
        <f t="shared" ref="BG46:BI46" si="58">BS46*90%</f>
        <v>51.6748992857144</v>
      </c>
      <c r="BH46" s="3">
        <f t="shared" si="58"/>
        <v>35.6700407142858</v>
      </c>
      <c r="BI46" s="3">
        <f t="shared" si="58"/>
        <v>68.6732464285716</v>
      </c>
      <c r="BL46" s="3" t="s">
        <v>69</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100</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73</v>
      </c>
      <c r="BF47" s="3">
        <v>2035</v>
      </c>
      <c r="BG47" s="3">
        <f t="shared" ref="BG47:BI47" si="64">BS47*90%</f>
        <v>61.3341000000002</v>
      </c>
      <c r="BH47" s="3">
        <f t="shared" si="64"/>
        <v>42.637917857143</v>
      </c>
      <c r="BI47" s="3">
        <f t="shared" si="64"/>
        <v>81.1694250000002</v>
      </c>
      <c r="BL47" s="3" t="s">
        <v>74</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101</v>
      </c>
      <c r="AY48" s="118">
        <f t="shared" si="60"/>
        <v>2035</v>
      </c>
      <c r="AZ48" s="118">
        <f t="shared" si="61"/>
        <v>60.9626404761906</v>
      </c>
      <c r="BA48" s="118">
        <f t="shared" si="62"/>
        <v>40.0724785714287</v>
      </c>
      <c r="BB48" s="118">
        <f t="shared" si="63"/>
        <v>83.0914000000002</v>
      </c>
      <c r="BE48" s="3" t="s">
        <v>77</v>
      </c>
      <c r="BF48" s="3">
        <v>2035</v>
      </c>
      <c r="BG48" s="3">
        <f t="shared" ref="BG48:BI48" si="66">BS48*90%</f>
        <v>54.8663764285715</v>
      </c>
      <c r="BH48" s="3">
        <f t="shared" si="66"/>
        <v>36.0652307142858</v>
      </c>
      <c r="BI48" s="3">
        <f t="shared" si="66"/>
        <v>74.7822600000002</v>
      </c>
      <c r="BL48" s="3" t="s">
        <v>78</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102</v>
      </c>
      <c r="AY49" s="118">
        <f t="shared" si="60"/>
        <v>2035</v>
      </c>
      <c r="AZ49" s="118">
        <f t="shared" si="61"/>
        <v>61.0868357142859</v>
      </c>
      <c r="BA49" s="118">
        <f t="shared" si="62"/>
        <v>39.6853642857144</v>
      </c>
      <c r="BB49" s="118">
        <f t="shared" si="63"/>
        <v>83.7887928571431</v>
      </c>
      <c r="BE49" s="3" t="s">
        <v>81</v>
      </c>
      <c r="BF49" s="3">
        <v>2035</v>
      </c>
      <c r="BG49" s="3">
        <f t="shared" ref="BG49:BI49" si="68">BS49*90%</f>
        <v>54.9781521428573</v>
      </c>
      <c r="BH49" s="3">
        <f t="shared" si="68"/>
        <v>35.716827857143</v>
      </c>
      <c r="BI49" s="3">
        <f t="shared" si="68"/>
        <v>75.4099135714288</v>
      </c>
      <c r="BL49" s="3" t="s">
        <v>82</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103</v>
      </c>
      <c r="AY50" s="118">
        <f t="shared" si="60"/>
        <v>2035</v>
      </c>
      <c r="AZ50" s="118">
        <f t="shared" si="61"/>
        <v>64.3520833333335</v>
      </c>
      <c r="BA50" s="118">
        <f t="shared" si="62"/>
        <v>42.4055000000001</v>
      </c>
      <c r="BB50" s="118">
        <f t="shared" si="63"/>
        <v>87.6207500000002</v>
      </c>
      <c r="BE50" s="3" t="s">
        <v>86</v>
      </c>
      <c r="BF50" s="3">
        <v>2035</v>
      </c>
      <c r="BG50" s="3">
        <f t="shared" ref="BG50:BI50" si="70">BS50*90%</f>
        <v>57.9168750000001</v>
      </c>
      <c r="BH50" s="3">
        <f t="shared" si="70"/>
        <v>38.1649500000001</v>
      </c>
      <c r="BI50" s="3">
        <f t="shared" si="70"/>
        <v>78.8586750000002</v>
      </c>
      <c r="BL50" s="3" t="s">
        <v>87</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104</v>
      </c>
      <c r="AY51" s="118">
        <f t="shared" si="60"/>
        <v>2035</v>
      </c>
      <c r="AZ51" s="118">
        <f t="shared" si="61"/>
        <v>62.0872976190478</v>
      </c>
      <c r="BA51" s="118">
        <f t="shared" si="62"/>
        <v>40.955392857143</v>
      </c>
      <c r="BB51" s="118">
        <f t="shared" si="63"/>
        <v>84.4802142857145</v>
      </c>
      <c r="BE51" s="3" t="s">
        <v>90</v>
      </c>
      <c r="BF51" s="3">
        <v>2035</v>
      </c>
      <c r="BG51" s="3">
        <f t="shared" ref="BG51:BI51" si="72">BS51*90%</f>
        <v>55.878567857143</v>
      </c>
      <c r="BH51" s="3">
        <f t="shared" si="72"/>
        <v>36.8598535714287</v>
      </c>
      <c r="BI51" s="3">
        <f t="shared" si="72"/>
        <v>76.032192857143</v>
      </c>
      <c r="BL51" s="3" t="s">
        <v>91</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105</v>
      </c>
      <c r="AY52" s="118">
        <f t="shared" si="60"/>
        <v>2035</v>
      </c>
      <c r="AZ52" s="118">
        <f t="shared" si="61"/>
        <v>63.9661904761907</v>
      </c>
      <c r="BA52" s="118">
        <f t="shared" si="62"/>
        <v>42.8496285714287</v>
      </c>
      <c r="BB52" s="118">
        <f t="shared" si="63"/>
        <v>86.3389428571431</v>
      </c>
      <c r="BE52" s="3" t="s">
        <v>94</v>
      </c>
      <c r="BF52" s="3">
        <v>2035</v>
      </c>
      <c r="BG52" s="3">
        <f t="shared" ref="BG52:BI52" si="74">BS52*90%</f>
        <v>57.5695714285716</v>
      </c>
      <c r="BH52" s="3">
        <f t="shared" si="74"/>
        <v>38.5646657142858</v>
      </c>
      <c r="BI52" s="3">
        <f t="shared" si="74"/>
        <v>77.7050485714288</v>
      </c>
      <c r="BL52" s="3" t="s">
        <v>95</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97</v>
      </c>
      <c r="BF53" s="3">
        <v>2035</v>
      </c>
      <c r="BG53" s="3">
        <f t="shared" ref="BG53:BI53" si="76">BS53*90%</f>
        <v>104.202857142858</v>
      </c>
      <c r="BH53" s="3">
        <f t="shared" si="76"/>
        <v>104.202857142858</v>
      </c>
      <c r="BI53" s="3">
        <f t="shared" si="76"/>
        <v>104.202857142858</v>
      </c>
      <c r="BL53" s="3" t="s">
        <v>98</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63</v>
      </c>
      <c r="BL58" s="3" t="s">
        <v>62</v>
      </c>
    </row>
    <row r="59" spans="2:73">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2:73">
      <c r="AX60" s="118" t="s">
        <v>99</v>
      </c>
      <c r="AY60" s="118">
        <v>2040</v>
      </c>
      <c r="AZ60" s="118">
        <f>AZ46*0.97</f>
        <v>55.6940581190478</v>
      </c>
      <c r="BA60" s="118">
        <f>BA46*0.97</f>
        <v>38.4443772142858</v>
      </c>
      <c r="BB60" s="118">
        <f>BB46*0.97</f>
        <v>74.0144989285716</v>
      </c>
      <c r="BE60" s="3" t="s">
        <v>68</v>
      </c>
      <c r="BF60" s="3">
        <v>2040</v>
      </c>
      <c r="BG60" s="3">
        <f t="shared" ref="BG60:BI60" si="78">BS60*90%</f>
        <v>50.124652307143</v>
      </c>
      <c r="BH60" s="3">
        <f t="shared" si="78"/>
        <v>34.5999394928572</v>
      </c>
      <c r="BI60" s="3">
        <f t="shared" si="78"/>
        <v>66.6130490357144</v>
      </c>
      <c r="BL60" s="3" t="s">
        <v>69</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100</v>
      </c>
      <c r="AY61" s="118">
        <f t="shared" ref="AY61:AY67" si="80">AY60</f>
        <v>2040</v>
      </c>
      <c r="AZ61" s="118">
        <f t="shared" ref="AZ61:AZ67" si="81">AZ47*0.97</f>
        <v>66.1045300000002</v>
      </c>
      <c r="BA61" s="118">
        <f t="shared" ref="BA61:BA67" si="82">BA47*0.97</f>
        <v>45.954200357143</v>
      </c>
      <c r="BB61" s="118">
        <f t="shared" ref="BB61:BB67" si="83">BB47*0.97</f>
        <v>87.4826025000002</v>
      </c>
      <c r="BE61" s="3" t="s">
        <v>73</v>
      </c>
      <c r="BF61" s="3">
        <v>2040</v>
      </c>
      <c r="BG61" s="3">
        <f t="shared" ref="BG61:BI61" si="84">BS61*90%</f>
        <v>59.4940770000002</v>
      </c>
      <c r="BH61" s="3">
        <f t="shared" si="84"/>
        <v>41.3587803214287</v>
      </c>
      <c r="BI61" s="3">
        <f t="shared" si="84"/>
        <v>78.7343422500002</v>
      </c>
      <c r="BL61" s="3" t="s">
        <v>74</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101</v>
      </c>
      <c r="AY62" s="118">
        <f t="shared" si="80"/>
        <v>2040</v>
      </c>
      <c r="AZ62" s="118">
        <f t="shared" si="81"/>
        <v>59.1337612619049</v>
      </c>
      <c r="BA62" s="118">
        <f t="shared" si="82"/>
        <v>38.8703042142858</v>
      </c>
      <c r="BB62" s="118">
        <f t="shared" si="83"/>
        <v>80.5986580000002</v>
      </c>
      <c r="BE62" s="3" t="s">
        <v>77</v>
      </c>
      <c r="BF62" s="3">
        <v>2040</v>
      </c>
      <c r="BG62" s="3">
        <f t="shared" ref="BG62:BI62" si="86">BS62*90%</f>
        <v>53.2203851357144</v>
      </c>
      <c r="BH62" s="3">
        <f t="shared" si="86"/>
        <v>34.9832737928572</v>
      </c>
      <c r="BI62" s="3">
        <f t="shared" si="86"/>
        <v>72.5387922000002</v>
      </c>
      <c r="BL62" s="3" t="s">
        <v>78</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102</v>
      </c>
      <c r="AY63" s="118">
        <f t="shared" si="80"/>
        <v>2040</v>
      </c>
      <c r="AZ63" s="118">
        <f t="shared" si="81"/>
        <v>59.2542306428573</v>
      </c>
      <c r="BA63" s="118">
        <f t="shared" si="82"/>
        <v>38.494803357143</v>
      </c>
      <c r="BB63" s="118">
        <f t="shared" si="83"/>
        <v>81.2751290714288</v>
      </c>
      <c r="BE63" s="3" t="s">
        <v>81</v>
      </c>
      <c r="BF63" s="3">
        <v>2040</v>
      </c>
      <c r="BG63" s="3">
        <f t="shared" ref="BG63:BI63" si="88">BS63*90%</f>
        <v>53.3288075785716</v>
      </c>
      <c r="BH63" s="3">
        <f t="shared" si="88"/>
        <v>34.6453230214287</v>
      </c>
      <c r="BI63" s="3">
        <f t="shared" si="88"/>
        <v>73.1476161642859</v>
      </c>
      <c r="BL63" s="3" t="s">
        <v>82</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103</v>
      </c>
      <c r="AY64" s="118">
        <f t="shared" si="80"/>
        <v>2040</v>
      </c>
      <c r="AZ64" s="118">
        <f t="shared" si="81"/>
        <v>62.4215208333334</v>
      </c>
      <c r="BA64" s="118">
        <f t="shared" si="82"/>
        <v>41.1333350000001</v>
      </c>
      <c r="BB64" s="118">
        <f t="shared" si="83"/>
        <v>84.9921275000002</v>
      </c>
      <c r="BE64" s="3" t="s">
        <v>86</v>
      </c>
      <c r="BF64" s="3">
        <v>2040</v>
      </c>
      <c r="BG64" s="3">
        <f t="shared" ref="BG64:BI64" si="90">BS64*90%</f>
        <v>56.1793687500001</v>
      </c>
      <c r="BH64" s="3">
        <f t="shared" si="90"/>
        <v>37.0200015000001</v>
      </c>
      <c r="BI64" s="3">
        <f t="shared" si="90"/>
        <v>76.4929147500002</v>
      </c>
      <c r="BL64" s="3" t="s">
        <v>87</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104</v>
      </c>
      <c r="AY65" s="118">
        <f t="shared" si="80"/>
        <v>2040</v>
      </c>
      <c r="AZ65" s="118">
        <f t="shared" si="81"/>
        <v>60.2246786904764</v>
      </c>
      <c r="BA65" s="118">
        <f t="shared" si="82"/>
        <v>39.7267310714287</v>
      </c>
      <c r="BB65" s="118">
        <f t="shared" si="83"/>
        <v>81.9458078571431</v>
      </c>
      <c r="BE65" s="3" t="s">
        <v>90</v>
      </c>
      <c r="BF65" s="3">
        <v>2040</v>
      </c>
      <c r="BG65" s="3">
        <f t="shared" ref="BG65:BI65" si="92">BS65*90%</f>
        <v>54.2022108214288</v>
      </c>
      <c r="BH65" s="3">
        <f t="shared" si="92"/>
        <v>35.7540579642858</v>
      </c>
      <c r="BI65" s="3">
        <f t="shared" si="92"/>
        <v>73.7512270714288</v>
      </c>
      <c r="BL65" s="3" t="s">
        <v>91</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105</v>
      </c>
      <c r="AY66" s="118">
        <f t="shared" si="80"/>
        <v>2040</v>
      </c>
      <c r="AZ66" s="118">
        <f t="shared" si="81"/>
        <v>62.0472047619049</v>
      </c>
      <c r="BA66" s="118">
        <f t="shared" si="82"/>
        <v>41.5641397142858</v>
      </c>
      <c r="BB66" s="118">
        <f t="shared" si="83"/>
        <v>83.7487745714288</v>
      </c>
      <c r="BE66" s="3" t="s">
        <v>94</v>
      </c>
      <c r="BF66" s="3">
        <v>2040</v>
      </c>
      <c r="BG66" s="3">
        <f t="shared" ref="BG66:BI66" si="94">BS66*90%</f>
        <v>55.8424842857144</v>
      </c>
      <c r="BH66" s="3">
        <f t="shared" si="94"/>
        <v>37.4077257428572</v>
      </c>
      <c r="BI66" s="3">
        <f t="shared" si="94"/>
        <v>75.3738971142859</v>
      </c>
      <c r="BL66" s="3" t="s">
        <v>95</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97</v>
      </c>
      <c r="BF67" s="3">
        <v>2040</v>
      </c>
      <c r="BG67" s="3">
        <f t="shared" ref="BG67:BI67" si="96">BS67*90%</f>
        <v>101.076771428572</v>
      </c>
      <c r="BH67" s="3">
        <f t="shared" si="96"/>
        <v>101.076771428572</v>
      </c>
      <c r="BI67" s="3">
        <f t="shared" si="96"/>
        <v>101.076771428572</v>
      </c>
      <c r="BL67" s="3" t="s">
        <v>98</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63</v>
      </c>
      <c r="BL74" s="3" t="s">
        <v>62</v>
      </c>
    </row>
    <row r="75" spans="49:73">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49:73">
      <c r="AX76" s="118" t="s">
        <v>99</v>
      </c>
      <c r="AY76" s="118">
        <v>2045</v>
      </c>
      <c r="AZ76" s="118">
        <f>AZ60*0.96</f>
        <v>53.4662957942859</v>
      </c>
      <c r="BA76" s="118">
        <f>BA60*0.96</f>
        <v>36.9066021257144</v>
      </c>
      <c r="BB76" s="118">
        <f>BB60*0.96</f>
        <v>71.0539189714287</v>
      </c>
      <c r="BE76" s="3" t="s">
        <v>68</v>
      </c>
      <c r="BF76" s="3">
        <v>2045</v>
      </c>
      <c r="BG76" s="3">
        <f t="shared" ref="BG76:BI76" si="98">BS76*90%</f>
        <v>48.1196662148573</v>
      </c>
      <c r="BH76" s="3">
        <f t="shared" si="98"/>
        <v>33.215941913143</v>
      </c>
      <c r="BI76" s="3">
        <f t="shared" si="98"/>
        <v>63.9485270742858</v>
      </c>
      <c r="BL76" s="3" t="s">
        <v>69</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100</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73</v>
      </c>
      <c r="BF77" s="3">
        <v>2045</v>
      </c>
      <c r="BG77" s="3">
        <f t="shared" ref="BG77:BI77" si="104">BS77*90%</f>
        <v>57.1143139200002</v>
      </c>
      <c r="BH77" s="3">
        <f t="shared" si="104"/>
        <v>39.7044291085716</v>
      </c>
      <c r="BI77" s="3">
        <f t="shared" si="104"/>
        <v>75.5849685600002</v>
      </c>
      <c r="BL77" s="3" t="s">
        <v>74</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101</v>
      </c>
      <c r="AY78" s="118">
        <f t="shared" si="100"/>
        <v>2045</v>
      </c>
      <c r="AZ78" s="118">
        <f t="shared" si="101"/>
        <v>56.7684108114287</v>
      </c>
      <c r="BA78" s="118">
        <f t="shared" si="102"/>
        <v>37.3154920457144</v>
      </c>
      <c r="BB78" s="118">
        <f t="shared" si="103"/>
        <v>77.3747116800002</v>
      </c>
      <c r="BE78" s="3" t="s">
        <v>77</v>
      </c>
      <c r="BF78" s="3">
        <v>2045</v>
      </c>
      <c r="BG78" s="3">
        <f t="shared" ref="BG78:BI78" si="106">BS78*90%</f>
        <v>51.0915697302858</v>
      </c>
      <c r="BH78" s="3">
        <f t="shared" si="106"/>
        <v>33.583942841143</v>
      </c>
      <c r="BI78" s="3">
        <f t="shared" si="106"/>
        <v>69.6372405120002</v>
      </c>
      <c r="BL78" s="3" t="s">
        <v>78</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102</v>
      </c>
      <c r="AY79" s="118">
        <f t="shared" si="100"/>
        <v>2045</v>
      </c>
      <c r="AZ79" s="118">
        <f t="shared" si="101"/>
        <v>56.884061417143</v>
      </c>
      <c r="BA79" s="118">
        <f t="shared" si="102"/>
        <v>36.9550112228572</v>
      </c>
      <c r="BB79" s="118">
        <f t="shared" si="103"/>
        <v>78.0241239085716</v>
      </c>
      <c r="BE79" s="3" t="s">
        <v>81</v>
      </c>
      <c r="BF79" s="3">
        <v>2045</v>
      </c>
      <c r="BG79" s="3">
        <f t="shared" ref="BG79:BI79" si="108">BS79*90%</f>
        <v>51.1956552754287</v>
      </c>
      <c r="BH79" s="3">
        <f t="shared" si="108"/>
        <v>33.2595101005715</v>
      </c>
      <c r="BI79" s="3">
        <f t="shared" si="108"/>
        <v>70.2217115177144</v>
      </c>
      <c r="BL79" s="3" t="s">
        <v>82</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103</v>
      </c>
      <c r="AY80" s="118">
        <f t="shared" si="100"/>
        <v>2045</v>
      </c>
      <c r="AZ80" s="118">
        <f t="shared" si="101"/>
        <v>59.9246600000001</v>
      </c>
      <c r="BA80" s="118">
        <f t="shared" si="102"/>
        <v>39.4880016000001</v>
      </c>
      <c r="BB80" s="118">
        <f t="shared" si="103"/>
        <v>81.5924424000002</v>
      </c>
      <c r="BE80" s="3" t="s">
        <v>86</v>
      </c>
      <c r="BF80" s="3">
        <v>2045</v>
      </c>
      <c r="BG80" s="3">
        <f t="shared" ref="BG80:BI80" si="110">BS80*90%</f>
        <v>53.9321940000001</v>
      </c>
      <c r="BH80" s="3">
        <f t="shared" si="110"/>
        <v>35.5392014400001</v>
      </c>
      <c r="BI80" s="3">
        <f t="shared" si="110"/>
        <v>73.4331981600002</v>
      </c>
      <c r="BL80" s="3" t="s">
        <v>87</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104</v>
      </c>
      <c r="AY81" s="118">
        <f t="shared" si="100"/>
        <v>2045</v>
      </c>
      <c r="AZ81" s="118">
        <f t="shared" si="101"/>
        <v>57.8156915428573</v>
      </c>
      <c r="BA81" s="118">
        <f t="shared" si="102"/>
        <v>38.1376618285715</v>
      </c>
      <c r="BB81" s="118">
        <f t="shared" si="103"/>
        <v>78.6679755428573</v>
      </c>
      <c r="BE81" s="3" t="s">
        <v>90</v>
      </c>
      <c r="BF81" s="3">
        <v>2045</v>
      </c>
      <c r="BG81" s="3">
        <f t="shared" ref="BG81:BI81" si="112">BS81*90%</f>
        <v>52.0341223885716</v>
      </c>
      <c r="BH81" s="3">
        <f t="shared" si="112"/>
        <v>34.3238956457144</v>
      </c>
      <c r="BI81" s="3">
        <f t="shared" si="112"/>
        <v>70.8011779885716</v>
      </c>
      <c r="BL81" s="3" t="s">
        <v>91</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105</v>
      </c>
      <c r="AY82" s="118">
        <f t="shared" si="100"/>
        <v>2045</v>
      </c>
      <c r="AZ82" s="118">
        <f t="shared" si="101"/>
        <v>59.5653165714287</v>
      </c>
      <c r="BA82" s="118">
        <f t="shared" si="102"/>
        <v>39.9015741257144</v>
      </c>
      <c r="BB82" s="118">
        <f t="shared" si="103"/>
        <v>80.3988235885716</v>
      </c>
      <c r="BE82" s="3" t="s">
        <v>94</v>
      </c>
      <c r="BF82" s="3">
        <v>2045</v>
      </c>
      <c r="BG82" s="3">
        <f t="shared" ref="BG82:BI82" si="114">BS82*90%</f>
        <v>53.6087849142858</v>
      </c>
      <c r="BH82" s="3">
        <f t="shared" si="114"/>
        <v>35.911416713143</v>
      </c>
      <c r="BI82" s="3">
        <f t="shared" si="114"/>
        <v>72.3589412297144</v>
      </c>
      <c r="BL82" s="3" t="s">
        <v>95</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97</v>
      </c>
      <c r="BF83" s="3">
        <v>2045</v>
      </c>
      <c r="BG83" s="3">
        <f t="shared" ref="BG83:BI83" si="116">BS83*90%</f>
        <v>97.0337005714287</v>
      </c>
      <c r="BH83" s="3">
        <f t="shared" si="116"/>
        <v>97.0337005714287</v>
      </c>
      <c r="BI83" s="3">
        <f t="shared" si="116"/>
        <v>97.0337005714287</v>
      </c>
      <c r="BL83" s="3" t="s">
        <v>98</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63</v>
      </c>
      <c r="BL87" s="3" t="s">
        <v>62</v>
      </c>
    </row>
    <row r="88" spans="49:73">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49:73">
      <c r="AX89" s="118" t="s">
        <v>99</v>
      </c>
      <c r="AY89" s="118">
        <v>2050</v>
      </c>
      <c r="AZ89" s="118">
        <f>AZ76*0.96</f>
        <v>51.3276439625144</v>
      </c>
      <c r="BA89" s="118">
        <f>BA76*0.96</f>
        <v>35.4303380406858</v>
      </c>
      <c r="BB89" s="118">
        <f>BB76*0.96</f>
        <v>68.2117622125716</v>
      </c>
      <c r="BE89" s="3" t="s">
        <v>68</v>
      </c>
      <c r="BF89" s="3">
        <v>2050</v>
      </c>
      <c r="BG89" s="3">
        <f t="shared" ref="BG89:BI89" si="118">BS89*90%</f>
        <v>46.194879566263</v>
      </c>
      <c r="BH89" s="3">
        <f t="shared" si="118"/>
        <v>31.8873042366172</v>
      </c>
      <c r="BI89" s="3">
        <f t="shared" si="118"/>
        <v>61.3905859913144</v>
      </c>
      <c r="BL89" s="3" t="s">
        <v>69</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100</v>
      </c>
      <c r="AY90" s="118">
        <f t="shared" ref="AY90:AY96" si="120">AY89</f>
        <v>2050</v>
      </c>
      <c r="AZ90" s="118">
        <f t="shared" ref="AZ90:BB90" si="121">AZ77*0.96</f>
        <v>60.9219348480002</v>
      </c>
      <c r="BA90" s="118">
        <f t="shared" si="121"/>
        <v>42.351391049143</v>
      </c>
      <c r="BB90" s="118">
        <f t="shared" si="121"/>
        <v>80.6239664640002</v>
      </c>
      <c r="BE90" s="3" t="s">
        <v>73</v>
      </c>
      <c r="BF90" s="3">
        <v>2050</v>
      </c>
      <c r="BG90" s="3">
        <f t="shared" ref="BG90:BI90" si="122">BS90*90%</f>
        <v>54.8297413632002</v>
      </c>
      <c r="BH90" s="3">
        <f t="shared" si="122"/>
        <v>38.1162519442287</v>
      </c>
      <c r="BI90" s="3">
        <f t="shared" si="122"/>
        <v>72.5615698176002</v>
      </c>
      <c r="BL90" s="3" t="s">
        <v>74</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101</v>
      </c>
      <c r="AY91" s="118">
        <f t="shared" si="120"/>
        <v>2050</v>
      </c>
      <c r="AZ91" s="118">
        <f t="shared" ref="AZ91:BB91" si="124">AZ78*0.96</f>
        <v>54.4976743789715</v>
      </c>
      <c r="BA91" s="118">
        <f t="shared" si="124"/>
        <v>35.8228723638858</v>
      </c>
      <c r="BB91" s="118">
        <f t="shared" si="124"/>
        <v>74.2797232128002</v>
      </c>
      <c r="BE91" s="3" t="s">
        <v>77</v>
      </c>
      <c r="BF91" s="3">
        <v>2050</v>
      </c>
      <c r="BG91" s="3">
        <f t="shared" ref="BG91:BI91" si="125">BS91*90%</f>
        <v>49.0479069410744</v>
      </c>
      <c r="BH91" s="3">
        <f t="shared" si="125"/>
        <v>32.2405851274972</v>
      </c>
      <c r="BI91" s="3">
        <f t="shared" si="125"/>
        <v>66.8517508915202</v>
      </c>
      <c r="BL91" s="3" t="s">
        <v>78</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102</v>
      </c>
      <c r="AY92" s="118">
        <f t="shared" si="120"/>
        <v>2050</v>
      </c>
      <c r="AZ92" s="118">
        <f t="shared" ref="AZ92:BB92" si="127">AZ79*0.96</f>
        <v>54.6086989604573</v>
      </c>
      <c r="BA92" s="118">
        <f t="shared" si="127"/>
        <v>35.4768107739429</v>
      </c>
      <c r="BB92" s="118">
        <f t="shared" si="127"/>
        <v>74.9031589522287</v>
      </c>
      <c r="BE92" s="3" t="s">
        <v>81</v>
      </c>
      <c r="BF92" s="3">
        <v>2050</v>
      </c>
      <c r="BG92" s="3">
        <f t="shared" ref="BG92:BI92" si="128">BS92*90%</f>
        <v>49.1478290644116</v>
      </c>
      <c r="BH92" s="3">
        <f t="shared" si="128"/>
        <v>31.9291296965486</v>
      </c>
      <c r="BI92" s="3">
        <f t="shared" si="128"/>
        <v>67.4128430570058</v>
      </c>
      <c r="BL92" s="3" t="s">
        <v>82</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103</v>
      </c>
      <c r="AY93" s="118">
        <f t="shared" si="120"/>
        <v>2050</v>
      </c>
      <c r="AZ93" s="118">
        <f t="shared" ref="AZ93:BB93" si="130">AZ80*0.96</f>
        <v>57.5276736000001</v>
      </c>
      <c r="BA93" s="118">
        <f t="shared" si="130"/>
        <v>37.9084815360001</v>
      </c>
      <c r="BB93" s="118">
        <f t="shared" si="130"/>
        <v>78.3287447040002</v>
      </c>
      <c r="BE93" s="3" t="s">
        <v>86</v>
      </c>
      <c r="BF93" s="3">
        <v>2050</v>
      </c>
      <c r="BG93" s="3">
        <f t="shared" ref="BG93:BI93" si="131">BS93*90%</f>
        <v>51.7749062400001</v>
      </c>
      <c r="BH93" s="3">
        <f t="shared" si="131"/>
        <v>34.1176333824001</v>
      </c>
      <c r="BI93" s="3">
        <f t="shared" si="131"/>
        <v>70.4958702336002</v>
      </c>
      <c r="BL93" s="3" t="s">
        <v>87</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104</v>
      </c>
      <c r="AY94" s="118">
        <f t="shared" si="120"/>
        <v>2050</v>
      </c>
      <c r="AZ94" s="118">
        <f t="shared" ref="AZ94:BB94" si="133">AZ81*0.96</f>
        <v>55.503063881143</v>
      </c>
      <c r="BA94" s="118">
        <f t="shared" si="133"/>
        <v>36.6121553554287</v>
      </c>
      <c r="BB94" s="118">
        <f t="shared" si="133"/>
        <v>75.521256521143</v>
      </c>
      <c r="BE94" s="3" t="s">
        <v>90</v>
      </c>
      <c r="BF94" s="3">
        <v>2050</v>
      </c>
      <c r="BG94" s="3">
        <f t="shared" ref="BG94:BI94" si="134">BS94*90%</f>
        <v>49.9527574930287</v>
      </c>
      <c r="BH94" s="3">
        <f t="shared" si="134"/>
        <v>32.9509398198858</v>
      </c>
      <c r="BI94" s="3">
        <f t="shared" si="134"/>
        <v>67.9691308690287</v>
      </c>
      <c r="BL94" s="3" t="s">
        <v>91</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105</v>
      </c>
      <c r="AY95" s="118">
        <f t="shared" si="120"/>
        <v>2050</v>
      </c>
      <c r="AZ95" s="118">
        <f t="shared" ref="AZ95:BB95" si="136">AZ82*0.96</f>
        <v>57.1827039085716</v>
      </c>
      <c r="BA95" s="118">
        <f t="shared" si="136"/>
        <v>38.3055111606858</v>
      </c>
      <c r="BB95" s="118">
        <f t="shared" si="136"/>
        <v>77.1828706450288</v>
      </c>
      <c r="BE95" s="3" t="s">
        <v>94</v>
      </c>
      <c r="BF95" s="3">
        <v>2050</v>
      </c>
      <c r="BG95" s="3">
        <f t="shared" ref="BG95:BI95" si="137">BS95*90%</f>
        <v>51.4644335177144</v>
      </c>
      <c r="BH95" s="3">
        <f t="shared" si="137"/>
        <v>34.4749600446172</v>
      </c>
      <c r="BI95" s="3">
        <f t="shared" si="137"/>
        <v>69.4645835805259</v>
      </c>
      <c r="BL95" s="3" t="s">
        <v>95</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97</v>
      </c>
      <c r="BF96" s="3">
        <v>2050</v>
      </c>
      <c r="BG96" s="3">
        <f t="shared" ref="BG96:BI96" si="139">BS96*90%</f>
        <v>93.1523525485713</v>
      </c>
      <c r="BH96" s="3">
        <f t="shared" si="139"/>
        <v>93.1523525485713</v>
      </c>
      <c r="BI96" s="3">
        <f t="shared" si="139"/>
        <v>93.1523525485713</v>
      </c>
      <c r="BL96" s="3" t="s">
        <v>98</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63</v>
      </c>
      <c r="BL104" s="3" t="s">
        <v>62</v>
      </c>
    </row>
    <row r="105" spans="50:73">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c r="AX106" s="118" t="s">
        <v>99</v>
      </c>
      <c r="AY106" s="118">
        <v>2100</v>
      </c>
      <c r="AZ106" s="118">
        <f>AZ89</f>
        <v>51.3276439625144</v>
      </c>
      <c r="BA106" s="118">
        <f t="shared" ref="BA106:BA113" si="141">BA89</f>
        <v>35.4303380406858</v>
      </c>
      <c r="BB106" s="118">
        <f t="shared" ref="BB106:BB113" si="142">BB89</f>
        <v>68.2117622125716</v>
      </c>
      <c r="BE106" s="3" t="s">
        <v>68</v>
      </c>
      <c r="BF106" s="3">
        <v>2100</v>
      </c>
      <c r="BG106" s="3">
        <f t="shared" ref="BG106:BI106" si="143">BS106*90%</f>
        <v>46.194879566263</v>
      </c>
      <c r="BH106" s="3">
        <f t="shared" si="143"/>
        <v>31.8873042366172</v>
      </c>
      <c r="BI106" s="3">
        <f t="shared" si="143"/>
        <v>61.3905859913144</v>
      </c>
      <c r="BL106" s="3" t="s">
        <v>69</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100</v>
      </c>
      <c r="AY107" s="118">
        <f t="shared" ref="AY107:AY113" si="145">AY106</f>
        <v>2100</v>
      </c>
      <c r="AZ107" s="118">
        <f t="shared" ref="AZ107:AZ113" si="146">AZ90</f>
        <v>60.9219348480002</v>
      </c>
      <c r="BA107" s="118">
        <f t="shared" si="141"/>
        <v>42.351391049143</v>
      </c>
      <c r="BB107" s="118">
        <f t="shared" si="142"/>
        <v>80.6239664640002</v>
      </c>
      <c r="BE107" s="3" t="s">
        <v>73</v>
      </c>
      <c r="BF107" s="3">
        <v>2100</v>
      </c>
      <c r="BG107" s="3">
        <f t="shared" ref="BG107:BI107" si="147">BS107*90%</f>
        <v>54.8297413632002</v>
      </c>
      <c r="BH107" s="3">
        <f t="shared" si="147"/>
        <v>38.1162519442287</v>
      </c>
      <c r="BI107" s="3">
        <f t="shared" si="147"/>
        <v>72.5615698176002</v>
      </c>
      <c r="BL107" s="3" t="s">
        <v>74</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101</v>
      </c>
      <c r="AY108" s="118">
        <f t="shared" si="145"/>
        <v>2100</v>
      </c>
      <c r="AZ108" s="118">
        <f t="shared" si="146"/>
        <v>54.4976743789715</v>
      </c>
      <c r="BA108" s="118">
        <f t="shared" si="141"/>
        <v>35.8228723638858</v>
      </c>
      <c r="BB108" s="118">
        <f t="shared" si="142"/>
        <v>74.2797232128002</v>
      </c>
      <c r="BE108" s="3" t="s">
        <v>77</v>
      </c>
      <c r="BF108" s="3">
        <v>2100</v>
      </c>
      <c r="BG108" s="3">
        <f t="shared" ref="BG108:BI108" si="149">BS108*90%</f>
        <v>49.0479069410744</v>
      </c>
      <c r="BH108" s="3">
        <f t="shared" si="149"/>
        <v>32.2405851274972</v>
      </c>
      <c r="BI108" s="3">
        <f t="shared" si="149"/>
        <v>66.8517508915202</v>
      </c>
      <c r="BL108" s="3" t="s">
        <v>78</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102</v>
      </c>
      <c r="AY109" s="118">
        <f t="shared" si="145"/>
        <v>2100</v>
      </c>
      <c r="AZ109" s="118">
        <f t="shared" si="146"/>
        <v>54.6086989604573</v>
      </c>
      <c r="BA109" s="118">
        <f t="shared" si="141"/>
        <v>35.4768107739429</v>
      </c>
      <c r="BB109" s="118">
        <f t="shared" si="142"/>
        <v>74.9031589522287</v>
      </c>
      <c r="BE109" s="3" t="s">
        <v>81</v>
      </c>
      <c r="BF109" s="3">
        <v>2100</v>
      </c>
      <c r="BG109" s="3">
        <f t="shared" ref="BG109:BI109" si="151">BS109*90%</f>
        <v>49.1478290644116</v>
      </c>
      <c r="BH109" s="3">
        <f t="shared" si="151"/>
        <v>31.9291296965486</v>
      </c>
      <c r="BI109" s="3">
        <f t="shared" si="151"/>
        <v>67.4128430570058</v>
      </c>
      <c r="BL109" s="3" t="s">
        <v>82</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103</v>
      </c>
      <c r="AY110" s="118">
        <f t="shared" si="145"/>
        <v>2100</v>
      </c>
      <c r="AZ110" s="118">
        <f t="shared" si="146"/>
        <v>57.5276736000001</v>
      </c>
      <c r="BA110" s="118">
        <f t="shared" si="141"/>
        <v>37.9084815360001</v>
      </c>
      <c r="BB110" s="118">
        <f t="shared" si="142"/>
        <v>78.3287447040002</v>
      </c>
      <c r="BE110" s="3" t="s">
        <v>86</v>
      </c>
      <c r="BF110" s="3">
        <v>2100</v>
      </c>
      <c r="BG110" s="3">
        <f t="shared" ref="BG110:BI110" si="153">BS110*90%</f>
        <v>51.7749062400001</v>
      </c>
      <c r="BH110" s="3">
        <f t="shared" si="153"/>
        <v>34.1176333824001</v>
      </c>
      <c r="BI110" s="3">
        <f t="shared" si="153"/>
        <v>70.4958702336002</v>
      </c>
      <c r="BL110" s="3" t="s">
        <v>87</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104</v>
      </c>
      <c r="AY111" s="118">
        <f t="shared" si="145"/>
        <v>2100</v>
      </c>
      <c r="AZ111" s="118">
        <f t="shared" si="146"/>
        <v>55.503063881143</v>
      </c>
      <c r="BA111" s="118">
        <f t="shared" si="141"/>
        <v>36.6121553554287</v>
      </c>
      <c r="BB111" s="118">
        <f t="shared" si="142"/>
        <v>75.521256521143</v>
      </c>
      <c r="BE111" s="3" t="s">
        <v>90</v>
      </c>
      <c r="BF111" s="3">
        <v>2100</v>
      </c>
      <c r="BG111" s="3">
        <f t="shared" ref="BG111:BI111" si="155">BS111*90%</f>
        <v>49.9527574930287</v>
      </c>
      <c r="BH111" s="3">
        <f t="shared" si="155"/>
        <v>32.9509398198858</v>
      </c>
      <c r="BI111" s="3">
        <f t="shared" si="155"/>
        <v>67.9691308690287</v>
      </c>
      <c r="BL111" s="3" t="s">
        <v>91</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105</v>
      </c>
      <c r="AY112" s="118">
        <f t="shared" si="145"/>
        <v>2100</v>
      </c>
      <c r="AZ112" s="118">
        <f t="shared" si="146"/>
        <v>57.1827039085716</v>
      </c>
      <c r="BA112" s="118">
        <f t="shared" si="141"/>
        <v>38.3055111606858</v>
      </c>
      <c r="BB112" s="118">
        <f t="shared" si="142"/>
        <v>77.1828706450288</v>
      </c>
      <c r="BE112" s="3" t="s">
        <v>94</v>
      </c>
      <c r="BF112" s="3">
        <v>2100</v>
      </c>
      <c r="BG112" s="3">
        <f t="shared" ref="BG112:BI112" si="157">BS112*90%</f>
        <v>51.4644335177144</v>
      </c>
      <c r="BH112" s="3">
        <f t="shared" si="157"/>
        <v>34.4749600446172</v>
      </c>
      <c r="BI112" s="3">
        <f t="shared" si="157"/>
        <v>69.4645835805259</v>
      </c>
      <c r="BL112" s="3" t="s">
        <v>95</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97</v>
      </c>
      <c r="BF113" s="3">
        <v>2100</v>
      </c>
      <c r="BG113" s="3">
        <f t="shared" ref="BG113:BI113" si="159">BS113*90%</f>
        <v>93.1523525485713</v>
      </c>
      <c r="BH113" s="3">
        <f t="shared" si="159"/>
        <v>93.1523525485713</v>
      </c>
      <c r="BI113" s="3">
        <f t="shared" si="159"/>
        <v>93.1523525485713</v>
      </c>
      <c r="BL113" s="3" t="s">
        <v>98</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63</v>
      </c>
      <c r="BL118" s="3" t="s">
        <v>62</v>
      </c>
    </row>
    <row r="119" spans="49:73">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49:73">
      <c r="AX120" s="118" t="s">
        <v>99</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49:73">
      <c r="AX121" s="118" t="s">
        <v>100</v>
      </c>
      <c r="AY121" s="118">
        <f t="shared" ref="AY121:AY127" si="161">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49:73">
      <c r="AX122" s="118" t="s">
        <v>101</v>
      </c>
      <c r="AY122" s="118">
        <f t="shared" si="16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49:73">
      <c r="AX123" s="118" t="s">
        <v>102</v>
      </c>
      <c r="AY123" s="118">
        <f t="shared" si="16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49:73">
      <c r="AX124" s="118" t="s">
        <v>103</v>
      </c>
      <c r="AY124" s="118">
        <f t="shared" si="16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49:73">
      <c r="AX125" s="118" t="s">
        <v>104</v>
      </c>
      <c r="AY125" s="118">
        <f t="shared" si="16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49:73">
      <c r="AX126" s="118" t="s">
        <v>105</v>
      </c>
      <c r="AY126" s="118">
        <f t="shared" si="16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37" zoomScaleNormal="37" topLeftCell="A86" workbookViewId="0">
      <selection activeCell="AE148" sqref="AE14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108</v>
      </c>
      <c r="C2" s="60"/>
      <c r="D2" s="60"/>
      <c r="E2" s="60"/>
      <c r="K2" t="s">
        <v>109</v>
      </c>
      <c r="P2" s="61" t="s">
        <v>110</v>
      </c>
      <c r="Q2" s="61"/>
      <c r="R2" s="61"/>
      <c r="S2" s="61"/>
    </row>
    <row r="3" spans="2:19">
      <c r="B3" s="62" t="s">
        <v>111</v>
      </c>
      <c r="C3" s="62" t="s">
        <v>112</v>
      </c>
      <c r="D3" s="62" t="s">
        <v>113</v>
      </c>
      <c r="E3" s="62" t="s">
        <v>66</v>
      </c>
      <c r="K3" t="s">
        <v>65</v>
      </c>
      <c r="L3" t="s">
        <v>114</v>
      </c>
      <c r="M3" t="s">
        <v>115</v>
      </c>
      <c r="P3" s="61" t="s">
        <v>116</v>
      </c>
      <c r="Q3" s="61" t="s">
        <v>117</v>
      </c>
      <c r="R3" s="61" t="s">
        <v>118</v>
      </c>
      <c r="S3" s="61" t="s">
        <v>114</v>
      </c>
    </row>
    <row r="4" spans="2:19">
      <c r="B4" s="60" t="s">
        <v>119</v>
      </c>
      <c r="C4" s="60" t="s">
        <v>120</v>
      </c>
      <c r="D4" s="60" t="s">
        <v>121</v>
      </c>
      <c r="E4" s="60" t="s">
        <v>122</v>
      </c>
      <c r="K4" t="s">
        <v>123</v>
      </c>
      <c r="L4" t="s">
        <v>124</v>
      </c>
      <c r="M4" t="s">
        <v>125</v>
      </c>
      <c r="P4" s="61" t="s">
        <v>126</v>
      </c>
      <c r="Q4" s="61" t="s">
        <v>127</v>
      </c>
      <c r="R4" s="61" t="s">
        <v>128</v>
      </c>
      <c r="S4" s="61" t="s">
        <v>129</v>
      </c>
    </row>
    <row r="5" spans="2:19">
      <c r="B5" s="60" t="s">
        <v>119</v>
      </c>
      <c r="C5" s="60" t="s">
        <v>130</v>
      </c>
      <c r="D5" s="60" t="s">
        <v>121</v>
      </c>
      <c r="E5" s="60" t="s">
        <v>122</v>
      </c>
      <c r="K5" t="s">
        <v>131</v>
      </c>
      <c r="L5" t="s">
        <v>124</v>
      </c>
      <c r="M5" t="s">
        <v>132</v>
      </c>
    </row>
    <row r="6" spans="2:19">
      <c r="K6" t="s">
        <v>133</v>
      </c>
      <c r="L6" t="s">
        <v>124</v>
      </c>
      <c r="M6" t="s">
        <v>134</v>
      </c>
    </row>
    <row r="7" spans="2:19">
      <c r="K7" t="s">
        <v>135</v>
      </c>
      <c r="L7" t="s">
        <v>124</v>
      </c>
      <c r="M7" t="s">
        <v>136</v>
      </c>
    </row>
    <row r="8" spans="2:19">
      <c r="B8" t="s">
        <v>137</v>
      </c>
      <c r="K8" t="s">
        <v>138</v>
      </c>
      <c r="L8" t="s">
        <v>124</v>
      </c>
      <c r="M8" t="s">
        <v>127</v>
      </c>
    </row>
    <row r="9" spans="2:19">
      <c r="B9" t="s">
        <v>139</v>
      </c>
      <c r="C9" t="s">
        <v>140</v>
      </c>
      <c r="D9" t="s">
        <v>141</v>
      </c>
      <c r="E9" t="s">
        <v>142</v>
      </c>
      <c r="F9" t="s">
        <v>50</v>
      </c>
      <c r="G9" t="s">
        <v>143</v>
      </c>
      <c r="H9" t="s">
        <v>41</v>
      </c>
      <c r="K9" t="s">
        <v>144</v>
      </c>
      <c r="L9" t="s">
        <v>124</v>
      </c>
      <c r="M9" t="s">
        <v>136</v>
      </c>
    </row>
    <row r="10" spans="2:19">
      <c r="B10" t="s">
        <v>145</v>
      </c>
      <c r="C10" t="s">
        <v>146</v>
      </c>
      <c r="E10" t="s">
        <v>127</v>
      </c>
      <c r="F10">
        <v>0.25</v>
      </c>
      <c r="G10" t="s">
        <v>147</v>
      </c>
      <c r="K10" t="s">
        <v>146</v>
      </c>
      <c r="L10" t="s">
        <v>124</v>
      </c>
      <c r="M10" t="s">
        <v>127</v>
      </c>
    </row>
    <row r="11" spans="2:19">
      <c r="B11" t="s">
        <v>145</v>
      </c>
      <c r="C11" t="s">
        <v>146</v>
      </c>
      <c r="E11" t="s">
        <v>127</v>
      </c>
      <c r="F11">
        <v>3</v>
      </c>
      <c r="G11" t="s">
        <v>147</v>
      </c>
      <c r="H11">
        <v>0</v>
      </c>
    </row>
    <row r="12" spans="2:19">
      <c r="B12" t="s">
        <v>148</v>
      </c>
      <c r="C12" t="s">
        <v>121</v>
      </c>
      <c r="F12">
        <v>25</v>
      </c>
      <c r="K12" t="s">
        <v>149</v>
      </c>
    </row>
    <row r="13" spans="2:19">
      <c r="B13" t="s">
        <v>150</v>
      </c>
      <c r="C13" t="s">
        <v>121</v>
      </c>
      <c r="E13" s="130" t="s">
        <v>151</v>
      </c>
      <c r="F13">
        <v>2020</v>
      </c>
      <c r="K13" t="s">
        <v>139</v>
      </c>
      <c r="L13" t="s">
        <v>50</v>
      </c>
      <c r="M13" t="s">
        <v>152</v>
      </c>
      <c r="N13" t="s">
        <v>153</v>
      </c>
    </row>
    <row r="14" spans="2:19">
      <c r="K14" t="s">
        <v>154</v>
      </c>
      <c r="L14" t="s">
        <v>155</v>
      </c>
      <c r="M14" t="s">
        <v>156</v>
      </c>
      <c r="N14" t="s">
        <v>121</v>
      </c>
    </row>
    <row r="15" spans="2:19">
      <c r="B15" s="1" t="s">
        <v>157</v>
      </c>
      <c r="C15" s="1"/>
      <c r="D15" s="1" t="s">
        <v>158</v>
      </c>
      <c r="E15" s="1" t="s">
        <v>159</v>
      </c>
      <c r="F15" s="1">
        <v>0.93</v>
      </c>
      <c r="G15" s="1"/>
      <c r="H15" s="1"/>
      <c r="K15" t="s">
        <v>154</v>
      </c>
      <c r="L15" t="s">
        <v>160</v>
      </c>
      <c r="M15" t="s">
        <v>156</v>
      </c>
      <c r="N15" t="s">
        <v>138</v>
      </c>
    </row>
    <row r="16" spans="2:19">
      <c r="B16" s="63" t="s">
        <v>161</v>
      </c>
    </row>
    <row r="18" spans="2:50">
      <c r="B18" t="s">
        <v>116</v>
      </c>
      <c r="C18">
        <v>2020</v>
      </c>
      <c r="D18">
        <v>0</v>
      </c>
      <c r="E18" t="s">
        <v>162</v>
      </c>
      <c r="F18" t="s">
        <v>115</v>
      </c>
      <c r="G18" t="s">
        <v>163</v>
      </c>
    </row>
    <row r="19" spans="2:50">
      <c r="B19" s="130" t="s">
        <v>151</v>
      </c>
      <c r="C19">
        <v>0.2</v>
      </c>
      <c r="D19">
        <v>3</v>
      </c>
      <c r="E19" s="130" t="s">
        <v>164</v>
      </c>
      <c r="F19" t="s">
        <v>121</v>
      </c>
      <c r="G19" t="s">
        <v>165</v>
      </c>
    </row>
    <row r="21" spans="2:50">
      <c r="C21" t="s">
        <v>137</v>
      </c>
    </row>
    <row r="22" spans="2:50">
      <c r="C22" t="s">
        <v>139</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120</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166</v>
      </c>
    </row>
    <row r="24" spans="2:50">
      <c r="C24" t="s">
        <v>120</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167</v>
      </c>
    </row>
    <row r="25" spans="2:50">
      <c r="C25" t="s">
        <v>120</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168</v>
      </c>
    </row>
    <row r="26" spans="2:50">
      <c r="C26" t="s">
        <v>120</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169</v>
      </c>
    </row>
    <row r="27" spans="2:50">
      <c r="C27" t="s">
        <v>120</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170</v>
      </c>
    </row>
    <row r="28" spans="2:50">
      <c r="C28" t="s">
        <v>120</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171</v>
      </c>
    </row>
    <row r="31" spans="2:50">
      <c r="C31" t="s">
        <v>172</v>
      </c>
    </row>
    <row r="32" spans="2:50">
      <c r="C32" t="s">
        <v>139</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130</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173</v>
      </c>
    </row>
    <row r="34" spans="2:53">
      <c r="C34" t="s">
        <v>130</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174</v>
      </c>
    </row>
    <row r="35" spans="2:53">
      <c r="C35" t="s">
        <v>130</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175</v>
      </c>
    </row>
    <row r="36" s="52" customFormat="1" spans="2:53">
      <c r="C36" s="52" t="s">
        <v>130</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176</v>
      </c>
    </row>
    <row r="37" spans="2:53">
      <c r="C37" t="s">
        <v>130</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177</v>
      </c>
    </row>
    <row r="38" spans="2:53">
      <c r="C38" t="s">
        <v>130</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178</v>
      </c>
    </row>
    <row r="45" spans="2:53">
      <c r="E45" s="65"/>
    </row>
    <row r="48" spans="2:53">
      <c r="B48" t="s">
        <v>172</v>
      </c>
    </row>
    <row r="49" spans="1:53">
      <c r="B49" t="s">
        <v>139</v>
      </c>
      <c r="C49" t="s">
        <v>50</v>
      </c>
      <c r="D49" t="s">
        <v>116</v>
      </c>
      <c r="E49" t="s">
        <v>117</v>
      </c>
      <c r="I49" t="s">
        <v>179</v>
      </c>
    </row>
    <row r="50" spans="1:53">
      <c r="B50" t="s">
        <v>130</v>
      </c>
      <c r="C50" t="s">
        <v>180</v>
      </c>
      <c r="D50" t="s">
        <v>127</v>
      </c>
      <c r="E50" t="s">
        <v>181</v>
      </c>
    </row>
    <row r="53" spans="1:53">
      <c r="B53" t="s">
        <v>137</v>
      </c>
    </row>
    <row r="54" spans="1:53">
      <c r="B54" t="s">
        <v>139</v>
      </c>
      <c r="C54" t="s">
        <v>50</v>
      </c>
      <c r="D54" t="s">
        <v>182</v>
      </c>
      <c r="E54" t="s">
        <v>162</v>
      </c>
      <c r="F54" t="s">
        <v>118</v>
      </c>
      <c r="G54" t="s">
        <v>183</v>
      </c>
      <c r="H54" t="s">
        <v>117</v>
      </c>
      <c r="I54" t="s">
        <v>153</v>
      </c>
    </row>
    <row r="55" spans="1:53">
      <c r="B55" t="s">
        <v>154</v>
      </c>
      <c r="C55">
        <v>10</v>
      </c>
      <c r="D55" t="s">
        <v>184</v>
      </c>
      <c r="E55" s="130" t="s">
        <v>185</v>
      </c>
    </row>
    <row r="56" spans="1:53">
      <c r="B56" t="s">
        <v>186</v>
      </c>
      <c r="C56">
        <v>1</v>
      </c>
      <c r="F56" t="s">
        <v>187</v>
      </c>
      <c r="G56" t="s">
        <v>126</v>
      </c>
      <c r="H56" t="str">
        <f>F56</f>
        <v>AuxStoIN</v>
      </c>
      <c r="I56" t="s">
        <v>188</v>
      </c>
    </row>
    <row r="62" spans="1:53">
      <c r="H62" s="57"/>
    </row>
    <row r="63" spans="1:53">
      <c r="H63" s="57"/>
      <c r="BA63" s="54"/>
    </row>
    <row r="64" spans="1:53">
      <c r="A64" t="s">
        <v>189</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137</v>
      </c>
      <c r="CY65" s="57"/>
      <c r="CZ65" s="57"/>
      <c r="DA65" s="57"/>
      <c r="DB65" s="57"/>
    </row>
    <row r="66" s="54" customFormat="1" spans="1:106">
      <c r="A66" s="54" t="s">
        <v>41</v>
      </c>
      <c r="B66" s="58" t="s">
        <v>139</v>
      </c>
      <c r="C66" s="58" t="s">
        <v>143</v>
      </c>
      <c r="D66" s="58" t="s">
        <v>65</v>
      </c>
      <c r="E66" s="58" t="s">
        <v>118</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190</v>
      </c>
      <c r="CQ66" s="69"/>
      <c r="CR66" s="69"/>
      <c r="CT66" s="69"/>
      <c r="CU66" s="69"/>
      <c r="CW66" t="s">
        <v>139</v>
      </c>
      <c r="CX66" t="s">
        <v>143</v>
      </c>
      <c r="CY66" t="s">
        <v>65</v>
      </c>
      <c r="CZ66" t="s">
        <v>118</v>
      </c>
      <c r="DA66" s="70" t="s">
        <v>41</v>
      </c>
      <c r="DB66" s="70" t="s">
        <v>66</v>
      </c>
    </row>
    <row r="67" s="54" customFormat="1" ht="14.5" spans="1:106">
      <c r="A67" s="54">
        <v>2020</v>
      </c>
      <c r="B67" s="71" t="s">
        <v>191</v>
      </c>
      <c r="C67" s="58" t="s">
        <v>192</v>
      </c>
      <c r="D67" s="72" t="s">
        <v>193</v>
      </c>
      <c r="E67" s="66" t="s">
        <v>194</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191</v>
      </c>
      <c r="CX67" t="s">
        <v>192</v>
      </c>
      <c r="CY67" s="57" t="str">
        <f>D67</f>
        <v>MINBatMaterials_LI</v>
      </c>
      <c r="CZ67" s="57" t="s">
        <v>194</v>
      </c>
      <c r="DA67" s="70">
        <v>0</v>
      </c>
      <c r="DB67" s="70">
        <v>5</v>
      </c>
    </row>
    <row r="68" s="54" customFormat="1" ht="16" spans="1:106">
      <c r="A68" s="54">
        <v>2020</v>
      </c>
      <c r="B68" s="71" t="s">
        <v>191</v>
      </c>
      <c r="C68" s="58" t="s">
        <v>192</v>
      </c>
      <c r="D68" s="74" t="s">
        <v>195</v>
      </c>
      <c r="E68" s="66" t="s">
        <v>196</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191</v>
      </c>
      <c r="CX68" t="s">
        <v>192</v>
      </c>
      <c r="CY68" s="57" t="str">
        <f t="shared" ref="CY68:CY73" si="7">D68</f>
        <v>MINBatMaterials_NI</v>
      </c>
      <c r="CZ68" s="57" t="s">
        <v>196</v>
      </c>
      <c r="DA68" s="70">
        <v>0</v>
      </c>
      <c r="DB68" s="70">
        <v>5</v>
      </c>
    </row>
    <row r="69" s="55" customFormat="1" ht="16" spans="1:106">
      <c r="A69" s="54">
        <v>2020</v>
      </c>
      <c r="B69" s="75" t="s">
        <v>191</v>
      </c>
      <c r="C69" s="55" t="s">
        <v>192</v>
      </c>
      <c r="D69" s="74" t="s">
        <v>197</v>
      </c>
      <c r="E69" s="76" t="s">
        <v>198</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191</v>
      </c>
      <c r="CX69" s="55" t="s">
        <v>192</v>
      </c>
      <c r="CY69" s="57" t="str">
        <f t="shared" si="7"/>
        <v>MINBatMaterials_COB</v>
      </c>
      <c r="CZ69" s="76" t="s">
        <v>198</v>
      </c>
      <c r="DA69" s="78">
        <v>0</v>
      </c>
      <c r="DB69" s="78">
        <v>5</v>
      </c>
    </row>
    <row r="70" s="54" customFormat="1" ht="16" spans="1:106">
      <c r="A70" s="54">
        <v>2020</v>
      </c>
      <c r="B70" s="71" t="s">
        <v>191</v>
      </c>
      <c r="C70" s="58" t="s">
        <v>192</v>
      </c>
      <c r="D70" s="74" t="s">
        <v>199</v>
      </c>
      <c r="E70" s="79" t="s">
        <v>200</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191</v>
      </c>
      <c r="CX70" t="s">
        <v>192</v>
      </c>
      <c r="CY70" s="57" t="str">
        <f t="shared" si="7"/>
        <v>MINBatMaterials_MN</v>
      </c>
      <c r="CZ70" s="82" t="s">
        <v>200</v>
      </c>
      <c r="DA70" s="70">
        <v>0</v>
      </c>
      <c r="DB70" s="70">
        <v>5</v>
      </c>
    </row>
    <row r="71" s="56" customFormat="1" ht="16" spans="1:106">
      <c r="A71" s="56">
        <v>2020</v>
      </c>
      <c r="B71" s="83" t="s">
        <v>191</v>
      </c>
      <c r="C71" s="56" t="s">
        <v>192</v>
      </c>
      <c r="D71" s="84" t="s">
        <v>201</v>
      </c>
      <c r="E71" s="85" t="s">
        <v>202</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191</v>
      </c>
      <c r="CX71" s="56" t="s">
        <v>192</v>
      </c>
      <c r="CY71" s="85" t="str">
        <f t="shared" si="7"/>
        <v>MINBatMaterials_AL</v>
      </c>
      <c r="CZ71" s="85" t="s">
        <v>202</v>
      </c>
      <c r="DA71" s="87">
        <v>0</v>
      </c>
      <c r="DB71" s="87">
        <v>5</v>
      </c>
    </row>
    <row r="72" s="54" customFormat="1" ht="16" spans="1:106">
      <c r="A72" s="54">
        <v>2020</v>
      </c>
      <c r="B72" s="71" t="s">
        <v>191</v>
      </c>
      <c r="C72" s="58" t="s">
        <v>192</v>
      </c>
      <c r="D72" s="74" t="s">
        <v>203</v>
      </c>
      <c r="E72" s="66" t="s">
        <v>204</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191</v>
      </c>
      <c r="CX72" t="s">
        <v>192</v>
      </c>
      <c r="CY72" s="57" t="str">
        <f t="shared" si="7"/>
        <v>MINBatMaterials_COP</v>
      </c>
      <c r="CZ72" s="57" t="s">
        <v>204</v>
      </c>
      <c r="DA72" s="70">
        <v>0</v>
      </c>
      <c r="DB72" s="70">
        <v>5</v>
      </c>
    </row>
    <row r="73" s="53" customFormat="1" ht="16" spans="1:106">
      <c r="A73" s="54">
        <v>2020</v>
      </c>
      <c r="B73" s="71" t="s">
        <v>191</v>
      </c>
      <c r="C73" s="58" t="s">
        <v>192</v>
      </c>
      <c r="D73" s="74" t="s">
        <v>205</v>
      </c>
      <c r="E73" s="66" t="s">
        <v>206</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191</v>
      </c>
      <c r="CX73" t="s">
        <v>192</v>
      </c>
      <c r="CY73" s="57" t="str">
        <f t="shared" si="7"/>
        <v>MINBatMaterials_GR</v>
      </c>
      <c r="CZ73" s="57" t="s">
        <v>206</v>
      </c>
      <c r="DA73" s="70">
        <v>0</v>
      </c>
      <c r="DB73" s="70">
        <v>5</v>
      </c>
    </row>
    <row r="74" s="57" customFormat="1"/>
    <row r="75" s="57" customFormat="1" spans="1:106">
      <c r="E75" s="57" t="s">
        <v>207</v>
      </c>
    </row>
    <row r="76" s="57" customFormat="1"/>
    <row r="77" s="57" customFormat="1" spans="1:106">
      <c r="B77" t="s">
        <v>208</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209</v>
      </c>
    </row>
    <row r="86" spans="1:104">
      <c r="B86" t="s">
        <v>137</v>
      </c>
    </row>
    <row r="87" spans="1:104">
      <c r="A87" t="s">
        <v>41</v>
      </c>
      <c r="B87" t="s">
        <v>139</v>
      </c>
      <c r="C87" t="s">
        <v>143</v>
      </c>
      <c r="D87" t="s">
        <v>65</v>
      </c>
      <c r="E87" t="s">
        <v>118</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190</v>
      </c>
      <c r="AW87" s="89" t="s">
        <v>1</v>
      </c>
      <c r="AX87" s="90" t="s">
        <v>210</v>
      </c>
      <c r="AY87" s="90" t="s">
        <v>211</v>
      </c>
      <c r="AZ87" s="90" t="s">
        <v>212</v>
      </c>
      <c r="BA87" s="90" t="s">
        <v>213</v>
      </c>
      <c r="BB87" s="90" t="s">
        <v>214</v>
      </c>
      <c r="BC87" s="90" t="s">
        <v>215</v>
      </c>
      <c r="BD87" s="90" t="s">
        <v>216</v>
      </c>
      <c r="BH87" s="91" t="s">
        <v>1</v>
      </c>
      <c r="BI87" s="92" t="s">
        <v>217</v>
      </c>
      <c r="BJ87" s="92" t="s">
        <v>218</v>
      </c>
      <c r="BK87" s="92" t="s">
        <v>219</v>
      </c>
      <c r="BL87" s="92" t="s">
        <v>220</v>
      </c>
      <c r="BM87" s="92" t="s">
        <v>221</v>
      </c>
      <c r="BN87" s="92" t="s">
        <v>222</v>
      </c>
      <c r="BO87" s="92" t="s">
        <v>223</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224</v>
      </c>
    </row>
    <row r="88" spans="1:104">
      <c r="A88">
        <v>2020</v>
      </c>
      <c r="B88" t="s">
        <v>191</v>
      </c>
      <c r="C88" t="s">
        <v>192</v>
      </c>
      <c r="D88" t="s">
        <v>193</v>
      </c>
      <c r="E88" t="s">
        <v>194</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194</v>
      </c>
      <c r="AW88" s="94" t="s">
        <v>225</v>
      </c>
      <c r="AX88" s="95" t="s">
        <v>226</v>
      </c>
      <c r="AY88" s="95" t="s">
        <v>226</v>
      </c>
      <c r="AZ88" s="95" t="s">
        <v>226</v>
      </c>
      <c r="BA88" s="95" t="s">
        <v>226</v>
      </c>
      <c r="BB88" s="95" t="s">
        <v>226</v>
      </c>
      <c r="BC88" s="95" t="s">
        <v>226</v>
      </c>
      <c r="BD88" s="95" t="s">
        <v>226</v>
      </c>
      <c r="BH88" s="93" t="s">
        <v>3</v>
      </c>
      <c r="BI88" s="96">
        <v>0</v>
      </c>
      <c r="BJ88" s="96">
        <v>0</v>
      </c>
      <c r="BK88" s="96">
        <v>0</v>
      </c>
      <c r="BL88" s="96">
        <v>0</v>
      </c>
      <c r="BM88" s="96">
        <v>0</v>
      </c>
      <c r="BN88" s="96">
        <v>0</v>
      </c>
      <c r="BO88" s="96">
        <v>0</v>
      </c>
      <c r="BQ88" s="92" t="s">
        <v>217</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191</v>
      </c>
      <c r="C89" t="s">
        <v>192</v>
      </c>
      <c r="D89" t="s">
        <v>195</v>
      </c>
      <c r="E89" t="s">
        <v>196</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196</v>
      </c>
      <c r="AW89" s="94" t="s">
        <v>227</v>
      </c>
      <c r="AX89" s="99">
        <v>24.7</v>
      </c>
      <c r="AY89" s="99">
        <v>223</v>
      </c>
      <c r="AZ89" s="95" t="s">
        <v>226</v>
      </c>
      <c r="BA89" s="100">
        <v>5780</v>
      </c>
      <c r="BB89" s="100">
        <v>3980</v>
      </c>
      <c r="BC89" s="95" t="s">
        <v>226</v>
      </c>
      <c r="BD89" s="99">
        <v>189</v>
      </c>
      <c r="BH89" s="93" t="s">
        <v>5</v>
      </c>
      <c r="BI89" s="96">
        <v>24.7</v>
      </c>
      <c r="BJ89" s="96">
        <v>0</v>
      </c>
      <c r="BK89" s="96">
        <v>222.6</v>
      </c>
      <c r="BL89" s="101">
        <v>5780</v>
      </c>
      <c r="BM89" s="96">
        <v>0</v>
      </c>
      <c r="BN89" s="101">
        <v>3980</v>
      </c>
      <c r="BO89" s="96">
        <v>189</v>
      </c>
      <c r="BQ89" s="92" t="s">
        <v>218</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191</v>
      </c>
      <c r="C90" t="s">
        <v>192</v>
      </c>
      <c r="D90" t="s">
        <v>197</v>
      </c>
      <c r="E90" t="s">
        <v>198</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198</v>
      </c>
      <c r="AW90" s="94" t="s">
        <v>228</v>
      </c>
      <c r="AX90" s="99">
        <v>88</v>
      </c>
      <c r="AY90" s="99">
        <v>3.6</v>
      </c>
      <c r="AZ90" s="99">
        <v>110</v>
      </c>
      <c r="BA90" s="100">
        <v>2800</v>
      </c>
      <c r="BB90" s="99">
        <v>800</v>
      </c>
      <c r="BC90" s="100">
        <v>1500</v>
      </c>
      <c r="BD90" s="95" t="s">
        <v>226</v>
      </c>
      <c r="BH90" s="93" t="s">
        <v>6</v>
      </c>
      <c r="BI90" s="96">
        <v>88</v>
      </c>
      <c r="BJ90" s="96">
        <v>110</v>
      </c>
      <c r="BK90" s="96">
        <v>3.6</v>
      </c>
      <c r="BL90" s="101">
        <v>2800</v>
      </c>
      <c r="BM90" s="101">
        <v>1500</v>
      </c>
      <c r="BN90" s="96">
        <v>800</v>
      </c>
      <c r="BO90" s="96">
        <v>0</v>
      </c>
      <c r="BQ90" s="92" t="s">
        <v>219</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191</v>
      </c>
      <c r="C91" t="s">
        <v>192</v>
      </c>
      <c r="D91" t="s">
        <v>199</v>
      </c>
      <c r="E91" t="s">
        <v>200</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200</v>
      </c>
      <c r="AW91" s="94" t="s">
        <v>229</v>
      </c>
      <c r="AX91" s="95" t="s">
        <v>226</v>
      </c>
      <c r="AY91" s="95" t="s">
        <v>226</v>
      </c>
      <c r="AZ91" s="95" t="s">
        <v>226</v>
      </c>
      <c r="BA91" s="95" t="s">
        <v>226</v>
      </c>
      <c r="BB91" s="95" t="s">
        <v>226</v>
      </c>
      <c r="BC91" s="95" t="s">
        <v>226</v>
      </c>
      <c r="BD91" s="99">
        <v>0.5</v>
      </c>
      <c r="BH91" s="93" t="s">
        <v>7</v>
      </c>
      <c r="BI91" s="96">
        <v>0</v>
      </c>
      <c r="BJ91" s="96">
        <v>0</v>
      </c>
      <c r="BK91" s="96">
        <v>0</v>
      </c>
      <c r="BL91" s="96">
        <v>0</v>
      </c>
      <c r="BM91" s="96">
        <v>0</v>
      </c>
      <c r="BN91" s="96">
        <v>0</v>
      </c>
      <c r="BO91" s="96">
        <v>0.5</v>
      </c>
      <c r="BQ91" s="92" t="s">
        <v>220</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191</v>
      </c>
      <c r="C92" t="s">
        <v>192</v>
      </c>
      <c r="D92" s="57" t="s">
        <v>201</v>
      </c>
      <c r="E92" t="s">
        <v>202</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202</v>
      </c>
      <c r="AW92" s="94" t="s">
        <v>230</v>
      </c>
      <c r="AX92" s="95" t="s">
        <v>226</v>
      </c>
      <c r="AY92" s="95" t="s">
        <v>226</v>
      </c>
      <c r="AZ92" s="95" t="s">
        <v>226</v>
      </c>
      <c r="BA92" s="95" t="s">
        <v>226</v>
      </c>
      <c r="BB92" s="95" t="s">
        <v>226</v>
      </c>
      <c r="BC92" s="95" t="s">
        <v>226</v>
      </c>
      <c r="BD92" s="95" t="s">
        <v>226</v>
      </c>
      <c r="BH92" s="93" t="s">
        <v>8</v>
      </c>
      <c r="BI92" s="96">
        <v>0</v>
      </c>
      <c r="BJ92" s="96">
        <v>0</v>
      </c>
      <c r="BK92" s="96">
        <v>0</v>
      </c>
      <c r="BL92" s="96">
        <v>0</v>
      </c>
      <c r="BM92" s="96">
        <v>0</v>
      </c>
      <c r="BN92" s="96">
        <v>0</v>
      </c>
      <c r="BO92" s="96">
        <v>0</v>
      </c>
      <c r="BQ92" s="92" t="s">
        <v>221</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191</v>
      </c>
      <c r="C93" s="57" t="s">
        <v>192</v>
      </c>
      <c r="D93" s="57" t="s">
        <v>203</v>
      </c>
      <c r="E93" t="s">
        <v>204</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204</v>
      </c>
      <c r="AW93" s="94" t="s">
        <v>231</v>
      </c>
      <c r="AX93" s="95" t="s">
        <v>226</v>
      </c>
      <c r="AY93" s="95" t="s">
        <v>226</v>
      </c>
      <c r="AZ93" s="95" t="s">
        <v>226</v>
      </c>
      <c r="BA93" s="95" t="s">
        <v>226</v>
      </c>
      <c r="BB93" s="95" t="s">
        <v>226</v>
      </c>
      <c r="BC93" s="95" t="s">
        <v>226</v>
      </c>
      <c r="BD93" s="95" t="s">
        <v>226</v>
      </c>
      <c r="BH93" s="93" t="s">
        <v>9</v>
      </c>
      <c r="BI93" s="96">
        <v>0</v>
      </c>
      <c r="BJ93" s="96">
        <v>0</v>
      </c>
      <c r="BK93" s="96">
        <v>0</v>
      </c>
      <c r="BL93" s="96">
        <v>0</v>
      </c>
      <c r="BM93" s="96">
        <v>0</v>
      </c>
      <c r="BN93" s="96">
        <v>0</v>
      </c>
      <c r="BO93" s="96">
        <v>0</v>
      </c>
      <c r="BQ93" s="92" t="s">
        <v>222</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191</v>
      </c>
      <c r="C94" s="57" t="s">
        <v>192</v>
      </c>
      <c r="D94" s="57" t="s">
        <v>205</v>
      </c>
      <c r="E94" t="s">
        <v>206</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206</v>
      </c>
      <c r="AW94" s="94" t="s">
        <v>232</v>
      </c>
      <c r="AX94" s="99">
        <v>10</v>
      </c>
      <c r="AY94" s="95" t="s">
        <v>226</v>
      </c>
      <c r="AZ94" s="99">
        <v>77</v>
      </c>
      <c r="BA94" s="99">
        <v>590</v>
      </c>
      <c r="BB94" s="95" t="s">
        <v>226</v>
      </c>
      <c r="BC94" s="100">
        <v>1100</v>
      </c>
      <c r="BD94" s="99">
        <v>68</v>
      </c>
      <c r="BH94" s="93" t="s">
        <v>10</v>
      </c>
      <c r="BI94" s="96">
        <v>10</v>
      </c>
      <c r="BJ94" s="96">
        <v>77</v>
      </c>
      <c r="BK94" s="96">
        <v>0</v>
      </c>
      <c r="BL94" s="96">
        <v>590</v>
      </c>
      <c r="BM94" s="101">
        <v>1100</v>
      </c>
      <c r="BN94" s="96">
        <v>0</v>
      </c>
      <c r="BO94" s="96">
        <v>68</v>
      </c>
      <c r="BQ94" s="92" t="s">
        <v>223</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233</v>
      </c>
      <c r="AX95" s="99">
        <v>41</v>
      </c>
      <c r="AY95" s="95" t="s">
        <v>226</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234</v>
      </c>
      <c r="AX96" s="95" t="s">
        <v>226</v>
      </c>
      <c r="AY96" s="95" t="s">
        <v>226</v>
      </c>
      <c r="AZ96" s="95" t="s">
        <v>226</v>
      </c>
      <c r="BA96" s="95" t="s">
        <v>226</v>
      </c>
      <c r="BB96" s="95" t="s">
        <v>226</v>
      </c>
      <c r="BC96" s="95" t="s">
        <v>226</v>
      </c>
      <c r="BD96" s="95" t="s">
        <v>226</v>
      </c>
      <c r="BH96" s="93" t="s">
        <v>12</v>
      </c>
      <c r="BI96" s="96">
        <v>0</v>
      </c>
      <c r="BJ96" s="96">
        <v>0</v>
      </c>
      <c r="BK96" s="96">
        <v>0</v>
      </c>
      <c r="BL96" s="96">
        <v>0</v>
      </c>
      <c r="BM96" s="96">
        <v>0</v>
      </c>
      <c r="BN96" s="96">
        <v>0</v>
      </c>
      <c r="BO96" s="96">
        <v>0</v>
      </c>
    </row>
    <row r="97" spans="3:67">
      <c r="C97" s="57"/>
      <c r="D97" s="57"/>
      <c r="F97" s="57"/>
      <c r="H97" s="57"/>
      <c r="I97" s="57"/>
      <c r="J97" s="57"/>
      <c r="K97" s="57"/>
      <c r="L97" s="57"/>
      <c r="AW97" s="94" t="s">
        <v>235</v>
      </c>
      <c r="AX97" s="95" t="s">
        <v>226</v>
      </c>
      <c r="AY97" s="95" t="s">
        <v>226</v>
      </c>
      <c r="AZ97" s="95" t="s">
        <v>226</v>
      </c>
      <c r="BA97" s="95" t="s">
        <v>226</v>
      </c>
      <c r="BB97" s="95" t="s">
        <v>226</v>
      </c>
      <c r="BC97" s="95" t="s">
        <v>226</v>
      </c>
      <c r="BD97" s="95" t="s">
        <v>226</v>
      </c>
      <c r="BH97" s="93" t="s">
        <v>13</v>
      </c>
      <c r="BI97" s="96">
        <v>0</v>
      </c>
      <c r="BJ97" s="96">
        <v>0</v>
      </c>
      <c r="BK97" s="96">
        <v>0</v>
      </c>
      <c r="BL97" s="96">
        <v>0</v>
      </c>
      <c r="BM97" s="96">
        <v>0</v>
      </c>
      <c r="BN97" s="96">
        <v>0</v>
      </c>
      <c r="BO97" s="96">
        <v>0</v>
      </c>
    </row>
    <row r="98" spans="3:67">
      <c r="C98" s="57"/>
      <c r="D98" s="57"/>
      <c r="H98" s="57"/>
      <c r="I98" s="57"/>
      <c r="J98" s="57"/>
      <c r="K98" s="57"/>
      <c r="L98" s="57"/>
      <c r="AW98" s="94" t="s">
        <v>236</v>
      </c>
      <c r="AX98" s="95" t="s">
        <v>226</v>
      </c>
      <c r="AY98" s="95" t="s">
        <v>226</v>
      </c>
      <c r="AZ98" s="95" t="s">
        <v>226</v>
      </c>
      <c r="BA98" s="95" t="s">
        <v>226</v>
      </c>
      <c r="BB98" s="95" t="s">
        <v>226</v>
      </c>
      <c r="BC98" s="95" t="s">
        <v>226</v>
      </c>
      <c r="BD98" s="95" t="s">
        <v>226</v>
      </c>
      <c r="BH98" s="93" t="s">
        <v>14</v>
      </c>
      <c r="BI98" s="96">
        <v>0</v>
      </c>
      <c r="BJ98" s="96">
        <v>0</v>
      </c>
      <c r="BK98" s="96">
        <v>0</v>
      </c>
      <c r="BL98" s="96">
        <v>0</v>
      </c>
      <c r="BM98" s="96">
        <v>0</v>
      </c>
      <c r="BN98" s="96">
        <v>0</v>
      </c>
      <c r="BO98" s="96">
        <v>0</v>
      </c>
    </row>
    <row r="99" spans="3:67">
      <c r="C99" s="57"/>
      <c r="F99" s="57"/>
      <c r="AW99" s="94" t="s">
        <v>237</v>
      </c>
      <c r="AX99" s="95" t="s">
        <v>226</v>
      </c>
      <c r="AY99" s="95" t="s">
        <v>226</v>
      </c>
      <c r="AZ99" s="95" t="s">
        <v>226</v>
      </c>
      <c r="BA99" s="95" t="s">
        <v>226</v>
      </c>
      <c r="BB99" s="95" t="s">
        <v>226</v>
      </c>
      <c r="BC99" s="95" t="s">
        <v>226</v>
      </c>
      <c r="BD99" s="99">
        <v>0.2</v>
      </c>
      <c r="BH99" s="93" t="s">
        <v>15</v>
      </c>
      <c r="BI99" s="96">
        <v>0</v>
      </c>
      <c r="BJ99" s="96">
        <v>0</v>
      </c>
      <c r="BK99" s="96">
        <v>0</v>
      </c>
      <c r="BL99" s="96">
        <v>0</v>
      </c>
      <c r="BM99" s="96">
        <v>0</v>
      </c>
      <c r="BN99" s="96">
        <v>0</v>
      </c>
      <c r="BO99" s="96">
        <v>0.2</v>
      </c>
    </row>
    <row r="100" spans="3:67">
      <c r="C100" s="57"/>
      <c r="D100" s="57"/>
      <c r="AW100" s="94" t="s">
        <v>238</v>
      </c>
      <c r="AX100" s="95" t="s">
        <v>226</v>
      </c>
      <c r="AY100" s="95" t="s">
        <v>226</v>
      </c>
      <c r="AZ100" s="95" t="s">
        <v>226</v>
      </c>
      <c r="BA100" s="95" t="s">
        <v>226</v>
      </c>
      <c r="BB100" s="95" t="s">
        <v>226</v>
      </c>
      <c r="BC100" s="95" t="s">
        <v>226</v>
      </c>
      <c r="BD100" s="95" t="s">
        <v>226</v>
      </c>
      <c r="BH100" s="93" t="s">
        <v>16</v>
      </c>
      <c r="BI100" s="96">
        <v>0</v>
      </c>
      <c r="BJ100" s="96">
        <v>0</v>
      </c>
      <c r="BK100" s="96">
        <v>0</v>
      </c>
      <c r="BL100" s="96">
        <v>0</v>
      </c>
      <c r="BM100" s="96">
        <v>0</v>
      </c>
      <c r="BN100" s="96">
        <v>0</v>
      </c>
      <c r="BO100" s="96">
        <v>0</v>
      </c>
    </row>
    <row r="101" spans="3:67">
      <c r="C101" s="57"/>
      <c r="D101" s="102"/>
      <c r="E101" s="102"/>
      <c r="F101" s="102"/>
      <c r="G101" s="102"/>
      <c r="AW101" s="94" t="s">
        <v>239</v>
      </c>
      <c r="AX101" s="95" t="s">
        <v>226</v>
      </c>
      <c r="AY101" s="95" t="s">
        <v>226</v>
      </c>
      <c r="AZ101" s="95" t="s">
        <v>226</v>
      </c>
      <c r="BA101" s="95" t="s">
        <v>226</v>
      </c>
      <c r="BB101" s="95" t="s">
        <v>226</v>
      </c>
      <c r="BC101" s="95" t="s">
        <v>226</v>
      </c>
      <c r="BD101" s="95" t="s">
        <v>226</v>
      </c>
      <c r="BH101" s="93" t="s">
        <v>17</v>
      </c>
      <c r="BI101" s="96">
        <v>0</v>
      </c>
      <c r="BJ101" s="96">
        <v>0</v>
      </c>
      <c r="BK101" s="96">
        <v>0</v>
      </c>
      <c r="BL101" s="96">
        <v>0</v>
      </c>
      <c r="BM101" s="96">
        <v>0</v>
      </c>
      <c r="BN101" s="96">
        <v>0</v>
      </c>
      <c r="BO101" s="96">
        <v>0</v>
      </c>
    </row>
    <row r="102" spans="3:67">
      <c r="C102" s="57"/>
      <c r="D102" t="s">
        <v>137</v>
      </c>
      <c r="M102" s="57"/>
      <c r="N102" t="s">
        <v>137</v>
      </c>
      <c r="Y102" s="57"/>
      <c r="Z102" t="s">
        <v>137</v>
      </c>
      <c r="AW102" s="94" t="s">
        <v>240</v>
      </c>
      <c r="AX102" s="95" t="s">
        <v>226</v>
      </c>
      <c r="AY102" s="95" t="s">
        <v>226</v>
      </c>
      <c r="AZ102" s="95" t="s">
        <v>226</v>
      </c>
      <c r="BA102" s="95" t="s">
        <v>226</v>
      </c>
      <c r="BB102" s="95" t="s">
        <v>226</v>
      </c>
      <c r="BC102" s="99">
        <v>780</v>
      </c>
      <c r="BD102" s="95" t="s">
        <v>226</v>
      </c>
      <c r="BH102" s="93" t="s">
        <v>18</v>
      </c>
      <c r="BI102" s="96">
        <v>0</v>
      </c>
      <c r="BJ102" s="96">
        <v>0</v>
      </c>
      <c r="BK102" s="96">
        <v>0</v>
      </c>
      <c r="BL102" s="96">
        <v>0</v>
      </c>
      <c r="BM102" s="96">
        <v>780</v>
      </c>
      <c r="BN102" s="96">
        <v>0</v>
      </c>
      <c r="BO102" s="96">
        <v>0</v>
      </c>
    </row>
    <row r="103" spans="3:67">
      <c r="C103" s="57" t="s">
        <v>139</v>
      </c>
      <c r="D103" s="102" t="s">
        <v>65</v>
      </c>
      <c r="E103" s="102" t="s">
        <v>66</v>
      </c>
      <c r="F103" s="102" t="s">
        <v>11</v>
      </c>
      <c r="G103" s="102" t="s">
        <v>25</v>
      </c>
      <c r="L103" t="s">
        <v>41</v>
      </c>
      <c r="M103" s="57" t="s">
        <v>139</v>
      </c>
      <c r="N103" s="102" t="s">
        <v>65</v>
      </c>
      <c r="O103" s="102" t="s">
        <v>66</v>
      </c>
      <c r="P103" s="102" t="s">
        <v>11</v>
      </c>
      <c r="Q103" s="102" t="s">
        <v>25</v>
      </c>
      <c r="X103" t="s">
        <v>41</v>
      </c>
      <c r="Y103" s="57" t="s">
        <v>139</v>
      </c>
      <c r="Z103" s="102" t="s">
        <v>65</v>
      </c>
      <c r="AA103" s="102" t="s">
        <v>66</v>
      </c>
      <c r="AB103" s="102" t="s">
        <v>11</v>
      </c>
      <c r="AC103" s="102" t="s">
        <v>25</v>
      </c>
      <c r="AW103" s="94" t="s">
        <v>241</v>
      </c>
      <c r="AX103" s="95" t="s">
        <v>226</v>
      </c>
      <c r="AY103" s="95" t="s">
        <v>226</v>
      </c>
      <c r="AZ103" s="95" t="s">
        <v>226</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242</v>
      </c>
      <c r="D104" s="102" t="s">
        <v>243</v>
      </c>
      <c r="E104" s="102">
        <v>7.11384396954065</v>
      </c>
      <c r="F104" s="103">
        <v>5.40179852616065</v>
      </c>
      <c r="G104" s="103">
        <v>8.85540744288872</v>
      </c>
      <c r="L104">
        <v>2050</v>
      </c>
      <c r="M104" s="57" t="s">
        <v>242</v>
      </c>
      <c r="N104" s="102" t="s">
        <v>243</v>
      </c>
      <c r="O104" s="102">
        <f>E104*0.313</f>
        <v>2.22663316246622</v>
      </c>
      <c r="P104" s="102">
        <f>F104*0.313</f>
        <v>1.69076293868828</v>
      </c>
      <c r="Q104" s="102">
        <f>G104*0.313</f>
        <v>2.77174252962417</v>
      </c>
      <c r="X104">
        <v>0</v>
      </c>
      <c r="Y104" s="57" t="s">
        <v>242</v>
      </c>
      <c r="Z104" s="102" t="s">
        <v>243</v>
      </c>
      <c r="AA104" s="102">
        <v>5</v>
      </c>
      <c r="AB104" s="102">
        <v>5</v>
      </c>
      <c r="AC104" s="102">
        <v>5</v>
      </c>
      <c r="AW104" s="94" t="s">
        <v>244</v>
      </c>
      <c r="AX104" s="95" t="s">
        <v>226</v>
      </c>
      <c r="AY104" s="95" t="s">
        <v>226</v>
      </c>
      <c r="AZ104" s="95" t="s">
        <v>226</v>
      </c>
      <c r="BA104" s="95" t="s">
        <v>226</v>
      </c>
      <c r="BB104" s="95" t="s">
        <v>226</v>
      </c>
      <c r="BC104" s="95" t="s">
        <v>226</v>
      </c>
      <c r="BD104" s="95" t="s">
        <v>226</v>
      </c>
      <c r="BH104" s="93" t="s">
        <v>20</v>
      </c>
      <c r="BI104" s="96">
        <v>0</v>
      </c>
      <c r="BJ104" s="96">
        <v>0</v>
      </c>
      <c r="BK104" s="96">
        <v>0</v>
      </c>
      <c r="BL104" s="96">
        <v>0</v>
      </c>
      <c r="BM104" s="96">
        <v>0</v>
      </c>
      <c r="BN104" s="96">
        <v>0</v>
      </c>
      <c r="BO104" s="96">
        <v>0</v>
      </c>
    </row>
    <row r="105" spans="3:67">
      <c r="C105" s="57" t="s">
        <v>242</v>
      </c>
      <c r="D105" s="102" t="s">
        <v>245</v>
      </c>
      <c r="E105" s="102">
        <v>7.11384396954065</v>
      </c>
      <c r="F105" s="103">
        <v>5.40179852616065</v>
      </c>
      <c r="G105" s="103">
        <v>8.85540744288872</v>
      </c>
      <c r="L105">
        <v>2050</v>
      </c>
      <c r="M105" s="57" t="s">
        <v>242</v>
      </c>
      <c r="N105" s="102" t="s">
        <v>245</v>
      </c>
      <c r="O105" s="102">
        <f t="shared" ref="O105:O124" si="21">E105*0.313</f>
        <v>2.22663316246622</v>
      </c>
      <c r="P105" s="102">
        <f t="shared" ref="P105:P124" si="22">F105*0.313</f>
        <v>1.69076293868828</v>
      </c>
      <c r="Q105" s="102">
        <f t="shared" ref="Q105:Q124" si="23">G105*0.313</f>
        <v>2.77174252962417</v>
      </c>
      <c r="X105">
        <v>0</v>
      </c>
      <c r="Y105" s="57" t="s">
        <v>242</v>
      </c>
      <c r="Z105" s="102" t="s">
        <v>245</v>
      </c>
      <c r="AA105" s="102">
        <v>5</v>
      </c>
      <c r="AB105" s="102">
        <v>5</v>
      </c>
      <c r="AC105" s="102">
        <v>5</v>
      </c>
      <c r="AW105" s="94" t="s">
        <v>246</v>
      </c>
      <c r="AX105" s="95" t="s">
        <v>226</v>
      </c>
      <c r="AY105" s="95" t="s">
        <v>226</v>
      </c>
      <c r="AZ105" s="95" t="s">
        <v>226</v>
      </c>
      <c r="BA105" s="95" t="s">
        <v>226</v>
      </c>
      <c r="BB105" s="95" t="s">
        <v>226</v>
      </c>
      <c r="BC105" s="95" t="s">
        <v>226</v>
      </c>
      <c r="BD105" s="95" t="s">
        <v>226</v>
      </c>
      <c r="BH105" s="93" t="s">
        <v>21</v>
      </c>
      <c r="BI105" s="96">
        <v>0</v>
      </c>
      <c r="BJ105" s="96">
        <v>0</v>
      </c>
      <c r="BK105" s="96">
        <v>0</v>
      </c>
      <c r="BL105" s="96">
        <v>0</v>
      </c>
      <c r="BM105" s="96">
        <v>0</v>
      </c>
      <c r="BN105" s="96">
        <v>0</v>
      </c>
      <c r="BO105" s="96">
        <v>0</v>
      </c>
    </row>
    <row r="106" spans="3:67">
      <c r="C106" s="57" t="s">
        <v>242</v>
      </c>
      <c r="D106" s="102" t="s">
        <v>247</v>
      </c>
      <c r="E106" s="102">
        <v>7.62975445836404</v>
      </c>
      <c r="F106" s="103">
        <v>5.79354797347089</v>
      </c>
      <c r="G106" s="103">
        <v>9.49761967575534</v>
      </c>
      <c r="L106">
        <v>2050</v>
      </c>
      <c r="M106" s="57" t="s">
        <v>242</v>
      </c>
      <c r="N106" s="102" t="s">
        <v>247</v>
      </c>
      <c r="O106" s="102">
        <f t="shared" si="21"/>
        <v>2.38811314546794</v>
      </c>
      <c r="P106" s="102">
        <f t="shared" si="22"/>
        <v>1.81338051569639</v>
      </c>
      <c r="Q106" s="102">
        <f t="shared" si="23"/>
        <v>2.97275495851142</v>
      </c>
      <c r="X106">
        <v>0</v>
      </c>
      <c r="Y106" s="57" t="s">
        <v>242</v>
      </c>
      <c r="Z106" s="102" t="s">
        <v>247</v>
      </c>
      <c r="AA106" s="102">
        <v>5</v>
      </c>
      <c r="AB106" s="102">
        <v>5</v>
      </c>
      <c r="AC106" s="102">
        <v>5</v>
      </c>
      <c r="AW106" s="94" t="s">
        <v>248</v>
      </c>
      <c r="AX106" s="95" t="s">
        <v>226</v>
      </c>
      <c r="AY106" s="95" t="s">
        <v>226</v>
      </c>
      <c r="AZ106" s="95" t="s">
        <v>226</v>
      </c>
      <c r="BA106" s="95" t="s">
        <v>226</v>
      </c>
      <c r="BB106" s="95" t="s">
        <v>226</v>
      </c>
      <c r="BC106" s="95" t="s">
        <v>226</v>
      </c>
      <c r="BD106" s="95" t="s">
        <v>226</v>
      </c>
      <c r="BH106" s="93" t="s">
        <v>22</v>
      </c>
      <c r="BI106" s="96">
        <v>0</v>
      </c>
      <c r="BJ106" s="96">
        <v>0</v>
      </c>
      <c r="BK106" s="96">
        <v>0</v>
      </c>
      <c r="BL106" s="96">
        <v>0</v>
      </c>
      <c r="BM106" s="96">
        <v>0</v>
      </c>
      <c r="BN106" s="96">
        <v>0</v>
      </c>
      <c r="BO106" s="96">
        <v>0</v>
      </c>
    </row>
    <row r="107" spans="3:67">
      <c r="C107" s="57" t="s">
        <v>242</v>
      </c>
      <c r="D107" s="102" t="s">
        <v>249</v>
      </c>
      <c r="E107" s="102">
        <v>7.47097081798084</v>
      </c>
      <c r="F107" s="103">
        <v>5.67297781871776</v>
      </c>
      <c r="G107" s="103">
        <v>9.29996366985999</v>
      </c>
      <c r="L107">
        <v>2050</v>
      </c>
      <c r="M107" s="57" t="s">
        <v>242</v>
      </c>
      <c r="N107" s="102" t="s">
        <v>249</v>
      </c>
      <c r="O107" s="102">
        <f t="shared" si="21"/>
        <v>2.338413866028</v>
      </c>
      <c r="P107" s="102">
        <f t="shared" si="22"/>
        <v>1.77564205725866</v>
      </c>
      <c r="Q107" s="102">
        <f t="shared" si="23"/>
        <v>2.91088862866618</v>
      </c>
      <c r="X107">
        <v>0</v>
      </c>
      <c r="Y107" s="57" t="s">
        <v>242</v>
      </c>
      <c r="Z107" s="102" t="s">
        <v>249</v>
      </c>
      <c r="AA107" s="102">
        <v>5</v>
      </c>
      <c r="AB107" s="102">
        <v>5</v>
      </c>
      <c r="AC107" s="102">
        <v>5</v>
      </c>
      <c r="AW107" s="94" t="s">
        <v>250</v>
      </c>
      <c r="AX107" s="99">
        <v>67</v>
      </c>
      <c r="AY107" s="99">
        <v>3.5</v>
      </c>
      <c r="AZ107" s="95" t="s">
        <v>226</v>
      </c>
      <c r="BA107" s="95" t="s">
        <v>226</v>
      </c>
      <c r="BB107" s="100">
        <v>7900</v>
      </c>
      <c r="BC107" s="95" t="s">
        <v>226</v>
      </c>
      <c r="BD107" s="95" t="s">
        <v>226</v>
      </c>
      <c r="BH107" s="93" t="s">
        <v>23</v>
      </c>
      <c r="BI107" s="96">
        <v>67</v>
      </c>
      <c r="BJ107" s="96">
        <v>0</v>
      </c>
      <c r="BK107" s="96">
        <v>3.5</v>
      </c>
      <c r="BL107" s="96">
        <v>0</v>
      </c>
      <c r="BM107" s="96">
        <v>0</v>
      </c>
      <c r="BN107" s="101">
        <v>7900</v>
      </c>
      <c r="BO107" s="96">
        <v>0</v>
      </c>
    </row>
    <row r="108" spans="3:67">
      <c r="C108" s="57" t="s">
        <v>242</v>
      </c>
      <c r="D108" s="102" t="s">
        <v>251</v>
      </c>
      <c r="E108" s="102">
        <v>7.51643520019651</v>
      </c>
      <c r="F108" s="103">
        <v>5.70750058953574</v>
      </c>
      <c r="G108" s="103">
        <v>9.35655836403832</v>
      </c>
      <c r="L108">
        <v>2050</v>
      </c>
      <c r="M108" s="57" t="s">
        <v>242</v>
      </c>
      <c r="N108" s="102" t="s">
        <v>251</v>
      </c>
      <c r="O108" s="102">
        <f t="shared" si="21"/>
        <v>2.35264421766151</v>
      </c>
      <c r="P108" s="102">
        <f t="shared" si="22"/>
        <v>1.78644768452469</v>
      </c>
      <c r="Q108" s="102">
        <f t="shared" si="23"/>
        <v>2.92860276794399</v>
      </c>
      <c r="X108">
        <v>0</v>
      </c>
      <c r="Y108" s="57" t="s">
        <v>242</v>
      </c>
      <c r="Z108" s="102" t="s">
        <v>251</v>
      </c>
      <c r="AA108" s="102">
        <v>5</v>
      </c>
      <c r="AB108" s="102">
        <v>5</v>
      </c>
      <c r="AC108" s="102">
        <v>5</v>
      </c>
      <c r="AW108" s="94" t="s">
        <v>252</v>
      </c>
      <c r="AX108" s="95" t="s">
        <v>226</v>
      </c>
      <c r="AY108" s="95" t="s">
        <v>226</v>
      </c>
      <c r="AZ108" s="95" t="s">
        <v>226</v>
      </c>
      <c r="BA108" s="95" t="s">
        <v>226</v>
      </c>
      <c r="BB108" s="95" t="s">
        <v>226</v>
      </c>
      <c r="BC108" s="100">
        <v>4300</v>
      </c>
      <c r="BD108" s="95" t="s">
        <v>226</v>
      </c>
      <c r="BH108" s="93" t="s">
        <v>24</v>
      </c>
      <c r="BI108" s="96">
        <v>0</v>
      </c>
      <c r="BJ108" s="96">
        <v>0</v>
      </c>
      <c r="BK108" s="96">
        <v>0</v>
      </c>
      <c r="BL108" s="96">
        <v>0</v>
      </c>
      <c r="BM108" s="101">
        <v>4300</v>
      </c>
      <c r="BN108" s="96">
        <v>0</v>
      </c>
      <c r="BO108" s="96">
        <v>0</v>
      </c>
    </row>
    <row r="109" spans="3:67">
      <c r="C109" s="57" t="s">
        <v>242</v>
      </c>
      <c r="D109" s="102" t="s">
        <v>253</v>
      </c>
      <c r="E109" s="102">
        <v>7.55036263817244</v>
      </c>
      <c r="F109" s="103">
        <v>5.73326293294031</v>
      </c>
      <c r="G109" s="103">
        <v>9.39879167280766</v>
      </c>
      <c r="L109">
        <v>2050</v>
      </c>
      <c r="M109" s="57" t="s">
        <v>242</v>
      </c>
      <c r="N109" s="102" t="s">
        <v>253</v>
      </c>
      <c r="O109" s="102">
        <f t="shared" si="21"/>
        <v>2.36326350574797</v>
      </c>
      <c r="P109" s="102">
        <f t="shared" si="22"/>
        <v>1.79451129801032</v>
      </c>
      <c r="Q109" s="102">
        <f t="shared" si="23"/>
        <v>2.9418217935888</v>
      </c>
      <c r="X109">
        <v>0</v>
      </c>
      <c r="Y109" s="57" t="s">
        <v>242</v>
      </c>
      <c r="Z109" s="102" t="s">
        <v>253</v>
      </c>
      <c r="AA109" s="102">
        <v>5</v>
      </c>
      <c r="AB109" s="102">
        <v>5</v>
      </c>
      <c r="AC109" s="102">
        <v>5</v>
      </c>
      <c r="AW109" s="94" t="s">
        <v>254</v>
      </c>
      <c r="AX109" s="99">
        <v>4.3</v>
      </c>
      <c r="AY109" s="99">
        <v>4.8</v>
      </c>
      <c r="AZ109" s="99">
        <v>198</v>
      </c>
      <c r="BA109" s="95" t="s">
        <v>226</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242</v>
      </c>
      <c r="D110" s="102" t="s">
        <v>255</v>
      </c>
      <c r="E110" s="102">
        <v>7.62975445836404</v>
      </c>
      <c r="F110" s="103">
        <v>5.79354797347089</v>
      </c>
      <c r="G110" s="103">
        <v>9.49761967575534</v>
      </c>
      <c r="L110">
        <v>2050</v>
      </c>
      <c r="M110" s="57" t="s">
        <v>242</v>
      </c>
      <c r="N110" s="102" t="s">
        <v>255</v>
      </c>
      <c r="O110" s="102">
        <f t="shared" si="21"/>
        <v>2.38811314546794</v>
      </c>
      <c r="P110" s="102">
        <f t="shared" si="22"/>
        <v>1.81338051569639</v>
      </c>
      <c r="Q110" s="102">
        <f t="shared" si="23"/>
        <v>2.97275495851142</v>
      </c>
      <c r="X110">
        <v>0</v>
      </c>
      <c r="Y110" s="57" t="s">
        <v>242</v>
      </c>
      <c r="Z110" s="102" t="s">
        <v>255</v>
      </c>
      <c r="AA110" s="102">
        <v>5</v>
      </c>
      <c r="AB110" s="102">
        <v>5</v>
      </c>
      <c r="AC110" s="102">
        <v>5</v>
      </c>
      <c r="AW110" s="94" t="s">
        <v>256</v>
      </c>
      <c r="AX110" s="95" t="s">
        <v>226</v>
      </c>
      <c r="AY110" s="95" t="s">
        <v>226</v>
      </c>
      <c r="AZ110" s="95" t="s">
        <v>226</v>
      </c>
      <c r="BA110" s="95" t="s">
        <v>226</v>
      </c>
      <c r="BB110" s="95" t="s">
        <v>226</v>
      </c>
      <c r="BC110" s="100">
        <v>1300</v>
      </c>
      <c r="BD110" s="99">
        <v>7</v>
      </c>
      <c r="BH110" s="93" t="s">
        <v>26</v>
      </c>
      <c r="BI110" s="96">
        <v>0</v>
      </c>
      <c r="BJ110" s="96">
        <v>0</v>
      </c>
      <c r="BK110" s="96">
        <v>0</v>
      </c>
      <c r="BL110" s="96">
        <v>0</v>
      </c>
      <c r="BM110" s="101">
        <v>1300</v>
      </c>
      <c r="BN110" s="96">
        <v>0</v>
      </c>
      <c r="BO110" s="96">
        <v>7</v>
      </c>
    </row>
    <row r="111" spans="3:67">
      <c r="C111" s="57" t="s">
        <v>242</v>
      </c>
      <c r="D111" s="102" t="s">
        <v>257</v>
      </c>
      <c r="E111" s="102">
        <v>4.18384600835176</v>
      </c>
      <c r="F111" s="103">
        <v>3.17694532056006</v>
      </c>
      <c r="G111" s="103">
        <v>5.20810707442889</v>
      </c>
      <c r="L111">
        <v>2050</v>
      </c>
      <c r="M111" s="57" t="s">
        <v>242</v>
      </c>
      <c r="N111" s="102" t="s">
        <v>257</v>
      </c>
      <c r="O111" s="102">
        <f t="shared" si="21"/>
        <v>1.3095438006141</v>
      </c>
      <c r="P111" s="102">
        <f t="shared" si="22"/>
        <v>0.994383885335299</v>
      </c>
      <c r="Q111" s="102">
        <f t="shared" si="23"/>
        <v>1.63013751429624</v>
      </c>
      <c r="X111">
        <v>0</v>
      </c>
      <c r="Y111" s="57" t="s">
        <v>242</v>
      </c>
      <c r="Z111" s="102" t="s">
        <v>257</v>
      </c>
      <c r="AA111" s="102">
        <v>5</v>
      </c>
      <c r="AB111" s="102">
        <v>5</v>
      </c>
      <c r="AC111" s="102">
        <v>5</v>
      </c>
      <c r="AW111" s="94" t="s">
        <v>258</v>
      </c>
      <c r="AX111" s="95" t="s">
        <v>226</v>
      </c>
      <c r="AY111" s="95" t="s">
        <v>226</v>
      </c>
      <c r="AZ111" s="95" t="s">
        <v>226</v>
      </c>
      <c r="BA111" s="95" t="s">
        <v>226</v>
      </c>
      <c r="BB111" s="99">
        <v>410</v>
      </c>
      <c r="BC111" s="95" t="s">
        <v>226</v>
      </c>
      <c r="BD111" s="95" t="s">
        <v>226</v>
      </c>
      <c r="BH111" s="93" t="s">
        <v>27</v>
      </c>
      <c r="BI111" s="96">
        <v>0</v>
      </c>
      <c r="BJ111" s="96">
        <v>0</v>
      </c>
      <c r="BK111" s="96">
        <v>0</v>
      </c>
      <c r="BL111" s="96">
        <v>0</v>
      </c>
      <c r="BM111" s="96">
        <v>0</v>
      </c>
      <c r="BN111" s="96">
        <v>410</v>
      </c>
      <c r="BO111" s="96">
        <v>0</v>
      </c>
    </row>
    <row r="112" spans="3:67">
      <c r="C112" s="57" t="s">
        <v>242</v>
      </c>
      <c r="D112" s="102" t="s">
        <v>259</v>
      </c>
      <c r="E112" s="102">
        <v>4.18384600835176</v>
      </c>
      <c r="F112" s="103">
        <v>3.17694532056006</v>
      </c>
      <c r="G112" s="103">
        <v>5.20810707442889</v>
      </c>
      <c r="L112">
        <v>2050</v>
      </c>
      <c r="M112" s="57" t="s">
        <v>242</v>
      </c>
      <c r="N112" s="102" t="s">
        <v>259</v>
      </c>
      <c r="O112" s="102">
        <f t="shared" si="21"/>
        <v>1.3095438006141</v>
      </c>
      <c r="P112" s="102">
        <f t="shared" si="22"/>
        <v>0.994383885335299</v>
      </c>
      <c r="Q112" s="102">
        <f t="shared" si="23"/>
        <v>1.63013751429624</v>
      </c>
      <c r="X112">
        <v>0</v>
      </c>
      <c r="Y112" s="57" t="s">
        <v>242</v>
      </c>
      <c r="Z112" s="102" t="s">
        <v>259</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242</v>
      </c>
      <c r="D113" s="102" t="s">
        <v>260</v>
      </c>
      <c r="E113" s="102">
        <v>4.18384600835176</v>
      </c>
      <c r="F113" s="103">
        <v>3.17694532056006</v>
      </c>
      <c r="G113" s="103">
        <v>5.20810707442889</v>
      </c>
      <c r="L113">
        <v>2050</v>
      </c>
      <c r="M113" s="57" t="s">
        <v>242</v>
      </c>
      <c r="N113" s="102" t="s">
        <v>260</v>
      </c>
      <c r="O113" s="102">
        <f t="shared" si="21"/>
        <v>1.3095438006141</v>
      </c>
      <c r="P113" s="102">
        <f t="shared" si="22"/>
        <v>0.994383885335299</v>
      </c>
      <c r="Q113" s="102">
        <f t="shared" si="23"/>
        <v>1.63013751429624</v>
      </c>
      <c r="X113">
        <v>0</v>
      </c>
      <c r="Y113" s="57" t="s">
        <v>242</v>
      </c>
      <c r="Z113" s="102" t="s">
        <v>260</v>
      </c>
      <c r="AA113" s="102">
        <v>5</v>
      </c>
      <c r="AB113" s="102">
        <v>5</v>
      </c>
      <c r="AC113" s="102">
        <v>5</v>
      </c>
      <c r="AW113" s="94" t="s">
        <v>261</v>
      </c>
      <c r="AX113" s="95" t="s">
        <v>226</v>
      </c>
      <c r="AY113" s="99">
        <v>8.7</v>
      </c>
      <c r="AZ113" s="99">
        <v>210</v>
      </c>
      <c r="BA113" s="95" t="s">
        <v>226</v>
      </c>
      <c r="BB113" s="99">
        <v>930</v>
      </c>
      <c r="BC113" s="100">
        <v>3800</v>
      </c>
      <c r="BD113" s="99">
        <v>20</v>
      </c>
      <c r="BH113" s="93" t="s">
        <v>29</v>
      </c>
      <c r="BI113" s="96">
        <v>0</v>
      </c>
      <c r="BJ113" s="96">
        <v>210</v>
      </c>
      <c r="BK113" s="96">
        <v>8.7</v>
      </c>
      <c r="BL113" s="96">
        <v>0</v>
      </c>
      <c r="BM113" s="101">
        <v>3800</v>
      </c>
      <c r="BN113" s="96">
        <v>930</v>
      </c>
      <c r="BO113" s="96">
        <v>20</v>
      </c>
    </row>
    <row r="114" spans="3:67">
      <c r="C114" s="57" t="s">
        <v>242</v>
      </c>
      <c r="D114" s="102" t="s">
        <v>262</v>
      </c>
      <c r="E114" s="102">
        <v>4.18384600835176</v>
      </c>
      <c r="F114" s="103">
        <v>3.17694532056006</v>
      </c>
      <c r="G114" s="103">
        <v>5.20810707442889</v>
      </c>
      <c r="L114">
        <v>2050</v>
      </c>
      <c r="M114" s="57" t="s">
        <v>242</v>
      </c>
      <c r="N114" s="102" t="s">
        <v>262</v>
      </c>
      <c r="O114" s="102">
        <f t="shared" si="21"/>
        <v>1.3095438006141</v>
      </c>
      <c r="P114" s="102">
        <f t="shared" si="22"/>
        <v>0.994383885335299</v>
      </c>
      <c r="Q114" s="102">
        <f t="shared" si="23"/>
        <v>1.63013751429624</v>
      </c>
      <c r="X114">
        <v>0</v>
      </c>
      <c r="Y114" s="57" t="s">
        <v>242</v>
      </c>
      <c r="Z114" s="102" t="s">
        <v>262</v>
      </c>
      <c r="AA114" s="102">
        <v>5</v>
      </c>
      <c r="AB114" s="102">
        <v>5</v>
      </c>
      <c r="AC114" s="102">
        <v>5</v>
      </c>
      <c r="AW114" s="94" t="s">
        <v>263</v>
      </c>
      <c r="AX114" s="95" t="s">
        <v>226</v>
      </c>
      <c r="AY114" s="95" t="s">
        <v>226</v>
      </c>
      <c r="AZ114" s="95" t="s">
        <v>226</v>
      </c>
      <c r="BA114" s="95" t="s">
        <v>226</v>
      </c>
      <c r="BB114" s="95" t="s">
        <v>226</v>
      </c>
      <c r="BC114" s="95" t="s">
        <v>226</v>
      </c>
      <c r="BD114" s="95" t="s">
        <v>226</v>
      </c>
      <c r="BH114" s="93" t="s">
        <v>30</v>
      </c>
      <c r="BI114" s="96">
        <v>0</v>
      </c>
      <c r="BJ114" s="96">
        <v>0</v>
      </c>
      <c r="BK114" s="96">
        <v>0</v>
      </c>
      <c r="BL114" s="96">
        <v>0</v>
      </c>
      <c r="BM114" s="96">
        <v>0</v>
      </c>
      <c r="BN114" s="96">
        <v>0</v>
      </c>
      <c r="BO114" s="96">
        <v>0</v>
      </c>
    </row>
    <row r="115" spans="3:67">
      <c r="C115" s="57" t="s">
        <v>242</v>
      </c>
      <c r="D115" s="102" t="s">
        <v>264</v>
      </c>
      <c r="E115" s="102">
        <v>4.18384600835176</v>
      </c>
      <c r="F115" s="103">
        <v>3.17694532056006</v>
      </c>
      <c r="G115" s="103">
        <v>5.20810707442889</v>
      </c>
      <c r="L115">
        <v>2050</v>
      </c>
      <c r="M115" s="57" t="s">
        <v>242</v>
      </c>
      <c r="N115" s="102" t="s">
        <v>264</v>
      </c>
      <c r="O115" s="102">
        <f t="shared" si="21"/>
        <v>1.3095438006141</v>
      </c>
      <c r="P115" s="102">
        <f t="shared" si="22"/>
        <v>0.994383885335299</v>
      </c>
      <c r="Q115" s="102">
        <f t="shared" si="23"/>
        <v>1.63013751429624</v>
      </c>
      <c r="X115">
        <v>0</v>
      </c>
      <c r="Y115" s="57" t="s">
        <v>242</v>
      </c>
      <c r="Z115" s="102" t="s">
        <v>264</v>
      </c>
      <c r="AA115" s="102">
        <v>5</v>
      </c>
      <c r="AB115" s="102">
        <v>5</v>
      </c>
      <c r="AC115" s="102">
        <v>5</v>
      </c>
      <c r="AW115" s="94" t="s">
        <v>265</v>
      </c>
      <c r="AX115" s="95" t="s">
        <v>226</v>
      </c>
      <c r="AY115" s="95" t="s">
        <v>226</v>
      </c>
      <c r="AZ115" s="95" t="s">
        <v>226</v>
      </c>
      <c r="BA115" s="100">
        <v>7400</v>
      </c>
      <c r="BB115" s="95" t="s">
        <v>226</v>
      </c>
      <c r="BC115" s="95" t="s">
        <v>226</v>
      </c>
      <c r="BD115" s="95" t="s">
        <v>226</v>
      </c>
      <c r="BH115" s="93" t="s">
        <v>31</v>
      </c>
      <c r="BI115" s="96">
        <v>0</v>
      </c>
      <c r="BJ115" s="96">
        <v>0</v>
      </c>
      <c r="BK115" s="96">
        <v>0</v>
      </c>
      <c r="BL115" s="101">
        <v>7400</v>
      </c>
      <c r="BM115" s="96">
        <v>0</v>
      </c>
      <c r="BN115" s="96">
        <v>0</v>
      </c>
      <c r="BO115" s="96">
        <v>0</v>
      </c>
    </row>
    <row r="116" spans="3:67">
      <c r="C116" s="57" t="s">
        <v>242</v>
      </c>
      <c r="D116" s="102" t="s">
        <v>266</v>
      </c>
      <c r="E116" s="102">
        <v>4.18384600835176</v>
      </c>
      <c r="F116" s="103">
        <v>3.17694532056006</v>
      </c>
      <c r="G116" s="103">
        <v>5.20810707442889</v>
      </c>
      <c r="L116">
        <v>2050</v>
      </c>
      <c r="M116" s="57" t="s">
        <v>242</v>
      </c>
      <c r="N116" s="102" t="s">
        <v>266</v>
      </c>
      <c r="O116" s="102">
        <f t="shared" si="21"/>
        <v>1.3095438006141</v>
      </c>
      <c r="P116" s="102">
        <f t="shared" si="22"/>
        <v>0.994383885335299</v>
      </c>
      <c r="Q116" s="102">
        <f t="shared" si="23"/>
        <v>1.63013751429624</v>
      </c>
      <c r="X116">
        <v>0</v>
      </c>
      <c r="Y116" s="57" t="s">
        <v>242</v>
      </c>
      <c r="Z116" s="102" t="s">
        <v>266</v>
      </c>
      <c r="AA116" s="102">
        <v>5</v>
      </c>
      <c r="AB116" s="102">
        <v>5</v>
      </c>
      <c r="AC116" s="102">
        <v>5</v>
      </c>
      <c r="AW116" s="94" t="s">
        <v>267</v>
      </c>
      <c r="AX116" s="99">
        <v>0.4</v>
      </c>
      <c r="AY116" s="95" t="s">
        <v>226</v>
      </c>
      <c r="AZ116" s="95" t="s">
        <v>226</v>
      </c>
      <c r="BA116" s="95" t="s">
        <v>226</v>
      </c>
      <c r="BB116" s="95" t="s">
        <v>226</v>
      </c>
      <c r="BC116" s="95" t="s">
        <v>226</v>
      </c>
      <c r="BD116" s="95" t="s">
        <v>226</v>
      </c>
      <c r="BH116" s="93" t="s">
        <v>32</v>
      </c>
      <c r="BI116" s="96">
        <v>0.4</v>
      </c>
      <c r="BJ116" s="96">
        <v>0</v>
      </c>
      <c r="BK116" s="96">
        <v>0</v>
      </c>
      <c r="BL116" s="96">
        <v>0</v>
      </c>
      <c r="BM116" s="96">
        <v>0</v>
      </c>
      <c r="BN116" s="96">
        <v>0</v>
      </c>
      <c r="BO116" s="96">
        <v>0</v>
      </c>
    </row>
    <row r="117" spans="3:67">
      <c r="C117" s="57" t="s">
        <v>242</v>
      </c>
      <c r="D117" s="102" t="s">
        <v>268</v>
      </c>
      <c r="E117" s="102">
        <v>4.18384600835176</v>
      </c>
      <c r="F117" s="103">
        <v>3.17694532056006</v>
      </c>
      <c r="G117" s="103">
        <v>5.20810707442889</v>
      </c>
      <c r="L117">
        <v>2050</v>
      </c>
      <c r="M117" s="57" t="s">
        <v>242</v>
      </c>
      <c r="N117" s="102" t="s">
        <v>268</v>
      </c>
      <c r="O117" s="102">
        <f t="shared" si="21"/>
        <v>1.3095438006141</v>
      </c>
      <c r="P117" s="102">
        <f t="shared" si="22"/>
        <v>0.994383885335299</v>
      </c>
      <c r="Q117" s="102">
        <f t="shared" si="23"/>
        <v>1.63013751429624</v>
      </c>
      <c r="X117">
        <v>0</v>
      </c>
      <c r="Y117" s="57" t="s">
        <v>242</v>
      </c>
      <c r="Z117" s="102" t="s">
        <v>268</v>
      </c>
      <c r="AA117" s="102">
        <v>5</v>
      </c>
      <c r="AB117" s="102">
        <v>5</v>
      </c>
      <c r="AC117" s="102">
        <v>5</v>
      </c>
      <c r="AW117" s="94" t="s">
        <v>269</v>
      </c>
      <c r="AX117" s="95" t="s">
        <v>226</v>
      </c>
      <c r="AY117" s="95" t="s">
        <v>226</v>
      </c>
      <c r="AZ117" s="95" t="s">
        <v>226</v>
      </c>
      <c r="BA117" s="95" t="s">
        <v>226</v>
      </c>
      <c r="BB117" s="95" t="s">
        <v>226</v>
      </c>
      <c r="BC117" s="95" t="s">
        <v>226</v>
      </c>
      <c r="BD117" s="95" t="s">
        <v>226</v>
      </c>
      <c r="BH117" s="93" t="s">
        <v>33</v>
      </c>
      <c r="BI117" s="96">
        <v>0</v>
      </c>
      <c r="BJ117" s="96">
        <v>0</v>
      </c>
      <c r="BK117" s="96">
        <v>0</v>
      </c>
      <c r="BL117" s="96">
        <v>0</v>
      </c>
      <c r="BM117" s="96">
        <v>0</v>
      </c>
      <c r="BN117" s="96">
        <v>0</v>
      </c>
      <c r="BO117" s="96">
        <v>0</v>
      </c>
    </row>
    <row r="118" spans="3:67">
      <c r="C118" s="57" t="s">
        <v>242</v>
      </c>
      <c r="D118" s="102" t="s">
        <v>270</v>
      </c>
      <c r="E118" s="102">
        <v>3.56556266273643</v>
      </c>
      <c r="F118" s="103">
        <v>2.70746042741341</v>
      </c>
      <c r="G118" s="103">
        <v>4.4384597641857</v>
      </c>
      <c r="L118">
        <v>2050</v>
      </c>
      <c r="M118" s="57" t="s">
        <v>242</v>
      </c>
      <c r="N118" s="102" t="s">
        <v>270</v>
      </c>
      <c r="O118" s="102">
        <f t="shared" si="21"/>
        <v>1.1160211134365</v>
      </c>
      <c r="P118" s="102">
        <f t="shared" si="22"/>
        <v>0.847435113780397</v>
      </c>
      <c r="Q118" s="102">
        <f t="shared" si="23"/>
        <v>1.38923790619012</v>
      </c>
      <c r="X118">
        <v>0</v>
      </c>
      <c r="Y118" s="57" t="s">
        <v>242</v>
      </c>
      <c r="Z118" s="102" t="s">
        <v>270</v>
      </c>
      <c r="AA118" s="102">
        <v>5</v>
      </c>
      <c r="AB118" s="102">
        <v>5</v>
      </c>
      <c r="AC118" s="102">
        <v>5</v>
      </c>
      <c r="AW118" s="94" t="s">
        <v>271</v>
      </c>
      <c r="AX118" s="95" t="s">
        <v>226</v>
      </c>
      <c r="AY118" s="95" t="s">
        <v>226</v>
      </c>
      <c r="AZ118" s="95" t="s">
        <v>226</v>
      </c>
      <c r="BA118" s="95" t="s">
        <v>226</v>
      </c>
      <c r="BB118" s="95" t="s">
        <v>226</v>
      </c>
      <c r="BC118" s="95" t="s">
        <v>226</v>
      </c>
      <c r="BD118" s="95" t="s">
        <v>226</v>
      </c>
      <c r="BH118" s="93" t="s">
        <v>34</v>
      </c>
      <c r="BI118" s="96">
        <v>0</v>
      </c>
      <c r="BJ118" s="96">
        <v>0</v>
      </c>
      <c r="BK118" s="96">
        <v>0</v>
      </c>
      <c r="BL118" s="96">
        <v>0</v>
      </c>
      <c r="BM118" s="96">
        <v>0</v>
      </c>
      <c r="BN118" s="96">
        <v>0</v>
      </c>
      <c r="BO118" s="96">
        <v>0</v>
      </c>
    </row>
    <row r="119" spans="3:67">
      <c r="C119" s="57" t="s">
        <v>242</v>
      </c>
      <c r="D119" s="102" t="s">
        <v>272</v>
      </c>
      <c r="E119" s="102">
        <v>3.60087708179809</v>
      </c>
      <c r="F119" s="103">
        <v>2.73427597641857</v>
      </c>
      <c r="G119" s="103">
        <v>4.48241960206338</v>
      </c>
      <c r="L119">
        <v>2050</v>
      </c>
      <c r="M119" s="57" t="s">
        <v>242</v>
      </c>
      <c r="N119" s="102" t="s">
        <v>272</v>
      </c>
      <c r="O119" s="102">
        <f t="shared" si="21"/>
        <v>1.1270745266028</v>
      </c>
      <c r="P119" s="102">
        <f t="shared" si="22"/>
        <v>0.855828380619012</v>
      </c>
      <c r="Q119" s="102">
        <f t="shared" si="23"/>
        <v>1.40299733544584</v>
      </c>
      <c r="X119">
        <v>0</v>
      </c>
      <c r="Y119" s="57" t="s">
        <v>242</v>
      </c>
      <c r="Z119" s="102" t="s">
        <v>272</v>
      </c>
      <c r="AA119" s="102">
        <v>5</v>
      </c>
      <c r="AB119" s="102">
        <v>5</v>
      </c>
      <c r="AC119" s="102">
        <v>5</v>
      </c>
      <c r="AW119" s="94" t="s">
        <v>273</v>
      </c>
      <c r="AX119" s="95" t="s">
        <v>226</v>
      </c>
      <c r="AY119" s="99">
        <v>2.7</v>
      </c>
      <c r="AZ119" s="95" t="s">
        <v>226</v>
      </c>
      <c r="BA119" s="95" t="s">
        <v>226</v>
      </c>
      <c r="BB119" s="95" t="s">
        <v>226</v>
      </c>
      <c r="BC119" s="95" t="s">
        <v>226</v>
      </c>
      <c r="BD119" s="99">
        <v>3</v>
      </c>
      <c r="BH119" s="93" t="s">
        <v>35</v>
      </c>
      <c r="BI119" s="96">
        <v>0</v>
      </c>
      <c r="BJ119" s="96">
        <v>0</v>
      </c>
      <c r="BK119" s="96">
        <v>2.7</v>
      </c>
      <c r="BL119" s="96">
        <v>0</v>
      </c>
      <c r="BM119" s="96">
        <v>0</v>
      </c>
      <c r="BN119" s="96">
        <v>0</v>
      </c>
      <c r="BO119" s="96">
        <v>3</v>
      </c>
    </row>
    <row r="120" spans="3:67">
      <c r="C120" s="57" t="s">
        <v>242</v>
      </c>
      <c r="D120" s="102" t="s">
        <v>274</v>
      </c>
      <c r="E120" s="102">
        <v>3.56556266273643</v>
      </c>
      <c r="F120" s="103">
        <v>2.70746042741341</v>
      </c>
      <c r="G120" s="103">
        <v>4.4384597641857</v>
      </c>
      <c r="L120">
        <v>2050</v>
      </c>
      <c r="M120" s="57" t="s">
        <v>242</v>
      </c>
      <c r="N120" s="102" t="s">
        <v>274</v>
      </c>
      <c r="O120" s="102">
        <f t="shared" si="21"/>
        <v>1.1160211134365</v>
      </c>
      <c r="P120" s="102">
        <f t="shared" si="22"/>
        <v>0.847435113780397</v>
      </c>
      <c r="Q120" s="102">
        <f t="shared" si="23"/>
        <v>1.38923790619012</v>
      </c>
      <c r="X120">
        <v>0</v>
      </c>
      <c r="Y120" s="57" t="s">
        <v>242</v>
      </c>
      <c r="Z120" s="102" t="s">
        <v>274</v>
      </c>
      <c r="AA120" s="102">
        <v>5</v>
      </c>
      <c r="AB120" s="102">
        <v>5</v>
      </c>
      <c r="AC120" s="102">
        <v>5</v>
      </c>
      <c r="AW120" s="94" t="s">
        <v>36</v>
      </c>
      <c r="AX120" s="95" t="s">
        <v>226</v>
      </c>
      <c r="AY120" s="95" t="s">
        <v>226</v>
      </c>
      <c r="AZ120" s="95" t="s">
        <v>226</v>
      </c>
      <c r="BA120" s="95" t="s">
        <v>226</v>
      </c>
      <c r="BB120" s="95" t="s">
        <v>226</v>
      </c>
      <c r="BC120" s="95" t="s">
        <v>226</v>
      </c>
      <c r="BD120" s="95" t="s">
        <v>226</v>
      </c>
      <c r="BH120" s="93" t="s">
        <v>36</v>
      </c>
      <c r="BI120" s="96">
        <v>0</v>
      </c>
      <c r="BJ120" s="96">
        <v>0</v>
      </c>
      <c r="BK120" s="96">
        <v>0</v>
      </c>
      <c r="BL120" s="96">
        <v>0</v>
      </c>
      <c r="BM120" s="96">
        <v>0</v>
      </c>
      <c r="BN120" s="96">
        <v>0</v>
      </c>
      <c r="BO120" s="96">
        <v>0</v>
      </c>
    </row>
    <row r="121" spans="3:67">
      <c r="C121" s="57" t="s">
        <v>242</v>
      </c>
      <c r="D121" s="102" t="s">
        <v>275</v>
      </c>
      <c r="E121" s="102">
        <v>3.56645369688037</v>
      </c>
      <c r="F121" s="103">
        <v>2.70813706705969</v>
      </c>
      <c r="G121" s="103">
        <v>4.43956890198968</v>
      </c>
      <c r="L121">
        <v>2050</v>
      </c>
      <c r="M121" s="57" t="s">
        <v>242</v>
      </c>
      <c r="N121" s="102" t="s">
        <v>275</v>
      </c>
      <c r="O121" s="102">
        <f t="shared" si="21"/>
        <v>1.11630000712356</v>
      </c>
      <c r="P121" s="102">
        <f t="shared" si="22"/>
        <v>0.847646901989683</v>
      </c>
      <c r="Q121" s="102">
        <f t="shared" si="23"/>
        <v>1.38958506632277</v>
      </c>
      <c r="X121">
        <v>0</v>
      </c>
      <c r="Y121" s="57" t="s">
        <v>242</v>
      </c>
      <c r="Z121" s="102" t="s">
        <v>275</v>
      </c>
      <c r="AA121" s="102">
        <v>5</v>
      </c>
      <c r="AB121" s="102">
        <v>5</v>
      </c>
      <c r="AC121" s="102">
        <v>5</v>
      </c>
      <c r="AW121" s="94" t="s">
        <v>276</v>
      </c>
      <c r="AX121" s="95" t="s">
        <v>226</v>
      </c>
      <c r="AY121" s="95" t="s">
        <v>226</v>
      </c>
      <c r="AZ121" s="95" t="s">
        <v>226</v>
      </c>
      <c r="BA121" s="95" t="s">
        <v>226</v>
      </c>
      <c r="BB121" s="95" t="s">
        <v>226</v>
      </c>
      <c r="BC121" s="95" t="s">
        <v>226</v>
      </c>
      <c r="BD121" s="99">
        <v>1.2</v>
      </c>
      <c r="BH121" s="93" t="s">
        <v>37</v>
      </c>
      <c r="BI121" s="96">
        <v>0</v>
      </c>
      <c r="BJ121" s="96">
        <v>0</v>
      </c>
      <c r="BK121" s="96">
        <v>0</v>
      </c>
      <c r="BL121" s="96">
        <v>0</v>
      </c>
      <c r="BM121" s="96">
        <v>0</v>
      </c>
      <c r="BN121" s="96">
        <v>0</v>
      </c>
      <c r="BO121" s="96">
        <v>1.2</v>
      </c>
    </row>
    <row r="122" spans="3:67">
      <c r="C122" s="57" t="s">
        <v>242</v>
      </c>
      <c r="D122" s="102" t="s">
        <v>277</v>
      </c>
      <c r="E122" s="102">
        <v>3.56585961680177</v>
      </c>
      <c r="F122" s="103">
        <v>2.70768592483419</v>
      </c>
      <c r="G122" s="103">
        <v>4.43882940309506</v>
      </c>
      <c r="L122">
        <v>2050</v>
      </c>
      <c r="M122" s="57" t="s">
        <v>242</v>
      </c>
      <c r="N122" s="102" t="s">
        <v>277</v>
      </c>
      <c r="O122" s="102">
        <f t="shared" si="21"/>
        <v>1.11611406005895</v>
      </c>
      <c r="P122" s="102">
        <f t="shared" si="22"/>
        <v>0.847505694473101</v>
      </c>
      <c r="Q122" s="102">
        <f t="shared" si="23"/>
        <v>1.38935360316875</v>
      </c>
      <c r="X122">
        <v>0</v>
      </c>
      <c r="Y122" s="57" t="s">
        <v>242</v>
      </c>
      <c r="Z122" s="102" t="s">
        <v>277</v>
      </c>
      <c r="AA122" s="102">
        <v>5</v>
      </c>
      <c r="AB122" s="102">
        <v>5</v>
      </c>
      <c r="AC122" s="102">
        <v>5</v>
      </c>
      <c r="AW122" s="94" t="s">
        <v>278</v>
      </c>
      <c r="AX122" s="95" t="s">
        <v>226</v>
      </c>
      <c r="AY122" s="95" t="s">
        <v>226</v>
      </c>
      <c r="AZ122" s="95" t="s">
        <v>226</v>
      </c>
      <c r="BA122" s="95" t="s">
        <v>226</v>
      </c>
      <c r="BB122" s="95" t="s">
        <v>226</v>
      </c>
      <c r="BC122" s="95" t="s">
        <v>226</v>
      </c>
      <c r="BD122" s="95" t="s">
        <v>226</v>
      </c>
      <c r="BH122" s="89" t="s">
        <v>224</v>
      </c>
      <c r="BI122" s="90">
        <v>240</v>
      </c>
      <c r="BJ122" s="104">
        <v>3700</v>
      </c>
      <c r="BK122" s="90">
        <v>290</v>
      </c>
      <c r="BL122" s="104">
        <v>20200</v>
      </c>
      <c r="BM122" s="104">
        <v>72000</v>
      </c>
      <c r="BN122" s="104">
        <v>22000</v>
      </c>
      <c r="BO122" s="104">
        <v>1631</v>
      </c>
    </row>
    <row r="123" spans="3:67">
      <c r="C123" s="57" t="s">
        <v>242</v>
      </c>
      <c r="D123" s="102" t="s">
        <v>279</v>
      </c>
      <c r="E123" s="102">
        <v>3.56556266273643</v>
      </c>
      <c r="F123" s="103">
        <v>2.70746042741341</v>
      </c>
      <c r="G123" s="103">
        <v>4.4384597641857</v>
      </c>
      <c r="L123">
        <v>2050</v>
      </c>
      <c r="M123" s="57" t="s">
        <v>242</v>
      </c>
      <c r="N123" s="102" t="s">
        <v>279</v>
      </c>
      <c r="O123" s="102">
        <f t="shared" si="21"/>
        <v>1.1160211134365</v>
      </c>
      <c r="P123" s="102">
        <f t="shared" si="22"/>
        <v>0.847435113780397</v>
      </c>
      <c r="Q123" s="102">
        <f t="shared" si="23"/>
        <v>1.38923790619012</v>
      </c>
      <c r="X123">
        <v>0</v>
      </c>
      <c r="Y123" s="57" t="s">
        <v>242</v>
      </c>
      <c r="Z123" s="102" t="s">
        <v>279</v>
      </c>
      <c r="AA123" s="102">
        <v>5</v>
      </c>
      <c r="AB123" s="102">
        <v>5</v>
      </c>
      <c r="AC123" s="102">
        <v>5</v>
      </c>
      <c r="AW123" s="105" t="s">
        <v>224</v>
      </c>
      <c r="AX123" s="106">
        <v>240</v>
      </c>
      <c r="AY123" s="106">
        <v>290</v>
      </c>
      <c r="AZ123" s="107">
        <v>3700</v>
      </c>
      <c r="BA123" s="107">
        <v>20200</v>
      </c>
      <c r="BB123" s="107">
        <v>22000</v>
      </c>
      <c r="BC123" s="107">
        <v>72000</v>
      </c>
      <c r="BD123" s="107">
        <v>1631</v>
      </c>
    </row>
    <row r="124" spans="3:67">
      <c r="C124" s="57" t="s">
        <v>242</v>
      </c>
      <c r="D124" s="108" t="s">
        <v>280</v>
      </c>
      <c r="E124" s="102">
        <v>3.56496890198968</v>
      </c>
      <c r="F124" s="103">
        <v>2.70700957995578</v>
      </c>
      <c r="G124" s="103">
        <v>4.43772063375092</v>
      </c>
      <c r="L124">
        <v>2050</v>
      </c>
      <c r="M124" s="57" t="s">
        <v>242</v>
      </c>
      <c r="N124" s="108" t="s">
        <v>280</v>
      </c>
      <c r="O124" s="102">
        <f t="shared" si="21"/>
        <v>1.11583526632277</v>
      </c>
      <c r="P124" s="102">
        <f t="shared" si="22"/>
        <v>0.847293998526159</v>
      </c>
      <c r="Q124" s="102">
        <f t="shared" si="23"/>
        <v>1.38900655836404</v>
      </c>
      <c r="X124">
        <v>0</v>
      </c>
      <c r="Y124" s="57" t="s">
        <v>242</v>
      </c>
      <c r="Z124" s="102" t="s">
        <v>280</v>
      </c>
      <c r="AA124" s="102">
        <v>5</v>
      </c>
      <c r="AB124" s="102">
        <v>5</v>
      </c>
      <c r="AC124" s="102">
        <v>5</v>
      </c>
    </row>
    <row r="132" spans="3:29">
      <c r="C132" s="57"/>
      <c r="D132" t="s">
        <v>137</v>
      </c>
      <c r="M132" s="57"/>
      <c r="Y132" s="57"/>
    </row>
    <row r="133" spans="3:29">
      <c r="C133" s="57" t="s">
        <v>139</v>
      </c>
      <c r="D133" s="102" t="s">
        <v>65</v>
      </c>
      <c r="E133" s="102" t="s">
        <v>66</v>
      </c>
      <c r="F133" s="102"/>
      <c r="G133" s="102"/>
      <c r="M133" s="57"/>
      <c r="N133" s="57"/>
      <c r="O133" s="57"/>
      <c r="P133" s="57"/>
      <c r="Q133" s="57"/>
      <c r="Y133" s="57"/>
      <c r="Z133" s="57"/>
      <c r="AA133" s="57"/>
      <c r="AB133" s="57"/>
      <c r="AC133" s="57"/>
    </row>
    <row r="134" spans="3:29">
      <c r="C134" s="57" t="s">
        <v>281</v>
      </c>
      <c r="D134" s="102" t="s">
        <v>243</v>
      </c>
      <c r="E134" s="102">
        <v>0.001</v>
      </c>
      <c r="F134" s="103"/>
      <c r="G134" s="103"/>
      <c r="M134" s="57"/>
      <c r="N134" s="57"/>
      <c r="O134" s="57"/>
      <c r="P134" s="57"/>
      <c r="Q134" s="57"/>
      <c r="Y134" s="57"/>
      <c r="Z134" s="57"/>
      <c r="AA134" s="57"/>
      <c r="AB134" s="57"/>
      <c r="AC134" s="57"/>
    </row>
    <row r="135" spans="3:29">
      <c r="C135" s="57" t="s">
        <v>281</v>
      </c>
      <c r="D135" s="102" t="s">
        <v>245</v>
      </c>
      <c r="E135" s="102">
        <f>E134</f>
        <v>0.001</v>
      </c>
      <c r="F135" s="103"/>
      <c r="G135" s="103"/>
      <c r="M135" s="57"/>
      <c r="N135" s="57"/>
      <c r="O135" s="57"/>
      <c r="P135" s="57"/>
      <c r="Q135" s="57"/>
      <c r="Y135" s="57"/>
      <c r="Z135" s="57"/>
      <c r="AA135" s="57"/>
      <c r="AB135" s="57"/>
      <c r="AC135" s="57"/>
    </row>
    <row r="136" spans="3:29">
      <c r="C136" s="57" t="s">
        <v>281</v>
      </c>
      <c r="D136" s="102" t="s">
        <v>247</v>
      </c>
      <c r="E136" s="102">
        <f t="shared" ref="E136:E154" si="24">E135</f>
        <v>0.001</v>
      </c>
      <c r="F136" s="103"/>
      <c r="G136" s="103"/>
      <c r="M136" s="57"/>
      <c r="N136" s="57"/>
      <c r="O136" s="57"/>
      <c r="P136" s="57"/>
      <c r="Q136" s="57"/>
      <c r="Y136" s="57"/>
      <c r="Z136" s="57"/>
      <c r="AA136" s="57"/>
      <c r="AB136" s="57"/>
      <c r="AC136" s="57"/>
    </row>
    <row r="137" spans="3:29">
      <c r="C137" s="57" t="s">
        <v>281</v>
      </c>
      <c r="D137" s="102" t="s">
        <v>249</v>
      </c>
      <c r="E137" s="102">
        <f t="shared" si="24"/>
        <v>0.001</v>
      </c>
      <c r="F137" s="103"/>
      <c r="G137" s="103"/>
      <c r="M137" s="57"/>
      <c r="N137" s="57"/>
      <c r="O137" s="57"/>
      <c r="P137" s="57"/>
      <c r="Q137" s="57"/>
      <c r="Y137" s="57"/>
      <c r="Z137" s="57"/>
      <c r="AA137" s="57"/>
      <c r="AB137" s="57"/>
      <c r="AC137" s="57"/>
    </row>
    <row r="138" spans="3:29">
      <c r="C138" s="57" t="s">
        <v>281</v>
      </c>
      <c r="D138" s="102" t="s">
        <v>251</v>
      </c>
      <c r="E138" s="102">
        <f t="shared" si="24"/>
        <v>0.001</v>
      </c>
      <c r="F138" s="103"/>
      <c r="G138" s="103"/>
      <c r="M138" s="57"/>
      <c r="N138" s="57"/>
      <c r="O138" s="57"/>
      <c r="P138" s="57"/>
      <c r="Q138" s="57"/>
      <c r="Y138" s="57"/>
      <c r="Z138" s="57"/>
      <c r="AA138" s="57"/>
      <c r="AB138" s="57"/>
      <c r="AC138" s="57"/>
    </row>
    <row r="139" spans="3:29">
      <c r="C139" s="57" t="s">
        <v>281</v>
      </c>
      <c r="D139" s="102" t="s">
        <v>253</v>
      </c>
      <c r="E139" s="102">
        <f t="shared" si="24"/>
        <v>0.001</v>
      </c>
      <c r="F139" s="103"/>
      <c r="G139" s="103"/>
      <c r="M139" s="57"/>
      <c r="N139" s="57"/>
      <c r="O139" s="57"/>
      <c r="P139" s="57"/>
      <c r="Q139" s="57"/>
      <c r="Y139" s="57"/>
      <c r="Z139" s="57"/>
      <c r="AA139" s="57"/>
      <c r="AB139" s="57"/>
      <c r="AC139" s="57"/>
    </row>
    <row r="140" spans="3:29">
      <c r="C140" s="57" t="s">
        <v>281</v>
      </c>
      <c r="D140" s="102" t="s">
        <v>255</v>
      </c>
      <c r="E140" s="102">
        <f t="shared" si="24"/>
        <v>0.001</v>
      </c>
      <c r="F140" s="103"/>
      <c r="G140" s="103"/>
      <c r="M140" s="57"/>
      <c r="N140" s="57"/>
      <c r="O140" s="57"/>
      <c r="P140" s="57"/>
      <c r="Q140" s="57"/>
      <c r="Y140" s="57"/>
      <c r="Z140" s="57"/>
      <c r="AA140" s="57"/>
      <c r="AB140" s="57"/>
      <c r="AC140" s="57"/>
    </row>
    <row r="141" spans="3:29">
      <c r="C141" s="57" t="s">
        <v>281</v>
      </c>
      <c r="D141" s="102" t="s">
        <v>257</v>
      </c>
      <c r="E141" s="102">
        <f t="shared" si="24"/>
        <v>0.001</v>
      </c>
      <c r="F141" s="103"/>
      <c r="G141" s="103"/>
      <c r="M141" s="57"/>
      <c r="N141" s="57"/>
      <c r="O141" s="57"/>
      <c r="P141" s="57"/>
      <c r="Q141" s="57"/>
      <c r="Y141" s="57"/>
      <c r="Z141" s="57"/>
      <c r="AA141" s="57"/>
      <c r="AB141" s="57"/>
      <c r="AC141" s="57"/>
    </row>
    <row r="142" spans="3:29">
      <c r="C142" s="57" t="s">
        <v>281</v>
      </c>
      <c r="D142" s="102" t="s">
        <v>259</v>
      </c>
      <c r="E142" s="102">
        <f t="shared" si="24"/>
        <v>0.001</v>
      </c>
      <c r="F142" s="103"/>
      <c r="G142" s="103"/>
      <c r="M142" s="57"/>
      <c r="N142" s="57"/>
      <c r="O142" s="57"/>
      <c r="P142" s="57"/>
      <c r="Q142" s="57"/>
      <c r="Y142" s="57"/>
      <c r="Z142" s="57"/>
      <c r="AA142" s="57"/>
      <c r="AB142" s="57"/>
      <c r="AC142" s="57"/>
    </row>
    <row r="143" spans="3:29">
      <c r="C143" s="57" t="s">
        <v>281</v>
      </c>
      <c r="D143" s="102" t="s">
        <v>260</v>
      </c>
      <c r="E143" s="102">
        <f t="shared" si="24"/>
        <v>0.001</v>
      </c>
      <c r="F143" s="103"/>
      <c r="G143" s="103"/>
      <c r="M143" s="57"/>
      <c r="N143" s="57"/>
      <c r="O143" s="57"/>
      <c r="P143" s="57"/>
      <c r="Q143" s="57"/>
      <c r="Y143" s="57"/>
      <c r="Z143" s="57"/>
      <c r="AA143" s="57"/>
      <c r="AB143" s="57"/>
      <c r="AC143" s="57"/>
    </row>
    <row r="144" spans="3:29">
      <c r="C144" s="57" t="s">
        <v>281</v>
      </c>
      <c r="D144" s="102" t="s">
        <v>262</v>
      </c>
      <c r="E144" s="102">
        <f t="shared" si="24"/>
        <v>0.001</v>
      </c>
      <c r="F144" s="103"/>
      <c r="G144" s="103"/>
      <c r="M144" s="57"/>
      <c r="N144" s="57"/>
      <c r="O144" s="57"/>
      <c r="P144" s="57"/>
      <c r="Q144" s="57"/>
      <c r="Y144" s="57"/>
      <c r="Z144" s="57"/>
      <c r="AA144" s="57"/>
      <c r="AB144" s="57"/>
      <c r="AC144" s="57"/>
    </row>
    <row r="145" spans="3:29">
      <c r="C145" s="57" t="s">
        <v>281</v>
      </c>
      <c r="D145" s="102" t="s">
        <v>264</v>
      </c>
      <c r="E145" s="102">
        <f t="shared" si="24"/>
        <v>0.001</v>
      </c>
      <c r="F145" s="103"/>
      <c r="G145" s="103"/>
      <c r="M145" s="57"/>
      <c r="N145" s="57"/>
      <c r="O145" s="57"/>
      <c r="P145" s="57"/>
      <c r="Q145" s="57"/>
      <c r="Y145" s="57"/>
      <c r="Z145" s="57"/>
      <c r="AA145" s="57"/>
      <c r="AB145" s="57"/>
      <c r="AC145" s="57"/>
    </row>
    <row r="146" spans="3:29">
      <c r="C146" s="57" t="s">
        <v>281</v>
      </c>
      <c r="D146" s="102" t="s">
        <v>266</v>
      </c>
      <c r="E146" s="102">
        <f t="shared" si="24"/>
        <v>0.001</v>
      </c>
      <c r="F146" s="103"/>
      <c r="G146" s="103"/>
      <c r="M146" s="57"/>
      <c r="N146" s="57"/>
      <c r="O146" s="57"/>
      <c r="P146" s="57"/>
      <c r="Q146" s="57"/>
      <c r="Y146" s="57"/>
      <c r="Z146" s="57"/>
      <c r="AA146" s="57"/>
      <c r="AB146" s="57"/>
      <c r="AC146" s="57"/>
    </row>
    <row r="147" spans="3:29">
      <c r="C147" s="57" t="s">
        <v>281</v>
      </c>
      <c r="D147" s="102" t="s">
        <v>268</v>
      </c>
      <c r="E147" s="102">
        <f t="shared" si="24"/>
        <v>0.001</v>
      </c>
      <c r="F147" s="103"/>
      <c r="G147" s="103"/>
      <c r="M147" s="57"/>
      <c r="N147" s="57"/>
      <c r="O147" s="57"/>
      <c r="P147" s="57"/>
      <c r="Q147" s="57"/>
      <c r="Y147" s="57"/>
      <c r="Z147" s="57"/>
      <c r="AA147" s="57"/>
      <c r="AB147" s="57"/>
      <c r="AC147" s="57"/>
    </row>
    <row r="148" spans="3:29">
      <c r="C148" s="57" t="s">
        <v>281</v>
      </c>
      <c r="D148" s="102" t="s">
        <v>270</v>
      </c>
      <c r="E148" s="102">
        <f t="shared" si="24"/>
        <v>0.001</v>
      </c>
      <c r="F148" s="103"/>
      <c r="G148" s="103"/>
      <c r="M148" s="57"/>
      <c r="N148" s="57"/>
      <c r="O148" s="57"/>
      <c r="P148" s="57"/>
      <c r="Q148" s="57"/>
      <c r="Y148" s="57"/>
      <c r="Z148" s="57"/>
      <c r="AA148" s="57"/>
      <c r="AB148" s="57"/>
      <c r="AC148" s="57"/>
    </row>
    <row r="149" spans="3:29">
      <c r="C149" s="57" t="s">
        <v>281</v>
      </c>
      <c r="D149" s="102" t="s">
        <v>272</v>
      </c>
      <c r="E149" s="102">
        <f t="shared" si="24"/>
        <v>0.001</v>
      </c>
      <c r="F149" s="103"/>
      <c r="G149" s="103"/>
      <c r="M149" s="57"/>
      <c r="N149" s="57"/>
      <c r="O149" s="57"/>
      <c r="P149" s="57"/>
      <c r="Q149" s="57"/>
      <c r="Y149" s="57"/>
      <c r="Z149" s="57"/>
      <c r="AA149" s="57"/>
      <c r="AB149" s="57"/>
      <c r="AC149" s="57"/>
    </row>
    <row r="150" spans="3:29">
      <c r="C150" s="57" t="s">
        <v>281</v>
      </c>
      <c r="D150" s="102" t="s">
        <v>274</v>
      </c>
      <c r="E150" s="102">
        <f t="shared" si="24"/>
        <v>0.001</v>
      </c>
      <c r="F150" s="103"/>
      <c r="G150" s="103"/>
      <c r="M150" s="57"/>
      <c r="N150" s="57"/>
      <c r="O150" s="57"/>
      <c r="P150" s="57"/>
      <c r="Q150" s="57"/>
      <c r="Y150" s="57"/>
      <c r="Z150" s="57"/>
      <c r="AA150" s="57"/>
      <c r="AB150" s="57"/>
      <c r="AC150" s="57"/>
    </row>
    <row r="151" spans="3:29">
      <c r="C151" s="57" t="s">
        <v>281</v>
      </c>
      <c r="D151" s="102" t="s">
        <v>275</v>
      </c>
      <c r="E151" s="102">
        <f t="shared" si="24"/>
        <v>0.001</v>
      </c>
      <c r="F151" s="103"/>
      <c r="G151" s="103"/>
      <c r="M151" s="57"/>
      <c r="N151" s="57"/>
      <c r="O151" s="57"/>
      <c r="P151" s="57"/>
      <c r="Q151" s="57"/>
      <c r="Y151" s="57"/>
      <c r="Z151" s="57"/>
      <c r="AA151" s="57"/>
      <c r="AB151" s="57"/>
      <c r="AC151" s="57"/>
    </row>
    <row r="152" spans="3:29">
      <c r="C152" s="57" t="s">
        <v>281</v>
      </c>
      <c r="D152" s="102" t="s">
        <v>277</v>
      </c>
      <c r="E152" s="102">
        <f t="shared" si="24"/>
        <v>0.001</v>
      </c>
      <c r="F152" s="103"/>
      <c r="G152" s="103"/>
      <c r="M152" s="57"/>
      <c r="N152" s="57"/>
      <c r="O152" s="57"/>
      <c r="P152" s="57"/>
      <c r="Q152" s="57"/>
      <c r="Y152" s="57"/>
      <c r="Z152" s="57"/>
      <c r="AA152" s="57"/>
      <c r="AB152" s="57"/>
      <c r="AC152" s="57"/>
    </row>
    <row r="153" spans="3:29">
      <c r="C153" s="57" t="s">
        <v>281</v>
      </c>
      <c r="D153" s="102" t="s">
        <v>279</v>
      </c>
      <c r="E153" s="102">
        <f t="shared" si="24"/>
        <v>0.001</v>
      </c>
      <c r="F153" s="103"/>
      <c r="G153" s="103"/>
      <c r="M153" s="57"/>
      <c r="N153" s="57"/>
      <c r="O153" s="57"/>
      <c r="P153" s="57"/>
      <c r="Q153" s="57"/>
      <c r="Y153" s="57"/>
      <c r="Z153" s="57"/>
      <c r="AA153" s="57"/>
      <c r="AB153" s="57"/>
      <c r="AC153" s="57"/>
    </row>
    <row r="154" spans="3:29">
      <c r="C154" s="57" t="s">
        <v>281</v>
      </c>
      <c r="D154" s="108" t="s">
        <v>280</v>
      </c>
      <c r="E154" s="102">
        <f t="shared" si="24"/>
        <v>0.001</v>
      </c>
      <c r="F154" s="103"/>
      <c r="G154" s="103"/>
      <c r="M154" s="57"/>
      <c r="N154" s="57"/>
      <c r="O154" s="57"/>
      <c r="P154" s="57"/>
      <c r="Q154" s="57"/>
      <c r="Y154" s="57"/>
      <c r="Z154" s="57"/>
      <c r="AA154" s="57"/>
      <c r="AB154" s="57"/>
      <c r="AC154" s="57"/>
    </row>
    <row r="163" spans="1:40">
      <c r="B163" t="s">
        <v>137</v>
      </c>
    </row>
    <row r="164" spans="1:40">
      <c r="A164" t="s">
        <v>41</v>
      </c>
      <c r="B164" t="s">
        <v>139</v>
      </c>
      <c r="C164" t="s">
        <v>143</v>
      </c>
      <c r="D164" t="s">
        <v>65</v>
      </c>
      <c r="E164" t="s">
        <v>118</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190</v>
      </c>
    </row>
    <row r="165" spans="1:40">
      <c r="A165">
        <v>2025</v>
      </c>
      <c r="B165" t="s">
        <v>191</v>
      </c>
      <c r="C165" t="s">
        <v>192</v>
      </c>
      <c r="D165" t="s">
        <v>193</v>
      </c>
      <c r="E165" t="s">
        <v>194</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194</v>
      </c>
    </row>
    <row r="166" spans="1:40">
      <c r="A166">
        <v>2025</v>
      </c>
      <c r="B166" t="s">
        <v>191</v>
      </c>
      <c r="C166" t="s">
        <v>192</v>
      </c>
      <c r="D166" t="s">
        <v>195</v>
      </c>
      <c r="E166" t="s">
        <v>196</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196</v>
      </c>
    </row>
    <row r="167" spans="1:40">
      <c r="A167">
        <v>2025</v>
      </c>
      <c r="B167" t="s">
        <v>191</v>
      </c>
      <c r="C167" t="s">
        <v>192</v>
      </c>
      <c r="D167" t="s">
        <v>197</v>
      </c>
      <c r="E167" t="s">
        <v>198</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198</v>
      </c>
    </row>
    <row r="168" spans="1:40">
      <c r="A168">
        <v>2025</v>
      </c>
      <c r="B168" t="s">
        <v>191</v>
      </c>
      <c r="C168" t="s">
        <v>192</v>
      </c>
      <c r="D168" t="s">
        <v>199</v>
      </c>
      <c r="E168" t="s">
        <v>200</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200</v>
      </c>
    </row>
    <row r="169" spans="1:40">
      <c r="A169">
        <v>2025</v>
      </c>
      <c r="B169" t="s">
        <v>191</v>
      </c>
      <c r="C169" t="s">
        <v>192</v>
      </c>
      <c r="D169" s="57" t="s">
        <v>201</v>
      </c>
      <c r="E169" t="s">
        <v>202</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202</v>
      </c>
    </row>
    <row r="170" spans="1:40">
      <c r="A170">
        <v>2025</v>
      </c>
      <c r="B170" t="s">
        <v>191</v>
      </c>
      <c r="C170" s="57" t="s">
        <v>192</v>
      </c>
      <c r="D170" s="57" t="s">
        <v>203</v>
      </c>
      <c r="E170" t="s">
        <v>204</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204</v>
      </c>
    </row>
    <row r="171" spans="1:40">
      <c r="A171">
        <v>2025</v>
      </c>
      <c r="B171" t="s">
        <v>191</v>
      </c>
      <c r="C171" s="57" t="s">
        <v>192</v>
      </c>
      <c r="D171" s="57" t="s">
        <v>205</v>
      </c>
      <c r="E171" t="s">
        <v>206</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206</v>
      </c>
    </row>
    <row r="179" spans="1:40">
      <c r="B179" t="s">
        <v>137</v>
      </c>
    </row>
    <row r="180" spans="1:40">
      <c r="A180" t="s">
        <v>41</v>
      </c>
      <c r="B180" t="s">
        <v>139</v>
      </c>
      <c r="C180" t="s">
        <v>143</v>
      </c>
      <c r="D180" t="s">
        <v>65</v>
      </c>
      <c r="E180" t="s">
        <v>118</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190</v>
      </c>
    </row>
    <row r="181" spans="1:40">
      <c r="A181">
        <v>2050</v>
      </c>
      <c r="B181" t="s">
        <v>191</v>
      </c>
      <c r="C181" t="s">
        <v>192</v>
      </c>
      <c r="D181" t="s">
        <v>193</v>
      </c>
      <c r="E181" t="s">
        <v>194</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194</v>
      </c>
    </row>
    <row r="182" spans="1:40">
      <c r="A182">
        <f t="shared" ref="A182:A187" si="34">A181</f>
        <v>2050</v>
      </c>
      <c r="B182" t="s">
        <v>191</v>
      </c>
      <c r="C182" t="s">
        <v>192</v>
      </c>
      <c r="D182" t="s">
        <v>195</v>
      </c>
      <c r="E182" t="s">
        <v>196</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196</v>
      </c>
    </row>
    <row r="183" spans="1:40">
      <c r="A183">
        <f t="shared" si="34"/>
        <v>2050</v>
      </c>
      <c r="B183" t="s">
        <v>191</v>
      </c>
      <c r="C183" t="s">
        <v>192</v>
      </c>
      <c r="D183" t="s">
        <v>197</v>
      </c>
      <c r="E183" t="s">
        <v>198</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198</v>
      </c>
    </row>
    <row r="184" spans="1:40">
      <c r="A184">
        <f t="shared" si="34"/>
        <v>2050</v>
      </c>
      <c r="B184" t="s">
        <v>191</v>
      </c>
      <c r="C184" t="s">
        <v>192</v>
      </c>
      <c r="D184" t="s">
        <v>199</v>
      </c>
      <c r="E184" t="s">
        <v>200</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200</v>
      </c>
    </row>
    <row r="185" spans="1:40">
      <c r="A185">
        <f t="shared" si="34"/>
        <v>2050</v>
      </c>
      <c r="B185" t="s">
        <v>191</v>
      </c>
      <c r="C185" t="s">
        <v>192</v>
      </c>
      <c r="D185" t="s">
        <v>201</v>
      </c>
      <c r="E185" t="s">
        <v>202</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202</v>
      </c>
    </row>
    <row r="186" spans="1:40">
      <c r="A186">
        <f t="shared" si="34"/>
        <v>2050</v>
      </c>
      <c r="B186" t="s">
        <v>191</v>
      </c>
      <c r="C186" t="s">
        <v>192</v>
      </c>
      <c r="D186" t="s">
        <v>203</v>
      </c>
      <c r="E186" t="s">
        <v>204</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204</v>
      </c>
    </row>
    <row r="187" spans="1:40">
      <c r="A187">
        <f t="shared" si="34"/>
        <v>2050</v>
      </c>
      <c r="B187" t="s">
        <v>191</v>
      </c>
      <c r="C187" t="s">
        <v>192</v>
      </c>
      <c r="D187" t="s">
        <v>205</v>
      </c>
      <c r="E187" t="s">
        <v>206</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206</v>
      </c>
    </row>
    <row r="192" spans="1:40">
      <c r="B192" t="s">
        <v>137</v>
      </c>
    </row>
    <row r="193" spans="1:40">
      <c r="A193" t="s">
        <v>41</v>
      </c>
      <c r="B193" t="s">
        <v>139</v>
      </c>
      <c r="C193" t="s">
        <v>143</v>
      </c>
      <c r="D193" t="s">
        <v>65</v>
      </c>
      <c r="E193" t="s">
        <v>118</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190</v>
      </c>
    </row>
    <row r="194" spans="1:40">
      <c r="A194">
        <v>2100</v>
      </c>
      <c r="B194" t="s">
        <v>191</v>
      </c>
      <c r="C194" t="s">
        <v>192</v>
      </c>
      <c r="D194" t="s">
        <v>193</v>
      </c>
      <c r="E194" t="s">
        <v>194</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194</v>
      </c>
    </row>
    <row r="195" spans="1:40">
      <c r="A195">
        <v>2100</v>
      </c>
      <c r="B195" t="s">
        <v>191</v>
      </c>
      <c r="C195" t="s">
        <v>192</v>
      </c>
      <c r="D195" t="s">
        <v>195</v>
      </c>
      <c r="E195" t="s">
        <v>196</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196</v>
      </c>
    </row>
    <row r="196" spans="1:40">
      <c r="A196">
        <v>2100</v>
      </c>
      <c r="B196" t="s">
        <v>191</v>
      </c>
      <c r="C196" t="s">
        <v>192</v>
      </c>
      <c r="D196" t="s">
        <v>197</v>
      </c>
      <c r="E196" t="s">
        <v>198</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198</v>
      </c>
    </row>
    <row r="197" spans="1:40">
      <c r="A197">
        <v>2100</v>
      </c>
      <c r="B197" t="s">
        <v>191</v>
      </c>
      <c r="C197" t="s">
        <v>192</v>
      </c>
      <c r="D197" t="s">
        <v>199</v>
      </c>
      <c r="E197" t="s">
        <v>200</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200</v>
      </c>
    </row>
    <row r="198" spans="1:40">
      <c r="A198">
        <v>2100</v>
      </c>
      <c r="B198" t="s">
        <v>191</v>
      </c>
      <c r="C198" t="s">
        <v>192</v>
      </c>
      <c r="D198" t="s">
        <v>201</v>
      </c>
      <c r="E198" t="s">
        <v>202</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202</v>
      </c>
    </row>
    <row r="199" spans="1:40">
      <c r="A199">
        <v>2100</v>
      </c>
      <c r="B199" t="s">
        <v>191</v>
      </c>
      <c r="C199" t="s">
        <v>192</v>
      </c>
      <c r="D199" t="s">
        <v>203</v>
      </c>
      <c r="E199" t="s">
        <v>204</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204</v>
      </c>
    </row>
    <row r="200" spans="1:40">
      <c r="A200">
        <v>2100</v>
      </c>
      <c r="B200" t="s">
        <v>191</v>
      </c>
      <c r="C200" t="s">
        <v>192</v>
      </c>
      <c r="D200" t="s">
        <v>205</v>
      </c>
      <c r="E200" t="s">
        <v>206</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206</v>
      </c>
    </row>
    <row r="210" s="58" customFormat="1" spans="1:39">
      <c r="B210" s="58" t="s">
        <v>137</v>
      </c>
    </row>
    <row r="211" s="58" customFormat="1" spans="1:39">
      <c r="A211" s="58" t="str">
        <f>A193</f>
        <v>year</v>
      </c>
      <c r="B211" s="58" t="str">
        <f>B193</f>
        <v>attribute</v>
      </c>
      <c r="C211" s="58" t="s">
        <v>143</v>
      </c>
      <c r="D211" s="58" t="s">
        <v>65</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282</v>
      </c>
      <c r="C212" s="58" t="s">
        <v>147</v>
      </c>
      <c r="D212" s="58" t="s">
        <v>193</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147</v>
      </c>
      <c r="D213" s="58" t="s">
        <v>195</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147</v>
      </c>
      <c r="D214" s="58" t="s">
        <v>197</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147</v>
      </c>
      <c r="D215" s="58" t="s">
        <v>199</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147</v>
      </c>
      <c r="D216" s="58" t="s">
        <v>201</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147</v>
      </c>
      <c r="D217" s="58" t="s">
        <v>203</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147</v>
      </c>
      <c r="D218" s="58" t="s">
        <v>205</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283</v>
      </c>
    </row>
    <row r="243" ht="14.5" spans="4:23">
      <c r="D243" s="110" t="s">
        <v>1</v>
      </c>
      <c r="E243" s="110" t="s">
        <v>68</v>
      </c>
      <c r="F243" s="110" t="s">
        <v>90</v>
      </c>
      <c r="G243" s="110" t="s">
        <v>94</v>
      </c>
      <c r="H243" s="110" t="s">
        <v>86</v>
      </c>
      <c r="I243" s="110" t="s">
        <v>77</v>
      </c>
      <c r="J243" s="110" t="s">
        <v>73</v>
      </c>
      <c r="K243" s="110" t="s">
        <v>97</v>
      </c>
      <c r="P243" t="s">
        <v>284</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137</v>
      </c>
      <c r="C284" s="58"/>
    </row>
    <row r="285" ht="14.5" spans="1:38">
      <c r="A285" s="58" t="s">
        <v>41</v>
      </c>
      <c r="B285" s="58" t="s">
        <v>139</v>
      </c>
      <c r="C285" s="58" t="s">
        <v>143</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282</v>
      </c>
      <c r="C286" s="58" t="s">
        <v>147</v>
      </c>
      <c r="D286" s="110" t="s">
        <v>285</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282</v>
      </c>
      <c r="C287" s="58" t="s">
        <v>147</v>
      </c>
      <c r="D287" s="110" t="s">
        <v>286</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282</v>
      </c>
      <c r="C288" s="58" t="s">
        <v>147</v>
      </c>
      <c r="D288" s="110" t="s">
        <v>287</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282</v>
      </c>
      <c r="C289" s="58" t="s">
        <v>147</v>
      </c>
      <c r="D289" s="110" t="s">
        <v>288</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282</v>
      </c>
      <c r="C290" s="58" t="s">
        <v>147</v>
      </c>
      <c r="D290" s="110" t="s">
        <v>289</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282</v>
      </c>
      <c r="C291" s="58" t="s">
        <v>147</v>
      </c>
      <c r="D291" s="110" t="s">
        <v>290</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282</v>
      </c>
      <c r="C292" s="58" t="s">
        <v>147</v>
      </c>
      <c r="D292" s="110" t="s">
        <v>291</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139</v>
      </c>
      <c r="C1" t="s">
        <v>65</v>
      </c>
      <c r="D1" t="s">
        <v>115</v>
      </c>
      <c r="E1" t="s">
        <v>292</v>
      </c>
      <c r="F1" t="s">
        <v>293</v>
      </c>
      <c r="G1" t="s">
        <v>41</v>
      </c>
      <c r="H1" s="51" t="s">
        <v>294</v>
      </c>
      <c r="I1" s="51" t="s">
        <v>295</v>
      </c>
      <c r="J1" s="51" t="s">
        <v>296</v>
      </c>
      <c r="K1" s="51" t="s">
        <v>297</v>
      </c>
      <c r="L1" s="51" t="s">
        <v>298</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299</v>
      </c>
      <c r="M4" s="31"/>
      <c r="N4" s="32"/>
      <c r="O4" s="32"/>
      <c r="P4" s="32"/>
      <c r="Q4" s="32"/>
      <c r="R4" s="24" t="s">
        <v>299</v>
      </c>
      <c r="S4" s="32"/>
      <c r="T4" s="32"/>
      <c r="U4" s="32"/>
      <c r="V4" s="32"/>
      <c r="W4" s="32"/>
      <c r="X4" s="24" t="s">
        <v>299</v>
      </c>
      <c r="Y4" s="32"/>
      <c r="Z4" s="32"/>
      <c r="AA4" s="32"/>
      <c r="AB4" s="32"/>
      <c r="AC4" s="32"/>
      <c r="AD4" s="24" t="s">
        <v>299</v>
      </c>
      <c r="AE4" s="32"/>
      <c r="AF4" s="32"/>
      <c r="AG4" s="32"/>
      <c r="AH4" s="32"/>
      <c r="AI4" s="32"/>
      <c r="AJ4" s="24" t="s">
        <v>299</v>
      </c>
      <c r="AK4" s="32"/>
      <c r="AL4" s="32"/>
      <c r="AM4" s="32"/>
      <c r="AN4" s="32"/>
      <c r="AO4" s="32"/>
      <c r="AP4" s="24" t="s">
        <v>299</v>
      </c>
      <c r="AQ4" s="32"/>
      <c r="AT4" s="32"/>
      <c r="AU4" s="32"/>
      <c r="AV4" s="24" t="s">
        <v>299</v>
      </c>
      <c r="AW4" s="32"/>
      <c r="AZ4" s="4"/>
      <c r="BA4" s="4"/>
      <c r="BB4" s="4"/>
      <c r="BC4" s="4"/>
    </row>
    <row r="5" s="29" customFormat="1" ht="14.5" spans="4:55">
      <c r="D5" s="31"/>
      <c r="E5" s="31"/>
      <c r="F5" s="33"/>
      <c r="G5" s="31"/>
      <c r="H5" s="32"/>
      <c r="I5" s="32"/>
      <c r="J5" s="24" t="s">
        <v>143</v>
      </c>
      <c r="K5" s="24" t="s">
        <v>65</v>
      </c>
      <c r="L5" s="24" t="s">
        <v>118</v>
      </c>
      <c r="M5" s="24" t="s">
        <v>25</v>
      </c>
      <c r="N5" s="32" t="s">
        <v>41</v>
      </c>
      <c r="O5" s="32"/>
      <c r="P5" s="24" t="s">
        <v>143</v>
      </c>
      <c r="Q5" s="24" t="s">
        <v>65</v>
      </c>
      <c r="R5" s="24" t="s">
        <v>118</v>
      </c>
      <c r="S5" s="24" t="s">
        <v>25</v>
      </c>
      <c r="T5" s="32" t="s">
        <v>41</v>
      </c>
      <c r="U5" s="32"/>
      <c r="V5" s="24" t="s">
        <v>143</v>
      </c>
      <c r="W5" s="24" t="s">
        <v>65</v>
      </c>
      <c r="X5" s="24" t="s">
        <v>118</v>
      </c>
      <c r="Y5" s="24" t="s">
        <v>25</v>
      </c>
      <c r="Z5" s="32" t="s">
        <v>41</v>
      </c>
      <c r="AA5" s="32"/>
      <c r="AB5" s="24" t="s">
        <v>143</v>
      </c>
      <c r="AC5" s="24" t="s">
        <v>65</v>
      </c>
      <c r="AD5" s="24" t="s">
        <v>118</v>
      </c>
      <c r="AE5" s="24" t="s">
        <v>25</v>
      </c>
      <c r="AF5" s="32" t="s">
        <v>41</v>
      </c>
      <c r="AG5" s="32"/>
      <c r="AH5" s="24" t="s">
        <v>143</v>
      </c>
      <c r="AI5" s="24" t="s">
        <v>65</v>
      </c>
      <c r="AJ5" s="24" t="s">
        <v>118</v>
      </c>
      <c r="AK5" s="24" t="s">
        <v>25</v>
      </c>
      <c r="AL5" s="32" t="s">
        <v>41</v>
      </c>
      <c r="AM5" s="32"/>
      <c r="AN5" s="24" t="s">
        <v>143</v>
      </c>
      <c r="AO5" s="24" t="s">
        <v>65</v>
      </c>
      <c r="AP5" s="24" t="s">
        <v>118</v>
      </c>
      <c r="AQ5" s="24" t="s">
        <v>25</v>
      </c>
      <c r="AR5" s="32" t="s">
        <v>41</v>
      </c>
      <c r="AT5" s="24" t="s">
        <v>143</v>
      </c>
      <c r="AU5" s="24" t="s">
        <v>65</v>
      </c>
      <c r="AV5" s="24" t="s">
        <v>118</v>
      </c>
      <c r="AW5" s="24" t="s">
        <v>25</v>
      </c>
      <c r="AX5" s="32" t="s">
        <v>41</v>
      </c>
      <c r="AZ5" s="4"/>
      <c r="BA5" s="4"/>
      <c r="BB5" s="4"/>
      <c r="BC5" s="4"/>
    </row>
    <row r="6" s="29" customFormat="1" ht="16" spans="4:55">
      <c r="D6" s="31"/>
      <c r="E6" s="34"/>
      <c r="F6" s="33"/>
      <c r="G6" s="35"/>
      <c r="H6" s="32"/>
      <c r="I6" s="32"/>
      <c r="J6" s="31" t="s">
        <v>147</v>
      </c>
      <c r="K6" s="34" t="s">
        <v>81</v>
      </c>
      <c r="L6" s="26" t="s">
        <v>300</v>
      </c>
      <c r="M6" s="36">
        <f t="shared" ref="M6:M9" si="0">M16/1000</f>
        <v>0.0768000000000001</v>
      </c>
      <c r="N6" s="32">
        <v>2020</v>
      </c>
      <c r="O6" s="32"/>
      <c r="P6" s="31" t="s">
        <v>147</v>
      </c>
      <c r="Q6" s="34" t="s">
        <v>86</v>
      </c>
      <c r="R6" s="26" t="s">
        <v>300</v>
      </c>
      <c r="S6" s="36">
        <f t="shared" ref="S6:S9" si="1">S16/1000</f>
        <v>0.0713</v>
      </c>
      <c r="T6" s="32">
        <v>2020</v>
      </c>
      <c r="U6" s="32"/>
      <c r="V6" s="31" t="s">
        <v>147</v>
      </c>
      <c r="W6" s="34" t="s">
        <v>90</v>
      </c>
      <c r="X6" s="26" t="s">
        <v>300</v>
      </c>
      <c r="Y6" s="36">
        <f t="shared" ref="Y6:Y9" si="2">Y16/1000</f>
        <v>0.0712</v>
      </c>
      <c r="Z6" s="32">
        <v>2020</v>
      </c>
      <c r="AA6" s="32"/>
      <c r="AB6" s="31" t="s">
        <v>147</v>
      </c>
      <c r="AC6" s="34" t="s">
        <v>94</v>
      </c>
      <c r="AD6" s="26" t="s">
        <v>300</v>
      </c>
      <c r="AE6" s="36">
        <f t="shared" ref="AE6:AE9" si="3">AE16/1000</f>
        <v>0.0725</v>
      </c>
      <c r="AF6" s="32">
        <v>2020</v>
      </c>
      <c r="AG6" s="32"/>
      <c r="AH6" s="31" t="s">
        <v>147</v>
      </c>
      <c r="AI6" s="34" t="s">
        <v>77</v>
      </c>
      <c r="AJ6" s="26" t="s">
        <v>300</v>
      </c>
      <c r="AK6" s="36">
        <f t="shared" ref="AK6:AK9" si="4">AK16/1000</f>
        <v>0.077</v>
      </c>
      <c r="AL6" s="32">
        <v>2020</v>
      </c>
      <c r="AM6" s="32"/>
      <c r="AN6" s="31" t="s">
        <v>147</v>
      </c>
      <c r="AO6" s="34" t="s">
        <v>73</v>
      </c>
      <c r="AP6" s="26" t="s">
        <v>300</v>
      </c>
      <c r="AQ6" s="36">
        <f t="shared" ref="AQ6:AQ9" si="5">AQ16/1000</f>
        <v>0.0424</v>
      </c>
      <c r="AR6" s="32">
        <v>2020</v>
      </c>
      <c r="AT6" s="31" t="s">
        <v>147</v>
      </c>
      <c r="AU6" s="34" t="s">
        <v>68</v>
      </c>
      <c r="AV6" s="26" t="s">
        <v>300</v>
      </c>
      <c r="AW6" s="36">
        <f t="shared" ref="AW6:AW9" si="6">AW16/1000</f>
        <v>0.0472</v>
      </c>
      <c r="AX6" s="32">
        <v>2020</v>
      </c>
      <c r="AZ6" s="4"/>
      <c r="BA6" s="4"/>
      <c r="BB6" s="4"/>
      <c r="BC6" s="4"/>
    </row>
    <row r="7" s="29" customFormat="1" ht="16" spans="4:55">
      <c r="D7" s="31"/>
      <c r="E7" s="34"/>
      <c r="F7" s="33"/>
      <c r="G7" s="35"/>
      <c r="H7" s="32"/>
      <c r="I7" s="32"/>
      <c r="J7" s="31" t="s">
        <v>147</v>
      </c>
      <c r="K7" s="34" t="s">
        <v>81</v>
      </c>
      <c r="L7" s="26" t="s">
        <v>301</v>
      </c>
      <c r="M7" s="36">
        <f t="shared" si="0"/>
        <v>0.2026</v>
      </c>
      <c r="N7" s="32">
        <v>2020</v>
      </c>
      <c r="O7" s="32"/>
      <c r="P7" s="31" t="s">
        <v>147</v>
      </c>
      <c r="Q7" s="34" t="s">
        <v>86</v>
      </c>
      <c r="R7" s="26" t="s">
        <v>301</v>
      </c>
      <c r="S7" s="36">
        <f t="shared" si="1"/>
        <v>0.1913</v>
      </c>
      <c r="T7" s="32">
        <v>2020</v>
      </c>
      <c r="U7" s="32"/>
      <c r="V7" s="31" t="s">
        <v>147</v>
      </c>
      <c r="W7" s="34" t="s">
        <v>90</v>
      </c>
      <c r="X7" s="26" t="s">
        <v>301</v>
      </c>
      <c r="Y7" s="36">
        <f t="shared" si="2"/>
        <v>0.1915</v>
      </c>
      <c r="Z7" s="32">
        <v>2020</v>
      </c>
      <c r="AA7" s="32"/>
      <c r="AB7" s="31" t="s">
        <v>147</v>
      </c>
      <c r="AC7" s="34" t="s">
        <v>94</v>
      </c>
      <c r="AD7" s="26" t="s">
        <v>301</v>
      </c>
      <c r="AE7" s="36">
        <f t="shared" si="3"/>
        <v>0.1859</v>
      </c>
      <c r="AF7" s="32">
        <v>2020</v>
      </c>
      <c r="AG7" s="32"/>
      <c r="AH7" s="31" t="s">
        <v>147</v>
      </c>
      <c r="AI7" s="34" t="s">
        <v>77</v>
      </c>
      <c r="AJ7" s="26" t="s">
        <v>301</v>
      </c>
      <c r="AK7" s="36">
        <f t="shared" si="4"/>
        <v>0.1982</v>
      </c>
      <c r="AL7" s="32">
        <v>2020</v>
      </c>
      <c r="AM7" s="32"/>
      <c r="AN7" s="31" t="s">
        <v>147</v>
      </c>
      <c r="AO7" s="34" t="s">
        <v>73</v>
      </c>
      <c r="AP7" s="26" t="s">
        <v>301</v>
      </c>
      <c r="AQ7" s="36">
        <f t="shared" si="5"/>
        <v>0.0768</v>
      </c>
      <c r="AR7" s="32">
        <v>2020</v>
      </c>
      <c r="AT7" s="31" t="s">
        <v>147</v>
      </c>
      <c r="AU7" s="34" t="s">
        <v>68</v>
      </c>
      <c r="AV7" s="26" t="s">
        <v>301</v>
      </c>
      <c r="AW7" s="36">
        <f t="shared" si="6"/>
        <v>0.1555</v>
      </c>
      <c r="AX7" s="32">
        <v>2020</v>
      </c>
      <c r="AZ7" s="4"/>
      <c r="BA7" s="4"/>
      <c r="BB7" s="4"/>
      <c r="BC7" s="4"/>
    </row>
    <row r="8" s="29" customFormat="1" ht="14.5" customHeight="1" spans="4:55">
      <c r="D8" s="31"/>
      <c r="E8" s="34"/>
      <c r="F8" s="33"/>
      <c r="G8" s="35"/>
      <c r="H8" s="32"/>
      <c r="I8" s="32"/>
      <c r="J8" s="31" t="s">
        <v>147</v>
      </c>
      <c r="K8" s="34" t="s">
        <v>81</v>
      </c>
      <c r="L8" s="26" t="s">
        <v>302</v>
      </c>
      <c r="M8" s="36">
        <f t="shared" si="0"/>
        <v>0.5838</v>
      </c>
      <c r="N8" s="32">
        <v>2020</v>
      </c>
      <c r="O8" s="32"/>
      <c r="P8" s="31" t="s">
        <v>147</v>
      </c>
      <c r="Q8" s="34" t="s">
        <v>86</v>
      </c>
      <c r="R8" s="26" t="s">
        <v>302</v>
      </c>
      <c r="S8" s="36">
        <f t="shared" si="1"/>
        <v>0.5561</v>
      </c>
      <c r="T8" s="32">
        <v>2020</v>
      </c>
      <c r="U8" s="32"/>
      <c r="V8" s="31" t="s">
        <v>147</v>
      </c>
      <c r="W8" s="34" t="s">
        <v>90</v>
      </c>
      <c r="X8" s="26" t="s">
        <v>302</v>
      </c>
      <c r="Y8" s="36">
        <f t="shared" si="2"/>
        <v>0.5579</v>
      </c>
      <c r="Z8" s="32">
        <v>2020</v>
      </c>
      <c r="AA8" s="32"/>
      <c r="AB8" s="31" t="s">
        <v>147</v>
      </c>
      <c r="AC8" s="34" t="s">
        <v>94</v>
      </c>
      <c r="AD8" s="26" t="s">
        <v>302</v>
      </c>
      <c r="AE8" s="36">
        <f t="shared" si="3"/>
        <v>0.5505</v>
      </c>
      <c r="AF8" s="32">
        <v>2020</v>
      </c>
      <c r="AG8" s="32"/>
      <c r="AH8" s="31" t="s">
        <v>147</v>
      </c>
      <c r="AI8" s="34" t="s">
        <v>77</v>
      </c>
      <c r="AJ8" s="26" t="s">
        <v>302</v>
      </c>
      <c r="AK8" s="36">
        <f t="shared" si="4"/>
        <v>0.5942</v>
      </c>
      <c r="AL8" s="32">
        <v>2020</v>
      </c>
      <c r="AM8" s="32"/>
      <c r="AN8" s="31" t="s">
        <v>147</v>
      </c>
      <c r="AO8" s="34" t="s">
        <v>73</v>
      </c>
      <c r="AP8" s="26" t="s">
        <v>302</v>
      </c>
      <c r="AQ8" s="36">
        <f t="shared" si="5"/>
        <v>0.4099</v>
      </c>
      <c r="AR8" s="32">
        <v>2020</v>
      </c>
      <c r="AT8" s="31" t="s">
        <v>147</v>
      </c>
      <c r="AU8" s="34" t="s">
        <v>68</v>
      </c>
      <c r="AV8" s="26" t="s">
        <v>302</v>
      </c>
      <c r="AW8" s="36">
        <f t="shared" si="6"/>
        <v>0.477</v>
      </c>
      <c r="AX8" s="32">
        <v>2020</v>
      </c>
      <c r="AZ8" s="4"/>
      <c r="BA8" s="4"/>
      <c r="BB8" s="4"/>
      <c r="BC8" s="4"/>
    </row>
    <row r="9" s="29" customFormat="1" ht="16" spans="4:55">
      <c r="D9" s="31"/>
      <c r="E9" s="34"/>
      <c r="F9" s="33"/>
      <c r="G9" s="35"/>
      <c r="H9" s="32"/>
      <c r="I9" s="32"/>
      <c r="J9" s="31" t="s">
        <v>147</v>
      </c>
      <c r="K9" s="34" t="s">
        <v>81</v>
      </c>
      <c r="L9" s="26" t="s">
        <v>303</v>
      </c>
      <c r="M9" s="36">
        <f t="shared" si="0"/>
        <v>0.1275</v>
      </c>
      <c r="N9" s="32">
        <v>2020</v>
      </c>
      <c r="O9" s="32"/>
      <c r="P9" s="31" t="s">
        <v>147</v>
      </c>
      <c r="Q9" s="34" t="s">
        <v>86</v>
      </c>
      <c r="R9" s="26" t="s">
        <v>303</v>
      </c>
      <c r="S9" s="36">
        <f t="shared" si="1"/>
        <v>0.1337</v>
      </c>
      <c r="T9" s="32">
        <v>2020</v>
      </c>
      <c r="U9" s="32"/>
      <c r="V9" s="31" t="s">
        <v>147</v>
      </c>
      <c r="W9" s="34" t="s">
        <v>90</v>
      </c>
      <c r="X9" s="26" t="s">
        <v>303</v>
      </c>
      <c r="Y9" s="36">
        <f t="shared" si="2"/>
        <v>0.1403</v>
      </c>
      <c r="Z9" s="32">
        <v>2020</v>
      </c>
      <c r="AA9" s="32"/>
      <c r="AB9" s="31" t="s">
        <v>147</v>
      </c>
      <c r="AC9" s="34" t="s">
        <v>94</v>
      </c>
      <c r="AD9" s="26" t="s">
        <v>303</v>
      </c>
      <c r="AE9" s="36">
        <f t="shared" si="3"/>
        <v>0.1499</v>
      </c>
      <c r="AF9" s="32">
        <v>2020</v>
      </c>
      <c r="AG9" s="32"/>
      <c r="AH9" s="31" t="s">
        <v>147</v>
      </c>
      <c r="AI9" s="34" t="s">
        <v>77</v>
      </c>
      <c r="AJ9" s="26" t="s">
        <v>303</v>
      </c>
      <c r="AK9" s="36">
        <f t="shared" si="4"/>
        <v>0.1608</v>
      </c>
      <c r="AL9" s="32">
        <v>2020</v>
      </c>
      <c r="AM9" s="32"/>
      <c r="AN9" s="31" t="s">
        <v>147</v>
      </c>
      <c r="AO9" s="34" t="s">
        <v>73</v>
      </c>
      <c r="AP9" s="26" t="s">
        <v>303</v>
      </c>
      <c r="AQ9" s="36">
        <f t="shared" si="5"/>
        <v>0.057</v>
      </c>
      <c r="AR9" s="32">
        <v>2020</v>
      </c>
      <c r="AT9" s="31" t="s">
        <v>147</v>
      </c>
      <c r="AU9" s="34" t="s">
        <v>68</v>
      </c>
      <c r="AV9" s="26" t="s">
        <v>303</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299</v>
      </c>
      <c r="M24" s="31"/>
      <c r="N24" s="32"/>
      <c r="O24" s="32"/>
      <c r="P24" s="32"/>
      <c r="Q24" s="32"/>
      <c r="R24" s="24" t="s">
        <v>299</v>
      </c>
      <c r="S24" s="32"/>
      <c r="T24" s="32"/>
      <c r="U24" s="32"/>
      <c r="V24" s="32"/>
      <c r="W24" s="32"/>
      <c r="X24" s="24" t="s">
        <v>299</v>
      </c>
      <c r="Y24" s="32"/>
      <c r="Z24" s="32"/>
      <c r="AA24" s="32"/>
      <c r="AB24" s="32"/>
      <c r="AC24" s="32"/>
      <c r="AD24" s="24" t="s">
        <v>299</v>
      </c>
      <c r="AE24" s="32"/>
      <c r="AF24" s="32"/>
      <c r="AG24" s="32"/>
      <c r="AH24" s="32"/>
      <c r="AI24" s="32"/>
      <c r="AJ24" s="24" t="s">
        <v>299</v>
      </c>
      <c r="AK24" s="32"/>
      <c r="AL24" s="32"/>
      <c r="AM24" s="32"/>
      <c r="AN24" s="32"/>
      <c r="AO24" s="32"/>
      <c r="AP24" s="24" t="s">
        <v>299</v>
      </c>
      <c r="AQ24" s="32"/>
      <c r="AT24" s="32"/>
      <c r="AU24" s="32"/>
      <c r="AV24" s="24" t="s">
        <v>299</v>
      </c>
      <c r="AW24" s="32"/>
      <c r="AZ24" s="4"/>
      <c r="BA24" s="4"/>
      <c r="BB24" s="4"/>
      <c r="BC24" s="4"/>
    </row>
    <row r="25" s="29" customFormat="1" ht="14.5" spans="4:55">
      <c r="D25" s="31"/>
      <c r="E25" s="31"/>
      <c r="F25" s="33"/>
      <c r="G25" s="31"/>
      <c r="H25" s="32"/>
      <c r="I25" s="32"/>
      <c r="J25" s="24" t="s">
        <v>143</v>
      </c>
      <c r="K25" s="24" t="s">
        <v>65</v>
      </c>
      <c r="L25" s="24" t="s">
        <v>118</v>
      </c>
      <c r="M25" s="24" t="s">
        <v>11</v>
      </c>
      <c r="N25" s="32" t="s">
        <v>41</v>
      </c>
      <c r="O25" s="32"/>
      <c r="P25" s="24" t="s">
        <v>143</v>
      </c>
      <c r="Q25" s="24" t="s">
        <v>65</v>
      </c>
      <c r="R25" s="24" t="s">
        <v>118</v>
      </c>
      <c r="S25" s="24" t="s">
        <v>11</v>
      </c>
      <c r="T25" s="32" t="s">
        <v>41</v>
      </c>
      <c r="U25" s="32"/>
      <c r="V25" s="24" t="s">
        <v>143</v>
      </c>
      <c r="W25" s="24" t="s">
        <v>65</v>
      </c>
      <c r="X25" s="24" t="s">
        <v>118</v>
      </c>
      <c r="Y25" s="24" t="s">
        <v>11</v>
      </c>
      <c r="Z25" s="32" t="s">
        <v>41</v>
      </c>
      <c r="AA25" s="32"/>
      <c r="AB25" s="24" t="s">
        <v>143</v>
      </c>
      <c r="AC25" s="24" t="s">
        <v>65</v>
      </c>
      <c r="AD25" s="24" t="s">
        <v>118</v>
      </c>
      <c r="AE25" s="24" t="s">
        <v>11</v>
      </c>
      <c r="AF25" s="32" t="s">
        <v>41</v>
      </c>
      <c r="AG25" s="32"/>
      <c r="AH25" s="24" t="s">
        <v>143</v>
      </c>
      <c r="AI25" s="24" t="s">
        <v>65</v>
      </c>
      <c r="AJ25" s="24" t="s">
        <v>118</v>
      </c>
      <c r="AK25" s="24" t="s">
        <v>11</v>
      </c>
      <c r="AL25" s="32" t="s">
        <v>41</v>
      </c>
      <c r="AM25" s="32"/>
      <c r="AN25" s="24" t="s">
        <v>143</v>
      </c>
      <c r="AO25" s="24" t="s">
        <v>65</v>
      </c>
      <c r="AP25" s="24" t="s">
        <v>118</v>
      </c>
      <c r="AQ25" s="24" t="s">
        <v>11</v>
      </c>
      <c r="AR25" s="32" t="s">
        <v>41</v>
      </c>
      <c r="AT25" s="24" t="s">
        <v>143</v>
      </c>
      <c r="AU25" s="24" t="s">
        <v>65</v>
      </c>
      <c r="AV25" s="24" t="s">
        <v>118</v>
      </c>
      <c r="AW25" s="24" t="s">
        <v>11</v>
      </c>
      <c r="AX25" s="32" t="s">
        <v>41</v>
      </c>
      <c r="AZ25" s="4"/>
      <c r="BA25" s="4"/>
      <c r="BB25" s="4"/>
      <c r="BC25" s="4"/>
    </row>
    <row r="26" ht="16" spans="4:55">
      <c r="J26" s="31" t="s">
        <v>147</v>
      </c>
      <c r="K26" s="34" t="str">
        <f t="shared" ref="K26:K29" si="14">K6</f>
        <v>Tra_EV_Batt-NMC111_virgin</v>
      </c>
      <c r="L26" s="26" t="s">
        <v>300</v>
      </c>
      <c r="M26" s="35">
        <f t="shared" ref="M26:M29" si="15">T73/1000</f>
        <v>0.0774</v>
      </c>
      <c r="N26" s="32">
        <v>2020</v>
      </c>
      <c r="O26" s="32"/>
      <c r="P26" s="31" t="s">
        <v>147</v>
      </c>
      <c r="Q26" s="34" t="str">
        <f t="shared" ref="Q26:Q29" si="16">Q6</f>
        <v>Tra_EV_Batt-NMC532_virgin</v>
      </c>
      <c r="R26" s="26" t="s">
        <v>300</v>
      </c>
      <c r="S26" s="41">
        <f t="shared" ref="S26:S29" si="17">S32/1000</f>
        <v>0.072</v>
      </c>
      <c r="T26" s="32">
        <v>2020</v>
      </c>
      <c r="U26" s="32"/>
      <c r="V26" s="31" t="s">
        <v>147</v>
      </c>
      <c r="W26" s="34" t="str">
        <f t="shared" ref="W26:W29" si="18">W6</f>
        <v>Tra_EV_Batt-NMC622_virgin</v>
      </c>
      <c r="X26" s="26" t="s">
        <v>300</v>
      </c>
      <c r="Y26" s="41">
        <f t="shared" ref="Y26:Y29" si="19">Y32/1000</f>
        <v>0.0719</v>
      </c>
      <c r="Z26" s="32">
        <v>2020</v>
      </c>
      <c r="AA26" s="32"/>
      <c r="AB26" s="31" t="s">
        <v>147</v>
      </c>
      <c r="AC26" s="34" t="str">
        <f t="shared" ref="AC26:AC29" si="20">AC6</f>
        <v>Tra_EV_Batt-NMC811_virgin</v>
      </c>
      <c r="AD26" s="26" t="s">
        <v>300</v>
      </c>
      <c r="AE26" s="41">
        <f t="shared" ref="AE26:AE29" si="21">AE32/1000</f>
        <v>0.0731</v>
      </c>
      <c r="AF26" s="32">
        <v>2020</v>
      </c>
      <c r="AG26" s="32"/>
      <c r="AH26" s="31" t="s">
        <v>147</v>
      </c>
      <c r="AI26" s="34" t="str">
        <f t="shared" ref="AI26:AI29" si="22">AI6</f>
        <v>Tra_EV_Batt-NCA_virgin</v>
      </c>
      <c r="AJ26" s="26" t="s">
        <v>300</v>
      </c>
      <c r="AK26" s="41">
        <f t="shared" ref="AK26:AK29" si="23">AK32/1000</f>
        <v>0.0776999999999999</v>
      </c>
      <c r="AL26" s="32">
        <v>2020</v>
      </c>
      <c r="AM26" s="32"/>
      <c r="AN26" s="31" t="s">
        <v>147</v>
      </c>
      <c r="AO26" s="34" t="str">
        <f t="shared" ref="AO26:AO29" si="24">AO6</f>
        <v>Tra_EV_Batt-LMO_virgin</v>
      </c>
      <c r="AP26" s="26" t="s">
        <v>300</v>
      </c>
      <c r="AQ26" s="41">
        <f t="shared" ref="AQ26:AQ29" si="25">AQ32/1000</f>
        <v>0.0431</v>
      </c>
      <c r="AR26" s="32">
        <v>2020</v>
      </c>
      <c r="AS26" s="29"/>
      <c r="AT26" s="31" t="s">
        <v>147</v>
      </c>
      <c r="AU26" s="34" t="str">
        <f t="shared" ref="AU26:AU29" si="26">AU6</f>
        <v>Tra_EV_Batt-LFP_virgin</v>
      </c>
      <c r="AV26" s="26" t="s">
        <v>300</v>
      </c>
      <c r="AW26" s="41">
        <f t="shared" ref="AW26:AW29" si="27">AW32/1000</f>
        <v>0.0478</v>
      </c>
      <c r="AX26" s="32">
        <v>2020</v>
      </c>
    </row>
    <row r="27" ht="16" spans="4:55">
      <c r="J27" s="31" t="s">
        <v>147</v>
      </c>
      <c r="K27" s="34" t="str">
        <f t="shared" si="14"/>
        <v>Tra_EV_Batt-NMC111_virgin</v>
      </c>
      <c r="L27" s="26" t="s">
        <v>301</v>
      </c>
      <c r="M27" s="35">
        <f t="shared" si="15"/>
        <v>0.2366</v>
      </c>
      <c r="N27" s="32">
        <v>2020</v>
      </c>
      <c r="O27" s="32"/>
      <c r="P27" s="31" t="s">
        <v>147</v>
      </c>
      <c r="Q27" s="34" t="str">
        <f t="shared" si="16"/>
        <v>Tra_EV_Batt-NMC532_virgin</v>
      </c>
      <c r="R27" s="26" t="s">
        <v>301</v>
      </c>
      <c r="S27" s="41">
        <f t="shared" si="17"/>
        <v>0.2252</v>
      </c>
      <c r="T27" s="32">
        <v>2020</v>
      </c>
      <c r="U27" s="32"/>
      <c r="V27" s="31" t="s">
        <v>147</v>
      </c>
      <c r="W27" s="34" t="str">
        <f t="shared" si="18"/>
        <v>Tra_EV_Batt-NMC622_virgin</v>
      </c>
      <c r="X27" s="26" t="s">
        <v>301</v>
      </c>
      <c r="Y27" s="41">
        <f t="shared" si="19"/>
        <v>0.2255</v>
      </c>
      <c r="Z27" s="32">
        <v>2020</v>
      </c>
      <c r="AA27" s="32"/>
      <c r="AB27" s="31" t="s">
        <v>147</v>
      </c>
      <c r="AC27" s="34" t="str">
        <f t="shared" si="20"/>
        <v>Tra_EV_Batt-NMC811_virgin</v>
      </c>
      <c r="AD27" s="26" t="s">
        <v>301</v>
      </c>
      <c r="AE27" s="41">
        <f t="shared" si="21"/>
        <v>0.2198</v>
      </c>
      <c r="AF27" s="32">
        <v>2020</v>
      </c>
      <c r="AG27" s="32"/>
      <c r="AH27" s="31" t="s">
        <v>147</v>
      </c>
      <c r="AI27" s="34" t="str">
        <f t="shared" si="22"/>
        <v>Tra_EV_Batt-NCA_virgin</v>
      </c>
      <c r="AJ27" s="26" t="s">
        <v>301</v>
      </c>
      <c r="AK27" s="41">
        <f t="shared" si="23"/>
        <v>0.2322</v>
      </c>
      <c r="AL27" s="32">
        <v>2020</v>
      </c>
      <c r="AM27" s="32"/>
      <c r="AN27" s="31" t="s">
        <v>147</v>
      </c>
      <c r="AO27" s="34" t="str">
        <f t="shared" si="24"/>
        <v>Tra_EV_Batt-LMO_virgin</v>
      </c>
      <c r="AP27" s="26" t="s">
        <v>301</v>
      </c>
      <c r="AQ27" s="41">
        <f t="shared" si="25"/>
        <v>0.1108</v>
      </c>
      <c r="AR27" s="32">
        <v>2020</v>
      </c>
      <c r="AS27" s="29"/>
      <c r="AT27" s="31" t="s">
        <v>147</v>
      </c>
      <c r="AU27" s="34" t="str">
        <f t="shared" si="26"/>
        <v>Tra_EV_Batt-LFP_virgin</v>
      </c>
      <c r="AV27" s="26" t="s">
        <v>301</v>
      </c>
      <c r="AW27" s="41">
        <f t="shared" si="27"/>
        <v>0.1895</v>
      </c>
      <c r="AX27" s="32">
        <v>2020</v>
      </c>
    </row>
    <row r="28" ht="16" spans="4:55">
      <c r="J28" s="31" t="s">
        <v>147</v>
      </c>
      <c r="K28" s="34" t="str">
        <f t="shared" si="14"/>
        <v>Tra_EV_Batt-NMC111_virgin</v>
      </c>
      <c r="L28" s="26" t="s">
        <v>302</v>
      </c>
      <c r="M28" s="35">
        <f t="shared" si="15"/>
        <v>0.5598</v>
      </c>
      <c r="N28" s="32">
        <v>2020</v>
      </c>
      <c r="O28" s="32"/>
      <c r="P28" s="31" t="s">
        <v>147</v>
      </c>
      <c r="Q28" s="34" t="str">
        <f t="shared" si="16"/>
        <v>Tra_EV_Batt-NMC532_virgin</v>
      </c>
      <c r="R28" s="26" t="s">
        <v>302</v>
      </c>
      <c r="S28" s="41">
        <f t="shared" si="17"/>
        <v>0.5321</v>
      </c>
      <c r="T28" s="32">
        <v>2020</v>
      </c>
      <c r="U28" s="32"/>
      <c r="V28" s="31" t="s">
        <v>147</v>
      </c>
      <c r="W28" s="34" t="str">
        <f t="shared" si="18"/>
        <v>Tra_EV_Batt-NMC622_virgin</v>
      </c>
      <c r="X28" s="26" t="s">
        <v>302</v>
      </c>
      <c r="Y28" s="41">
        <f t="shared" si="19"/>
        <v>0.5339</v>
      </c>
      <c r="Z28" s="32">
        <v>2020</v>
      </c>
      <c r="AA28" s="32"/>
      <c r="AB28" s="31" t="s">
        <v>147</v>
      </c>
      <c r="AC28" s="34" t="str">
        <f t="shared" si="20"/>
        <v>Tra_EV_Batt-NMC811_virgin</v>
      </c>
      <c r="AD28" s="26" t="s">
        <v>302</v>
      </c>
      <c r="AE28" s="41">
        <f t="shared" si="21"/>
        <v>0.5264</v>
      </c>
      <c r="AF28" s="32">
        <v>2020</v>
      </c>
      <c r="AG28" s="32"/>
      <c r="AH28" s="31" t="s">
        <v>147</v>
      </c>
      <c r="AI28" s="34" t="str">
        <f t="shared" si="22"/>
        <v>Tra_EV_Batt-NCA_virgin</v>
      </c>
      <c r="AJ28" s="26" t="s">
        <v>302</v>
      </c>
      <c r="AK28" s="41">
        <f t="shared" si="23"/>
        <v>0.5702</v>
      </c>
      <c r="AL28" s="32">
        <v>2020</v>
      </c>
      <c r="AM28" s="32"/>
      <c r="AN28" s="31" t="s">
        <v>147</v>
      </c>
      <c r="AO28" s="34" t="str">
        <f t="shared" si="24"/>
        <v>Tra_EV_Batt-LMO_virgin</v>
      </c>
      <c r="AP28" s="26" t="s">
        <v>302</v>
      </c>
      <c r="AQ28" s="41">
        <f t="shared" si="25"/>
        <v>0.3858</v>
      </c>
      <c r="AR28" s="32">
        <v>2020</v>
      </c>
      <c r="AS28" s="29"/>
      <c r="AT28" s="31" t="s">
        <v>147</v>
      </c>
      <c r="AU28" s="34" t="str">
        <f t="shared" si="26"/>
        <v>Tra_EV_Batt-LFP_virgin</v>
      </c>
      <c r="AV28" s="26" t="s">
        <v>302</v>
      </c>
      <c r="AW28" s="41">
        <f t="shared" si="27"/>
        <v>0.453</v>
      </c>
      <c r="AX28" s="32">
        <v>2020</v>
      </c>
    </row>
    <row r="29" ht="16" spans="4:55">
      <c r="J29" s="31" t="s">
        <v>147</v>
      </c>
      <c r="K29" s="34" t="str">
        <f t="shared" si="14"/>
        <v>Tra_EV_Batt-NMC111_virgin</v>
      </c>
      <c r="L29" s="26" t="s">
        <v>303</v>
      </c>
      <c r="M29" s="35">
        <f t="shared" si="15"/>
        <v>0.1277</v>
      </c>
      <c r="N29" s="32">
        <v>2020</v>
      </c>
      <c r="O29" s="32"/>
      <c r="P29" s="31" t="s">
        <v>147</v>
      </c>
      <c r="Q29" s="34" t="str">
        <f t="shared" si="16"/>
        <v>Tra_EV_Batt-NMC532_virgin</v>
      </c>
      <c r="R29" s="26" t="s">
        <v>303</v>
      </c>
      <c r="S29" s="41">
        <f t="shared" si="17"/>
        <v>0.134</v>
      </c>
      <c r="T29" s="32">
        <v>2020</v>
      </c>
      <c r="U29" s="32"/>
      <c r="V29" s="31" t="s">
        <v>147</v>
      </c>
      <c r="W29" s="34" t="str">
        <f t="shared" si="18"/>
        <v>Tra_EV_Batt-NMC622_virgin</v>
      </c>
      <c r="X29" s="26" t="s">
        <v>303</v>
      </c>
      <c r="Y29" s="41">
        <f t="shared" si="19"/>
        <v>0.1406</v>
      </c>
      <c r="Z29" s="32">
        <v>2020</v>
      </c>
      <c r="AA29" s="32"/>
      <c r="AB29" s="31" t="s">
        <v>147</v>
      </c>
      <c r="AC29" s="34" t="str">
        <f t="shared" si="20"/>
        <v>Tra_EV_Batt-NMC811_virgin</v>
      </c>
      <c r="AD29" s="26" t="s">
        <v>303</v>
      </c>
      <c r="AE29" s="41">
        <f t="shared" si="21"/>
        <v>0.1502</v>
      </c>
      <c r="AF29" s="32">
        <v>2020</v>
      </c>
      <c r="AG29" s="32"/>
      <c r="AH29" s="31" t="s">
        <v>147</v>
      </c>
      <c r="AI29" s="34" t="str">
        <f t="shared" si="22"/>
        <v>Tra_EV_Batt-NCA_virgin</v>
      </c>
      <c r="AJ29" s="26" t="s">
        <v>303</v>
      </c>
      <c r="AK29" s="41">
        <f t="shared" si="23"/>
        <v>0.1611</v>
      </c>
      <c r="AL29" s="32">
        <v>2020</v>
      </c>
      <c r="AM29" s="32"/>
      <c r="AN29" s="31" t="s">
        <v>147</v>
      </c>
      <c r="AO29" s="34" t="str">
        <f t="shared" si="24"/>
        <v>Tra_EV_Batt-LMO_virgin</v>
      </c>
      <c r="AP29" s="26" t="s">
        <v>303</v>
      </c>
      <c r="AQ29" s="41">
        <f t="shared" si="25"/>
        <v>0.0572</v>
      </c>
      <c r="AR29" s="32">
        <v>2020</v>
      </c>
      <c r="AS29" s="29"/>
      <c r="AT29" s="31" t="s">
        <v>147</v>
      </c>
      <c r="AU29" s="34" t="str">
        <f t="shared" si="26"/>
        <v>Tra_EV_Batt-LFP_virgin</v>
      </c>
      <c r="AV29" s="26" t="s">
        <v>303</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304</v>
      </c>
      <c r="R42" s="3"/>
      <c r="S42" s="3"/>
      <c r="T42" s="3"/>
      <c r="U42" s="3"/>
      <c r="V42" s="3"/>
      <c r="W42" s="3"/>
      <c r="X42" s="3"/>
      <c r="Y42" s="3"/>
      <c r="Z42" s="3"/>
    </row>
    <row r="43" ht="15.5" spans="17:49">
      <c r="Q43" s="42" t="s">
        <v>305</v>
      </c>
      <c r="R43" s="42" t="s">
        <v>306</v>
      </c>
      <c r="S43" s="43" t="s">
        <v>307</v>
      </c>
      <c r="T43" s="43"/>
      <c r="U43" s="43"/>
      <c r="V43" s="43"/>
      <c r="W43" s="43"/>
      <c r="X43" s="43"/>
      <c r="Y43" s="43"/>
      <c r="Z43" s="43"/>
    </row>
    <row r="44" ht="15.5" spans="17:49">
      <c r="Q44" s="42"/>
      <c r="R44" s="42"/>
      <c r="S44" s="43" t="s">
        <v>308</v>
      </c>
      <c r="T44" s="43" t="s">
        <v>309</v>
      </c>
      <c r="U44" s="43" t="s">
        <v>310</v>
      </c>
      <c r="V44" s="43" t="s">
        <v>311</v>
      </c>
      <c r="W44" s="43" t="s">
        <v>312</v>
      </c>
      <c r="X44" s="43" t="s">
        <v>313</v>
      </c>
      <c r="Y44" s="43" t="s">
        <v>314</v>
      </c>
      <c r="Z44" s="43" t="s">
        <v>315</v>
      </c>
    </row>
    <row r="45" ht="15.5" spans="17:49">
      <c r="Q45" s="42" t="s">
        <v>316</v>
      </c>
      <c r="R45" s="44" t="s">
        <v>317</v>
      </c>
      <c r="S45" s="45">
        <v>1211.3</v>
      </c>
      <c r="T45" s="45">
        <v>990.7</v>
      </c>
      <c r="U45" s="45">
        <v>952.4</v>
      </c>
      <c r="V45" s="45">
        <v>961</v>
      </c>
      <c r="W45" s="45">
        <v>958.7</v>
      </c>
      <c r="X45" s="45">
        <v>1030.2</v>
      </c>
      <c r="Y45" s="45">
        <v>586.1</v>
      </c>
      <c r="Z45" s="45">
        <v>775</v>
      </c>
    </row>
    <row r="46" ht="15.5" spans="17:49">
      <c r="Q46" s="42"/>
      <c r="R46" s="44" t="s">
        <v>318</v>
      </c>
      <c r="S46" s="45">
        <v>1103.7</v>
      </c>
      <c r="T46" s="45">
        <v>913.9</v>
      </c>
      <c r="U46" s="45">
        <v>881.1</v>
      </c>
      <c r="V46" s="45">
        <v>889.8</v>
      </c>
      <c r="W46" s="45">
        <v>886.2</v>
      </c>
      <c r="X46" s="45">
        <v>953.2</v>
      </c>
      <c r="Y46" s="45">
        <v>543.7</v>
      </c>
      <c r="Z46" s="45">
        <v>727.8</v>
      </c>
    </row>
    <row r="47" ht="15.5" spans="17:49">
      <c r="Q47" s="42"/>
      <c r="R47" s="44" t="s">
        <v>319</v>
      </c>
      <c r="S47" s="45">
        <v>267.3</v>
      </c>
      <c r="T47" s="45">
        <v>202.6</v>
      </c>
      <c r="U47" s="45">
        <v>191.3</v>
      </c>
      <c r="V47" s="45">
        <v>191.5</v>
      </c>
      <c r="W47" s="45">
        <v>185.9</v>
      </c>
      <c r="X47" s="45">
        <v>198.2</v>
      </c>
      <c r="Y47" s="45">
        <v>76.8</v>
      </c>
      <c r="Z47" s="45">
        <v>155.5</v>
      </c>
    </row>
    <row r="48" ht="15.5" spans="17:49">
      <c r="Q48" s="42"/>
      <c r="R48" s="44" t="s">
        <v>320</v>
      </c>
      <c r="S48" s="45">
        <v>692.5</v>
      </c>
      <c r="T48" s="45">
        <v>583.8</v>
      </c>
      <c r="U48" s="45">
        <v>556.1</v>
      </c>
      <c r="V48" s="45">
        <v>557.9</v>
      </c>
      <c r="W48" s="45">
        <v>550.5</v>
      </c>
      <c r="X48" s="45">
        <v>594.2</v>
      </c>
      <c r="Y48" s="45">
        <v>409.9</v>
      </c>
      <c r="Z48" s="45">
        <v>477</v>
      </c>
    </row>
    <row r="49" ht="15.5" spans="17:26">
      <c r="Q49" s="42"/>
      <c r="R49" s="44" t="s">
        <v>321</v>
      </c>
      <c r="S49" s="45">
        <v>144</v>
      </c>
      <c r="T49" s="45">
        <v>127.5</v>
      </c>
      <c r="U49" s="45">
        <v>133.7</v>
      </c>
      <c r="V49" s="45">
        <v>140.3</v>
      </c>
      <c r="W49" s="45">
        <v>149.9</v>
      </c>
      <c r="X49" s="45">
        <v>160.8</v>
      </c>
      <c r="Y49" s="45">
        <v>57</v>
      </c>
      <c r="Z49" s="45">
        <v>95.2</v>
      </c>
    </row>
    <row r="50" ht="15.5" spans="17:26">
      <c r="Q50" s="42" t="s">
        <v>322</v>
      </c>
      <c r="R50" s="44" t="s">
        <v>317</v>
      </c>
      <c r="S50" s="45">
        <v>1217.1</v>
      </c>
      <c r="T50" s="45">
        <v>996.4</v>
      </c>
      <c r="U50" s="45">
        <v>958.2</v>
      </c>
      <c r="V50" s="45">
        <v>966.8</v>
      </c>
      <c r="W50" s="45">
        <v>964.4</v>
      </c>
      <c r="X50" s="45">
        <v>1036</v>
      </c>
      <c r="Y50" s="45">
        <v>591.9</v>
      </c>
      <c r="Z50" s="45">
        <v>780.8</v>
      </c>
    </row>
    <row r="51" ht="15.5" spans="17:26">
      <c r="Q51" s="42"/>
      <c r="R51" s="44" t="s">
        <v>318</v>
      </c>
      <c r="S51" s="45">
        <v>1109.8</v>
      </c>
      <c r="T51" s="45">
        <v>920</v>
      </c>
      <c r="U51" s="45">
        <v>887.2</v>
      </c>
      <c r="V51" s="45">
        <v>895.9</v>
      </c>
      <c r="W51" s="45">
        <v>892.3</v>
      </c>
      <c r="X51" s="45">
        <v>959.3</v>
      </c>
      <c r="Y51" s="45">
        <v>549.8</v>
      </c>
      <c r="Z51" s="45">
        <v>733.9</v>
      </c>
    </row>
    <row r="52" ht="15.5" spans="17:26">
      <c r="Q52" s="42"/>
      <c r="R52" s="44" t="s">
        <v>319</v>
      </c>
      <c r="S52" s="45">
        <v>280.2</v>
      </c>
      <c r="T52" s="45">
        <v>215.6</v>
      </c>
      <c r="U52" s="45">
        <v>204.2</v>
      </c>
      <c r="V52" s="45">
        <v>204.5</v>
      </c>
      <c r="W52" s="45">
        <v>198.8</v>
      </c>
      <c r="X52" s="45">
        <v>211.1</v>
      </c>
      <c r="Y52" s="45">
        <v>89.8</v>
      </c>
      <c r="Z52" s="45">
        <v>168.5</v>
      </c>
    </row>
    <row r="53" ht="15.5" spans="17:26">
      <c r="Q53" s="42"/>
      <c r="R53" s="44" t="s">
        <v>320</v>
      </c>
      <c r="S53" s="45">
        <v>684.6</v>
      </c>
      <c r="T53" s="45">
        <v>575.9</v>
      </c>
      <c r="U53" s="45">
        <v>548.2</v>
      </c>
      <c r="V53" s="45">
        <v>550</v>
      </c>
      <c r="W53" s="45">
        <v>542.6</v>
      </c>
      <c r="X53" s="45">
        <v>586.3</v>
      </c>
      <c r="Y53" s="45">
        <v>402</v>
      </c>
      <c r="Z53" s="45">
        <v>469.1</v>
      </c>
    </row>
    <row r="54" ht="15.5" spans="17:26">
      <c r="Q54" s="42"/>
      <c r="R54" s="44" t="s">
        <v>321</v>
      </c>
      <c r="S54" s="45">
        <v>145</v>
      </c>
      <c r="T54" s="45">
        <v>128.5</v>
      </c>
      <c r="U54" s="45">
        <v>134.7</v>
      </c>
      <c r="V54" s="45">
        <v>141.3</v>
      </c>
      <c r="W54" s="45">
        <v>150.9</v>
      </c>
      <c r="X54" s="45">
        <v>161.9</v>
      </c>
      <c r="Y54" s="45">
        <v>58</v>
      </c>
      <c r="Z54" s="45">
        <v>96.3</v>
      </c>
    </row>
    <row r="55" ht="15.5" spans="17:26">
      <c r="Q55" s="42" t="s">
        <v>11</v>
      </c>
      <c r="R55" s="44" t="s">
        <v>317</v>
      </c>
      <c r="S55" s="45">
        <v>1222.2</v>
      </c>
      <c r="T55" s="45">
        <v>1001.5</v>
      </c>
      <c r="U55" s="45">
        <v>963.3</v>
      </c>
      <c r="V55" s="45">
        <v>971.9</v>
      </c>
      <c r="W55" s="45">
        <v>969.5</v>
      </c>
      <c r="X55" s="45">
        <v>1041.1</v>
      </c>
      <c r="Y55" s="45">
        <v>597</v>
      </c>
      <c r="Z55" s="45">
        <v>785.8</v>
      </c>
    </row>
    <row r="56" ht="15.5" spans="17:26">
      <c r="Q56" s="42"/>
      <c r="R56" s="44" t="s">
        <v>318</v>
      </c>
      <c r="S56" s="45">
        <v>1113.9</v>
      </c>
      <c r="T56" s="45">
        <v>924.1</v>
      </c>
      <c r="U56" s="45">
        <v>891.3</v>
      </c>
      <c r="V56" s="45">
        <v>900</v>
      </c>
      <c r="W56" s="45">
        <v>896.4</v>
      </c>
      <c r="X56" s="45">
        <v>963.4</v>
      </c>
      <c r="Y56" s="45">
        <v>553.9</v>
      </c>
      <c r="Z56" s="45">
        <v>738</v>
      </c>
    </row>
    <row r="57" ht="15.5" spans="17:26">
      <c r="Q57" s="42"/>
      <c r="R57" s="44" t="s">
        <v>319</v>
      </c>
      <c r="S57" s="45">
        <v>301.2</v>
      </c>
      <c r="T57" s="45">
        <v>236.6</v>
      </c>
      <c r="U57" s="45">
        <v>225.2</v>
      </c>
      <c r="V57" s="45">
        <v>225.5</v>
      </c>
      <c r="W57" s="45">
        <v>219.8</v>
      </c>
      <c r="X57" s="45">
        <v>232.2</v>
      </c>
      <c r="Y57" s="45">
        <v>110.8</v>
      </c>
      <c r="Z57" s="45">
        <v>189.5</v>
      </c>
    </row>
    <row r="58" ht="15.5" spans="17:26">
      <c r="Q58" s="42"/>
      <c r="R58" s="44" t="s">
        <v>320</v>
      </c>
      <c r="S58" s="45">
        <v>668.4</v>
      </c>
      <c r="T58" s="45">
        <v>559.8</v>
      </c>
      <c r="U58" s="45">
        <v>532.1</v>
      </c>
      <c r="V58" s="45">
        <v>533.9</v>
      </c>
      <c r="W58" s="45">
        <v>526.4</v>
      </c>
      <c r="X58" s="45">
        <v>570.2</v>
      </c>
      <c r="Y58" s="45">
        <v>385.8</v>
      </c>
      <c r="Z58" s="45">
        <v>453</v>
      </c>
    </row>
    <row r="59" ht="15.5" spans="17:26">
      <c r="Q59" s="42"/>
      <c r="R59" s="44" t="s">
        <v>321</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323</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308</v>
      </c>
      <c r="T64" s="43" t="s">
        <v>309</v>
      </c>
      <c r="U64" s="43" t="s">
        <v>310</v>
      </c>
      <c r="V64" s="43" t="s">
        <v>311</v>
      </c>
      <c r="W64" s="43" t="s">
        <v>312</v>
      </c>
      <c r="X64" s="43" t="s">
        <v>313</v>
      </c>
      <c r="Y64" s="43" t="s">
        <v>314</v>
      </c>
      <c r="Z64" s="43" t="s">
        <v>315</v>
      </c>
    </row>
    <row r="65" ht="14.5" spans="17:26">
      <c r="Q65" s="46" t="s">
        <v>316</v>
      </c>
      <c r="R65" s="46" t="s">
        <v>128</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319</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320</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321</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322</v>
      </c>
      <c r="R69" s="46" t="s">
        <v>128</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319</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320</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321</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128</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319</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320</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321</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324</v>
      </c>
      <c r="R79" s="46" t="s">
        <v>128</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319</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320</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321</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299</v>
      </c>
      <c r="S94" s="4" t="s">
        <v>299</v>
      </c>
      <c r="Y94" s="4" t="s">
        <v>299</v>
      </c>
      <c r="AE94" s="4" t="s">
        <v>299</v>
      </c>
      <c r="AK94" s="4" t="s">
        <v>299</v>
      </c>
      <c r="AQ94" s="4" t="s">
        <v>299</v>
      </c>
      <c r="AW94" s="4" t="s">
        <v>299</v>
      </c>
    </row>
    <row r="95" spans="11:51">
      <c r="K95" s="4" t="s">
        <v>143</v>
      </c>
      <c r="L95" s="4" t="s">
        <v>65</v>
      </c>
      <c r="M95" s="4" t="s">
        <v>118</v>
      </c>
      <c r="N95" s="4" t="s">
        <v>25</v>
      </c>
      <c r="O95" s="4" t="s">
        <v>41</v>
      </c>
      <c r="Q95" s="4" t="s">
        <v>143</v>
      </c>
      <c r="R95" s="4" t="s">
        <v>65</v>
      </c>
      <c r="S95" s="4" t="s">
        <v>118</v>
      </c>
      <c r="T95" s="4" t="s">
        <v>25</v>
      </c>
      <c r="U95" s="4" t="s">
        <v>41</v>
      </c>
      <c r="W95" s="4" t="s">
        <v>143</v>
      </c>
      <c r="X95" s="4" t="s">
        <v>65</v>
      </c>
      <c r="Y95" s="4" t="s">
        <v>118</v>
      </c>
      <c r="Z95" s="4" t="s">
        <v>25</v>
      </c>
      <c r="AA95" s="4" t="s">
        <v>41</v>
      </c>
      <c r="AC95" s="4" t="s">
        <v>143</v>
      </c>
      <c r="AD95" s="4" t="s">
        <v>65</v>
      </c>
      <c r="AE95" s="4" t="s">
        <v>118</v>
      </c>
      <c r="AF95" s="4" t="s">
        <v>25</v>
      </c>
      <c r="AG95" s="4" t="s">
        <v>41</v>
      </c>
      <c r="AI95" s="4" t="s">
        <v>143</v>
      </c>
      <c r="AJ95" s="4" t="s">
        <v>65</v>
      </c>
      <c r="AK95" s="4" t="s">
        <v>118</v>
      </c>
      <c r="AL95" s="4" t="s">
        <v>25</v>
      </c>
      <c r="AM95" s="4" t="s">
        <v>41</v>
      </c>
      <c r="AO95" s="4" t="s">
        <v>143</v>
      </c>
      <c r="AP95" s="4" t="s">
        <v>65</v>
      </c>
      <c r="AQ95" s="4" t="s">
        <v>118</v>
      </c>
      <c r="AR95" s="4" t="s">
        <v>25</v>
      </c>
      <c r="AS95" s="4" t="s">
        <v>41</v>
      </c>
      <c r="AU95" s="4" t="s">
        <v>143</v>
      </c>
      <c r="AV95" s="4" t="s">
        <v>65</v>
      </c>
      <c r="AW95" s="4" t="s">
        <v>118</v>
      </c>
      <c r="AX95" s="4" t="s">
        <v>25</v>
      </c>
      <c r="AY95" s="4" t="s">
        <v>41</v>
      </c>
    </row>
    <row r="96" spans="11:51">
      <c r="K96" s="4" t="s">
        <v>147</v>
      </c>
      <c r="L96" s="4" t="s">
        <v>81</v>
      </c>
      <c r="M96" s="4" t="s">
        <v>300</v>
      </c>
      <c r="N96" s="4">
        <f>SUM(M6:M9)</f>
        <v>0.9907</v>
      </c>
      <c r="O96" s="4" t="s">
        <v>325</v>
      </c>
      <c r="Q96" s="4" t="s">
        <v>147</v>
      </c>
      <c r="R96" s="4" t="s">
        <v>86</v>
      </c>
      <c r="S96" s="4" t="s">
        <v>300</v>
      </c>
      <c r="T96" s="4">
        <f>SUM(S6:S9)</f>
        <v>0.9524</v>
      </c>
      <c r="U96" s="4" t="s">
        <v>325</v>
      </c>
      <c r="W96" s="4" t="s">
        <v>147</v>
      </c>
      <c r="X96" s="4" t="s">
        <v>90</v>
      </c>
      <c r="Y96" s="4" t="s">
        <v>300</v>
      </c>
      <c r="Z96" s="4">
        <f>SUM(Y6:Y9)</f>
        <v>0.9609</v>
      </c>
      <c r="AA96" s="4" t="s">
        <v>325</v>
      </c>
      <c r="AC96" s="4" t="s">
        <v>147</v>
      </c>
      <c r="AD96" s="4" t="s">
        <v>94</v>
      </c>
      <c r="AE96" s="4" t="s">
        <v>300</v>
      </c>
      <c r="AF96" s="4">
        <f>SUM(AE6:AE9)</f>
        <v>0.9588</v>
      </c>
      <c r="AG96" s="4" t="s">
        <v>325</v>
      </c>
      <c r="AI96" s="4" t="s">
        <v>147</v>
      </c>
      <c r="AJ96" s="4" t="s">
        <v>77</v>
      </c>
      <c r="AK96" s="4" t="s">
        <v>300</v>
      </c>
      <c r="AL96" s="4">
        <f>SUM(AK6:AK9)</f>
        <v>1.0302</v>
      </c>
      <c r="AM96" s="4" t="s">
        <v>325</v>
      </c>
      <c r="AO96" s="4" t="s">
        <v>147</v>
      </c>
      <c r="AP96" s="4" t="s">
        <v>73</v>
      </c>
      <c r="AQ96" s="4" t="s">
        <v>300</v>
      </c>
      <c r="AR96" s="4">
        <f>SUM(AQ6:AQ9)</f>
        <v>0.5861</v>
      </c>
      <c r="AS96" s="4" t="s">
        <v>325</v>
      </c>
      <c r="AU96" s="4" t="s">
        <v>147</v>
      </c>
      <c r="AV96" s="4" t="s">
        <v>68</v>
      </c>
      <c r="AW96" s="4" t="s">
        <v>300</v>
      </c>
      <c r="AX96" s="4">
        <f>SUM(AW6:AW9)</f>
        <v>0.7749</v>
      </c>
      <c r="AY96" s="4" t="s">
        <v>325</v>
      </c>
    </row>
    <row r="97" spans="11:51">
      <c r="K97" s="4" t="s">
        <v>147</v>
      </c>
      <c r="L97" s="4" t="s">
        <v>81</v>
      </c>
      <c r="M97" s="4" t="s">
        <v>301</v>
      </c>
      <c r="N97" s="4">
        <v>0</v>
      </c>
      <c r="O97" s="4" t="s">
        <v>325</v>
      </c>
      <c r="Q97" s="4" t="s">
        <v>147</v>
      </c>
      <c r="R97" s="4" t="s">
        <v>86</v>
      </c>
      <c r="S97" s="4" t="s">
        <v>301</v>
      </c>
      <c r="T97" s="4">
        <v>0</v>
      </c>
      <c r="U97" s="4" t="s">
        <v>325</v>
      </c>
      <c r="W97" s="4" t="s">
        <v>147</v>
      </c>
      <c r="X97" s="4" t="s">
        <v>90</v>
      </c>
      <c r="Y97" s="4" t="s">
        <v>301</v>
      </c>
      <c r="Z97" s="4">
        <v>0</v>
      </c>
      <c r="AA97" s="4" t="s">
        <v>325</v>
      </c>
      <c r="AC97" s="4" t="s">
        <v>147</v>
      </c>
      <c r="AD97" s="4" t="s">
        <v>94</v>
      </c>
      <c r="AE97" s="4" t="s">
        <v>301</v>
      </c>
      <c r="AF97" s="4">
        <v>0</v>
      </c>
      <c r="AG97" s="4" t="s">
        <v>325</v>
      </c>
      <c r="AI97" s="4" t="s">
        <v>147</v>
      </c>
      <c r="AJ97" s="4" t="s">
        <v>77</v>
      </c>
      <c r="AK97" s="4" t="s">
        <v>301</v>
      </c>
      <c r="AL97" s="4">
        <v>0</v>
      </c>
      <c r="AM97" s="4" t="s">
        <v>325</v>
      </c>
      <c r="AO97" s="4" t="s">
        <v>147</v>
      </c>
      <c r="AP97" s="4" t="s">
        <v>73</v>
      </c>
      <c r="AQ97" s="4" t="s">
        <v>301</v>
      </c>
      <c r="AR97" s="4">
        <v>0</v>
      </c>
      <c r="AS97" s="4" t="s">
        <v>325</v>
      </c>
      <c r="AU97" s="4" t="s">
        <v>147</v>
      </c>
      <c r="AV97" s="4" t="s">
        <v>68</v>
      </c>
      <c r="AW97" s="4" t="s">
        <v>301</v>
      </c>
      <c r="AX97" s="4">
        <v>0</v>
      </c>
      <c r="AY97" s="4" t="s">
        <v>325</v>
      </c>
    </row>
    <row r="98" spans="11:51">
      <c r="K98" s="4" t="s">
        <v>147</v>
      </c>
      <c r="L98" s="4" t="s">
        <v>81</v>
      </c>
      <c r="M98" s="4" t="s">
        <v>302</v>
      </c>
      <c r="N98" s="4">
        <v>0</v>
      </c>
      <c r="O98" s="4" t="s">
        <v>325</v>
      </c>
      <c r="Q98" s="4" t="s">
        <v>147</v>
      </c>
      <c r="R98" s="4" t="s">
        <v>86</v>
      </c>
      <c r="S98" s="4" t="s">
        <v>302</v>
      </c>
      <c r="T98" s="4">
        <v>0</v>
      </c>
      <c r="U98" s="4" t="s">
        <v>325</v>
      </c>
      <c r="W98" s="4" t="s">
        <v>147</v>
      </c>
      <c r="X98" s="4" t="s">
        <v>90</v>
      </c>
      <c r="Y98" s="4" t="s">
        <v>302</v>
      </c>
      <c r="Z98" s="4">
        <v>0</v>
      </c>
      <c r="AA98" s="4" t="s">
        <v>325</v>
      </c>
      <c r="AC98" s="4" t="s">
        <v>147</v>
      </c>
      <c r="AD98" s="4" t="s">
        <v>94</v>
      </c>
      <c r="AE98" s="4" t="s">
        <v>302</v>
      </c>
      <c r="AF98" s="4">
        <v>0</v>
      </c>
      <c r="AG98" s="4" t="s">
        <v>325</v>
      </c>
      <c r="AI98" s="4" t="s">
        <v>147</v>
      </c>
      <c r="AJ98" s="4" t="s">
        <v>77</v>
      </c>
      <c r="AK98" s="4" t="s">
        <v>302</v>
      </c>
      <c r="AL98" s="4">
        <v>0</v>
      </c>
      <c r="AM98" s="4" t="s">
        <v>325</v>
      </c>
      <c r="AO98" s="4" t="s">
        <v>147</v>
      </c>
      <c r="AP98" s="4" t="s">
        <v>73</v>
      </c>
      <c r="AQ98" s="4" t="s">
        <v>302</v>
      </c>
      <c r="AR98" s="4">
        <v>0</v>
      </c>
      <c r="AS98" s="4" t="s">
        <v>325</v>
      </c>
      <c r="AU98" s="4" t="s">
        <v>147</v>
      </c>
      <c r="AV98" s="4" t="s">
        <v>68</v>
      </c>
      <c r="AW98" s="4" t="s">
        <v>302</v>
      </c>
      <c r="AX98" s="4">
        <v>0</v>
      </c>
      <c r="AY98" s="4" t="s">
        <v>325</v>
      </c>
    </row>
    <row r="99" spans="11:51">
      <c r="K99" s="4" t="s">
        <v>147</v>
      </c>
      <c r="L99" s="4" t="s">
        <v>81</v>
      </c>
      <c r="M99" s="4" t="s">
        <v>303</v>
      </c>
      <c r="N99" s="4">
        <v>0</v>
      </c>
      <c r="O99" s="4" t="s">
        <v>325</v>
      </c>
      <c r="Q99" s="4" t="s">
        <v>147</v>
      </c>
      <c r="R99" s="4" t="s">
        <v>86</v>
      </c>
      <c r="S99" s="4" t="s">
        <v>303</v>
      </c>
      <c r="T99" s="4">
        <v>0</v>
      </c>
      <c r="U99" s="4" t="s">
        <v>325</v>
      </c>
      <c r="W99" s="4" t="s">
        <v>147</v>
      </c>
      <c r="X99" s="4" t="s">
        <v>90</v>
      </c>
      <c r="Y99" s="4" t="s">
        <v>303</v>
      </c>
      <c r="Z99" s="4">
        <v>0</v>
      </c>
      <c r="AA99" s="4" t="s">
        <v>325</v>
      </c>
      <c r="AC99" s="4" t="s">
        <v>147</v>
      </c>
      <c r="AD99" s="4" t="s">
        <v>94</v>
      </c>
      <c r="AE99" s="4" t="s">
        <v>303</v>
      </c>
      <c r="AF99" s="4">
        <v>0</v>
      </c>
      <c r="AG99" s="4" t="s">
        <v>325</v>
      </c>
      <c r="AI99" s="4" t="s">
        <v>147</v>
      </c>
      <c r="AJ99" s="4" t="s">
        <v>77</v>
      </c>
      <c r="AK99" s="4" t="s">
        <v>303</v>
      </c>
      <c r="AL99" s="4">
        <v>0</v>
      </c>
      <c r="AM99" s="4" t="s">
        <v>325</v>
      </c>
      <c r="AO99" s="4" t="s">
        <v>147</v>
      </c>
      <c r="AP99" s="4" t="s">
        <v>73</v>
      </c>
      <c r="AQ99" s="4" t="s">
        <v>303</v>
      </c>
      <c r="AR99" s="4">
        <v>0</v>
      </c>
      <c r="AS99" s="4" t="s">
        <v>325</v>
      </c>
      <c r="AU99" s="4" t="s">
        <v>147</v>
      </c>
      <c r="AV99" s="4" t="s">
        <v>68</v>
      </c>
      <c r="AW99" s="4" t="s">
        <v>303</v>
      </c>
      <c r="AX99" s="4">
        <v>0</v>
      </c>
      <c r="AY99" s="4" t="s">
        <v>325</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299</v>
      </c>
      <c r="S114" s="4" t="s">
        <v>299</v>
      </c>
      <c r="Y114" s="4" t="s">
        <v>299</v>
      </c>
      <c r="AE114" s="4" t="s">
        <v>299</v>
      </c>
      <c r="AK114" s="4" t="s">
        <v>299</v>
      </c>
      <c r="AQ114" s="4" t="s">
        <v>299</v>
      </c>
      <c r="AW114" s="4" t="s">
        <v>299</v>
      </c>
    </row>
    <row r="115" spans="11:51">
      <c r="K115" s="4" t="s">
        <v>143</v>
      </c>
      <c r="L115" s="4" t="s">
        <v>65</v>
      </c>
      <c r="M115" s="4" t="s">
        <v>118</v>
      </c>
      <c r="N115" s="4" t="s">
        <v>11</v>
      </c>
      <c r="O115" s="4" t="s">
        <v>41</v>
      </c>
      <c r="Q115" s="4" t="s">
        <v>143</v>
      </c>
      <c r="R115" s="4" t="s">
        <v>65</v>
      </c>
      <c r="S115" s="4" t="s">
        <v>118</v>
      </c>
      <c r="T115" s="4" t="s">
        <v>11</v>
      </c>
      <c r="U115" s="4" t="s">
        <v>41</v>
      </c>
      <c r="W115" s="4" t="s">
        <v>143</v>
      </c>
      <c r="X115" s="4" t="s">
        <v>65</v>
      </c>
      <c r="Y115" s="4" t="s">
        <v>118</v>
      </c>
      <c r="Z115" s="4" t="s">
        <v>11</v>
      </c>
      <c r="AA115" s="4" t="s">
        <v>41</v>
      </c>
      <c r="AC115" s="4" t="s">
        <v>143</v>
      </c>
      <c r="AD115" s="4" t="s">
        <v>65</v>
      </c>
      <c r="AE115" s="4" t="s">
        <v>118</v>
      </c>
      <c r="AF115" s="4" t="s">
        <v>11</v>
      </c>
      <c r="AG115" s="4" t="s">
        <v>41</v>
      </c>
      <c r="AI115" s="4" t="s">
        <v>143</v>
      </c>
      <c r="AJ115" s="4" t="s">
        <v>65</v>
      </c>
      <c r="AK115" s="4" t="s">
        <v>118</v>
      </c>
      <c r="AL115" s="4" t="s">
        <v>11</v>
      </c>
      <c r="AM115" s="4" t="s">
        <v>41</v>
      </c>
      <c r="AO115" s="4" t="s">
        <v>143</v>
      </c>
      <c r="AP115" s="4" t="s">
        <v>65</v>
      </c>
      <c r="AQ115" s="4" t="s">
        <v>118</v>
      </c>
      <c r="AR115" s="4" t="s">
        <v>11</v>
      </c>
      <c r="AS115" s="4" t="s">
        <v>41</v>
      </c>
      <c r="AU115" s="4" t="s">
        <v>143</v>
      </c>
      <c r="AV115" s="4" t="s">
        <v>65</v>
      </c>
      <c r="AW115" s="4" t="s">
        <v>118</v>
      </c>
      <c r="AX115" s="4" t="s">
        <v>11</v>
      </c>
      <c r="AY115" s="4" t="s">
        <v>41</v>
      </c>
    </row>
    <row r="116" spans="11:51">
      <c r="K116" s="4" t="s">
        <v>147</v>
      </c>
      <c r="L116" s="4" t="s">
        <v>81</v>
      </c>
      <c r="M116" s="4" t="s">
        <v>300</v>
      </c>
      <c r="N116" s="4">
        <f>SUM(M26:M29)</f>
        <v>1.0015</v>
      </c>
      <c r="O116" s="4" t="s">
        <v>325</v>
      </c>
      <c r="Q116" s="4" t="s">
        <v>147</v>
      </c>
      <c r="R116" s="4" t="s">
        <v>86</v>
      </c>
      <c r="S116" s="4" t="s">
        <v>300</v>
      </c>
      <c r="T116" s="4">
        <f>SUM(S26:S29)</f>
        <v>0.9633</v>
      </c>
      <c r="U116" s="4" t="s">
        <v>325</v>
      </c>
      <c r="W116" s="4" t="s">
        <v>147</v>
      </c>
      <c r="X116" s="4" t="s">
        <v>90</v>
      </c>
      <c r="Y116" s="4" t="s">
        <v>300</v>
      </c>
      <c r="Z116" s="4">
        <f>SUM(Y26:Y29)</f>
        <v>0.9719</v>
      </c>
      <c r="AA116" s="4" t="s">
        <v>325</v>
      </c>
      <c r="AC116" s="4" t="s">
        <v>147</v>
      </c>
      <c r="AD116" s="4" t="s">
        <v>94</v>
      </c>
      <c r="AE116" s="4" t="s">
        <v>300</v>
      </c>
      <c r="AF116" s="4">
        <f>SUM(AE26:AE29)</f>
        <v>0.9695</v>
      </c>
      <c r="AG116" s="4" t="s">
        <v>325</v>
      </c>
      <c r="AI116" s="4" t="s">
        <v>147</v>
      </c>
      <c r="AJ116" s="4" t="s">
        <v>77</v>
      </c>
      <c r="AK116" s="4" t="s">
        <v>300</v>
      </c>
      <c r="AL116" s="4">
        <f>SUM(AK26:AK29)</f>
        <v>1.0412</v>
      </c>
      <c r="AM116" s="4" t="s">
        <v>325</v>
      </c>
      <c r="AO116" s="4" t="s">
        <v>147</v>
      </c>
      <c r="AP116" s="4" t="s">
        <v>73</v>
      </c>
      <c r="AQ116" s="4" t="s">
        <v>300</v>
      </c>
      <c r="AR116" s="4">
        <f>SUM(AQ26:AQ29)</f>
        <v>0.5969</v>
      </c>
      <c r="AS116" s="4" t="s">
        <v>325</v>
      </c>
      <c r="AU116" s="4" t="s">
        <v>147</v>
      </c>
      <c r="AV116" s="4" t="s">
        <v>68</v>
      </c>
      <c r="AW116" s="4" t="s">
        <v>300</v>
      </c>
      <c r="AX116" s="4">
        <f>SUM(AW26:AW29)</f>
        <v>0.7858</v>
      </c>
      <c r="AY116" s="4" t="s">
        <v>325</v>
      </c>
    </row>
    <row r="117" spans="11:51">
      <c r="K117" s="4" t="s">
        <v>147</v>
      </c>
      <c r="L117" s="4" t="s">
        <v>81</v>
      </c>
      <c r="M117" s="4" t="s">
        <v>301</v>
      </c>
      <c r="N117" s="4">
        <v>0</v>
      </c>
      <c r="O117" s="4" t="s">
        <v>325</v>
      </c>
      <c r="Q117" s="4" t="s">
        <v>147</v>
      </c>
      <c r="R117" s="4" t="s">
        <v>86</v>
      </c>
      <c r="S117" s="4" t="s">
        <v>301</v>
      </c>
      <c r="T117" s="4">
        <v>0</v>
      </c>
      <c r="U117" s="4" t="s">
        <v>325</v>
      </c>
      <c r="W117" s="4" t="s">
        <v>147</v>
      </c>
      <c r="X117" s="4" t="s">
        <v>90</v>
      </c>
      <c r="Y117" s="4" t="s">
        <v>301</v>
      </c>
      <c r="Z117" s="4">
        <v>0</v>
      </c>
      <c r="AA117" s="4" t="s">
        <v>325</v>
      </c>
      <c r="AC117" s="4" t="s">
        <v>147</v>
      </c>
      <c r="AD117" s="4" t="s">
        <v>94</v>
      </c>
      <c r="AE117" s="4" t="s">
        <v>301</v>
      </c>
      <c r="AF117" s="4">
        <v>0</v>
      </c>
      <c r="AG117" s="4" t="s">
        <v>325</v>
      </c>
      <c r="AI117" s="4" t="s">
        <v>147</v>
      </c>
      <c r="AJ117" s="4" t="s">
        <v>77</v>
      </c>
      <c r="AK117" s="4" t="s">
        <v>301</v>
      </c>
      <c r="AL117" s="4">
        <v>0</v>
      </c>
      <c r="AM117" s="4" t="s">
        <v>325</v>
      </c>
      <c r="AO117" s="4" t="s">
        <v>147</v>
      </c>
      <c r="AP117" s="4" t="s">
        <v>73</v>
      </c>
      <c r="AQ117" s="4" t="s">
        <v>301</v>
      </c>
      <c r="AR117" s="4">
        <v>0</v>
      </c>
      <c r="AS117" s="4" t="s">
        <v>325</v>
      </c>
      <c r="AU117" s="4" t="s">
        <v>147</v>
      </c>
      <c r="AV117" s="4" t="s">
        <v>68</v>
      </c>
      <c r="AW117" s="4" t="s">
        <v>301</v>
      </c>
      <c r="AX117" s="4">
        <v>0</v>
      </c>
      <c r="AY117" s="4" t="s">
        <v>325</v>
      </c>
    </row>
    <row r="118" spans="11:51">
      <c r="K118" s="4" t="s">
        <v>147</v>
      </c>
      <c r="L118" s="4" t="s">
        <v>81</v>
      </c>
      <c r="M118" s="4" t="s">
        <v>302</v>
      </c>
      <c r="N118" s="4">
        <v>0</v>
      </c>
      <c r="O118" s="4" t="s">
        <v>325</v>
      </c>
      <c r="Q118" s="4" t="s">
        <v>147</v>
      </c>
      <c r="R118" s="4" t="s">
        <v>86</v>
      </c>
      <c r="S118" s="4" t="s">
        <v>302</v>
      </c>
      <c r="T118" s="4">
        <v>0</v>
      </c>
      <c r="U118" s="4" t="s">
        <v>325</v>
      </c>
      <c r="W118" s="4" t="s">
        <v>147</v>
      </c>
      <c r="X118" s="4" t="s">
        <v>90</v>
      </c>
      <c r="Y118" s="4" t="s">
        <v>302</v>
      </c>
      <c r="Z118" s="4">
        <v>0</v>
      </c>
      <c r="AA118" s="4" t="s">
        <v>325</v>
      </c>
      <c r="AC118" s="4" t="s">
        <v>147</v>
      </c>
      <c r="AD118" s="4" t="s">
        <v>94</v>
      </c>
      <c r="AE118" s="4" t="s">
        <v>302</v>
      </c>
      <c r="AF118" s="4">
        <v>0</v>
      </c>
      <c r="AG118" s="4" t="s">
        <v>325</v>
      </c>
      <c r="AI118" s="4" t="s">
        <v>147</v>
      </c>
      <c r="AJ118" s="4" t="s">
        <v>77</v>
      </c>
      <c r="AK118" s="4" t="s">
        <v>302</v>
      </c>
      <c r="AL118" s="4">
        <v>0</v>
      </c>
      <c r="AM118" s="4" t="s">
        <v>325</v>
      </c>
      <c r="AO118" s="4" t="s">
        <v>147</v>
      </c>
      <c r="AP118" s="4" t="s">
        <v>73</v>
      </c>
      <c r="AQ118" s="4" t="s">
        <v>302</v>
      </c>
      <c r="AR118" s="4">
        <v>0</v>
      </c>
      <c r="AS118" s="4" t="s">
        <v>325</v>
      </c>
      <c r="AU118" s="4" t="s">
        <v>147</v>
      </c>
      <c r="AV118" s="4" t="s">
        <v>68</v>
      </c>
      <c r="AW118" s="4" t="s">
        <v>302</v>
      </c>
      <c r="AX118" s="4">
        <v>0</v>
      </c>
      <c r="AY118" s="4" t="s">
        <v>325</v>
      </c>
    </row>
    <row r="119" spans="11:51">
      <c r="K119" s="4" t="s">
        <v>147</v>
      </c>
      <c r="L119" s="4" t="s">
        <v>81</v>
      </c>
      <c r="M119" s="4" t="s">
        <v>303</v>
      </c>
      <c r="N119" s="4">
        <v>0</v>
      </c>
      <c r="O119" s="4" t="s">
        <v>325</v>
      </c>
      <c r="Q119" s="4" t="s">
        <v>147</v>
      </c>
      <c r="R119" s="4" t="s">
        <v>86</v>
      </c>
      <c r="S119" s="4" t="s">
        <v>303</v>
      </c>
      <c r="T119" s="4">
        <v>0</v>
      </c>
      <c r="U119" s="4" t="s">
        <v>325</v>
      </c>
      <c r="W119" s="4" t="s">
        <v>147</v>
      </c>
      <c r="X119" s="4" t="s">
        <v>90</v>
      </c>
      <c r="Y119" s="4" t="s">
        <v>303</v>
      </c>
      <c r="Z119" s="4">
        <v>0</v>
      </c>
      <c r="AA119" s="4" t="s">
        <v>325</v>
      </c>
      <c r="AC119" s="4" t="s">
        <v>147</v>
      </c>
      <c r="AD119" s="4" t="s">
        <v>94</v>
      </c>
      <c r="AE119" s="4" t="s">
        <v>303</v>
      </c>
      <c r="AF119" s="4">
        <v>0</v>
      </c>
      <c r="AG119" s="4" t="s">
        <v>325</v>
      </c>
      <c r="AI119" s="4" t="s">
        <v>147</v>
      </c>
      <c r="AJ119" s="4" t="s">
        <v>77</v>
      </c>
      <c r="AK119" s="4" t="s">
        <v>303</v>
      </c>
      <c r="AL119" s="4">
        <v>0</v>
      </c>
      <c r="AM119" s="4" t="s">
        <v>325</v>
      </c>
      <c r="AO119" s="4" t="s">
        <v>147</v>
      </c>
      <c r="AP119" s="4" t="s">
        <v>73</v>
      </c>
      <c r="AQ119" s="4" t="s">
        <v>303</v>
      </c>
      <c r="AR119" s="4">
        <v>0</v>
      </c>
      <c r="AS119" s="4" t="s">
        <v>325</v>
      </c>
      <c r="AU119" s="4" t="s">
        <v>147</v>
      </c>
      <c r="AV119" s="4" t="s">
        <v>68</v>
      </c>
      <c r="AW119" s="4" t="s">
        <v>303</v>
      </c>
      <c r="AX119" s="4">
        <v>0</v>
      </c>
      <c r="AY119" s="4" t="s">
        <v>325</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326</v>
      </c>
      <c r="B1" s="5"/>
      <c r="C1" s="5"/>
      <c r="D1" s="5"/>
      <c r="E1" s="5"/>
      <c r="F1" s="5"/>
      <c r="G1" s="5"/>
      <c r="H1" s="5"/>
      <c r="I1" s="5"/>
      <c r="J1" s="5"/>
      <c r="K1" s="6"/>
      <c r="L1" s="6" t="s">
        <v>327</v>
      </c>
      <c r="M1" s="6"/>
      <c r="N1" s="6"/>
      <c r="O1" s="6"/>
      <c r="P1" s="6"/>
      <c r="Q1" s="6"/>
      <c r="R1" s="6"/>
      <c r="S1" s="6"/>
      <c r="T1" s="6"/>
      <c r="U1" s="6"/>
      <c r="V1" s="6"/>
      <c r="W1" s="6" t="s">
        <v>328</v>
      </c>
      <c r="X1" s="6"/>
      <c r="Y1" s="6"/>
      <c r="Z1" s="6"/>
      <c r="AA1" s="6"/>
      <c r="AB1" s="7" t="s">
        <v>329</v>
      </c>
      <c r="AC1" s="7"/>
      <c r="AD1" s="6"/>
      <c r="AE1" s="6"/>
      <c r="AF1" s="6" t="s">
        <v>330</v>
      </c>
      <c r="AG1" s="6"/>
      <c r="AH1" s="6"/>
      <c r="AI1" s="6"/>
      <c r="AJ1" s="6"/>
      <c r="AK1" s="6"/>
      <c r="AL1" s="6"/>
      <c r="AM1" s="6"/>
      <c r="AN1" s="6"/>
      <c r="AO1" s="6" t="s">
        <v>331</v>
      </c>
      <c r="AP1" s="6"/>
      <c r="AQ1" s="6"/>
      <c r="AR1" s="6"/>
      <c r="AS1" s="6"/>
      <c r="AT1" s="6"/>
      <c r="AU1" s="6"/>
      <c r="AZ1" s="5" t="s">
        <v>326</v>
      </c>
      <c r="BA1" s="5"/>
      <c r="BB1" s="5"/>
      <c r="BC1" s="5"/>
      <c r="BD1" s="5"/>
      <c r="BE1" s="5"/>
      <c r="BF1" s="5"/>
      <c r="BG1" s="5"/>
      <c r="BH1" s="5"/>
      <c r="BI1" s="5"/>
      <c r="BJ1" s="6"/>
      <c r="BK1" s="6"/>
      <c r="BL1" s="6"/>
      <c r="BM1" s="6"/>
      <c r="BN1" s="6"/>
      <c r="BO1" s="6"/>
    </row>
    <row r="2" ht="30" spans="1:67">
      <c r="A2" s="5" t="s">
        <v>305</v>
      </c>
      <c r="B2" s="5" t="s">
        <v>332</v>
      </c>
      <c r="C2" s="5" t="s">
        <v>307</v>
      </c>
      <c r="D2" s="5"/>
      <c r="E2" s="5"/>
      <c r="F2" s="5"/>
      <c r="G2" s="5"/>
      <c r="H2" s="5"/>
      <c r="I2" s="5"/>
      <c r="J2" s="5"/>
      <c r="K2" s="6"/>
      <c r="L2" s="6"/>
      <c r="M2" s="6"/>
      <c r="N2" s="6"/>
      <c r="O2" s="6"/>
      <c r="P2" s="6"/>
      <c r="Q2" s="6"/>
      <c r="R2" s="6"/>
      <c r="S2" s="6"/>
      <c r="T2" s="6"/>
      <c r="U2" s="6"/>
      <c r="V2" s="8" t="s">
        <v>333</v>
      </c>
      <c r="W2" s="6"/>
      <c r="X2" s="6"/>
      <c r="Y2" s="6"/>
      <c r="Z2" s="6"/>
      <c r="AA2" s="6"/>
      <c r="AB2" s="6"/>
      <c r="AC2" s="6"/>
      <c r="AD2" s="6"/>
      <c r="AE2" s="6"/>
      <c r="AF2" s="6"/>
      <c r="AG2" s="6"/>
      <c r="AH2" s="6"/>
      <c r="AI2" s="6"/>
      <c r="AJ2" s="6"/>
      <c r="AK2" s="6"/>
      <c r="AL2" s="6"/>
      <c r="AM2" s="6"/>
      <c r="AN2" s="6"/>
      <c r="AO2" s="6"/>
      <c r="AP2" s="6"/>
      <c r="AQ2" s="6"/>
      <c r="AR2" s="6"/>
      <c r="AS2" s="6"/>
      <c r="AT2" s="6"/>
      <c r="AU2" s="6"/>
      <c r="AZ2" s="5" t="s">
        <v>305</v>
      </c>
      <c r="BA2" s="5" t="s">
        <v>332</v>
      </c>
      <c r="BB2" s="5" t="s">
        <v>307</v>
      </c>
      <c r="BC2" s="5"/>
      <c r="BD2" s="5"/>
      <c r="BE2" s="5"/>
      <c r="BF2" s="5"/>
      <c r="BG2" s="5"/>
      <c r="BH2" s="5"/>
      <c r="BI2" s="5"/>
      <c r="BJ2" s="6"/>
      <c r="BK2" s="6"/>
      <c r="BL2" s="6"/>
      <c r="BM2" s="6"/>
      <c r="BN2" s="6"/>
      <c r="BO2" s="6"/>
    </row>
    <row r="3" ht="30" spans="1:67">
      <c r="A3" s="5"/>
      <c r="B3" s="5"/>
      <c r="C3" s="9" t="s">
        <v>308</v>
      </c>
      <c r="D3" s="6" t="s">
        <v>309</v>
      </c>
      <c r="E3" s="6" t="s">
        <v>310</v>
      </c>
      <c r="F3" s="10" t="s">
        <v>311</v>
      </c>
      <c r="G3" s="6" t="s">
        <v>312</v>
      </c>
      <c r="H3" s="6" t="s">
        <v>313</v>
      </c>
      <c r="I3" s="6" t="s">
        <v>314</v>
      </c>
      <c r="J3" s="6" t="s">
        <v>315</v>
      </c>
      <c r="K3" s="6"/>
      <c r="L3" s="11" t="s">
        <v>308</v>
      </c>
      <c r="M3" s="6" t="s">
        <v>309</v>
      </c>
      <c r="N3" s="6" t="s">
        <v>310</v>
      </c>
      <c r="O3" s="6" t="s">
        <v>311</v>
      </c>
      <c r="P3" s="6" t="s">
        <v>312</v>
      </c>
      <c r="Q3" s="6" t="s">
        <v>313</v>
      </c>
      <c r="R3" s="6" t="s">
        <v>314</v>
      </c>
      <c r="S3" s="6" t="s">
        <v>315</v>
      </c>
      <c r="T3" s="6"/>
      <c r="U3" s="6"/>
      <c r="V3" s="8" t="s">
        <v>334</v>
      </c>
      <c r="W3" s="6" t="s">
        <v>309</v>
      </c>
      <c r="X3" s="6" t="s">
        <v>310</v>
      </c>
      <c r="Y3" s="10" t="s">
        <v>311</v>
      </c>
      <c r="Z3" s="6" t="s">
        <v>312</v>
      </c>
      <c r="AA3" s="6" t="s">
        <v>313</v>
      </c>
      <c r="AB3" s="12" t="s">
        <v>314</v>
      </c>
      <c r="AC3" s="12" t="s">
        <v>315</v>
      </c>
      <c r="AD3" s="6"/>
      <c r="AE3" s="6"/>
      <c r="AF3" s="6" t="s">
        <v>309</v>
      </c>
      <c r="AG3" s="6" t="s">
        <v>310</v>
      </c>
      <c r="AH3" s="10" t="s">
        <v>311</v>
      </c>
      <c r="AI3" s="6" t="s">
        <v>312</v>
      </c>
      <c r="AJ3" s="6" t="s">
        <v>313</v>
      </c>
      <c r="AK3" s="12" t="s">
        <v>314</v>
      </c>
      <c r="AL3" s="12" t="s">
        <v>315</v>
      </c>
      <c r="AM3" s="6"/>
      <c r="AN3" s="6"/>
      <c r="AO3" s="6" t="s">
        <v>309</v>
      </c>
      <c r="AP3" s="6" t="s">
        <v>310</v>
      </c>
      <c r="AQ3" s="10" t="s">
        <v>311</v>
      </c>
      <c r="AR3" s="6" t="s">
        <v>312</v>
      </c>
      <c r="AS3" s="6" t="s">
        <v>313</v>
      </c>
      <c r="AT3" s="12" t="s">
        <v>314</v>
      </c>
      <c r="AU3" s="12" t="s">
        <v>315</v>
      </c>
      <c r="AZ3" s="5"/>
      <c r="BA3" s="5"/>
      <c r="BB3" s="9" t="s">
        <v>308</v>
      </c>
      <c r="BC3" s="6" t="s">
        <v>309</v>
      </c>
      <c r="BD3" s="6" t="s">
        <v>310</v>
      </c>
      <c r="BE3" s="10" t="s">
        <v>311</v>
      </c>
      <c r="BF3" s="6" t="s">
        <v>312</v>
      </c>
      <c r="BG3" s="6" t="s">
        <v>313</v>
      </c>
      <c r="BH3" s="6" t="s">
        <v>314</v>
      </c>
      <c r="BI3" s="6" t="s">
        <v>315</v>
      </c>
      <c r="BJ3" s="6"/>
      <c r="BK3" s="11"/>
      <c r="BL3" s="6"/>
      <c r="BM3" s="6"/>
      <c r="BN3" s="6"/>
      <c r="BO3" s="6"/>
    </row>
    <row r="4" ht="15.5" spans="1:67">
      <c r="A4" s="5" t="s">
        <v>316</v>
      </c>
      <c r="B4" s="13" t="s">
        <v>317</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316</v>
      </c>
      <c r="V4" s="13" t="s">
        <v>317</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316</v>
      </c>
      <c r="BA4" s="13" t="s">
        <v>317</v>
      </c>
      <c r="BB4" s="14">
        <v>837.4</v>
      </c>
      <c r="BC4" s="16">
        <v>808.1</v>
      </c>
      <c r="BD4" s="16">
        <v>770.5</v>
      </c>
      <c r="BE4" s="16">
        <v>760</v>
      </c>
      <c r="BF4" s="16">
        <v>755.1</v>
      </c>
      <c r="BG4" s="16">
        <v>796</v>
      </c>
      <c r="BH4" s="16">
        <v>760</v>
      </c>
      <c r="BI4" s="16">
        <v>760</v>
      </c>
      <c r="BJ4" s="6"/>
      <c r="BK4" s="11"/>
      <c r="BL4" s="15"/>
      <c r="BM4" s="15"/>
      <c r="BN4" s="15"/>
      <c r="BO4" s="15"/>
    </row>
    <row r="5" ht="15.5" spans="1:67">
      <c r="A5" s="5"/>
      <c r="B5" s="13" t="s">
        <v>318</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318</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318</v>
      </c>
      <c r="BB5" s="14">
        <v>770.1</v>
      </c>
      <c r="BC5" s="16">
        <v>745.7</v>
      </c>
      <c r="BD5" s="16">
        <v>711.5</v>
      </c>
      <c r="BE5" s="16">
        <v>702.1</v>
      </c>
      <c r="BF5" s="16">
        <v>694.8</v>
      </c>
      <c r="BG5" s="16">
        <v>733.8</v>
      </c>
      <c r="BH5" s="16">
        <v>702.1</v>
      </c>
      <c r="BI5" s="16">
        <v>702.1</v>
      </c>
      <c r="BJ5" s="6"/>
      <c r="BK5" s="6"/>
      <c r="BL5" s="19"/>
      <c r="BM5" s="19"/>
      <c r="BN5" s="19"/>
      <c r="BO5" s="19"/>
    </row>
    <row r="6" ht="15.5" spans="1:67">
      <c r="A6" s="5"/>
      <c r="B6" s="13" t="s">
        <v>319</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319</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319</v>
      </c>
      <c r="BB6" s="14">
        <v>198.6</v>
      </c>
      <c r="BC6" s="16">
        <v>171.7</v>
      </c>
      <c r="BD6" s="16">
        <v>161.1</v>
      </c>
      <c r="BE6" s="16">
        <v>157.9</v>
      </c>
      <c r="BF6" s="16">
        <v>152.1</v>
      </c>
      <c r="BG6" s="16">
        <v>158.8</v>
      </c>
      <c r="BH6" s="16">
        <v>157.9</v>
      </c>
      <c r="BI6" s="16">
        <v>157.9</v>
      </c>
      <c r="BJ6" s="6"/>
      <c r="BK6" s="6"/>
      <c r="BL6" s="19"/>
      <c r="BM6" s="19"/>
      <c r="BN6" s="19"/>
      <c r="BO6" s="19"/>
    </row>
    <row r="7" ht="15.5" spans="1:67">
      <c r="A7" s="5"/>
      <c r="B7" s="13" t="s">
        <v>320</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320</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320</v>
      </c>
      <c r="BB7" s="14">
        <v>487</v>
      </c>
      <c r="BC7" s="16">
        <v>496.7</v>
      </c>
      <c r="BD7" s="16">
        <v>475.8</v>
      </c>
      <c r="BE7" s="16">
        <v>470.5</v>
      </c>
      <c r="BF7" s="16">
        <v>466.5</v>
      </c>
      <c r="BG7" s="16">
        <v>496</v>
      </c>
      <c r="BH7" s="16">
        <v>470.5</v>
      </c>
      <c r="BI7" s="16">
        <v>470.5</v>
      </c>
      <c r="BJ7" s="6"/>
      <c r="BK7" s="6"/>
      <c r="BL7" s="19"/>
      <c r="BM7" s="19"/>
      <c r="BN7" s="19"/>
      <c r="BO7" s="19"/>
    </row>
    <row r="8" ht="15.5" spans="1:67">
      <c r="A8" s="5"/>
      <c r="B8" s="13" t="s">
        <v>321</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321</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321</v>
      </c>
      <c r="BB8" s="14">
        <v>84.5</v>
      </c>
      <c r="BC8" s="16">
        <v>77.3</v>
      </c>
      <c r="BD8" s="16">
        <v>74.5</v>
      </c>
      <c r="BE8" s="16">
        <v>73.6</v>
      </c>
      <c r="BF8" s="16">
        <v>76.1</v>
      </c>
      <c r="BG8" s="16">
        <v>78.9</v>
      </c>
      <c r="BH8" s="16">
        <v>73.6</v>
      </c>
      <c r="BI8" s="16">
        <v>73.6</v>
      </c>
      <c r="BJ8" s="6"/>
      <c r="BK8" s="6"/>
      <c r="BL8" s="19"/>
      <c r="BM8" s="19"/>
      <c r="BN8" s="19"/>
      <c r="BO8" s="19"/>
    </row>
    <row r="9" ht="15.5" spans="1:67">
      <c r="A9" s="5" t="s">
        <v>322</v>
      </c>
      <c r="B9" s="13" t="s">
        <v>317</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322</v>
      </c>
      <c r="V9" s="13" t="s">
        <v>317</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322</v>
      </c>
      <c r="BA9" s="13" t="s">
        <v>317</v>
      </c>
      <c r="BB9" s="14">
        <v>855</v>
      </c>
      <c r="BC9" s="16">
        <v>824.1</v>
      </c>
      <c r="BD9" s="16">
        <v>785.7</v>
      </c>
      <c r="BE9" s="16">
        <v>775</v>
      </c>
      <c r="BF9" s="16">
        <v>770.2</v>
      </c>
      <c r="BG9" s="16">
        <v>811.6</v>
      </c>
      <c r="BH9" s="16">
        <v>775</v>
      </c>
      <c r="BI9" s="16">
        <v>775</v>
      </c>
      <c r="BJ9" s="6"/>
      <c r="BK9" s="6"/>
      <c r="BL9" s="19"/>
      <c r="BM9" s="19"/>
      <c r="BN9" s="19"/>
      <c r="BO9" s="19"/>
    </row>
    <row r="10" ht="15.5" spans="1:67">
      <c r="A10" s="5"/>
      <c r="B10" s="13" t="s">
        <v>318</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318</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318</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319</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319</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319</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320</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320</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320</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321</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321</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321</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317</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317</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317</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318</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318</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318</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319</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319</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319</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320</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320</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320</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321</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321</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321</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335</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335</v>
      </c>
      <c r="BA21" s="5"/>
      <c r="BB21" s="5"/>
      <c r="BC21" s="5"/>
      <c r="BD21" s="5"/>
      <c r="BE21" s="5"/>
      <c r="BF21" s="5"/>
      <c r="BG21" s="5"/>
      <c r="BH21" s="5"/>
      <c r="BI21" s="5"/>
      <c r="BJ21" s="6"/>
      <c r="BK21" s="6"/>
      <c r="BL21" s="6"/>
      <c r="BM21" s="6"/>
      <c r="BN21" s="6"/>
      <c r="BO21" s="6"/>
    </row>
    <row r="22" ht="15.5" spans="1:67">
      <c r="A22" s="5" t="s">
        <v>305</v>
      </c>
      <c r="B22" s="5" t="s">
        <v>336</v>
      </c>
      <c r="C22" s="5" t="s">
        <v>307</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305</v>
      </c>
      <c r="BA22" s="5" t="s">
        <v>336</v>
      </c>
      <c r="BB22" s="5" t="s">
        <v>307</v>
      </c>
      <c r="BC22" s="5"/>
      <c r="BD22" s="5"/>
      <c r="BE22" s="5"/>
      <c r="BF22" s="5"/>
      <c r="BG22" s="5"/>
      <c r="BH22" s="5"/>
      <c r="BI22" s="5"/>
      <c r="BJ22" s="6"/>
      <c r="BK22" s="6"/>
      <c r="BL22" s="6"/>
      <c r="BM22" s="6"/>
      <c r="BN22" s="6"/>
      <c r="BO22" s="6"/>
    </row>
    <row r="23" ht="30" spans="1:67">
      <c r="A23" s="5"/>
      <c r="B23" s="5"/>
      <c r="C23" s="9" t="s">
        <v>308</v>
      </c>
      <c r="D23" s="6" t="s">
        <v>309</v>
      </c>
      <c r="E23" s="6" t="s">
        <v>310</v>
      </c>
      <c r="F23" s="10" t="s">
        <v>311</v>
      </c>
      <c r="G23" s="6" t="s">
        <v>312</v>
      </c>
      <c r="H23" s="6" t="s">
        <v>313</v>
      </c>
      <c r="I23" s="6" t="s">
        <v>314</v>
      </c>
      <c r="J23" s="6" t="s">
        <v>315</v>
      </c>
      <c r="K23" s="6"/>
      <c r="L23" s="6"/>
      <c r="M23" s="6" t="s">
        <v>309</v>
      </c>
      <c r="N23" s="6" t="s">
        <v>310</v>
      </c>
      <c r="O23" s="6" t="s">
        <v>311</v>
      </c>
      <c r="P23" s="6" t="s">
        <v>312</v>
      </c>
      <c r="Q23" s="6" t="s">
        <v>313</v>
      </c>
      <c r="R23" s="6" t="s">
        <v>314</v>
      </c>
      <c r="S23" s="6" t="s">
        <v>315</v>
      </c>
      <c r="T23" s="6"/>
      <c r="U23" s="6"/>
      <c r="V23" s="8" t="s">
        <v>334</v>
      </c>
      <c r="W23" s="6" t="s">
        <v>309</v>
      </c>
      <c r="X23" s="6" t="s">
        <v>310</v>
      </c>
      <c r="Y23" s="10" t="s">
        <v>311</v>
      </c>
      <c r="Z23" s="6" t="s">
        <v>312</v>
      </c>
      <c r="AA23" s="6" t="s">
        <v>313</v>
      </c>
      <c r="AB23" s="12" t="s">
        <v>314</v>
      </c>
      <c r="AC23" s="12" t="s">
        <v>315</v>
      </c>
      <c r="AD23" s="6"/>
      <c r="AE23" s="6"/>
      <c r="AF23" s="6" t="s">
        <v>309</v>
      </c>
      <c r="AG23" s="6" t="s">
        <v>310</v>
      </c>
      <c r="AH23" s="10" t="s">
        <v>311</v>
      </c>
      <c r="AI23" s="6" t="s">
        <v>312</v>
      </c>
      <c r="AJ23" s="6" t="s">
        <v>313</v>
      </c>
      <c r="AK23" s="12" t="s">
        <v>314</v>
      </c>
      <c r="AL23" s="12" t="s">
        <v>315</v>
      </c>
      <c r="AM23" s="6"/>
      <c r="AN23" s="6"/>
      <c r="AO23" s="6" t="s">
        <v>309</v>
      </c>
      <c r="AP23" s="6" t="s">
        <v>310</v>
      </c>
      <c r="AQ23" s="10" t="s">
        <v>311</v>
      </c>
      <c r="AR23" s="6" t="s">
        <v>312</v>
      </c>
      <c r="AS23" s="6" t="s">
        <v>313</v>
      </c>
      <c r="AT23" s="12" t="s">
        <v>314</v>
      </c>
      <c r="AU23" s="12" t="s">
        <v>315</v>
      </c>
      <c r="AZ23" s="5"/>
      <c r="BA23" s="5"/>
      <c r="BB23" s="9" t="s">
        <v>308</v>
      </c>
      <c r="BC23" s="6" t="s">
        <v>309</v>
      </c>
      <c r="BD23" s="6" t="s">
        <v>310</v>
      </c>
      <c r="BE23" s="10" t="s">
        <v>311</v>
      </c>
      <c r="BF23" s="6" t="s">
        <v>312</v>
      </c>
      <c r="BG23" s="6" t="s">
        <v>313</v>
      </c>
      <c r="BH23" s="6" t="s">
        <v>314</v>
      </c>
      <c r="BI23" s="6" t="s">
        <v>315</v>
      </c>
      <c r="BJ23" s="6"/>
      <c r="BK23" s="6"/>
      <c r="BL23" s="6"/>
      <c r="BM23" s="6"/>
      <c r="BN23" s="6"/>
      <c r="BO23" s="6"/>
    </row>
    <row r="24" ht="15.5" spans="1:67">
      <c r="A24" s="5" t="s">
        <v>316</v>
      </c>
      <c r="B24" s="13" t="s">
        <v>317</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316</v>
      </c>
      <c r="V24" s="13" t="s">
        <v>317</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316</v>
      </c>
      <c r="BA24" s="13" t="s">
        <v>317</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318</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318</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318</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319</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319</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319</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320</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320</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320</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321</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321</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321</v>
      </c>
      <c r="BB28" s="14">
        <v>85</v>
      </c>
      <c r="BC28" s="16">
        <v>78.6</v>
      </c>
      <c r="BD28" s="16">
        <v>76.3</v>
      </c>
      <c r="BE28" s="16">
        <v>75.9</v>
      </c>
      <c r="BF28" s="16">
        <v>73.7</v>
      </c>
      <c r="BG28" s="16">
        <v>76</v>
      </c>
      <c r="BH28" s="16">
        <v>75.9</v>
      </c>
      <c r="BI28" s="16">
        <v>75.9</v>
      </c>
      <c r="BJ28" s="6"/>
      <c r="BK28" s="6"/>
      <c r="BL28" s="19"/>
      <c r="BM28" s="19"/>
      <c r="BN28" s="19"/>
      <c r="BO28" s="19"/>
    </row>
    <row r="29" ht="15.5" spans="1:67">
      <c r="A29" s="5" t="s">
        <v>322</v>
      </c>
      <c r="B29" s="13" t="s">
        <v>317</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322</v>
      </c>
      <c r="V29" s="13" t="s">
        <v>317</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322</v>
      </c>
      <c r="BA29" s="13" t="s">
        <v>317</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318</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318</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318</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319</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319</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319</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320</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320</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320</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321</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321</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321</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317</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317</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317</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318</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318</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318</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319</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319</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319</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320</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320</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320</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321</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321</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321</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337</v>
      </c>
      <c r="B41" s="5"/>
      <c r="C41" s="5"/>
      <c r="D41" s="5"/>
      <c r="E41" s="5"/>
      <c r="F41" s="5"/>
      <c r="G41" s="5"/>
      <c r="H41" s="5"/>
      <c r="I41" s="5"/>
      <c r="J41" s="5"/>
      <c r="K41" s="6"/>
      <c r="L41" s="6"/>
      <c r="M41" s="6"/>
      <c r="N41" s="6"/>
      <c r="O41" s="6"/>
      <c r="P41" s="6"/>
      <c r="Q41" s="6"/>
      <c r="R41" s="6"/>
      <c r="S41" s="6"/>
      <c r="T41" s="6"/>
      <c r="AZ41" s="5" t="s">
        <v>337</v>
      </c>
      <c r="BA41" s="5"/>
      <c r="BB41" s="5"/>
      <c r="BC41" s="5"/>
      <c r="BD41" s="5"/>
      <c r="BE41" s="5"/>
      <c r="BF41" s="5"/>
      <c r="BG41" s="5"/>
      <c r="BH41" s="5"/>
      <c r="BI41" s="5"/>
      <c r="BJ41" s="6"/>
      <c r="BK41" s="6"/>
      <c r="BL41" s="6"/>
      <c r="BM41" s="6"/>
      <c r="BN41" s="6"/>
      <c r="BO41" s="6"/>
    </row>
    <row r="42" ht="15.5" spans="1:67">
      <c r="A42" s="5" t="s">
        <v>305</v>
      </c>
      <c r="B42" s="5" t="s">
        <v>336</v>
      </c>
      <c r="C42" s="5" t="s">
        <v>307</v>
      </c>
      <c r="D42" s="5"/>
      <c r="E42" s="5"/>
      <c r="F42" s="5"/>
      <c r="G42" s="5"/>
      <c r="H42" s="5"/>
      <c r="I42" s="5"/>
      <c r="J42" s="5"/>
      <c r="K42" s="6"/>
      <c r="L42" s="6"/>
      <c r="M42" s="6"/>
      <c r="N42" s="6"/>
      <c r="O42" s="6"/>
      <c r="P42" s="6"/>
      <c r="Q42" s="6"/>
      <c r="R42" s="6"/>
      <c r="S42" s="6"/>
      <c r="T42" s="6"/>
      <c r="AZ42" s="5" t="s">
        <v>305</v>
      </c>
      <c r="BA42" s="5" t="s">
        <v>336</v>
      </c>
      <c r="BB42" s="5" t="s">
        <v>307</v>
      </c>
      <c r="BC42" s="5"/>
      <c r="BD42" s="5"/>
      <c r="BE42" s="5"/>
      <c r="BF42" s="5"/>
      <c r="BG42" s="5"/>
      <c r="BH42" s="5"/>
      <c r="BI42" s="5"/>
      <c r="BJ42" s="6"/>
      <c r="BK42" s="6"/>
      <c r="BL42" s="6"/>
      <c r="BM42" s="6"/>
      <c r="BN42" s="6"/>
      <c r="BO42" s="6"/>
    </row>
    <row r="43" ht="30" spans="1:67">
      <c r="A43" s="5"/>
      <c r="B43" s="5"/>
      <c r="C43" s="9" t="s">
        <v>308</v>
      </c>
      <c r="D43" s="6" t="s">
        <v>309</v>
      </c>
      <c r="E43" s="6" t="s">
        <v>310</v>
      </c>
      <c r="F43" s="10" t="s">
        <v>311</v>
      </c>
      <c r="G43" s="6" t="s">
        <v>312</v>
      </c>
      <c r="H43" s="6" t="s">
        <v>313</v>
      </c>
      <c r="I43" s="6" t="s">
        <v>314</v>
      </c>
      <c r="J43" s="6" t="s">
        <v>315</v>
      </c>
      <c r="K43" s="6"/>
      <c r="L43" s="6"/>
      <c r="M43" s="6" t="s">
        <v>309</v>
      </c>
      <c r="N43" s="6" t="s">
        <v>310</v>
      </c>
      <c r="O43" s="6" t="s">
        <v>311</v>
      </c>
      <c r="P43" s="6" t="s">
        <v>312</v>
      </c>
      <c r="Q43" s="6" t="s">
        <v>313</v>
      </c>
      <c r="R43" s="6" t="s">
        <v>314</v>
      </c>
      <c r="S43" s="6" t="s">
        <v>315</v>
      </c>
      <c r="T43" s="6"/>
      <c r="U43" s="6"/>
      <c r="V43" s="8" t="s">
        <v>334</v>
      </c>
      <c r="W43" s="6" t="s">
        <v>309</v>
      </c>
      <c r="X43" s="6" t="s">
        <v>310</v>
      </c>
      <c r="Y43" s="10" t="s">
        <v>311</v>
      </c>
      <c r="Z43" s="6" t="s">
        <v>312</v>
      </c>
      <c r="AA43" s="6" t="s">
        <v>313</v>
      </c>
      <c r="AB43" s="12" t="s">
        <v>314</v>
      </c>
      <c r="AC43" s="12" t="s">
        <v>315</v>
      </c>
      <c r="AD43" s="6"/>
      <c r="AE43" s="6"/>
      <c r="AF43" s="6" t="s">
        <v>309</v>
      </c>
      <c r="AG43" s="6" t="s">
        <v>310</v>
      </c>
      <c r="AH43" s="10" t="s">
        <v>311</v>
      </c>
      <c r="AI43" s="6" t="s">
        <v>312</v>
      </c>
      <c r="AJ43" s="6" t="s">
        <v>313</v>
      </c>
      <c r="AK43" s="12" t="s">
        <v>314</v>
      </c>
      <c r="AL43" s="12" t="s">
        <v>315</v>
      </c>
      <c r="AO43" s="6" t="s">
        <v>309</v>
      </c>
      <c r="AP43" s="6" t="s">
        <v>310</v>
      </c>
      <c r="AQ43" s="10" t="s">
        <v>311</v>
      </c>
      <c r="AR43" s="6" t="s">
        <v>312</v>
      </c>
      <c r="AS43" s="6" t="s">
        <v>313</v>
      </c>
      <c r="AT43" s="12" t="s">
        <v>314</v>
      </c>
      <c r="AU43" s="12" t="s">
        <v>315</v>
      </c>
      <c r="AZ43" s="5"/>
      <c r="BA43" s="5"/>
      <c r="BB43" s="9" t="s">
        <v>308</v>
      </c>
      <c r="BC43" s="6" t="s">
        <v>309</v>
      </c>
      <c r="BD43" s="6" t="s">
        <v>310</v>
      </c>
      <c r="BE43" s="10" t="s">
        <v>311</v>
      </c>
      <c r="BF43" s="6" t="s">
        <v>312</v>
      </c>
      <c r="BG43" s="6" t="s">
        <v>313</v>
      </c>
      <c r="BH43" s="6" t="s">
        <v>314</v>
      </c>
      <c r="BI43" s="6" t="s">
        <v>315</v>
      </c>
      <c r="BJ43" s="6"/>
      <c r="BK43" s="6"/>
      <c r="BL43" s="6"/>
      <c r="BM43" s="6"/>
      <c r="BN43" s="6"/>
      <c r="BO43" s="6"/>
    </row>
    <row r="44" ht="15.5" spans="1:67">
      <c r="A44" s="5" t="s">
        <v>316</v>
      </c>
      <c r="B44" s="13" t="s">
        <v>317</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316</v>
      </c>
      <c r="V44" s="13" t="s">
        <v>317</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316</v>
      </c>
      <c r="BA44" s="13" t="s">
        <v>317</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318</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318</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318</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319</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319</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319</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320</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320</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320</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321</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321</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321</v>
      </c>
      <c r="BB48" s="14">
        <v>84.6</v>
      </c>
      <c r="BC48" s="16">
        <v>77</v>
      </c>
      <c r="BD48" s="16">
        <v>74.9</v>
      </c>
      <c r="BE48" s="16">
        <v>74.4</v>
      </c>
      <c r="BF48" s="16">
        <v>71.7</v>
      </c>
      <c r="BG48" s="16">
        <v>73.1</v>
      </c>
      <c r="BH48" s="16">
        <v>74.4</v>
      </c>
      <c r="BI48" s="16">
        <v>74.4</v>
      </c>
      <c r="BJ48" s="6"/>
      <c r="BK48" s="6"/>
      <c r="BL48" s="19"/>
      <c r="BM48" s="19"/>
      <c r="BN48" s="19"/>
      <c r="BO48" s="19"/>
    </row>
    <row r="49" ht="15.5" spans="1:67">
      <c r="A49" s="5" t="s">
        <v>322</v>
      </c>
      <c r="B49" s="13" t="s">
        <v>317</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322</v>
      </c>
      <c r="V49" s="13" t="s">
        <v>317</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322</v>
      </c>
      <c r="BA49" s="13" t="s">
        <v>317</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318</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318</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318</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319</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319</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319</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320</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320</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320</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321</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321</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321</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317</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317</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317</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318</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318</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318</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319</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319</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319</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320</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320</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320</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321</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321</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321</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323</v>
      </c>
      <c r="B60" s="6"/>
      <c r="C60" s="9"/>
      <c r="D60" s="6"/>
      <c r="E60" s="6"/>
      <c r="F60" s="6"/>
      <c r="G60" s="6"/>
      <c r="H60" s="6"/>
      <c r="I60" s="6"/>
      <c r="J60" s="6"/>
      <c r="K60" s="6"/>
      <c r="L60" s="6"/>
      <c r="M60" s="6"/>
      <c r="N60" s="6"/>
      <c r="O60" s="6"/>
      <c r="P60" s="6"/>
      <c r="Q60" s="6"/>
      <c r="R60" s="6"/>
      <c r="S60" s="6"/>
      <c r="T60" s="6"/>
      <c r="AZ60" s="6" t="s">
        <v>323</v>
      </c>
      <c r="BA60" s="6"/>
      <c r="BB60" s="9"/>
      <c r="BC60" s="6"/>
      <c r="BD60" s="6"/>
      <c r="BE60" s="6"/>
      <c r="BF60" s="6"/>
      <c r="BG60" s="6"/>
      <c r="BH60" s="6"/>
      <c r="BI60" s="6"/>
      <c r="BJ60" s="6"/>
      <c r="BK60" s="6"/>
      <c r="BL60" s="6"/>
      <c r="BM60" s="6"/>
      <c r="BN60" s="6"/>
      <c r="BO60" s="6"/>
    </row>
    <row r="61" ht="15.5" spans="1:67">
      <c r="A61" s="6" t="s">
        <v>338</v>
      </c>
      <c r="B61" s="6"/>
      <c r="C61" s="9"/>
      <c r="D61" s="6"/>
      <c r="E61" s="6"/>
      <c r="F61" s="6"/>
      <c r="G61" s="6"/>
      <c r="H61" s="6"/>
      <c r="I61" s="6"/>
      <c r="J61" s="6"/>
      <c r="K61" s="6"/>
      <c r="L61" s="6"/>
      <c r="M61" s="6"/>
      <c r="N61" s="6"/>
      <c r="O61" s="6"/>
      <c r="P61" s="6"/>
      <c r="Q61" s="6"/>
      <c r="R61" s="6"/>
      <c r="S61" s="6"/>
      <c r="T61" s="6"/>
      <c r="AZ61" s="6" t="s">
        <v>338</v>
      </c>
      <c r="BA61" s="6"/>
      <c r="BB61" s="9"/>
      <c r="BC61" s="6"/>
      <c r="BD61" s="6"/>
      <c r="BE61" s="6"/>
      <c r="BF61" s="6"/>
      <c r="BG61" s="6"/>
      <c r="BH61" s="6"/>
      <c r="BI61" s="6"/>
      <c r="BJ61" s="6"/>
      <c r="BK61" s="6"/>
      <c r="BL61" s="6"/>
      <c r="BM61" s="6"/>
      <c r="BN61" s="6"/>
      <c r="BO61" s="6"/>
    </row>
    <row r="62" ht="15.5" spans="1:67">
      <c r="A62" s="6" t="s">
        <v>339</v>
      </c>
      <c r="B62" s="6"/>
      <c r="C62" s="9"/>
      <c r="D62" s="6"/>
      <c r="E62" s="6"/>
      <c r="F62" s="6"/>
      <c r="G62" s="6"/>
      <c r="H62" s="6"/>
      <c r="I62" s="6"/>
      <c r="J62" s="6"/>
      <c r="K62" s="6"/>
      <c r="L62" s="6"/>
      <c r="M62" s="6"/>
      <c r="N62" s="6"/>
      <c r="O62" s="6"/>
      <c r="P62" s="6"/>
      <c r="Q62" s="6"/>
      <c r="R62" s="6"/>
      <c r="S62" s="6"/>
      <c r="T62" s="6"/>
      <c r="AZ62" s="6" t="s">
        <v>339</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309</v>
      </c>
      <c r="X72" s="6" t="s">
        <v>310</v>
      </c>
      <c r="Y72" s="10" t="s">
        <v>311</v>
      </c>
      <c r="Z72" s="6" t="s">
        <v>312</v>
      </c>
      <c r="AA72" s="6" t="s">
        <v>313</v>
      </c>
      <c r="AB72" s="12" t="s">
        <v>314</v>
      </c>
      <c r="AC72" s="12" t="s">
        <v>315</v>
      </c>
      <c r="AD72" s="6"/>
      <c r="AE72" s="6"/>
      <c r="AF72" s="6" t="s">
        <v>309</v>
      </c>
      <c r="AG72" s="6" t="s">
        <v>310</v>
      </c>
      <c r="AH72" s="10" t="s">
        <v>311</v>
      </c>
      <c r="AI72" s="6" t="s">
        <v>312</v>
      </c>
      <c r="AJ72" s="6" t="s">
        <v>313</v>
      </c>
      <c r="AK72" s="12" t="s">
        <v>314</v>
      </c>
      <c r="AL72" s="12" t="s">
        <v>315</v>
      </c>
      <c r="AM72" s="6"/>
      <c r="AN72" s="6"/>
      <c r="AO72" s="6" t="s">
        <v>309</v>
      </c>
      <c r="AP72" s="6" t="s">
        <v>310</v>
      </c>
      <c r="AQ72" s="10" t="s">
        <v>311</v>
      </c>
      <c r="AR72" s="6" t="s">
        <v>312</v>
      </c>
      <c r="AS72" s="6" t="s">
        <v>313</v>
      </c>
      <c r="AT72" s="12" t="s">
        <v>314</v>
      </c>
      <c r="AU72" s="12" t="s">
        <v>315</v>
      </c>
    </row>
    <row r="73" spans="21:47">
      <c r="U73" s="5" t="s">
        <v>316</v>
      </c>
      <c r="V73" s="20" t="s">
        <v>128</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340</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341</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342</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322</v>
      </c>
      <c r="V77" s="20" t="s">
        <v>128</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340</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341</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342</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343</v>
      </c>
      <c r="V81" s="20" t="s">
        <v>128</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340</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341</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342</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316</v>
      </c>
      <c r="V85" s="20" t="s">
        <v>128</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340</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341</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342</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309</v>
      </c>
      <c r="X92" s="6" t="s">
        <v>310</v>
      </c>
      <c r="Y92" s="10" t="s">
        <v>311</v>
      </c>
      <c r="Z92" s="6" t="s">
        <v>312</v>
      </c>
      <c r="AA92" s="6" t="s">
        <v>313</v>
      </c>
      <c r="AB92" s="12" t="s">
        <v>314</v>
      </c>
      <c r="AC92" s="12" t="s">
        <v>315</v>
      </c>
      <c r="AD92" s="6"/>
      <c r="AE92" s="6"/>
      <c r="AF92" s="6" t="s">
        <v>309</v>
      </c>
      <c r="AG92" s="6" t="s">
        <v>310</v>
      </c>
      <c r="AH92" s="10" t="s">
        <v>311</v>
      </c>
      <c r="AI92" s="6" t="s">
        <v>312</v>
      </c>
      <c r="AJ92" s="6" t="s">
        <v>313</v>
      </c>
      <c r="AK92" s="12" t="s">
        <v>314</v>
      </c>
      <c r="AL92" s="12" t="s">
        <v>315</v>
      </c>
      <c r="AM92" s="6"/>
      <c r="AN92" s="6"/>
      <c r="AO92" s="6" t="s">
        <v>309</v>
      </c>
      <c r="AP92" s="6" t="s">
        <v>310</v>
      </c>
      <c r="AQ92" s="10" t="s">
        <v>311</v>
      </c>
      <c r="AR92" s="6" t="s">
        <v>312</v>
      </c>
      <c r="AS92" s="6" t="s">
        <v>313</v>
      </c>
      <c r="AT92" s="12" t="s">
        <v>314</v>
      </c>
      <c r="AU92" s="12" t="s">
        <v>315</v>
      </c>
    </row>
    <row r="93" spans="21:47">
      <c r="U93" s="5" t="s">
        <v>316</v>
      </c>
      <c r="V93" s="20" t="s">
        <v>128</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340</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341</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342</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322</v>
      </c>
      <c r="V97" s="20" t="s">
        <v>128</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340</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341</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342</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343</v>
      </c>
      <c r="V101" s="20" t="s">
        <v>128</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340</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341</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342</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316</v>
      </c>
      <c r="V105" s="20" t="s">
        <v>128</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340</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341</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342</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309</v>
      </c>
      <c r="X112" s="6" t="s">
        <v>310</v>
      </c>
      <c r="Y112" s="10" t="s">
        <v>311</v>
      </c>
      <c r="Z112" s="6" t="s">
        <v>312</v>
      </c>
      <c r="AA112" s="6" t="s">
        <v>313</v>
      </c>
      <c r="AB112" s="12" t="s">
        <v>314</v>
      </c>
      <c r="AC112" s="12" t="s">
        <v>315</v>
      </c>
      <c r="AD112" s="6"/>
      <c r="AE112" s="6"/>
      <c r="AF112" s="6" t="s">
        <v>309</v>
      </c>
      <c r="AG112" s="6" t="s">
        <v>310</v>
      </c>
      <c r="AH112" s="10" t="s">
        <v>311</v>
      </c>
      <c r="AI112" s="6" t="s">
        <v>312</v>
      </c>
      <c r="AJ112" s="6" t="s">
        <v>313</v>
      </c>
      <c r="AK112" s="12" t="s">
        <v>314</v>
      </c>
      <c r="AL112" s="12" t="s">
        <v>315</v>
      </c>
      <c r="AM112" s="6"/>
      <c r="AN112" s="6"/>
      <c r="AO112" s="6" t="s">
        <v>309</v>
      </c>
      <c r="AP112" s="6" t="s">
        <v>310</v>
      </c>
      <c r="AQ112" s="10" t="s">
        <v>311</v>
      </c>
      <c r="AR112" s="6" t="s">
        <v>312</v>
      </c>
      <c r="AS112" s="6" t="s">
        <v>313</v>
      </c>
      <c r="AT112" s="12" t="s">
        <v>314</v>
      </c>
      <c r="AU112" s="12" t="s">
        <v>315</v>
      </c>
    </row>
    <row r="113" spans="21:47">
      <c r="U113" s="5" t="s">
        <v>316</v>
      </c>
      <c r="V113" s="20" t="s">
        <v>128</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340</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341</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342</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322</v>
      </c>
      <c r="V117" s="20" t="s">
        <v>128</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340</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341</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342</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343</v>
      </c>
      <c r="V121" s="20" t="s">
        <v>128</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340</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341</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342</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316</v>
      </c>
      <c r="V125" s="20" t="s">
        <v>128</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340</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341</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342</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299</v>
      </c>
      <c r="W160" s="23"/>
      <c r="Y160" s="25"/>
      <c r="Z160" s="23"/>
      <c r="AA160" s="24" t="s">
        <v>299</v>
      </c>
      <c r="AB160" s="23"/>
      <c r="AD160" s="25"/>
      <c r="AE160" s="23"/>
      <c r="AF160" s="24" t="s">
        <v>299</v>
      </c>
      <c r="AG160" s="23"/>
      <c r="AI160" s="25"/>
      <c r="AJ160" s="23"/>
      <c r="AK160" s="24" t="s">
        <v>299</v>
      </c>
      <c r="AL160" s="23"/>
      <c r="AN160" s="25"/>
      <c r="AO160" s="23"/>
      <c r="AP160" s="24" t="s">
        <v>299</v>
      </c>
      <c r="AQ160" s="23"/>
      <c r="AS160" s="25"/>
      <c r="AT160" s="23"/>
      <c r="AU160" s="24" t="s">
        <v>299</v>
      </c>
      <c r="AV160" s="23"/>
      <c r="AW160" s="25"/>
      <c r="AY160" s="23"/>
      <c r="AZ160" s="24" t="s">
        <v>299</v>
      </c>
      <c r="BA160" s="23"/>
    </row>
    <row r="161" ht="15.5" spans="21:53">
      <c r="U161" s="24" t="s">
        <v>65</v>
      </c>
      <c r="V161" s="24" t="s">
        <v>118</v>
      </c>
      <c r="W161" s="24" t="s">
        <v>25</v>
      </c>
      <c r="Y161" s="25"/>
      <c r="Z161" s="24" t="s">
        <v>65</v>
      </c>
      <c r="AA161" s="24" t="s">
        <v>118</v>
      </c>
      <c r="AB161" s="24" t="s">
        <v>25</v>
      </c>
      <c r="AD161" s="25"/>
      <c r="AE161" s="24" t="s">
        <v>65</v>
      </c>
      <c r="AF161" s="24" t="s">
        <v>118</v>
      </c>
      <c r="AG161" s="24" t="s">
        <v>25</v>
      </c>
      <c r="AI161" s="25"/>
      <c r="AJ161" s="24" t="s">
        <v>65</v>
      </c>
      <c r="AK161" s="24" t="s">
        <v>118</v>
      </c>
      <c r="AL161" s="24" t="s">
        <v>25</v>
      </c>
      <c r="AN161" s="25"/>
      <c r="AO161" s="24" t="s">
        <v>65</v>
      </c>
      <c r="AP161" s="24" t="s">
        <v>118</v>
      </c>
      <c r="AQ161" s="24" t="s">
        <v>25</v>
      </c>
      <c r="AS161" s="25"/>
      <c r="AT161" s="24" t="s">
        <v>65</v>
      </c>
      <c r="AU161" s="24" t="s">
        <v>118</v>
      </c>
      <c r="AV161" s="24" t="s">
        <v>25</v>
      </c>
      <c r="AW161" s="25"/>
      <c r="AY161" s="24" t="s">
        <v>65</v>
      </c>
      <c r="AZ161" s="24" t="s">
        <v>118</v>
      </c>
      <c r="BA161" s="24" t="s">
        <v>25</v>
      </c>
    </row>
    <row r="162" ht="15.5" spans="21:53">
      <c r="U162" s="25" t="s">
        <v>249</v>
      </c>
      <c r="V162" s="26" t="s">
        <v>300</v>
      </c>
      <c r="W162" s="25">
        <f t="shared" ref="W162:W165" si="336">W85</f>
        <v>0.0105103587670541</v>
      </c>
      <c r="Y162" s="25"/>
      <c r="Z162" s="25" t="s">
        <v>251</v>
      </c>
      <c r="AA162" s="26" t="s">
        <v>300</v>
      </c>
      <c r="AB162" s="25">
        <f t="shared" ref="AB162:AB165" si="337">X85</f>
        <v>0.0100940975192472</v>
      </c>
      <c r="AD162" s="25"/>
      <c r="AE162" s="25" t="s">
        <v>253</v>
      </c>
      <c r="AF162" s="26" t="s">
        <v>300</v>
      </c>
      <c r="AG162" s="25">
        <f t="shared" ref="AG162:AG165" si="338">Y85</f>
        <v>0.0103856502242152</v>
      </c>
      <c r="AI162" s="25"/>
      <c r="AJ162" s="25" t="s">
        <v>255</v>
      </c>
      <c r="AK162" s="26" t="s">
        <v>300</v>
      </c>
      <c r="AL162" s="25">
        <f t="shared" ref="AL162:AL165" si="339">Z85</f>
        <v>0.0114291129643669</v>
      </c>
      <c r="AN162" s="25"/>
      <c r="AO162" s="25" t="s">
        <v>247</v>
      </c>
      <c r="AP162" s="26" t="s">
        <v>300</v>
      </c>
      <c r="AQ162" s="25">
        <f t="shared" ref="AQ162:AQ165" si="340">AA85</f>
        <v>0.0115979862017528</v>
      </c>
      <c r="AS162" s="25"/>
      <c r="AT162" s="25" t="s">
        <v>245</v>
      </c>
      <c r="AU162" s="26" t="s">
        <v>300</v>
      </c>
      <c r="AV162" s="25">
        <f t="shared" ref="AV162:AV165" si="341">AB85</f>
        <v>0.00871331828442437</v>
      </c>
      <c r="AW162" s="25"/>
      <c r="AY162" s="25" t="s">
        <v>243</v>
      </c>
      <c r="AZ162" s="26" t="s">
        <v>300</v>
      </c>
      <c r="BA162" s="25">
        <f t="shared" ref="BA162:BA165" si="342">AC85</f>
        <v>0.0102405376724443</v>
      </c>
    </row>
    <row r="163" ht="15.5" spans="21:53">
      <c r="U163" s="25" t="str">
        <f>U162</f>
        <v>PyroRecy-NMC111</v>
      </c>
      <c r="V163" s="26" t="s">
        <v>301</v>
      </c>
      <c r="W163" s="25">
        <f t="shared" si="336"/>
        <v>0.0289203301330638</v>
      </c>
      <c r="Y163" s="25"/>
      <c r="Z163" s="25" t="str">
        <f t="shared" ref="Z163:Z165" si="343">Z162</f>
        <v>PyroRecy-NMC532</v>
      </c>
      <c r="AA163" s="26" t="s">
        <v>301</v>
      </c>
      <c r="AB163" s="25">
        <f t="shared" si="337"/>
        <v>0.0275620188195039</v>
      </c>
      <c r="AD163" s="25"/>
      <c r="AE163" s="25" t="str">
        <f t="shared" ref="AE163:AE165" si="344">AE162</f>
        <v>PyroRecy-NMC622</v>
      </c>
      <c r="AF163" s="26" t="s">
        <v>301</v>
      </c>
      <c r="AG163" s="25">
        <f t="shared" si="338"/>
        <v>0.028322869955157</v>
      </c>
      <c r="AI163" s="25"/>
      <c r="AJ163" s="25" t="str">
        <f t="shared" ref="AJ163:AJ165" si="345">AJ162</f>
        <v>PyroRecy-NMC811</v>
      </c>
      <c r="AK163" s="26" t="s">
        <v>301</v>
      </c>
      <c r="AL163" s="25">
        <f t="shared" si="339"/>
        <v>0.0288286580742987</v>
      </c>
      <c r="AN163" s="25"/>
      <c r="AO163" s="25" t="str">
        <f t="shared" ref="AO163:AO165" si="346">AO162</f>
        <v>PyroRecy-NCA</v>
      </c>
      <c r="AP163" s="26" t="s">
        <v>301</v>
      </c>
      <c r="AQ163" s="25">
        <f t="shared" si="340"/>
        <v>0.0296102927465971</v>
      </c>
      <c r="AS163" s="25"/>
      <c r="AT163" s="25" t="str">
        <f t="shared" ref="AT163:AT165" si="347">AT162</f>
        <v>PyroRecy-LMO</v>
      </c>
      <c r="AU163" s="26" t="s">
        <v>301</v>
      </c>
      <c r="AV163" s="25">
        <f t="shared" si="341"/>
        <v>0.0237622272385252</v>
      </c>
      <c r="AW163" s="25"/>
      <c r="AY163" s="25" t="str">
        <f t="shared" ref="AY163:AY165" si="348">AY162</f>
        <v>PyroRecy-LFP</v>
      </c>
      <c r="AZ163" s="26" t="s">
        <v>301</v>
      </c>
      <c r="BA163" s="25">
        <f t="shared" si="342"/>
        <v>0.0279271312345242</v>
      </c>
    </row>
    <row r="164" ht="15.5" spans="21:53">
      <c r="U164" s="25" t="str">
        <f>U163</f>
        <v>PyroRecy-NMC111</v>
      </c>
      <c r="V164" s="26" t="s">
        <v>302</v>
      </c>
      <c r="W164" s="25">
        <f t="shared" si="336"/>
        <v>0.0836617820448038</v>
      </c>
      <c r="Y164" s="25"/>
      <c r="Z164" s="25" t="str">
        <f t="shared" si="343"/>
        <v>PyroRecy-NMC532</v>
      </c>
      <c r="AA164" s="26" t="s">
        <v>302</v>
      </c>
      <c r="AB164" s="25">
        <f t="shared" si="337"/>
        <v>0.0814029084687767</v>
      </c>
      <c r="AD164" s="25"/>
      <c r="AE164" s="25" t="str">
        <f t="shared" si="344"/>
        <v>PyroRecy-NMC622</v>
      </c>
      <c r="AF164" s="26" t="s">
        <v>302</v>
      </c>
      <c r="AG164" s="25">
        <f t="shared" si="338"/>
        <v>0.0843946188340807</v>
      </c>
      <c r="AI164" s="25"/>
      <c r="AJ164" s="25" t="str">
        <f t="shared" si="345"/>
        <v>PyroRecy-NMC811</v>
      </c>
      <c r="AK164" s="26" t="s">
        <v>302</v>
      </c>
      <c r="AL164" s="25">
        <f t="shared" si="339"/>
        <v>0.0884192570128886</v>
      </c>
      <c r="AN164" s="25"/>
      <c r="AO164" s="25" t="str">
        <f t="shared" si="346"/>
        <v>PyroRecy-NCA</v>
      </c>
      <c r="AP164" s="26" t="s">
        <v>302</v>
      </c>
      <c r="AQ164" s="25">
        <f t="shared" si="340"/>
        <v>0.092485549132948</v>
      </c>
      <c r="AS164" s="25"/>
      <c r="AT164" s="25" t="str">
        <f t="shared" si="347"/>
        <v>PyroRecy-LMO</v>
      </c>
      <c r="AU164" s="26" t="s">
        <v>302</v>
      </c>
      <c r="AV164" s="25">
        <f t="shared" si="341"/>
        <v>0.0708051166290444</v>
      </c>
      <c r="AW164" s="25"/>
      <c r="AY164" s="25" t="str">
        <f t="shared" si="348"/>
        <v>PyroRecy-LFP</v>
      </c>
      <c r="AZ164" s="26" t="s">
        <v>302</v>
      </c>
      <c r="BA164" s="25">
        <f t="shared" si="342"/>
        <v>0.0832154227095861</v>
      </c>
    </row>
    <row r="165" ht="15.5" spans="21:53">
      <c r="U165" s="25" t="str">
        <f>U164</f>
        <v>PyroRecy-NMC111</v>
      </c>
      <c r="V165" s="26" t="s">
        <v>303</v>
      </c>
      <c r="W165" s="25">
        <f t="shared" si="336"/>
        <v>0.0130200437931615</v>
      </c>
      <c r="Y165" s="27"/>
      <c r="Z165" s="25" t="str">
        <f t="shared" si="343"/>
        <v>PyroRecy-NMC532</v>
      </c>
      <c r="AA165" s="26" t="s">
        <v>303</v>
      </c>
      <c r="AB165" s="25">
        <f t="shared" si="337"/>
        <v>0.0127459366980325</v>
      </c>
      <c r="AD165" s="27"/>
      <c r="AE165" s="25" t="str">
        <f t="shared" si="344"/>
        <v>PyroRecy-NMC622</v>
      </c>
      <c r="AF165" s="26" t="s">
        <v>303</v>
      </c>
      <c r="AG165" s="25">
        <f t="shared" si="338"/>
        <v>0.0132017937219731</v>
      </c>
      <c r="AI165" s="27"/>
      <c r="AJ165" s="25" t="str">
        <f t="shared" si="345"/>
        <v>PyroRecy-NMC811</v>
      </c>
      <c r="AK165" s="26" t="s">
        <v>303</v>
      </c>
      <c r="AL165" s="25">
        <f t="shared" si="339"/>
        <v>0.0144238059135709</v>
      </c>
      <c r="AN165" s="27"/>
      <c r="AO165" s="25" t="str">
        <f t="shared" si="346"/>
        <v>PyroRecy-NCA</v>
      </c>
      <c r="AP165" s="26" t="s">
        <v>303</v>
      </c>
      <c r="AQ165" s="25">
        <f t="shared" si="340"/>
        <v>0.0147119149729629</v>
      </c>
      <c r="AS165" s="27"/>
      <c r="AT165" s="25" t="str">
        <f t="shared" si="347"/>
        <v>PyroRecy-LMO</v>
      </c>
      <c r="AU165" s="26" t="s">
        <v>303</v>
      </c>
      <c r="AV165" s="25">
        <f t="shared" si="341"/>
        <v>0.0110759969902182</v>
      </c>
      <c r="AW165" s="27"/>
      <c r="AY165" s="25" t="str">
        <f t="shared" si="348"/>
        <v>PyroRecy-LFP</v>
      </c>
      <c r="AZ165" s="26" t="s">
        <v>303</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299</v>
      </c>
      <c r="W172" s="23"/>
      <c r="Y172" s="25"/>
      <c r="Z172" s="23"/>
      <c r="AA172" s="24" t="s">
        <v>299</v>
      </c>
      <c r="AB172" s="23"/>
      <c r="AD172" s="25"/>
      <c r="AE172" s="23"/>
      <c r="AF172" s="24" t="s">
        <v>299</v>
      </c>
      <c r="AG172" s="23"/>
      <c r="AI172" s="25"/>
      <c r="AJ172" s="23"/>
      <c r="AK172" s="24" t="s">
        <v>299</v>
      </c>
      <c r="AL172" s="23"/>
      <c r="AN172" s="25"/>
      <c r="AO172" s="23"/>
      <c r="AP172" s="24" t="s">
        <v>299</v>
      </c>
      <c r="AQ172" s="23"/>
      <c r="AS172" s="25"/>
      <c r="AT172" s="23"/>
      <c r="AU172" s="24" t="s">
        <v>299</v>
      </c>
      <c r="AV172" s="23"/>
      <c r="AW172" s="25"/>
      <c r="AY172" s="23"/>
      <c r="AZ172" s="24" t="s">
        <v>299</v>
      </c>
      <c r="BA172" s="23"/>
    </row>
    <row r="173" ht="15.5" spans="21:53">
      <c r="U173" s="24" t="s">
        <v>65</v>
      </c>
      <c r="V173" s="24" t="s">
        <v>118</v>
      </c>
      <c r="W173" s="24" t="s">
        <v>25</v>
      </c>
      <c r="Y173" s="25"/>
      <c r="Z173" s="24" t="s">
        <v>65</v>
      </c>
      <c r="AA173" s="24" t="s">
        <v>118</v>
      </c>
      <c r="AB173" s="24" t="s">
        <v>25</v>
      </c>
      <c r="AD173" s="25"/>
      <c r="AE173" s="24" t="s">
        <v>65</v>
      </c>
      <c r="AF173" s="24" t="s">
        <v>118</v>
      </c>
      <c r="AG173" s="24" t="s">
        <v>25</v>
      </c>
      <c r="AI173" s="25"/>
      <c r="AJ173" s="24" t="s">
        <v>65</v>
      </c>
      <c r="AK173" s="24" t="s">
        <v>118</v>
      </c>
      <c r="AL173" s="24" t="s">
        <v>25</v>
      </c>
      <c r="AN173" s="25"/>
      <c r="AO173" s="24" t="s">
        <v>65</v>
      </c>
      <c r="AP173" s="24" t="s">
        <v>118</v>
      </c>
      <c r="AQ173" s="24" t="s">
        <v>25</v>
      </c>
      <c r="AS173" s="25"/>
      <c r="AT173" s="24" t="s">
        <v>65</v>
      </c>
      <c r="AU173" s="24" t="s">
        <v>118</v>
      </c>
      <c r="AV173" s="24" t="s">
        <v>25</v>
      </c>
      <c r="AW173" s="25"/>
      <c r="AY173" s="24" t="s">
        <v>65</v>
      </c>
      <c r="AZ173" s="24" t="s">
        <v>118</v>
      </c>
      <c r="BA173" s="24" t="s">
        <v>25</v>
      </c>
    </row>
    <row r="174" ht="15.5" spans="21:53">
      <c r="U174" s="25" t="s">
        <v>262</v>
      </c>
      <c r="V174" s="26" t="s">
        <v>300</v>
      </c>
      <c r="W174" s="25">
        <f t="shared" ref="W174:W177" si="349">W105</f>
        <v>0.0115546572342934</v>
      </c>
      <c r="Y174" s="25"/>
      <c r="Z174" s="25" t="s">
        <v>264</v>
      </c>
      <c r="AA174" s="26" t="s">
        <v>300</v>
      </c>
      <c r="AB174" s="25">
        <f t="shared" ref="AB174:AB177" si="350">X105</f>
        <v>0.0110863986313088</v>
      </c>
      <c r="AD174" s="25"/>
      <c r="AE174" s="25" t="s">
        <v>266</v>
      </c>
      <c r="AF174" s="26" t="s">
        <v>300</v>
      </c>
      <c r="AG174" s="25">
        <f t="shared" ref="AG174:AG177" si="351">Y105</f>
        <v>0.0114618834080717</v>
      </c>
      <c r="AI174" s="25"/>
      <c r="AJ174" s="25" t="s">
        <v>268</v>
      </c>
      <c r="AK174" s="26" t="s">
        <v>300</v>
      </c>
      <c r="AL174" s="25">
        <f t="shared" ref="AL174:AL177" si="352">Z105</f>
        <v>0.011751326762699</v>
      </c>
      <c r="AN174" s="25"/>
      <c r="AO174" s="25" t="s">
        <v>260</v>
      </c>
      <c r="AP174" s="26" t="s">
        <v>300</v>
      </c>
      <c r="AQ174" s="25">
        <f t="shared" ref="AQ174:AQ177" si="353">AA105</f>
        <v>0.0119709118030953</v>
      </c>
      <c r="AS174" s="25"/>
      <c r="AT174" s="25" t="s">
        <v>259</v>
      </c>
      <c r="AU174" s="26" t="s">
        <v>300</v>
      </c>
      <c r="AV174" s="25">
        <f t="shared" ref="AV174:AV177" si="354">AB105</f>
        <v>0.00961625282167042</v>
      </c>
      <c r="AW174" s="25"/>
      <c r="AY174" s="25" t="s">
        <v>257</v>
      </c>
      <c r="AZ174" s="26" t="s">
        <v>300</v>
      </c>
      <c r="BA174" s="25">
        <f t="shared" ref="BA174:BA177" si="355">AC105</f>
        <v>0.0113017332861691</v>
      </c>
    </row>
    <row r="175" ht="15.5" spans="21:53">
      <c r="U175" s="25" t="str">
        <f t="shared" ref="U175:U177" si="356">U174</f>
        <v>HydRecy-NMC111</v>
      </c>
      <c r="V175" s="26" t="s">
        <v>301</v>
      </c>
      <c r="W175" s="25">
        <f t="shared" si="349"/>
        <v>0.0252147549267307</v>
      </c>
      <c r="Y175" s="25"/>
      <c r="Z175" s="25" t="str">
        <f t="shared" ref="Z175:Z177" si="357">Z174</f>
        <v>HydRecy-NMC532</v>
      </c>
      <c r="AA175" s="26" t="s">
        <v>301</v>
      </c>
      <c r="AB175" s="25">
        <f t="shared" si="350"/>
        <v>0.0242600513259196</v>
      </c>
      <c r="AD175" s="25"/>
      <c r="AE175" s="25" t="str">
        <f t="shared" ref="AE175:AE177" si="358">AE174</f>
        <v>HydRecy-NMC622</v>
      </c>
      <c r="AF175" s="26" t="s">
        <v>301</v>
      </c>
      <c r="AG175" s="25">
        <f t="shared" si="351"/>
        <v>0.0250941704035874</v>
      </c>
      <c r="AI175" s="25"/>
      <c r="AJ175" s="25" t="str">
        <f t="shared" ref="AJ175:AJ177" si="359">AJ174</f>
        <v>HydRecy-NMC811</v>
      </c>
      <c r="AK175" s="26" t="s">
        <v>301</v>
      </c>
      <c r="AL175" s="25">
        <f t="shared" si="352"/>
        <v>0.0257581501137225</v>
      </c>
      <c r="AN175" s="25"/>
      <c r="AO175" s="25" t="str">
        <f t="shared" ref="AO175:AO177" si="360">AO174</f>
        <v>HydRecy-NCA</v>
      </c>
      <c r="AP175" s="26" t="s">
        <v>301</v>
      </c>
      <c r="AQ175" s="25">
        <f t="shared" si="353"/>
        <v>0.0262539623345143</v>
      </c>
      <c r="AS175" s="25"/>
      <c r="AT175" s="25" t="str">
        <f t="shared" ref="AT175:AT177" si="361">AT174</f>
        <v>HydRecy-LMO</v>
      </c>
      <c r="AU175" s="26" t="s">
        <v>301</v>
      </c>
      <c r="AV175" s="25">
        <f t="shared" si="354"/>
        <v>0.0210534236267871</v>
      </c>
      <c r="AW175" s="25"/>
      <c r="AY175" s="25" t="str">
        <f t="shared" ref="AY175:AY177" si="362">AY174</f>
        <v>HydRecy-LFP</v>
      </c>
      <c r="AZ175" s="26" t="s">
        <v>301</v>
      </c>
      <c r="BA175" s="25">
        <f t="shared" si="355"/>
        <v>0.0247435443933498</v>
      </c>
    </row>
    <row r="176" ht="15.5" spans="21:53">
      <c r="U176" s="25" t="str">
        <f t="shared" si="356"/>
        <v>HydRecy-NMC111</v>
      </c>
      <c r="V176" s="26" t="s">
        <v>302</v>
      </c>
      <c r="W176" s="25">
        <f t="shared" si="349"/>
        <v>0.0978103419235304</v>
      </c>
      <c r="Y176" s="25"/>
      <c r="Z176" s="25" t="str">
        <f t="shared" si="357"/>
        <v>HydRecy-NMC532</v>
      </c>
      <c r="AA176" s="26" t="s">
        <v>302</v>
      </c>
      <c r="AB176" s="25">
        <f t="shared" si="350"/>
        <v>0.0947818648417451</v>
      </c>
      <c r="AD176" s="25"/>
      <c r="AE176" s="25" t="str">
        <f t="shared" si="358"/>
        <v>HydRecy-NMC622</v>
      </c>
      <c r="AF176" s="26" t="s">
        <v>302</v>
      </c>
      <c r="AG176" s="25">
        <f t="shared" si="351"/>
        <v>0.0982600896860986</v>
      </c>
      <c r="AI176" s="25"/>
      <c r="AJ176" s="25" t="str">
        <f t="shared" si="359"/>
        <v>HydRecy-NMC811</v>
      </c>
      <c r="AK176" s="26" t="s">
        <v>302</v>
      </c>
      <c r="AL176" s="25">
        <f t="shared" si="352"/>
        <v>0.099696739954511</v>
      </c>
      <c r="AN176" s="25"/>
      <c r="AO176" s="25" t="str">
        <f t="shared" si="360"/>
        <v>HydRecy-NCA</v>
      </c>
      <c r="AP176" s="26" t="s">
        <v>302</v>
      </c>
      <c r="AQ176" s="25">
        <f t="shared" si="353"/>
        <v>0.103953011374231</v>
      </c>
      <c r="AS176" s="25"/>
      <c r="AT176" s="25" t="str">
        <f t="shared" si="361"/>
        <v>HydRecy-LMO</v>
      </c>
      <c r="AU176" s="26" t="s">
        <v>302</v>
      </c>
      <c r="AV176" s="25">
        <f t="shared" si="354"/>
        <v>0.0824379232505643</v>
      </c>
      <c r="AW176" s="25"/>
      <c r="AY176" s="25" t="str">
        <f t="shared" si="362"/>
        <v>HydRecy-LFP</v>
      </c>
      <c r="AZ176" s="26" t="s">
        <v>302</v>
      </c>
      <c r="BA176" s="25">
        <f t="shared" si="355"/>
        <v>0.0968871595330739</v>
      </c>
    </row>
    <row r="177" ht="15.5" spans="21:53">
      <c r="U177" s="25" t="str">
        <f t="shared" si="356"/>
        <v>HydRecy-NMC111</v>
      </c>
      <c r="V177" s="26" t="s">
        <v>303</v>
      </c>
      <c r="W177" s="25">
        <f t="shared" si="349"/>
        <v>0.0132390096008085</v>
      </c>
      <c r="Y177" s="27"/>
      <c r="Z177" s="25" t="str">
        <f t="shared" si="357"/>
        <v>HydRecy-NMC532</v>
      </c>
      <c r="AA177" s="26" t="s">
        <v>303</v>
      </c>
      <c r="AB177" s="25">
        <f t="shared" si="350"/>
        <v>0.0130538922155689</v>
      </c>
      <c r="AD177" s="27"/>
      <c r="AE177" s="25" t="str">
        <f t="shared" si="358"/>
        <v>HydRecy-NMC622</v>
      </c>
      <c r="AF177" s="26" t="s">
        <v>303</v>
      </c>
      <c r="AG177" s="25">
        <f t="shared" si="351"/>
        <v>0.0136143497757848</v>
      </c>
      <c r="AI177" s="27"/>
      <c r="AJ177" s="25" t="str">
        <f t="shared" si="359"/>
        <v>HydRecy-NMC811</v>
      </c>
      <c r="AK177" s="26" t="s">
        <v>303</v>
      </c>
      <c r="AL177" s="25">
        <f t="shared" si="352"/>
        <v>0.0139689158453374</v>
      </c>
      <c r="AN177" s="27"/>
      <c r="AO177" s="25" t="str">
        <f t="shared" si="360"/>
        <v>HydRecy-NCA</v>
      </c>
      <c r="AP177" s="26" t="s">
        <v>303</v>
      </c>
      <c r="AQ177" s="25">
        <f t="shared" si="353"/>
        <v>0.0141711728510162</v>
      </c>
      <c r="AS177" s="27"/>
      <c r="AT177" s="25" t="str">
        <f t="shared" si="361"/>
        <v>HydRecy-LMO</v>
      </c>
      <c r="AU177" s="26" t="s">
        <v>303</v>
      </c>
      <c r="AV177" s="25">
        <f t="shared" si="354"/>
        <v>0.0114221218961625</v>
      </c>
      <c r="AW177" s="27"/>
      <c r="AY177" s="25" t="str">
        <f t="shared" si="362"/>
        <v>HydRecy-LFP</v>
      </c>
      <c r="AZ177" s="26" t="s">
        <v>303</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299</v>
      </c>
      <c r="W183" s="23"/>
      <c r="Y183" s="25"/>
      <c r="Z183" s="23"/>
      <c r="AA183" s="24" t="s">
        <v>299</v>
      </c>
      <c r="AB183" s="23"/>
      <c r="AD183" s="25"/>
      <c r="AE183" s="23"/>
      <c r="AF183" s="24" t="s">
        <v>299</v>
      </c>
      <c r="AG183" s="23"/>
      <c r="AI183" s="25"/>
      <c r="AJ183" s="23"/>
      <c r="AK183" s="24" t="s">
        <v>299</v>
      </c>
      <c r="AL183" s="23"/>
      <c r="AN183" s="25"/>
      <c r="AO183" s="23"/>
      <c r="AP183" s="24" t="s">
        <v>299</v>
      </c>
      <c r="AQ183" s="23"/>
      <c r="AS183" s="25"/>
      <c r="AT183" s="23"/>
      <c r="AU183" s="24" t="s">
        <v>299</v>
      </c>
      <c r="AV183" s="23"/>
      <c r="AW183" s="25"/>
      <c r="AY183" s="23"/>
      <c r="AZ183" s="24" t="s">
        <v>299</v>
      </c>
      <c r="BA183" s="23"/>
    </row>
    <row r="184" ht="15.5" spans="21:53">
      <c r="U184" s="24" t="s">
        <v>65</v>
      </c>
      <c r="V184" s="24" t="s">
        <v>118</v>
      </c>
      <c r="W184" s="24" t="s">
        <v>25</v>
      </c>
      <c r="Y184" s="25"/>
      <c r="Z184" s="24" t="s">
        <v>65</v>
      </c>
      <c r="AA184" s="24" t="s">
        <v>118</v>
      </c>
      <c r="AB184" s="24" t="s">
        <v>25</v>
      </c>
      <c r="AD184" s="25"/>
      <c r="AE184" s="24" t="s">
        <v>65</v>
      </c>
      <c r="AF184" s="24" t="s">
        <v>118</v>
      </c>
      <c r="AG184" s="24" t="s">
        <v>25</v>
      </c>
      <c r="AI184" s="25"/>
      <c r="AJ184" s="24" t="s">
        <v>65</v>
      </c>
      <c r="AK184" s="24" t="s">
        <v>118</v>
      </c>
      <c r="AL184" s="24" t="s">
        <v>25</v>
      </c>
      <c r="AN184" s="25"/>
      <c r="AO184" s="24" t="s">
        <v>65</v>
      </c>
      <c r="AP184" s="24" t="s">
        <v>118</v>
      </c>
      <c r="AQ184" s="24" t="s">
        <v>25</v>
      </c>
      <c r="AS184" s="25"/>
      <c r="AT184" s="24" t="s">
        <v>65</v>
      </c>
      <c r="AU184" s="24" t="s">
        <v>118</v>
      </c>
      <c r="AV184" s="24" t="s">
        <v>25</v>
      </c>
      <c r="AW184" s="25"/>
      <c r="AY184" s="24" t="s">
        <v>65</v>
      </c>
      <c r="AZ184" s="24" t="s">
        <v>118</v>
      </c>
      <c r="BA184" s="24" t="s">
        <v>25</v>
      </c>
    </row>
    <row r="185" ht="15.5" spans="21:53">
      <c r="U185" s="25" t="s">
        <v>275</v>
      </c>
      <c r="V185" s="26" t="s">
        <v>300</v>
      </c>
      <c r="W185" s="25">
        <f t="shared" ref="W185:W188" si="363">W125</f>
        <v>0.00788276907529056</v>
      </c>
      <c r="Y185" s="25"/>
      <c r="Z185" s="25" t="s">
        <v>277</v>
      </c>
      <c r="AA185" s="26" t="s">
        <v>300</v>
      </c>
      <c r="AB185" s="25">
        <f t="shared" ref="AB185:AB188" si="364">X125</f>
        <v>0.00764756201881948</v>
      </c>
      <c r="AD185" s="25"/>
      <c r="AE185" s="25" t="s">
        <v>279</v>
      </c>
      <c r="AF185" s="26" t="s">
        <v>300</v>
      </c>
      <c r="AG185" s="25">
        <f t="shared" ref="AG185:AG188" si="365">Y125</f>
        <v>0.00794618834080718</v>
      </c>
      <c r="AI185" s="25"/>
      <c r="AJ185" s="25" t="s">
        <v>280</v>
      </c>
      <c r="AK185" s="26" t="s">
        <v>300</v>
      </c>
      <c r="AL185" s="25">
        <f t="shared" ref="AL185:AL188" si="366">Z125</f>
        <v>0.00794162244124336</v>
      </c>
      <c r="AN185" s="25"/>
      <c r="AO185" s="25" t="s">
        <v>274</v>
      </c>
      <c r="AP185" s="26" t="s">
        <v>300</v>
      </c>
      <c r="AQ185" s="25">
        <f t="shared" ref="AQ185:AQ188" si="367">AA125</f>
        <v>0.00801790042886445</v>
      </c>
      <c r="AS185" s="25"/>
      <c r="AT185" s="25" t="s">
        <v>272</v>
      </c>
      <c r="AU185" s="26" t="s">
        <v>300</v>
      </c>
      <c r="AV185" s="25">
        <f t="shared" ref="AV185:AV188" si="368">AB125</f>
        <v>0.00666666666666667</v>
      </c>
      <c r="AW185" s="25"/>
      <c r="AY185" s="25" t="s">
        <v>270</v>
      </c>
      <c r="AZ185" s="26" t="s">
        <v>300</v>
      </c>
      <c r="BA185" s="25">
        <f t="shared" ref="BA185:BA188" si="369">AC125</f>
        <v>0.00783516094800141</v>
      </c>
    </row>
    <row r="186" ht="15.5" spans="21:53">
      <c r="U186" s="25" t="str">
        <f t="shared" ref="U186:U188" si="370">U185</f>
        <v>DirRecy-NMC111</v>
      </c>
      <c r="V186" s="26" t="s">
        <v>301</v>
      </c>
      <c r="W186" s="25">
        <f t="shared" si="363"/>
        <v>0.02011116725619</v>
      </c>
      <c r="Y186" s="25"/>
      <c r="Z186" s="25" t="str">
        <f t="shared" ref="Z186:Z188" si="371">Z185</f>
        <v>DirRecy-NMC532</v>
      </c>
      <c r="AA186" s="26" t="s">
        <v>301</v>
      </c>
      <c r="AB186" s="25">
        <f t="shared" si="364"/>
        <v>0.0195038494439692</v>
      </c>
      <c r="AD186" s="25"/>
      <c r="AE186" s="25" t="str">
        <f t="shared" ref="AE186:AE188" si="372">AE185</f>
        <v>DirRecy-NMC622</v>
      </c>
      <c r="AF186" s="26" t="s">
        <v>301</v>
      </c>
      <c r="AG186" s="25">
        <f t="shared" si="365"/>
        <v>0.0202152466367713</v>
      </c>
      <c r="AI186" s="25"/>
      <c r="AJ186" s="25" t="str">
        <f t="shared" ref="AJ186:AJ188" si="373">AJ185</f>
        <v>DirRecy-NMC811</v>
      </c>
      <c r="AK186" s="26" t="s">
        <v>301</v>
      </c>
      <c r="AL186" s="25">
        <f t="shared" si="366"/>
        <v>0.0201099317664898</v>
      </c>
      <c r="AN186" s="25"/>
      <c r="AO186" s="25" t="str">
        <f t="shared" ref="AO186:AO188" si="374">AO185</f>
        <v>DirRecy-NCA</v>
      </c>
      <c r="AP186" s="26" t="s">
        <v>301</v>
      </c>
      <c r="AQ186" s="25">
        <f t="shared" si="367"/>
        <v>0.0203990303934365</v>
      </c>
      <c r="AS186" s="25"/>
      <c r="AT186" s="25" t="str">
        <f t="shared" ref="AT186:AT188" si="375">AT185</f>
        <v>DirRecy-LMO</v>
      </c>
      <c r="AU186" s="26" t="s">
        <v>301</v>
      </c>
      <c r="AV186" s="25">
        <f t="shared" si="368"/>
        <v>0.0169601203912716</v>
      </c>
      <c r="AW186" s="25"/>
      <c r="AY186" s="25" t="str">
        <f t="shared" ref="AY186:AY188" si="376">AY185</f>
        <v>DirRecy-LFP</v>
      </c>
      <c r="AZ186" s="26" t="s">
        <v>301</v>
      </c>
      <c r="BA186" s="25">
        <f t="shared" si="369"/>
        <v>0.0199327909444641</v>
      </c>
    </row>
    <row r="187" ht="15.5" spans="21:53">
      <c r="U187" s="25" t="str">
        <f t="shared" si="370"/>
        <v>DirRecy-NMC111</v>
      </c>
      <c r="V187" s="26" t="s">
        <v>302</v>
      </c>
      <c r="W187" s="25">
        <f t="shared" si="363"/>
        <v>0.0641232945932289</v>
      </c>
      <c r="Y187" s="25"/>
      <c r="Z187" s="25" t="str">
        <f t="shared" si="371"/>
        <v>DirRecy-NMC532</v>
      </c>
      <c r="AA187" s="26" t="s">
        <v>302</v>
      </c>
      <c r="AB187" s="25">
        <f t="shared" si="364"/>
        <v>0.0633532934131737</v>
      </c>
      <c r="AD187" s="25"/>
      <c r="AE187" s="25" t="str">
        <f t="shared" si="372"/>
        <v>DirRecy-NMC622</v>
      </c>
      <c r="AF187" s="26" t="s">
        <v>302</v>
      </c>
      <c r="AG187" s="25">
        <f t="shared" si="365"/>
        <v>0.0659910313901345</v>
      </c>
      <c r="AI187" s="25"/>
      <c r="AJ187" s="25" t="str">
        <f t="shared" si="373"/>
        <v>DirRecy-NMC811</v>
      </c>
      <c r="AK187" s="26" t="s">
        <v>302</v>
      </c>
      <c r="AL187" s="25">
        <f t="shared" si="366"/>
        <v>0.0673237300985595</v>
      </c>
      <c r="AN187" s="25"/>
      <c r="AO187" s="25" t="str">
        <f t="shared" si="374"/>
        <v>DirRecy-NCA</v>
      </c>
      <c r="AP187" s="26" t="s">
        <v>302</v>
      </c>
      <c r="AQ187" s="25">
        <f t="shared" si="367"/>
        <v>0.0673690098825284</v>
      </c>
      <c r="AS187" s="25"/>
      <c r="AT187" s="25" t="str">
        <f t="shared" si="375"/>
        <v>DirRecy-LMO</v>
      </c>
      <c r="AU187" s="26" t="s">
        <v>302</v>
      </c>
      <c r="AV187" s="25">
        <f t="shared" si="368"/>
        <v>0.055364936042137</v>
      </c>
      <c r="AW187" s="25"/>
      <c r="AY187" s="25" t="str">
        <f t="shared" si="376"/>
        <v>DirRecy-LFP</v>
      </c>
      <c r="AZ187" s="26" t="s">
        <v>302</v>
      </c>
      <c r="BA187" s="25">
        <f t="shared" si="369"/>
        <v>0.0650689777148921</v>
      </c>
    </row>
    <row r="188" ht="15.5" spans="21:53">
      <c r="U188" s="25" t="str">
        <f t="shared" si="370"/>
        <v>DirRecy-NMC111</v>
      </c>
      <c r="V188" s="26" t="s">
        <v>303</v>
      </c>
      <c r="W188" s="25">
        <f t="shared" si="363"/>
        <v>0.0129695132221661</v>
      </c>
      <c r="Y188" s="27"/>
      <c r="Z188" s="25" t="str">
        <f t="shared" si="371"/>
        <v>DirRecy-NMC532</v>
      </c>
      <c r="AA188" s="26" t="s">
        <v>303</v>
      </c>
      <c r="AB188" s="25">
        <f t="shared" si="364"/>
        <v>0.012814371257485</v>
      </c>
      <c r="AD188" s="27"/>
      <c r="AE188" s="25" t="str">
        <f t="shared" si="372"/>
        <v>DirRecy-NMC622</v>
      </c>
      <c r="AF188" s="26" t="s">
        <v>303</v>
      </c>
      <c r="AG188" s="25">
        <f t="shared" si="365"/>
        <v>0.0133452914798206</v>
      </c>
      <c r="AI188" s="27"/>
      <c r="AJ188" s="25" t="str">
        <f t="shared" si="373"/>
        <v>DirRecy-NMC811</v>
      </c>
      <c r="AK188" s="26" t="s">
        <v>303</v>
      </c>
      <c r="AL188" s="25">
        <f t="shared" si="366"/>
        <v>0.0135898407884761</v>
      </c>
      <c r="AN188" s="27"/>
      <c r="AO188" s="25" t="str">
        <f t="shared" si="374"/>
        <v>DirRecy-NCA</v>
      </c>
      <c r="AP188" s="26" t="s">
        <v>303</v>
      </c>
      <c r="AQ188" s="25">
        <f t="shared" si="367"/>
        <v>0.0136304307290695</v>
      </c>
      <c r="AS188" s="27"/>
      <c r="AT188" s="25" t="str">
        <f t="shared" si="375"/>
        <v>DirRecy-LMO</v>
      </c>
      <c r="AU188" s="26" t="s">
        <v>303</v>
      </c>
      <c r="AV188" s="25">
        <f t="shared" si="368"/>
        <v>0.011196388261851</v>
      </c>
      <c r="AW188" s="27"/>
      <c r="AY188" s="25" t="str">
        <f t="shared" si="376"/>
        <v>DirRecy-LFP</v>
      </c>
      <c r="AZ188" s="26" t="s">
        <v>303</v>
      </c>
      <c r="BA188" s="25">
        <f t="shared" si="369"/>
        <v>0.0131588256101875</v>
      </c>
    </row>
    <row r="198" spans="21:54">
      <c r="V198" s="3" t="s">
        <v>299</v>
      </c>
      <c r="AA198" s="3" t="s">
        <v>299</v>
      </c>
      <c r="AF198" s="3" t="s">
        <v>299</v>
      </c>
      <c r="AK198" s="3" t="s">
        <v>299</v>
      </c>
      <c r="AP198" s="3" t="s">
        <v>299</v>
      </c>
      <c r="AU198" s="3" t="s">
        <v>299</v>
      </c>
      <c r="AZ198" s="3" t="s">
        <v>299</v>
      </c>
    </row>
    <row r="199" ht="15.5" spans="21:54">
      <c r="U199" s="3" t="s">
        <v>65</v>
      </c>
      <c r="V199" s="3" t="s">
        <v>118</v>
      </c>
      <c r="W199" s="3" t="s">
        <v>25</v>
      </c>
      <c r="X199" s="25" t="s">
        <v>41</v>
      </c>
      <c r="Z199" s="3" t="s">
        <v>65</v>
      </c>
      <c r="AA199" s="3" t="s">
        <v>118</v>
      </c>
      <c r="AB199" s="3" t="s">
        <v>25</v>
      </c>
      <c r="AC199" s="25" t="s">
        <v>41</v>
      </c>
      <c r="AE199" s="3" t="s">
        <v>65</v>
      </c>
      <c r="AF199" s="3" t="s">
        <v>118</v>
      </c>
      <c r="AG199" s="3" t="s">
        <v>25</v>
      </c>
      <c r="AH199" s="25" t="s">
        <v>41</v>
      </c>
      <c r="AJ199" s="3" t="s">
        <v>65</v>
      </c>
      <c r="AK199" s="3" t="s">
        <v>118</v>
      </c>
      <c r="AL199" s="3" t="s">
        <v>25</v>
      </c>
      <c r="AM199" s="25" t="s">
        <v>41</v>
      </c>
      <c r="AO199" s="3" t="s">
        <v>65</v>
      </c>
      <c r="AP199" s="3" t="s">
        <v>118</v>
      </c>
      <c r="AQ199" s="3" t="s">
        <v>25</v>
      </c>
      <c r="AR199" s="25" t="s">
        <v>41</v>
      </c>
      <c r="AT199" s="3" t="s">
        <v>65</v>
      </c>
      <c r="AU199" s="3" t="s">
        <v>118</v>
      </c>
      <c r="AV199" s="3" t="s">
        <v>25</v>
      </c>
      <c r="AW199" s="25" t="s">
        <v>41</v>
      </c>
      <c r="AY199" s="3" t="s">
        <v>65</v>
      </c>
      <c r="AZ199" s="3" t="s">
        <v>118</v>
      </c>
      <c r="BA199" s="3" t="s">
        <v>25</v>
      </c>
      <c r="BB199" s="25" t="s">
        <v>41</v>
      </c>
    </row>
    <row r="200" ht="15.5" spans="21:54">
      <c r="U200" s="3" t="s">
        <v>249</v>
      </c>
      <c r="V200" s="3" t="s">
        <v>300</v>
      </c>
      <c r="W200" s="3">
        <f>SUM(W162:W165)</f>
        <v>0.136112514738083</v>
      </c>
      <c r="X200" s="25" t="s">
        <v>325</v>
      </c>
      <c r="Z200" s="3" t="s">
        <v>251</v>
      </c>
      <c r="AA200" s="3" t="s">
        <v>300</v>
      </c>
      <c r="AB200" s="3">
        <f>SUM(AB162:AB165)</f>
        <v>0.13180496150556</v>
      </c>
      <c r="AC200" s="25" t="s">
        <v>325</v>
      </c>
      <c r="AE200" s="3" t="s">
        <v>253</v>
      </c>
      <c r="AF200" s="3" t="s">
        <v>300</v>
      </c>
      <c r="AG200" s="3">
        <f>SUM(AG162:AG165)</f>
        <v>0.136304932735426</v>
      </c>
      <c r="AH200" s="25" t="s">
        <v>325</v>
      </c>
      <c r="AJ200" s="3" t="s">
        <v>255</v>
      </c>
      <c r="AK200" s="3" t="s">
        <v>300</v>
      </c>
      <c r="AL200" s="3">
        <f>SUM(AL162:AL165)</f>
        <v>0.143100833965125</v>
      </c>
      <c r="AM200" s="25" t="s">
        <v>325</v>
      </c>
      <c r="AO200" s="3" t="s">
        <v>247</v>
      </c>
      <c r="AP200" s="3" t="s">
        <v>300</v>
      </c>
      <c r="AQ200" s="3">
        <f>SUM(AQ162:AQ165)</f>
        <v>0.148405743054261</v>
      </c>
      <c r="AR200" s="25" t="s">
        <v>325</v>
      </c>
      <c r="AT200" s="3" t="s">
        <v>245</v>
      </c>
      <c r="AU200" s="3" t="s">
        <v>300</v>
      </c>
      <c r="AV200" s="3">
        <f>SUM(AV162:AV165)</f>
        <v>0.114356659142212</v>
      </c>
      <c r="AW200" s="25" t="s">
        <v>325</v>
      </c>
      <c r="AY200" s="3" t="s">
        <v>243</v>
      </c>
      <c r="AZ200" s="3" t="s">
        <v>300</v>
      </c>
      <c r="BA200" s="3">
        <f>SUM(BA162:BA165)</f>
        <v>0.134400424478245</v>
      </c>
      <c r="BB200" s="25" t="s">
        <v>325</v>
      </c>
    </row>
    <row r="201" ht="15.5" spans="21:54">
      <c r="U201" s="3" t="s">
        <v>249</v>
      </c>
      <c r="V201" s="3" t="s">
        <v>301</v>
      </c>
      <c r="W201" s="3">
        <v>0</v>
      </c>
      <c r="X201" s="25" t="s">
        <v>325</v>
      </c>
      <c r="Z201" s="3" t="s">
        <v>251</v>
      </c>
      <c r="AA201" s="3" t="s">
        <v>301</v>
      </c>
      <c r="AB201" s="3">
        <v>0</v>
      </c>
      <c r="AC201" s="25" t="s">
        <v>325</v>
      </c>
      <c r="AE201" s="3" t="s">
        <v>253</v>
      </c>
      <c r="AF201" s="3" t="s">
        <v>301</v>
      </c>
      <c r="AG201" s="3">
        <v>0</v>
      </c>
      <c r="AH201" s="25" t="s">
        <v>325</v>
      </c>
      <c r="AJ201" s="3" t="s">
        <v>255</v>
      </c>
      <c r="AK201" s="3" t="s">
        <v>301</v>
      </c>
      <c r="AL201" s="3">
        <v>0</v>
      </c>
      <c r="AM201" s="25" t="s">
        <v>325</v>
      </c>
      <c r="AO201" s="3" t="s">
        <v>247</v>
      </c>
      <c r="AP201" s="3" t="s">
        <v>301</v>
      </c>
      <c r="AQ201" s="3">
        <v>0</v>
      </c>
      <c r="AR201" s="25" t="s">
        <v>325</v>
      </c>
      <c r="AT201" s="3" t="s">
        <v>245</v>
      </c>
      <c r="AU201" s="3" t="s">
        <v>301</v>
      </c>
      <c r="AV201" s="3">
        <v>0</v>
      </c>
      <c r="AW201" s="25" t="s">
        <v>325</v>
      </c>
      <c r="AY201" s="3" t="s">
        <v>243</v>
      </c>
      <c r="AZ201" s="3" t="s">
        <v>301</v>
      </c>
      <c r="BA201" s="3">
        <v>0</v>
      </c>
      <c r="BB201" s="25" t="s">
        <v>325</v>
      </c>
    </row>
    <row r="202" ht="15.5" spans="21:54">
      <c r="U202" s="3" t="s">
        <v>249</v>
      </c>
      <c r="V202" s="3" t="s">
        <v>302</v>
      </c>
      <c r="W202" s="3">
        <v>0</v>
      </c>
      <c r="X202" s="25" t="s">
        <v>325</v>
      </c>
      <c r="Z202" s="3" t="s">
        <v>251</v>
      </c>
      <c r="AA202" s="3" t="s">
        <v>302</v>
      </c>
      <c r="AB202" s="3">
        <v>0</v>
      </c>
      <c r="AC202" s="25" t="s">
        <v>325</v>
      </c>
      <c r="AE202" s="3" t="s">
        <v>253</v>
      </c>
      <c r="AF202" s="3" t="s">
        <v>302</v>
      </c>
      <c r="AG202" s="3">
        <v>0</v>
      </c>
      <c r="AH202" s="25" t="s">
        <v>325</v>
      </c>
      <c r="AJ202" s="3" t="s">
        <v>255</v>
      </c>
      <c r="AK202" s="3" t="s">
        <v>302</v>
      </c>
      <c r="AL202" s="3">
        <v>0</v>
      </c>
      <c r="AM202" s="25" t="s">
        <v>325</v>
      </c>
      <c r="AO202" s="3" t="s">
        <v>247</v>
      </c>
      <c r="AP202" s="3" t="s">
        <v>302</v>
      </c>
      <c r="AQ202" s="3">
        <v>0</v>
      </c>
      <c r="AR202" s="25" t="s">
        <v>325</v>
      </c>
      <c r="AT202" s="3" t="s">
        <v>245</v>
      </c>
      <c r="AU202" s="3" t="s">
        <v>302</v>
      </c>
      <c r="AV202" s="3">
        <v>0</v>
      </c>
      <c r="AW202" s="25" t="s">
        <v>325</v>
      </c>
      <c r="AY202" s="3" t="s">
        <v>243</v>
      </c>
      <c r="AZ202" s="3" t="s">
        <v>302</v>
      </c>
      <c r="BA202" s="3">
        <v>0</v>
      </c>
      <c r="BB202" s="25" t="s">
        <v>325</v>
      </c>
    </row>
    <row r="203" ht="15.5" spans="21:54">
      <c r="U203" s="3" t="s">
        <v>249</v>
      </c>
      <c r="V203" s="3" t="s">
        <v>303</v>
      </c>
      <c r="W203" s="3">
        <v>0</v>
      </c>
      <c r="X203" s="25" t="s">
        <v>325</v>
      </c>
      <c r="Z203" s="3" t="s">
        <v>251</v>
      </c>
      <c r="AA203" s="3" t="s">
        <v>303</v>
      </c>
      <c r="AB203" s="3">
        <v>0</v>
      </c>
      <c r="AC203" s="25" t="s">
        <v>325</v>
      </c>
      <c r="AE203" s="3" t="s">
        <v>253</v>
      </c>
      <c r="AF203" s="3" t="s">
        <v>303</v>
      </c>
      <c r="AG203" s="3">
        <v>0</v>
      </c>
      <c r="AH203" s="25" t="s">
        <v>325</v>
      </c>
      <c r="AJ203" s="3" t="s">
        <v>255</v>
      </c>
      <c r="AK203" s="3" t="s">
        <v>303</v>
      </c>
      <c r="AL203" s="3">
        <v>0</v>
      </c>
      <c r="AM203" s="25" t="s">
        <v>325</v>
      </c>
      <c r="AO203" s="3" t="s">
        <v>247</v>
      </c>
      <c r="AP203" s="3" t="s">
        <v>303</v>
      </c>
      <c r="AQ203" s="3">
        <v>0</v>
      </c>
      <c r="AR203" s="25" t="s">
        <v>325</v>
      </c>
      <c r="AT203" s="3" t="s">
        <v>245</v>
      </c>
      <c r="AU203" s="3" t="s">
        <v>303</v>
      </c>
      <c r="AV203" s="3">
        <v>0</v>
      </c>
      <c r="AW203" s="25" t="s">
        <v>325</v>
      </c>
      <c r="AY203" s="3" t="s">
        <v>243</v>
      </c>
      <c r="AZ203" s="3" t="s">
        <v>303</v>
      </c>
      <c r="BA203" s="3">
        <v>0</v>
      </c>
      <c r="BB203" s="25" t="s">
        <v>325</v>
      </c>
    </row>
    <row r="210" spans="21:54">
      <c r="V210" s="3" t="s">
        <v>299</v>
      </c>
      <c r="AA210" s="3" t="s">
        <v>299</v>
      </c>
      <c r="AF210" s="3" t="s">
        <v>299</v>
      </c>
      <c r="AK210" s="3" t="s">
        <v>299</v>
      </c>
      <c r="AP210" s="3" t="s">
        <v>299</v>
      </c>
      <c r="AU210" s="3" t="s">
        <v>299</v>
      </c>
      <c r="AZ210" s="3" t="s">
        <v>299</v>
      </c>
    </row>
    <row r="211" ht="15.5" spans="21:54">
      <c r="U211" s="3" t="s">
        <v>65</v>
      </c>
      <c r="V211" s="3" t="s">
        <v>118</v>
      </c>
      <c r="W211" s="3" t="s">
        <v>25</v>
      </c>
      <c r="X211" s="25" t="s">
        <v>41</v>
      </c>
      <c r="Z211" s="3" t="s">
        <v>65</v>
      </c>
      <c r="AA211" s="3" t="s">
        <v>118</v>
      </c>
      <c r="AB211" s="3" t="s">
        <v>25</v>
      </c>
      <c r="AC211" s="25" t="s">
        <v>41</v>
      </c>
      <c r="AE211" s="3" t="s">
        <v>65</v>
      </c>
      <c r="AF211" s="3" t="s">
        <v>118</v>
      </c>
      <c r="AG211" s="3" t="s">
        <v>25</v>
      </c>
      <c r="AH211" s="25" t="s">
        <v>41</v>
      </c>
      <c r="AJ211" s="3" t="s">
        <v>65</v>
      </c>
      <c r="AK211" s="3" t="s">
        <v>118</v>
      </c>
      <c r="AL211" s="3" t="s">
        <v>25</v>
      </c>
      <c r="AM211" s="25" t="s">
        <v>41</v>
      </c>
      <c r="AO211" s="3" t="s">
        <v>65</v>
      </c>
      <c r="AP211" s="3" t="s">
        <v>118</v>
      </c>
      <c r="AQ211" s="3" t="s">
        <v>25</v>
      </c>
      <c r="AR211" s="25" t="s">
        <v>41</v>
      </c>
      <c r="AT211" s="3" t="s">
        <v>65</v>
      </c>
      <c r="AU211" s="3" t="s">
        <v>118</v>
      </c>
      <c r="AV211" s="3" t="s">
        <v>25</v>
      </c>
      <c r="AW211" s="25" t="s">
        <v>41</v>
      </c>
      <c r="AY211" s="3" t="s">
        <v>65</v>
      </c>
      <c r="AZ211" s="3" t="s">
        <v>118</v>
      </c>
      <c r="BA211" s="3" t="s">
        <v>25</v>
      </c>
      <c r="BB211" s="25" t="s">
        <v>41</v>
      </c>
    </row>
    <row r="212" ht="15.5" spans="21:54">
      <c r="U212" s="3" t="s">
        <v>262</v>
      </c>
      <c r="V212" s="3" t="s">
        <v>300</v>
      </c>
      <c r="W212" s="3">
        <f>SUM(W174:W177)</f>
        <v>0.147818763685363</v>
      </c>
      <c r="X212" s="25" t="s">
        <v>325</v>
      </c>
      <c r="Z212" s="3" t="s">
        <v>264</v>
      </c>
      <c r="AA212" s="3" t="s">
        <v>300</v>
      </c>
      <c r="AB212" s="3">
        <f>SUM(AB174:AB177)</f>
        <v>0.143182207014542</v>
      </c>
      <c r="AC212" s="25" t="s">
        <v>325</v>
      </c>
      <c r="AE212" s="3" t="s">
        <v>266</v>
      </c>
      <c r="AF212" s="3" t="s">
        <v>300</v>
      </c>
      <c r="AG212" s="3">
        <f>SUM(AG174:AG177)</f>
        <v>0.148430493273542</v>
      </c>
      <c r="AH212" s="25" t="s">
        <v>325</v>
      </c>
      <c r="AJ212" s="3" t="s">
        <v>268</v>
      </c>
      <c r="AK212" s="3" t="s">
        <v>300</v>
      </c>
      <c r="AL212" s="3">
        <f>SUM(AL174:AL177)</f>
        <v>0.15117513267627</v>
      </c>
      <c r="AM212" s="25" t="s">
        <v>325</v>
      </c>
      <c r="AO212" s="3" t="s">
        <v>260</v>
      </c>
      <c r="AP212" s="3" t="s">
        <v>300</v>
      </c>
      <c r="AQ212" s="3">
        <f>SUM(AQ174:AQ177)</f>
        <v>0.156349058362857</v>
      </c>
      <c r="AR212" s="25" t="s">
        <v>325</v>
      </c>
      <c r="AT212" s="3" t="s">
        <v>259</v>
      </c>
      <c r="AU212" s="3" t="s">
        <v>300</v>
      </c>
      <c r="AV212" s="3">
        <f>SUM(AV174:AV177)</f>
        <v>0.124529721595184</v>
      </c>
      <c r="AW212" s="25" t="s">
        <v>325</v>
      </c>
      <c r="AY212" s="3" t="s">
        <v>257</v>
      </c>
      <c r="AZ212" s="3" t="s">
        <v>300</v>
      </c>
      <c r="BA212" s="3">
        <f>SUM(BA174:BA177)</f>
        <v>0.146356561726212</v>
      </c>
      <c r="BB212" s="25" t="s">
        <v>325</v>
      </c>
    </row>
    <row r="213" ht="15.5" spans="21:54">
      <c r="U213" s="3" t="s">
        <v>262</v>
      </c>
      <c r="V213" s="3" t="s">
        <v>301</v>
      </c>
      <c r="W213" s="3">
        <v>0</v>
      </c>
      <c r="X213" s="25" t="s">
        <v>325</v>
      </c>
      <c r="Z213" s="3" t="s">
        <v>264</v>
      </c>
      <c r="AA213" s="3" t="s">
        <v>301</v>
      </c>
      <c r="AB213" s="3">
        <v>0</v>
      </c>
      <c r="AC213" s="25" t="s">
        <v>325</v>
      </c>
      <c r="AE213" s="3" t="s">
        <v>266</v>
      </c>
      <c r="AF213" s="3" t="s">
        <v>301</v>
      </c>
      <c r="AG213" s="3">
        <v>0</v>
      </c>
      <c r="AH213" s="25" t="s">
        <v>325</v>
      </c>
      <c r="AJ213" s="3" t="s">
        <v>268</v>
      </c>
      <c r="AK213" s="3" t="s">
        <v>301</v>
      </c>
      <c r="AL213" s="3">
        <v>0</v>
      </c>
      <c r="AM213" s="25" t="s">
        <v>325</v>
      </c>
      <c r="AO213" s="3" t="s">
        <v>260</v>
      </c>
      <c r="AP213" s="3" t="s">
        <v>301</v>
      </c>
      <c r="AQ213" s="3">
        <v>0</v>
      </c>
      <c r="AR213" s="25" t="s">
        <v>325</v>
      </c>
      <c r="AT213" s="3" t="s">
        <v>259</v>
      </c>
      <c r="AU213" s="3" t="s">
        <v>301</v>
      </c>
      <c r="AV213" s="3">
        <v>0</v>
      </c>
      <c r="AW213" s="25" t="s">
        <v>325</v>
      </c>
      <c r="AY213" s="3" t="s">
        <v>257</v>
      </c>
      <c r="AZ213" s="3" t="s">
        <v>301</v>
      </c>
      <c r="BA213" s="3">
        <v>0</v>
      </c>
      <c r="BB213" s="25" t="s">
        <v>325</v>
      </c>
    </row>
    <row r="214" ht="15.5" spans="21:54">
      <c r="U214" s="3" t="s">
        <v>262</v>
      </c>
      <c r="V214" s="3" t="s">
        <v>302</v>
      </c>
      <c r="W214" s="3">
        <v>0</v>
      </c>
      <c r="X214" s="25" t="s">
        <v>325</v>
      </c>
      <c r="Z214" s="3" t="s">
        <v>264</v>
      </c>
      <c r="AA214" s="3" t="s">
        <v>302</v>
      </c>
      <c r="AB214" s="3">
        <v>0</v>
      </c>
      <c r="AC214" s="25" t="s">
        <v>325</v>
      </c>
      <c r="AE214" s="3" t="s">
        <v>266</v>
      </c>
      <c r="AF214" s="3" t="s">
        <v>302</v>
      </c>
      <c r="AG214" s="3">
        <v>0</v>
      </c>
      <c r="AH214" s="25" t="s">
        <v>325</v>
      </c>
      <c r="AJ214" s="3" t="s">
        <v>268</v>
      </c>
      <c r="AK214" s="3" t="s">
        <v>302</v>
      </c>
      <c r="AL214" s="3">
        <v>0</v>
      </c>
      <c r="AM214" s="25" t="s">
        <v>325</v>
      </c>
      <c r="AO214" s="3" t="s">
        <v>260</v>
      </c>
      <c r="AP214" s="3" t="s">
        <v>302</v>
      </c>
      <c r="AQ214" s="3">
        <v>0</v>
      </c>
      <c r="AR214" s="25" t="s">
        <v>325</v>
      </c>
      <c r="AT214" s="3" t="s">
        <v>259</v>
      </c>
      <c r="AU214" s="3" t="s">
        <v>302</v>
      </c>
      <c r="AV214" s="3">
        <v>0</v>
      </c>
      <c r="AW214" s="25" t="s">
        <v>325</v>
      </c>
      <c r="AY214" s="3" t="s">
        <v>257</v>
      </c>
      <c r="AZ214" s="3" t="s">
        <v>302</v>
      </c>
      <c r="BA214" s="3">
        <v>0</v>
      </c>
      <c r="BB214" s="25" t="s">
        <v>325</v>
      </c>
    </row>
    <row r="215" ht="15.5" spans="21:54">
      <c r="U215" s="3" t="s">
        <v>262</v>
      </c>
      <c r="V215" s="3" t="s">
        <v>303</v>
      </c>
      <c r="W215" s="3">
        <v>0</v>
      </c>
      <c r="X215" s="25" t="s">
        <v>325</v>
      </c>
      <c r="Z215" s="3" t="s">
        <v>264</v>
      </c>
      <c r="AA215" s="3" t="s">
        <v>303</v>
      </c>
      <c r="AB215" s="3">
        <v>0</v>
      </c>
      <c r="AC215" s="25" t="s">
        <v>325</v>
      </c>
      <c r="AE215" s="3" t="s">
        <v>266</v>
      </c>
      <c r="AF215" s="3" t="s">
        <v>303</v>
      </c>
      <c r="AG215" s="3">
        <v>0</v>
      </c>
      <c r="AH215" s="25" t="s">
        <v>325</v>
      </c>
      <c r="AJ215" s="3" t="s">
        <v>268</v>
      </c>
      <c r="AK215" s="3" t="s">
        <v>303</v>
      </c>
      <c r="AL215" s="3">
        <v>0</v>
      </c>
      <c r="AM215" s="25" t="s">
        <v>325</v>
      </c>
      <c r="AO215" s="3" t="s">
        <v>260</v>
      </c>
      <c r="AP215" s="3" t="s">
        <v>303</v>
      </c>
      <c r="AQ215" s="3">
        <v>0</v>
      </c>
      <c r="AR215" s="25" t="s">
        <v>325</v>
      </c>
      <c r="AT215" s="3" t="s">
        <v>259</v>
      </c>
      <c r="AU215" s="3" t="s">
        <v>303</v>
      </c>
      <c r="AV215" s="3">
        <v>0</v>
      </c>
      <c r="AW215" s="25" t="s">
        <v>325</v>
      </c>
      <c r="AY215" s="3" t="s">
        <v>257</v>
      </c>
      <c r="AZ215" s="3" t="s">
        <v>303</v>
      </c>
      <c r="BA215" s="3">
        <v>0</v>
      </c>
      <c r="BB215" s="25" t="s">
        <v>325</v>
      </c>
    </row>
    <row r="221" spans="21:54">
      <c r="V221" s="3" t="s">
        <v>299</v>
      </c>
      <c r="AA221" s="3" t="s">
        <v>299</v>
      </c>
      <c r="AF221" s="3" t="s">
        <v>299</v>
      </c>
      <c r="AK221" s="3" t="s">
        <v>299</v>
      </c>
      <c r="AP221" s="3" t="s">
        <v>299</v>
      </c>
      <c r="AU221" s="3" t="s">
        <v>299</v>
      </c>
      <c r="AZ221" s="3" t="s">
        <v>299</v>
      </c>
    </row>
    <row r="222" ht="15.5" spans="21:54">
      <c r="U222" s="3" t="s">
        <v>65</v>
      </c>
      <c r="V222" s="3" t="s">
        <v>118</v>
      </c>
      <c r="W222" s="3" t="s">
        <v>25</v>
      </c>
      <c r="X222" s="25" t="s">
        <v>41</v>
      </c>
      <c r="Z222" s="3" t="s">
        <v>65</v>
      </c>
      <c r="AA222" s="3" t="s">
        <v>118</v>
      </c>
      <c r="AB222" s="3" t="s">
        <v>25</v>
      </c>
      <c r="AC222" s="25" t="s">
        <v>41</v>
      </c>
      <c r="AE222" s="3" t="s">
        <v>65</v>
      </c>
      <c r="AF222" s="3" t="s">
        <v>118</v>
      </c>
      <c r="AG222" s="3" t="s">
        <v>25</v>
      </c>
      <c r="AH222" s="25" t="s">
        <v>41</v>
      </c>
      <c r="AJ222" s="3" t="s">
        <v>65</v>
      </c>
      <c r="AK222" s="3" t="s">
        <v>118</v>
      </c>
      <c r="AL222" s="3" t="s">
        <v>25</v>
      </c>
      <c r="AM222" s="25" t="s">
        <v>41</v>
      </c>
      <c r="AO222" s="3" t="s">
        <v>65</v>
      </c>
      <c r="AP222" s="3" t="s">
        <v>118</v>
      </c>
      <c r="AQ222" s="3" t="s">
        <v>25</v>
      </c>
      <c r="AR222" s="25" t="s">
        <v>41</v>
      </c>
      <c r="AT222" s="3" t="s">
        <v>65</v>
      </c>
      <c r="AU222" s="3" t="s">
        <v>118</v>
      </c>
      <c r="AV222" s="3" t="s">
        <v>25</v>
      </c>
      <c r="AW222" s="25" t="s">
        <v>41</v>
      </c>
      <c r="AY222" s="3" t="s">
        <v>65</v>
      </c>
      <c r="AZ222" s="3" t="s">
        <v>118</v>
      </c>
      <c r="BA222" s="3" t="s">
        <v>25</v>
      </c>
      <c r="BB222" s="25" t="s">
        <v>41</v>
      </c>
    </row>
    <row r="223" ht="15.5" spans="21:54">
      <c r="U223" s="3" t="s">
        <v>275</v>
      </c>
      <c r="V223" s="3" t="s">
        <v>300</v>
      </c>
      <c r="W223" s="3">
        <f>SUM(W185:W188)</f>
        <v>0.105086744146876</v>
      </c>
      <c r="X223" s="25" t="s">
        <v>325</v>
      </c>
      <c r="Z223" s="3" t="s">
        <v>277</v>
      </c>
      <c r="AA223" s="3" t="s">
        <v>300</v>
      </c>
      <c r="AB223" s="3">
        <f>SUM(AB185:AB188)</f>
        <v>0.103319076133447</v>
      </c>
      <c r="AC223" s="25" t="s">
        <v>325</v>
      </c>
      <c r="AE223" s="3" t="s">
        <v>279</v>
      </c>
      <c r="AF223" s="3" t="s">
        <v>300</v>
      </c>
      <c r="AG223" s="3">
        <f>SUM(AG185:AG188)</f>
        <v>0.107497757847534</v>
      </c>
      <c r="AH223" s="25" t="s">
        <v>325</v>
      </c>
      <c r="AJ223" s="3" t="s">
        <v>280</v>
      </c>
      <c r="AK223" s="3" t="s">
        <v>300</v>
      </c>
      <c r="AL223" s="3">
        <f>SUM(AL185:AL188)</f>
        <v>0.108965125094769</v>
      </c>
      <c r="AM223" s="25" t="s">
        <v>325</v>
      </c>
      <c r="AO223" s="3" t="s">
        <v>274</v>
      </c>
      <c r="AP223" s="3" t="s">
        <v>300</v>
      </c>
      <c r="AQ223" s="3">
        <f>SUM(AQ185:AQ188)</f>
        <v>0.109416371433899</v>
      </c>
      <c r="AR223" s="25" t="s">
        <v>325</v>
      </c>
      <c r="AT223" s="3" t="s">
        <v>272</v>
      </c>
      <c r="AU223" s="3" t="s">
        <v>300</v>
      </c>
      <c r="AV223" s="3">
        <f>SUM(AV185:AV188)</f>
        <v>0.0901881113619263</v>
      </c>
      <c r="AW223" s="25" t="s">
        <v>325</v>
      </c>
      <c r="AY223" s="3" t="s">
        <v>270</v>
      </c>
      <c r="AZ223" s="3" t="s">
        <v>300</v>
      </c>
      <c r="BA223" s="3">
        <f>SUM(BA185:BA188)</f>
        <v>0.105995755217545</v>
      </c>
      <c r="BB223" s="25" t="s">
        <v>325</v>
      </c>
    </row>
    <row r="224" ht="15.5" spans="21:54">
      <c r="U224" s="3" t="s">
        <v>275</v>
      </c>
      <c r="V224" s="3" t="s">
        <v>301</v>
      </c>
      <c r="W224" s="3">
        <v>0</v>
      </c>
      <c r="X224" s="25" t="s">
        <v>325</v>
      </c>
      <c r="Z224" s="3" t="s">
        <v>277</v>
      </c>
      <c r="AA224" s="3" t="s">
        <v>301</v>
      </c>
      <c r="AB224" s="3">
        <v>0</v>
      </c>
      <c r="AC224" s="25" t="s">
        <v>325</v>
      </c>
      <c r="AE224" s="3" t="s">
        <v>279</v>
      </c>
      <c r="AF224" s="3" t="s">
        <v>301</v>
      </c>
      <c r="AG224" s="3">
        <v>0</v>
      </c>
      <c r="AH224" s="25" t="s">
        <v>325</v>
      </c>
      <c r="AJ224" s="3" t="s">
        <v>280</v>
      </c>
      <c r="AK224" s="3" t="s">
        <v>301</v>
      </c>
      <c r="AL224" s="3">
        <v>0</v>
      </c>
      <c r="AM224" s="25" t="s">
        <v>325</v>
      </c>
      <c r="AO224" s="3" t="s">
        <v>274</v>
      </c>
      <c r="AP224" s="3" t="s">
        <v>301</v>
      </c>
      <c r="AQ224" s="3">
        <v>0</v>
      </c>
      <c r="AR224" s="25" t="s">
        <v>325</v>
      </c>
      <c r="AT224" s="3" t="s">
        <v>272</v>
      </c>
      <c r="AU224" s="3" t="s">
        <v>301</v>
      </c>
      <c r="AV224" s="3">
        <v>0</v>
      </c>
      <c r="AW224" s="25" t="s">
        <v>325</v>
      </c>
      <c r="AY224" s="3" t="s">
        <v>270</v>
      </c>
      <c r="AZ224" s="3" t="s">
        <v>301</v>
      </c>
      <c r="BA224" s="3">
        <v>0</v>
      </c>
      <c r="BB224" s="25" t="s">
        <v>325</v>
      </c>
    </row>
    <row r="225" ht="15.5" spans="21:54">
      <c r="U225" s="3" t="s">
        <v>275</v>
      </c>
      <c r="V225" s="3" t="s">
        <v>302</v>
      </c>
      <c r="W225" s="3">
        <v>0</v>
      </c>
      <c r="X225" s="25" t="s">
        <v>325</v>
      </c>
      <c r="Z225" s="3" t="s">
        <v>277</v>
      </c>
      <c r="AA225" s="3" t="s">
        <v>302</v>
      </c>
      <c r="AB225" s="3">
        <v>0</v>
      </c>
      <c r="AC225" s="25" t="s">
        <v>325</v>
      </c>
      <c r="AE225" s="3" t="s">
        <v>279</v>
      </c>
      <c r="AF225" s="3" t="s">
        <v>302</v>
      </c>
      <c r="AG225" s="3">
        <v>0</v>
      </c>
      <c r="AH225" s="25" t="s">
        <v>325</v>
      </c>
      <c r="AJ225" s="3" t="s">
        <v>280</v>
      </c>
      <c r="AK225" s="3" t="s">
        <v>302</v>
      </c>
      <c r="AL225" s="3">
        <v>0</v>
      </c>
      <c r="AM225" s="25" t="s">
        <v>325</v>
      </c>
      <c r="AO225" s="3" t="s">
        <v>274</v>
      </c>
      <c r="AP225" s="3" t="s">
        <v>302</v>
      </c>
      <c r="AQ225" s="3">
        <v>0</v>
      </c>
      <c r="AR225" s="25" t="s">
        <v>325</v>
      </c>
      <c r="AT225" s="3" t="s">
        <v>272</v>
      </c>
      <c r="AU225" s="3" t="s">
        <v>302</v>
      </c>
      <c r="AV225" s="3">
        <v>0</v>
      </c>
      <c r="AW225" s="25" t="s">
        <v>325</v>
      </c>
      <c r="AY225" s="3" t="s">
        <v>270</v>
      </c>
      <c r="AZ225" s="3" t="s">
        <v>302</v>
      </c>
      <c r="BA225" s="3">
        <v>0</v>
      </c>
      <c r="BB225" s="25" t="s">
        <v>325</v>
      </c>
    </row>
    <row r="226" ht="15.5" spans="21:54">
      <c r="U226" s="3" t="s">
        <v>275</v>
      </c>
      <c r="V226" s="3" t="s">
        <v>303</v>
      </c>
      <c r="W226" s="3">
        <v>0</v>
      </c>
      <c r="X226" s="25" t="s">
        <v>325</v>
      </c>
      <c r="Z226" s="3" t="s">
        <v>277</v>
      </c>
      <c r="AA226" s="3" t="s">
        <v>303</v>
      </c>
      <c r="AB226" s="3">
        <v>0</v>
      </c>
      <c r="AC226" s="25" t="s">
        <v>325</v>
      </c>
      <c r="AE226" s="3" t="s">
        <v>279</v>
      </c>
      <c r="AF226" s="3" t="s">
        <v>303</v>
      </c>
      <c r="AG226" s="3">
        <v>0</v>
      </c>
      <c r="AH226" s="25" t="s">
        <v>325</v>
      </c>
      <c r="AJ226" s="3" t="s">
        <v>280</v>
      </c>
      <c r="AK226" s="3" t="s">
        <v>303</v>
      </c>
      <c r="AL226" s="3">
        <v>0</v>
      </c>
      <c r="AM226" s="25" t="s">
        <v>325</v>
      </c>
      <c r="AO226" s="3" t="s">
        <v>274</v>
      </c>
      <c r="AP226" s="3" t="s">
        <v>303</v>
      </c>
      <c r="AQ226" s="3">
        <v>0</v>
      </c>
      <c r="AR226" s="25" t="s">
        <v>325</v>
      </c>
      <c r="AT226" s="3" t="s">
        <v>272</v>
      </c>
      <c r="AU226" s="3" t="s">
        <v>303</v>
      </c>
      <c r="AV226" s="3">
        <v>0</v>
      </c>
      <c r="AW226" s="25" t="s">
        <v>325</v>
      </c>
      <c r="AY226" s="3" t="s">
        <v>270</v>
      </c>
      <c r="AZ226" s="3" t="s">
        <v>303</v>
      </c>
      <c r="BA226" s="3">
        <v>0</v>
      </c>
      <c r="BB226" s="25" t="s">
        <v>325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326</v>
      </c>
      <c r="B1" s="5"/>
      <c r="C1" s="5"/>
      <c r="D1" s="5"/>
      <c r="E1" s="5"/>
      <c r="F1" s="5"/>
      <c r="G1" s="5"/>
      <c r="H1" s="5"/>
      <c r="I1" s="5"/>
      <c r="J1" s="5"/>
      <c r="K1" s="6"/>
      <c r="L1" s="6" t="s">
        <v>327</v>
      </c>
      <c r="M1" s="6"/>
      <c r="N1" s="6"/>
      <c r="O1" s="6"/>
      <c r="P1" s="6"/>
      <c r="Q1" s="6"/>
      <c r="R1" s="6"/>
      <c r="S1" s="6"/>
      <c r="T1" s="6"/>
      <c r="U1" s="6"/>
      <c r="V1" s="6"/>
      <c r="W1" s="6" t="s">
        <v>328</v>
      </c>
      <c r="X1" s="6"/>
      <c r="Y1" s="6"/>
      <c r="Z1" s="6"/>
      <c r="AA1" s="6"/>
      <c r="AB1" s="7" t="s">
        <v>329</v>
      </c>
      <c r="AC1" s="7"/>
      <c r="AD1" s="6"/>
      <c r="AE1" s="6"/>
      <c r="AF1" s="6" t="s">
        <v>330</v>
      </c>
      <c r="AG1" s="6"/>
      <c r="AH1" s="6"/>
      <c r="AI1" s="6"/>
      <c r="AJ1" s="6"/>
      <c r="AK1" s="6"/>
      <c r="AL1" s="6"/>
      <c r="AM1" s="6"/>
      <c r="AN1" s="6"/>
      <c r="AO1" s="6" t="s">
        <v>331</v>
      </c>
      <c r="AP1" s="6"/>
      <c r="AQ1" s="6"/>
      <c r="AR1" s="6"/>
      <c r="AS1" s="6"/>
      <c r="AT1" s="6"/>
      <c r="AU1" s="6"/>
      <c r="AZ1" s="5" t="s">
        <v>326</v>
      </c>
      <c r="BA1" s="5"/>
      <c r="BB1" s="5"/>
      <c r="BC1" s="5"/>
      <c r="BD1" s="5"/>
      <c r="BE1" s="5"/>
      <c r="BF1" s="5"/>
      <c r="BG1" s="5"/>
      <c r="BH1" s="5"/>
      <c r="BI1" s="5"/>
      <c r="BJ1" s="6"/>
      <c r="BK1" s="6"/>
      <c r="BL1" s="6"/>
      <c r="BM1" s="6"/>
      <c r="BN1" s="6"/>
      <c r="BO1" s="6"/>
    </row>
    <row r="2" ht="30" spans="1:67">
      <c r="A2" s="5" t="s">
        <v>305</v>
      </c>
      <c r="B2" s="5" t="s">
        <v>332</v>
      </c>
      <c r="C2" s="5" t="s">
        <v>307</v>
      </c>
      <c r="D2" s="5"/>
      <c r="E2" s="5"/>
      <c r="F2" s="5"/>
      <c r="G2" s="5"/>
      <c r="H2" s="5"/>
      <c r="I2" s="5"/>
      <c r="J2" s="5"/>
      <c r="K2" s="6"/>
      <c r="L2" s="6"/>
      <c r="M2" s="6"/>
      <c r="N2" s="6"/>
      <c r="O2" s="6"/>
      <c r="P2" s="6"/>
      <c r="Q2" s="6"/>
      <c r="R2" s="6"/>
      <c r="S2" s="6"/>
      <c r="T2" s="6"/>
      <c r="U2" s="6"/>
      <c r="V2" s="8" t="s">
        <v>333</v>
      </c>
      <c r="W2" s="6"/>
      <c r="X2" s="6"/>
      <c r="Y2" s="6"/>
      <c r="Z2" s="6"/>
      <c r="AA2" s="6"/>
      <c r="AB2" s="6"/>
      <c r="AC2" s="6"/>
      <c r="AD2" s="6"/>
      <c r="AE2" s="6"/>
      <c r="AF2" s="6"/>
      <c r="AG2" s="6"/>
      <c r="AH2" s="6"/>
      <c r="AI2" s="6"/>
      <c r="AJ2" s="6"/>
      <c r="AK2" s="6"/>
      <c r="AL2" s="6"/>
      <c r="AM2" s="6"/>
      <c r="AN2" s="6"/>
      <c r="AO2" s="6"/>
      <c r="AP2" s="6"/>
      <c r="AQ2" s="6"/>
      <c r="AR2" s="6"/>
      <c r="AS2" s="6"/>
      <c r="AT2" s="6"/>
      <c r="AU2" s="6"/>
      <c r="AZ2" s="5" t="s">
        <v>305</v>
      </c>
      <c r="BA2" s="5" t="s">
        <v>332</v>
      </c>
      <c r="BB2" s="5" t="s">
        <v>307</v>
      </c>
      <c r="BC2" s="5"/>
      <c r="BD2" s="5"/>
      <c r="BE2" s="5"/>
      <c r="BF2" s="5"/>
      <c r="BG2" s="5"/>
      <c r="BH2" s="5"/>
      <c r="BI2" s="5"/>
      <c r="BJ2" s="6"/>
      <c r="BK2" s="6"/>
      <c r="BL2" s="6"/>
      <c r="BM2" s="6"/>
      <c r="BN2" s="6"/>
      <c r="BO2" s="6"/>
    </row>
    <row r="3" ht="30" spans="1:67">
      <c r="A3" s="5"/>
      <c r="B3" s="5"/>
      <c r="C3" s="9" t="s">
        <v>308</v>
      </c>
      <c r="D3" s="6" t="s">
        <v>309</v>
      </c>
      <c r="E3" s="6" t="s">
        <v>310</v>
      </c>
      <c r="F3" s="10" t="s">
        <v>311</v>
      </c>
      <c r="G3" s="6" t="s">
        <v>312</v>
      </c>
      <c r="H3" s="6" t="s">
        <v>313</v>
      </c>
      <c r="I3" s="6" t="s">
        <v>314</v>
      </c>
      <c r="J3" s="6" t="s">
        <v>315</v>
      </c>
      <c r="K3" s="6"/>
      <c r="L3" s="11" t="s">
        <v>308</v>
      </c>
      <c r="M3" s="6" t="s">
        <v>309</v>
      </c>
      <c r="N3" s="6" t="s">
        <v>310</v>
      </c>
      <c r="O3" s="6" t="s">
        <v>311</v>
      </c>
      <c r="P3" s="6" t="s">
        <v>312</v>
      </c>
      <c r="Q3" s="6" t="s">
        <v>313</v>
      </c>
      <c r="R3" s="6" t="s">
        <v>314</v>
      </c>
      <c r="S3" s="6" t="s">
        <v>315</v>
      </c>
      <c r="T3" s="6"/>
      <c r="U3" s="6"/>
      <c r="V3" s="8" t="s">
        <v>334</v>
      </c>
      <c r="W3" s="6" t="s">
        <v>309</v>
      </c>
      <c r="X3" s="6" t="s">
        <v>310</v>
      </c>
      <c r="Y3" s="10" t="s">
        <v>311</v>
      </c>
      <c r="Z3" s="6" t="s">
        <v>312</v>
      </c>
      <c r="AA3" s="6" t="s">
        <v>313</v>
      </c>
      <c r="AB3" s="12" t="s">
        <v>314</v>
      </c>
      <c r="AC3" s="12" t="s">
        <v>315</v>
      </c>
      <c r="AD3" s="6"/>
      <c r="AE3" s="6"/>
      <c r="AF3" s="6" t="s">
        <v>309</v>
      </c>
      <c r="AG3" s="6" t="s">
        <v>310</v>
      </c>
      <c r="AH3" s="10" t="s">
        <v>311</v>
      </c>
      <c r="AI3" s="6" t="s">
        <v>312</v>
      </c>
      <c r="AJ3" s="6" t="s">
        <v>313</v>
      </c>
      <c r="AK3" s="12" t="s">
        <v>314</v>
      </c>
      <c r="AL3" s="12" t="s">
        <v>315</v>
      </c>
      <c r="AM3" s="6"/>
      <c r="AN3" s="6"/>
      <c r="AO3" s="6" t="s">
        <v>309</v>
      </c>
      <c r="AP3" s="6" t="s">
        <v>310</v>
      </c>
      <c r="AQ3" s="10" t="s">
        <v>311</v>
      </c>
      <c r="AR3" s="6" t="s">
        <v>312</v>
      </c>
      <c r="AS3" s="6" t="s">
        <v>313</v>
      </c>
      <c r="AT3" s="12" t="s">
        <v>314</v>
      </c>
      <c r="AU3" s="12" t="s">
        <v>315</v>
      </c>
      <c r="AZ3" s="5"/>
      <c r="BA3" s="5"/>
      <c r="BB3" s="9" t="s">
        <v>308</v>
      </c>
      <c r="BC3" s="6" t="s">
        <v>309</v>
      </c>
      <c r="BD3" s="6" t="s">
        <v>310</v>
      </c>
      <c r="BE3" s="10" t="s">
        <v>311</v>
      </c>
      <c r="BF3" s="6" t="s">
        <v>312</v>
      </c>
      <c r="BG3" s="6" t="s">
        <v>313</v>
      </c>
      <c r="BH3" s="6" t="s">
        <v>314</v>
      </c>
      <c r="BI3" s="6" t="s">
        <v>315</v>
      </c>
      <c r="BJ3" s="6"/>
      <c r="BK3" s="11"/>
      <c r="BL3" s="6"/>
      <c r="BM3" s="6"/>
      <c r="BN3" s="6"/>
      <c r="BO3" s="6"/>
    </row>
    <row r="4" ht="15.5" spans="1:67">
      <c r="A4" s="5" t="s">
        <v>316</v>
      </c>
      <c r="B4" s="13" t="s">
        <v>317</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316</v>
      </c>
      <c r="V4" s="13" t="s">
        <v>317</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316</v>
      </c>
      <c r="BA4" s="13" t="s">
        <v>317</v>
      </c>
      <c r="BB4" s="14">
        <v>837.4</v>
      </c>
      <c r="BC4" s="16">
        <v>808.1</v>
      </c>
      <c r="BD4" s="16">
        <v>770.5</v>
      </c>
      <c r="BE4" s="16">
        <v>760</v>
      </c>
      <c r="BF4" s="16">
        <v>755.1</v>
      </c>
      <c r="BG4" s="16">
        <v>796</v>
      </c>
      <c r="BH4" s="16">
        <v>760</v>
      </c>
      <c r="BI4" s="16">
        <v>760</v>
      </c>
      <c r="BJ4" s="6"/>
      <c r="BK4" s="11"/>
      <c r="BL4" s="15"/>
      <c r="BM4" s="15"/>
      <c r="BN4" s="15"/>
      <c r="BO4" s="15"/>
    </row>
    <row r="5" ht="15.5" spans="1:67">
      <c r="A5" s="5"/>
      <c r="B5" s="13" t="s">
        <v>318</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318</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318</v>
      </c>
      <c r="BB5" s="14">
        <v>770.1</v>
      </c>
      <c r="BC5" s="16">
        <v>745.7</v>
      </c>
      <c r="BD5" s="16">
        <v>711.5</v>
      </c>
      <c r="BE5" s="16">
        <v>702.1</v>
      </c>
      <c r="BF5" s="16">
        <v>694.8</v>
      </c>
      <c r="BG5" s="16">
        <v>733.8</v>
      </c>
      <c r="BH5" s="16">
        <v>702.1</v>
      </c>
      <c r="BI5" s="16">
        <v>702.1</v>
      </c>
      <c r="BJ5" s="6"/>
      <c r="BK5" s="6"/>
      <c r="BL5" s="19"/>
      <c r="BM5" s="19"/>
      <c r="BN5" s="19"/>
      <c r="BO5" s="19"/>
    </row>
    <row r="6" ht="15.5" spans="1:67">
      <c r="A6" s="5"/>
      <c r="B6" s="13" t="s">
        <v>319</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319</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319</v>
      </c>
      <c r="BB6" s="14">
        <v>198.6</v>
      </c>
      <c r="BC6" s="16">
        <v>171.7</v>
      </c>
      <c r="BD6" s="16">
        <v>161.1</v>
      </c>
      <c r="BE6" s="16">
        <v>157.9</v>
      </c>
      <c r="BF6" s="16">
        <v>152.1</v>
      </c>
      <c r="BG6" s="16">
        <v>158.8</v>
      </c>
      <c r="BH6" s="16">
        <v>157.9</v>
      </c>
      <c r="BI6" s="16">
        <v>157.9</v>
      </c>
      <c r="BJ6" s="6"/>
      <c r="BK6" s="6"/>
      <c r="BL6" s="19"/>
      <c r="BM6" s="19"/>
      <c r="BN6" s="19"/>
      <c r="BO6" s="19"/>
    </row>
    <row r="7" ht="15.5" spans="1:67">
      <c r="A7" s="5"/>
      <c r="B7" s="13" t="s">
        <v>320</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320</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320</v>
      </c>
      <c r="BB7" s="14">
        <v>487</v>
      </c>
      <c r="BC7" s="16">
        <v>496.7</v>
      </c>
      <c r="BD7" s="16">
        <v>475.8</v>
      </c>
      <c r="BE7" s="16">
        <v>470.5</v>
      </c>
      <c r="BF7" s="16">
        <v>466.5</v>
      </c>
      <c r="BG7" s="16">
        <v>496</v>
      </c>
      <c r="BH7" s="16">
        <v>470.5</v>
      </c>
      <c r="BI7" s="16">
        <v>470.5</v>
      </c>
      <c r="BJ7" s="6"/>
      <c r="BK7" s="6"/>
      <c r="BL7" s="19"/>
      <c r="BM7" s="19"/>
      <c r="BN7" s="19"/>
      <c r="BO7" s="19"/>
    </row>
    <row r="8" ht="15.5" spans="1:67">
      <c r="A8" s="5"/>
      <c r="B8" s="13" t="s">
        <v>321</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321</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321</v>
      </c>
      <c r="BB8" s="14">
        <v>84.5</v>
      </c>
      <c r="BC8" s="16">
        <v>77.3</v>
      </c>
      <c r="BD8" s="16">
        <v>74.5</v>
      </c>
      <c r="BE8" s="16">
        <v>73.6</v>
      </c>
      <c r="BF8" s="16">
        <v>76.1</v>
      </c>
      <c r="BG8" s="16">
        <v>78.9</v>
      </c>
      <c r="BH8" s="16">
        <v>73.6</v>
      </c>
      <c r="BI8" s="16">
        <v>73.6</v>
      </c>
      <c r="BJ8" s="6"/>
      <c r="BK8" s="6"/>
      <c r="BL8" s="19"/>
      <c r="BM8" s="19"/>
      <c r="BN8" s="19"/>
      <c r="BO8" s="19"/>
    </row>
    <row r="9" ht="15.5" spans="1:67">
      <c r="A9" s="5" t="s">
        <v>322</v>
      </c>
      <c r="B9" s="13" t="s">
        <v>317</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322</v>
      </c>
      <c r="V9" s="13" t="s">
        <v>317</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322</v>
      </c>
      <c r="BA9" s="13" t="s">
        <v>317</v>
      </c>
      <c r="BB9" s="14">
        <v>855</v>
      </c>
      <c r="BC9" s="16">
        <v>824.1</v>
      </c>
      <c r="BD9" s="16">
        <v>785.7</v>
      </c>
      <c r="BE9" s="16">
        <v>775</v>
      </c>
      <c r="BF9" s="16">
        <v>770.2</v>
      </c>
      <c r="BG9" s="16">
        <v>811.6</v>
      </c>
      <c r="BH9" s="16">
        <v>775</v>
      </c>
      <c r="BI9" s="16">
        <v>775</v>
      </c>
      <c r="BJ9" s="6"/>
      <c r="BK9" s="6"/>
      <c r="BL9" s="19"/>
      <c r="BM9" s="19"/>
      <c r="BN9" s="19"/>
      <c r="BO9" s="19"/>
    </row>
    <row r="10" ht="15.5" spans="1:67">
      <c r="A10" s="5"/>
      <c r="B10" s="13" t="s">
        <v>318</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318</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318</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319</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319</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319</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320</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320</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320</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321</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321</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321</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317</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317</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317</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318</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318</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318</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319</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319</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319</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320</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320</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320</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321</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321</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321</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335</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335</v>
      </c>
      <c r="BA21" s="5"/>
      <c r="BB21" s="5"/>
      <c r="BC21" s="5"/>
      <c r="BD21" s="5"/>
      <c r="BE21" s="5"/>
      <c r="BF21" s="5"/>
      <c r="BG21" s="5"/>
      <c r="BH21" s="5"/>
      <c r="BI21" s="5"/>
      <c r="BJ21" s="6"/>
      <c r="BK21" s="6"/>
      <c r="BL21" s="6"/>
      <c r="BM21" s="6"/>
      <c r="BN21" s="6"/>
      <c r="BO21" s="6"/>
    </row>
    <row r="22" ht="15.5" spans="1:67">
      <c r="A22" s="5" t="s">
        <v>305</v>
      </c>
      <c r="B22" s="5" t="s">
        <v>336</v>
      </c>
      <c r="C22" s="5" t="s">
        <v>307</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305</v>
      </c>
      <c r="BA22" s="5" t="s">
        <v>336</v>
      </c>
      <c r="BB22" s="5" t="s">
        <v>307</v>
      </c>
      <c r="BC22" s="5"/>
      <c r="BD22" s="5"/>
      <c r="BE22" s="5"/>
      <c r="BF22" s="5"/>
      <c r="BG22" s="5"/>
      <c r="BH22" s="5"/>
      <c r="BI22" s="5"/>
      <c r="BJ22" s="6"/>
      <c r="BK22" s="6"/>
      <c r="BL22" s="6"/>
      <c r="BM22" s="6"/>
      <c r="BN22" s="6"/>
      <c r="BO22" s="6"/>
    </row>
    <row r="23" ht="30" spans="1:67">
      <c r="A23" s="5"/>
      <c r="B23" s="5"/>
      <c r="C23" s="9" t="s">
        <v>308</v>
      </c>
      <c r="D23" s="6" t="s">
        <v>309</v>
      </c>
      <c r="E23" s="6" t="s">
        <v>310</v>
      </c>
      <c r="F23" s="10" t="s">
        <v>311</v>
      </c>
      <c r="G23" s="6" t="s">
        <v>312</v>
      </c>
      <c r="H23" s="6" t="s">
        <v>313</v>
      </c>
      <c r="I23" s="6" t="s">
        <v>314</v>
      </c>
      <c r="J23" s="6" t="s">
        <v>315</v>
      </c>
      <c r="K23" s="6"/>
      <c r="L23" s="6"/>
      <c r="M23" s="6" t="s">
        <v>309</v>
      </c>
      <c r="N23" s="6" t="s">
        <v>310</v>
      </c>
      <c r="O23" s="6" t="s">
        <v>311</v>
      </c>
      <c r="P23" s="6" t="s">
        <v>312</v>
      </c>
      <c r="Q23" s="6" t="s">
        <v>313</v>
      </c>
      <c r="R23" s="6" t="s">
        <v>314</v>
      </c>
      <c r="S23" s="6" t="s">
        <v>315</v>
      </c>
      <c r="T23" s="6"/>
      <c r="U23" s="6"/>
      <c r="V23" s="8" t="s">
        <v>334</v>
      </c>
      <c r="W23" s="6" t="s">
        <v>309</v>
      </c>
      <c r="X23" s="6" t="s">
        <v>310</v>
      </c>
      <c r="Y23" s="10" t="s">
        <v>311</v>
      </c>
      <c r="Z23" s="6" t="s">
        <v>312</v>
      </c>
      <c r="AA23" s="6" t="s">
        <v>313</v>
      </c>
      <c r="AB23" s="12" t="s">
        <v>314</v>
      </c>
      <c r="AC23" s="12" t="s">
        <v>315</v>
      </c>
      <c r="AD23" s="6"/>
      <c r="AE23" s="6"/>
      <c r="AF23" s="6" t="s">
        <v>309</v>
      </c>
      <c r="AG23" s="6" t="s">
        <v>310</v>
      </c>
      <c r="AH23" s="10" t="s">
        <v>311</v>
      </c>
      <c r="AI23" s="6" t="s">
        <v>312</v>
      </c>
      <c r="AJ23" s="6" t="s">
        <v>313</v>
      </c>
      <c r="AK23" s="12" t="s">
        <v>314</v>
      </c>
      <c r="AL23" s="12" t="s">
        <v>315</v>
      </c>
      <c r="AM23" s="6"/>
      <c r="AN23" s="6"/>
      <c r="AO23" s="6" t="s">
        <v>309</v>
      </c>
      <c r="AP23" s="6" t="s">
        <v>310</v>
      </c>
      <c r="AQ23" s="10" t="s">
        <v>311</v>
      </c>
      <c r="AR23" s="6" t="s">
        <v>312</v>
      </c>
      <c r="AS23" s="6" t="s">
        <v>313</v>
      </c>
      <c r="AT23" s="12" t="s">
        <v>314</v>
      </c>
      <c r="AU23" s="12" t="s">
        <v>315</v>
      </c>
      <c r="AZ23" s="5"/>
      <c r="BA23" s="5"/>
      <c r="BB23" s="9" t="s">
        <v>308</v>
      </c>
      <c r="BC23" s="6" t="s">
        <v>309</v>
      </c>
      <c r="BD23" s="6" t="s">
        <v>310</v>
      </c>
      <c r="BE23" s="10" t="s">
        <v>311</v>
      </c>
      <c r="BF23" s="6" t="s">
        <v>312</v>
      </c>
      <c r="BG23" s="6" t="s">
        <v>313</v>
      </c>
      <c r="BH23" s="6" t="s">
        <v>314</v>
      </c>
      <c r="BI23" s="6" t="s">
        <v>315</v>
      </c>
      <c r="BJ23" s="6"/>
      <c r="BK23" s="6"/>
      <c r="BL23" s="6"/>
      <c r="BM23" s="6"/>
      <c r="BN23" s="6"/>
      <c r="BO23" s="6"/>
    </row>
    <row r="24" ht="15.5" spans="1:67">
      <c r="A24" s="5" t="s">
        <v>316</v>
      </c>
      <c r="B24" s="13" t="s">
        <v>317</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316</v>
      </c>
      <c r="V24" s="13" t="s">
        <v>317</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316</v>
      </c>
      <c r="BA24" s="13" t="s">
        <v>317</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318</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318</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318</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319</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319</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319</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320</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320</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320</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321</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321</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321</v>
      </c>
      <c r="BB28" s="14">
        <v>85</v>
      </c>
      <c r="BC28" s="16">
        <v>78.6</v>
      </c>
      <c r="BD28" s="16">
        <v>76.3</v>
      </c>
      <c r="BE28" s="16">
        <v>75.9</v>
      </c>
      <c r="BF28" s="16">
        <v>73.7</v>
      </c>
      <c r="BG28" s="16">
        <v>76</v>
      </c>
      <c r="BH28" s="16">
        <v>75.9</v>
      </c>
      <c r="BI28" s="16">
        <v>75.9</v>
      </c>
      <c r="BJ28" s="6"/>
      <c r="BK28" s="6"/>
      <c r="BL28" s="19"/>
      <c r="BM28" s="19"/>
      <c r="BN28" s="19"/>
      <c r="BO28" s="19"/>
    </row>
    <row r="29" ht="15.5" spans="1:67">
      <c r="A29" s="5" t="s">
        <v>322</v>
      </c>
      <c r="B29" s="13" t="s">
        <v>317</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322</v>
      </c>
      <c r="V29" s="13" t="s">
        <v>317</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322</v>
      </c>
      <c r="BA29" s="13" t="s">
        <v>317</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318</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318</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318</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319</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319</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319</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320</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320</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320</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321</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321</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321</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317</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317</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317</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318</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318</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318</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319</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319</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319</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320</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320</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320</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321</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321</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321</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337</v>
      </c>
      <c r="B41" s="5"/>
      <c r="C41" s="5"/>
      <c r="D41" s="5"/>
      <c r="E41" s="5"/>
      <c r="F41" s="5"/>
      <c r="G41" s="5"/>
      <c r="H41" s="5"/>
      <c r="I41" s="5"/>
      <c r="J41" s="5"/>
      <c r="K41" s="6"/>
      <c r="L41" s="6"/>
      <c r="M41" s="6"/>
      <c r="N41" s="6"/>
      <c r="O41" s="6"/>
      <c r="P41" s="6"/>
      <c r="Q41" s="6"/>
      <c r="R41" s="6"/>
      <c r="S41" s="6"/>
      <c r="T41" s="6"/>
      <c r="AZ41" s="5" t="s">
        <v>337</v>
      </c>
      <c r="BA41" s="5"/>
      <c r="BB41" s="5"/>
      <c r="BC41" s="5"/>
      <c r="BD41" s="5"/>
      <c r="BE41" s="5"/>
      <c r="BF41" s="5"/>
      <c r="BG41" s="5"/>
      <c r="BH41" s="5"/>
      <c r="BI41" s="5"/>
      <c r="BJ41" s="6"/>
      <c r="BK41" s="6"/>
      <c r="BL41" s="6"/>
      <c r="BM41" s="6"/>
      <c r="BN41" s="6"/>
      <c r="BO41" s="6"/>
    </row>
    <row r="42" ht="15.5" spans="1:67">
      <c r="A42" s="5" t="s">
        <v>305</v>
      </c>
      <c r="B42" s="5" t="s">
        <v>336</v>
      </c>
      <c r="C42" s="5" t="s">
        <v>307</v>
      </c>
      <c r="D42" s="5"/>
      <c r="E42" s="5"/>
      <c r="F42" s="5"/>
      <c r="G42" s="5"/>
      <c r="H42" s="5"/>
      <c r="I42" s="5"/>
      <c r="J42" s="5"/>
      <c r="K42" s="6"/>
      <c r="L42" s="6"/>
      <c r="M42" s="6"/>
      <c r="N42" s="6"/>
      <c r="O42" s="6"/>
      <c r="P42" s="6"/>
      <c r="Q42" s="6"/>
      <c r="R42" s="6"/>
      <c r="S42" s="6"/>
      <c r="T42" s="6"/>
      <c r="AZ42" s="5" t="s">
        <v>305</v>
      </c>
      <c r="BA42" s="5" t="s">
        <v>336</v>
      </c>
      <c r="BB42" s="5" t="s">
        <v>307</v>
      </c>
      <c r="BC42" s="5"/>
      <c r="BD42" s="5"/>
      <c r="BE42" s="5"/>
      <c r="BF42" s="5"/>
      <c r="BG42" s="5"/>
      <c r="BH42" s="5"/>
      <c r="BI42" s="5"/>
      <c r="BJ42" s="6"/>
      <c r="BK42" s="6"/>
      <c r="BL42" s="6"/>
      <c r="BM42" s="6"/>
      <c r="BN42" s="6"/>
      <c r="BO42" s="6"/>
    </row>
    <row r="43" ht="30" spans="1:67">
      <c r="A43" s="5"/>
      <c r="B43" s="5"/>
      <c r="C43" s="9" t="s">
        <v>308</v>
      </c>
      <c r="D43" s="6" t="s">
        <v>309</v>
      </c>
      <c r="E43" s="6" t="s">
        <v>310</v>
      </c>
      <c r="F43" s="10" t="s">
        <v>311</v>
      </c>
      <c r="G43" s="6" t="s">
        <v>312</v>
      </c>
      <c r="H43" s="6" t="s">
        <v>313</v>
      </c>
      <c r="I43" s="6" t="s">
        <v>314</v>
      </c>
      <c r="J43" s="6" t="s">
        <v>315</v>
      </c>
      <c r="K43" s="6"/>
      <c r="L43" s="6"/>
      <c r="M43" s="6" t="s">
        <v>309</v>
      </c>
      <c r="N43" s="6" t="s">
        <v>310</v>
      </c>
      <c r="O43" s="6" t="s">
        <v>311</v>
      </c>
      <c r="P43" s="6" t="s">
        <v>312</v>
      </c>
      <c r="Q43" s="6" t="s">
        <v>313</v>
      </c>
      <c r="R43" s="6" t="s">
        <v>314</v>
      </c>
      <c r="S43" s="6" t="s">
        <v>315</v>
      </c>
      <c r="T43" s="6"/>
      <c r="U43" s="6"/>
      <c r="V43" s="8" t="s">
        <v>334</v>
      </c>
      <c r="W43" s="6" t="s">
        <v>309</v>
      </c>
      <c r="X43" s="6" t="s">
        <v>310</v>
      </c>
      <c r="Y43" s="10" t="s">
        <v>311</v>
      </c>
      <c r="Z43" s="6" t="s">
        <v>312</v>
      </c>
      <c r="AA43" s="6" t="s">
        <v>313</v>
      </c>
      <c r="AB43" s="12" t="s">
        <v>314</v>
      </c>
      <c r="AC43" s="12" t="s">
        <v>315</v>
      </c>
      <c r="AD43" s="6"/>
      <c r="AE43" s="6"/>
      <c r="AF43" s="6" t="s">
        <v>309</v>
      </c>
      <c r="AG43" s="6" t="s">
        <v>310</v>
      </c>
      <c r="AH43" s="10" t="s">
        <v>311</v>
      </c>
      <c r="AI43" s="6" t="s">
        <v>312</v>
      </c>
      <c r="AJ43" s="6" t="s">
        <v>313</v>
      </c>
      <c r="AK43" s="12" t="s">
        <v>314</v>
      </c>
      <c r="AL43" s="12" t="s">
        <v>315</v>
      </c>
      <c r="AO43" s="6" t="s">
        <v>309</v>
      </c>
      <c r="AP43" s="6" t="s">
        <v>310</v>
      </c>
      <c r="AQ43" s="10" t="s">
        <v>311</v>
      </c>
      <c r="AR43" s="6" t="s">
        <v>312</v>
      </c>
      <c r="AS43" s="6" t="s">
        <v>313</v>
      </c>
      <c r="AT43" s="12" t="s">
        <v>314</v>
      </c>
      <c r="AU43" s="12" t="s">
        <v>315</v>
      </c>
      <c r="AZ43" s="5"/>
      <c r="BA43" s="5"/>
      <c r="BB43" s="9" t="s">
        <v>308</v>
      </c>
      <c r="BC43" s="6" t="s">
        <v>309</v>
      </c>
      <c r="BD43" s="6" t="s">
        <v>310</v>
      </c>
      <c r="BE43" s="10" t="s">
        <v>311</v>
      </c>
      <c r="BF43" s="6" t="s">
        <v>312</v>
      </c>
      <c r="BG43" s="6" t="s">
        <v>313</v>
      </c>
      <c r="BH43" s="6" t="s">
        <v>314</v>
      </c>
      <c r="BI43" s="6" t="s">
        <v>315</v>
      </c>
      <c r="BJ43" s="6"/>
      <c r="BK43" s="6"/>
      <c r="BL43" s="6"/>
      <c r="BM43" s="6"/>
      <c r="BN43" s="6"/>
      <c r="BO43" s="6"/>
    </row>
    <row r="44" ht="15.5" spans="1:67">
      <c r="A44" s="5" t="s">
        <v>316</v>
      </c>
      <c r="B44" s="13" t="s">
        <v>317</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316</v>
      </c>
      <c r="V44" s="13" t="s">
        <v>317</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316</v>
      </c>
      <c r="BA44" s="13" t="s">
        <v>317</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318</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318</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318</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319</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319</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319</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320</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320</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320</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321</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321</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321</v>
      </c>
      <c r="BB48" s="14">
        <v>84.6</v>
      </c>
      <c r="BC48" s="16">
        <v>77</v>
      </c>
      <c r="BD48" s="16">
        <v>74.9</v>
      </c>
      <c r="BE48" s="16">
        <v>74.4</v>
      </c>
      <c r="BF48" s="16">
        <v>71.7</v>
      </c>
      <c r="BG48" s="16">
        <v>73.1</v>
      </c>
      <c r="BH48" s="16">
        <v>74.4</v>
      </c>
      <c r="BI48" s="16">
        <v>74.4</v>
      </c>
      <c r="BJ48" s="6"/>
      <c r="BK48" s="6"/>
      <c r="BL48" s="19"/>
      <c r="BM48" s="19"/>
      <c r="BN48" s="19"/>
      <c r="BO48" s="19"/>
    </row>
    <row r="49" ht="15.5" spans="1:67">
      <c r="A49" s="5" t="s">
        <v>322</v>
      </c>
      <c r="B49" s="13" t="s">
        <v>317</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322</v>
      </c>
      <c r="V49" s="13" t="s">
        <v>317</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322</v>
      </c>
      <c r="BA49" s="13" t="s">
        <v>317</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318</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318</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318</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319</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319</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319</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320</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320</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320</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321</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321</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321</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317</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317</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317</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318</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318</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318</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319</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319</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319</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320</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320</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320</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321</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321</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321</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323</v>
      </c>
      <c r="B60" s="6"/>
      <c r="C60" s="9"/>
      <c r="D60" s="6"/>
      <c r="E60" s="6"/>
      <c r="F60" s="6"/>
      <c r="G60" s="6"/>
      <c r="H60" s="6"/>
      <c r="I60" s="6"/>
      <c r="J60" s="6"/>
      <c r="K60" s="6"/>
      <c r="L60" s="6"/>
      <c r="M60" s="6"/>
      <c r="N60" s="6"/>
      <c r="O60" s="6"/>
      <c r="P60" s="6"/>
      <c r="Q60" s="6"/>
      <c r="R60" s="6"/>
      <c r="S60" s="6"/>
      <c r="T60" s="6"/>
      <c r="AZ60" s="6" t="s">
        <v>323</v>
      </c>
      <c r="BA60" s="6"/>
      <c r="BB60" s="9"/>
      <c r="BC60" s="6"/>
      <c r="BD60" s="6"/>
      <c r="BE60" s="6"/>
      <c r="BF60" s="6"/>
      <c r="BG60" s="6"/>
      <c r="BH60" s="6"/>
      <c r="BI60" s="6"/>
      <c r="BJ60" s="6"/>
      <c r="BK60" s="6"/>
      <c r="BL60" s="6"/>
      <c r="BM60" s="6"/>
      <c r="BN60" s="6"/>
      <c r="BO60" s="6"/>
    </row>
    <row r="61" ht="15.5" spans="1:67">
      <c r="A61" s="6" t="s">
        <v>338</v>
      </c>
      <c r="B61" s="6"/>
      <c r="C61" s="9"/>
      <c r="D61" s="6"/>
      <c r="E61" s="6"/>
      <c r="F61" s="6"/>
      <c r="G61" s="6"/>
      <c r="H61" s="6"/>
      <c r="I61" s="6"/>
      <c r="J61" s="6"/>
      <c r="K61" s="6"/>
      <c r="L61" s="6"/>
      <c r="M61" s="6"/>
      <c r="N61" s="6"/>
      <c r="O61" s="6"/>
      <c r="P61" s="6"/>
      <c r="Q61" s="6"/>
      <c r="R61" s="6"/>
      <c r="S61" s="6"/>
      <c r="T61" s="6"/>
      <c r="AZ61" s="6" t="s">
        <v>338</v>
      </c>
      <c r="BA61" s="6"/>
      <c r="BB61" s="9"/>
      <c r="BC61" s="6"/>
      <c r="BD61" s="6"/>
      <c r="BE61" s="6"/>
      <c r="BF61" s="6"/>
      <c r="BG61" s="6"/>
      <c r="BH61" s="6"/>
      <c r="BI61" s="6"/>
      <c r="BJ61" s="6"/>
      <c r="BK61" s="6"/>
      <c r="BL61" s="6"/>
      <c r="BM61" s="6"/>
      <c r="BN61" s="6"/>
      <c r="BO61" s="6"/>
    </row>
    <row r="62" ht="15.5" spans="1:67">
      <c r="A62" s="6" t="s">
        <v>339</v>
      </c>
      <c r="B62" s="6"/>
      <c r="C62" s="9"/>
      <c r="D62" s="6"/>
      <c r="E62" s="6"/>
      <c r="F62" s="6"/>
      <c r="G62" s="6"/>
      <c r="H62" s="6"/>
      <c r="I62" s="6"/>
      <c r="J62" s="6"/>
      <c r="K62" s="6"/>
      <c r="L62" s="6"/>
      <c r="M62" s="6"/>
      <c r="N62" s="6"/>
      <c r="O62" s="6"/>
      <c r="P62" s="6"/>
      <c r="Q62" s="6"/>
      <c r="R62" s="6"/>
      <c r="S62" s="6"/>
      <c r="T62" s="6"/>
      <c r="AZ62" s="6" t="s">
        <v>339</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309</v>
      </c>
      <c r="X72" s="6" t="s">
        <v>310</v>
      </c>
      <c r="Y72" s="10" t="s">
        <v>311</v>
      </c>
      <c r="Z72" s="6" t="s">
        <v>312</v>
      </c>
      <c r="AA72" s="6" t="s">
        <v>313</v>
      </c>
      <c r="AB72" s="12" t="s">
        <v>314</v>
      </c>
      <c r="AC72" s="12" t="s">
        <v>315</v>
      </c>
      <c r="AD72" s="6"/>
      <c r="AE72" s="6"/>
      <c r="AF72" s="6" t="s">
        <v>309</v>
      </c>
      <c r="AG72" s="6" t="s">
        <v>310</v>
      </c>
      <c r="AH72" s="10" t="s">
        <v>311</v>
      </c>
      <c r="AI72" s="6" t="s">
        <v>312</v>
      </c>
      <c r="AJ72" s="6" t="s">
        <v>313</v>
      </c>
      <c r="AK72" s="12" t="s">
        <v>314</v>
      </c>
      <c r="AL72" s="12" t="s">
        <v>315</v>
      </c>
      <c r="AM72" s="6"/>
      <c r="AN72" s="6"/>
      <c r="AO72" s="6" t="s">
        <v>309</v>
      </c>
      <c r="AP72" s="6" t="s">
        <v>310</v>
      </c>
      <c r="AQ72" s="10" t="s">
        <v>311</v>
      </c>
      <c r="AR72" s="6" t="s">
        <v>312</v>
      </c>
      <c r="AS72" s="6" t="s">
        <v>313</v>
      </c>
      <c r="AT72" s="12" t="s">
        <v>314</v>
      </c>
      <c r="AU72" s="12" t="s">
        <v>315</v>
      </c>
    </row>
    <row r="73" spans="21:47">
      <c r="U73" s="5" t="s">
        <v>316</v>
      </c>
      <c r="V73" s="20" t="s">
        <v>128</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340</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341</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342</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322</v>
      </c>
      <c r="V77" s="20" t="s">
        <v>128</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340</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341</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342</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343</v>
      </c>
      <c r="V81" s="20" t="s">
        <v>128</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340</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341</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342</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343</v>
      </c>
      <c r="V85" s="20" t="s">
        <v>128</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340</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341</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342</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309</v>
      </c>
      <c r="X92" s="6" t="s">
        <v>310</v>
      </c>
      <c r="Y92" s="10" t="s">
        <v>311</v>
      </c>
      <c r="Z92" s="6" t="s">
        <v>312</v>
      </c>
      <c r="AA92" s="6" t="s">
        <v>313</v>
      </c>
      <c r="AB92" s="12" t="s">
        <v>314</v>
      </c>
      <c r="AC92" s="12" t="s">
        <v>315</v>
      </c>
      <c r="AD92" s="6"/>
      <c r="AE92" s="6"/>
      <c r="AF92" s="6" t="s">
        <v>309</v>
      </c>
      <c r="AG92" s="6" t="s">
        <v>310</v>
      </c>
      <c r="AH92" s="10" t="s">
        <v>311</v>
      </c>
      <c r="AI92" s="6" t="s">
        <v>312</v>
      </c>
      <c r="AJ92" s="6" t="s">
        <v>313</v>
      </c>
      <c r="AK92" s="12" t="s">
        <v>314</v>
      </c>
      <c r="AL92" s="12" t="s">
        <v>315</v>
      </c>
      <c r="AM92" s="6"/>
      <c r="AN92" s="6"/>
      <c r="AO92" s="6" t="s">
        <v>309</v>
      </c>
      <c r="AP92" s="6" t="s">
        <v>310</v>
      </c>
      <c r="AQ92" s="10" t="s">
        <v>311</v>
      </c>
      <c r="AR92" s="6" t="s">
        <v>312</v>
      </c>
      <c r="AS92" s="6" t="s">
        <v>313</v>
      </c>
      <c r="AT92" s="12" t="s">
        <v>314</v>
      </c>
      <c r="AU92" s="12" t="s">
        <v>315</v>
      </c>
    </row>
    <row r="93" spans="21:47">
      <c r="U93" s="5" t="s">
        <v>316</v>
      </c>
      <c r="V93" s="20" t="s">
        <v>128</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340</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341</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342</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322</v>
      </c>
      <c r="V97" s="20" t="s">
        <v>128</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340</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341</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342</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343</v>
      </c>
      <c r="V101" s="20" t="s">
        <v>128</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340</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341</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342</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343</v>
      </c>
      <c r="V105" s="20" t="s">
        <v>128</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340</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341</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342</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309</v>
      </c>
      <c r="X112" s="6" t="s">
        <v>310</v>
      </c>
      <c r="Y112" s="10" t="s">
        <v>311</v>
      </c>
      <c r="Z112" s="6" t="s">
        <v>312</v>
      </c>
      <c r="AA112" s="6" t="s">
        <v>313</v>
      </c>
      <c r="AB112" s="12" t="s">
        <v>314</v>
      </c>
      <c r="AC112" s="12" t="s">
        <v>315</v>
      </c>
      <c r="AD112" s="6"/>
      <c r="AE112" s="6"/>
      <c r="AF112" s="6" t="s">
        <v>309</v>
      </c>
      <c r="AG112" s="6" t="s">
        <v>310</v>
      </c>
      <c r="AH112" s="10" t="s">
        <v>311</v>
      </c>
      <c r="AI112" s="6" t="s">
        <v>312</v>
      </c>
      <c r="AJ112" s="6" t="s">
        <v>313</v>
      </c>
      <c r="AK112" s="12" t="s">
        <v>314</v>
      </c>
      <c r="AL112" s="12" t="s">
        <v>315</v>
      </c>
      <c r="AM112" s="6"/>
      <c r="AN112" s="6"/>
      <c r="AO112" s="6" t="s">
        <v>309</v>
      </c>
      <c r="AP112" s="6" t="s">
        <v>310</v>
      </c>
      <c r="AQ112" s="10" t="s">
        <v>311</v>
      </c>
      <c r="AR112" s="6" t="s">
        <v>312</v>
      </c>
      <c r="AS112" s="6" t="s">
        <v>313</v>
      </c>
      <c r="AT112" s="12" t="s">
        <v>314</v>
      </c>
      <c r="AU112" s="12" t="s">
        <v>315</v>
      </c>
    </row>
    <row r="113" spans="21:47">
      <c r="U113" s="5" t="s">
        <v>316</v>
      </c>
      <c r="V113" s="20" t="s">
        <v>128</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340</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341</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342</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322</v>
      </c>
      <c r="V117" s="20" t="s">
        <v>128</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340</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341</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342</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343</v>
      </c>
      <c r="V121" s="20" t="s">
        <v>128</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340</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341</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342</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343</v>
      </c>
      <c r="V125" s="20" t="s">
        <v>128</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340</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341</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342</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299</v>
      </c>
      <c r="W160" s="23"/>
      <c r="X160" s="25"/>
      <c r="Z160" s="23"/>
      <c r="AA160" s="24" t="s">
        <v>299</v>
      </c>
      <c r="AB160" s="23"/>
      <c r="AC160" s="25"/>
      <c r="AE160" s="23"/>
      <c r="AF160" s="24" t="s">
        <v>299</v>
      </c>
      <c r="AG160" s="23"/>
      <c r="AH160" s="25"/>
      <c r="AJ160" s="23"/>
      <c r="AK160" s="24" t="s">
        <v>299</v>
      </c>
      <c r="AL160" s="23"/>
      <c r="AM160" s="25"/>
      <c r="AO160" s="23"/>
      <c r="AP160" s="24" t="s">
        <v>299</v>
      </c>
      <c r="AQ160" s="23"/>
      <c r="AR160" s="25"/>
      <c r="AT160" s="23"/>
      <c r="AU160" s="24" t="s">
        <v>299</v>
      </c>
      <c r="AV160" s="23"/>
      <c r="AW160" s="25"/>
      <c r="AY160" s="23"/>
      <c r="AZ160" s="24" t="s">
        <v>299</v>
      </c>
      <c r="BA160" s="23"/>
    </row>
    <row r="161" ht="15.5" spans="21:54">
      <c r="U161" s="24" t="s">
        <v>65</v>
      </c>
      <c r="V161" s="24" t="s">
        <v>118</v>
      </c>
      <c r="W161" s="24" t="s">
        <v>11</v>
      </c>
      <c r="X161" s="25" t="s">
        <v>41</v>
      </c>
      <c r="Z161" s="24" t="s">
        <v>65</v>
      </c>
      <c r="AA161" s="24" t="s">
        <v>118</v>
      </c>
      <c r="AB161" s="24" t="s">
        <v>11</v>
      </c>
      <c r="AC161" s="25" t="s">
        <v>41</v>
      </c>
      <c r="AE161" s="24" t="s">
        <v>65</v>
      </c>
      <c r="AF161" s="24" t="s">
        <v>118</v>
      </c>
      <c r="AG161" s="24" t="s">
        <v>11</v>
      </c>
      <c r="AH161" s="25" t="s">
        <v>41</v>
      </c>
      <c r="AJ161" s="24" t="s">
        <v>65</v>
      </c>
      <c r="AK161" s="24" t="s">
        <v>118</v>
      </c>
      <c r="AL161" s="24" t="s">
        <v>11</v>
      </c>
      <c r="AM161" s="25" t="s">
        <v>41</v>
      </c>
      <c r="AO161" s="24" t="s">
        <v>65</v>
      </c>
      <c r="AP161" s="24" t="s">
        <v>118</v>
      </c>
      <c r="AQ161" s="24" t="s">
        <v>11</v>
      </c>
      <c r="AR161" s="25" t="s">
        <v>41</v>
      </c>
      <c r="AT161" s="24" t="s">
        <v>65</v>
      </c>
      <c r="AU161" s="24" t="s">
        <v>118</v>
      </c>
      <c r="AV161" s="24" t="s">
        <v>11</v>
      </c>
      <c r="AW161" s="25" t="s">
        <v>41</v>
      </c>
      <c r="AY161" s="24" t="s">
        <v>65</v>
      </c>
      <c r="AZ161" s="24" t="s">
        <v>118</v>
      </c>
      <c r="BA161" s="24" t="s">
        <v>11</v>
      </c>
      <c r="BB161" s="25" t="s">
        <v>41</v>
      </c>
    </row>
    <row r="162" ht="15.5" spans="21:54">
      <c r="U162" s="25" t="s">
        <v>249</v>
      </c>
      <c r="V162" s="26" t="s">
        <v>300</v>
      </c>
      <c r="W162" s="25">
        <f t="shared" ref="W162:W165" si="332">W85</f>
        <v>0.010830385716692</v>
      </c>
      <c r="X162" s="25">
        <v>2020</v>
      </c>
      <c r="Z162" s="25" t="s">
        <v>251</v>
      </c>
      <c r="AA162" s="26" t="s">
        <v>300</v>
      </c>
      <c r="AB162" s="25">
        <f t="shared" ref="AB162:AB165" si="333">X85</f>
        <v>0.0104020530367836</v>
      </c>
      <c r="AC162" s="25">
        <v>2020</v>
      </c>
      <c r="AE162" s="25" t="s">
        <v>253</v>
      </c>
      <c r="AF162" s="26" t="s">
        <v>300</v>
      </c>
      <c r="AG162" s="25">
        <f t="shared" ref="AG162:AG165" si="334">Y85</f>
        <v>0.0107085201793722</v>
      </c>
      <c r="AH162" s="25">
        <v>2020</v>
      </c>
      <c r="AJ162" s="25" t="s">
        <v>255</v>
      </c>
      <c r="AK162" s="26" t="s">
        <v>300</v>
      </c>
      <c r="AL162" s="25">
        <f t="shared" ref="AL162:AL165" si="335">Z85</f>
        <v>0.0117702805155421</v>
      </c>
      <c r="AM162" s="25">
        <v>2020</v>
      </c>
      <c r="AO162" s="25" t="s">
        <v>247</v>
      </c>
      <c r="AP162" s="26" t="s">
        <v>300</v>
      </c>
      <c r="AQ162" s="25">
        <f t="shared" ref="AQ162:AQ165" si="336">AA85</f>
        <v>0.011933619242961</v>
      </c>
      <c r="AR162" s="25">
        <v>2020</v>
      </c>
      <c r="AT162" s="25" t="s">
        <v>245</v>
      </c>
      <c r="AU162" s="26" t="s">
        <v>300</v>
      </c>
      <c r="AV162" s="25">
        <f t="shared" ref="AV162:AV165" si="337">AB85</f>
        <v>0.00898419864559818</v>
      </c>
      <c r="AW162" s="25">
        <v>2020</v>
      </c>
      <c r="AY162" s="25" t="s">
        <v>243</v>
      </c>
      <c r="AZ162" s="26" t="s">
        <v>300</v>
      </c>
      <c r="BA162" s="25">
        <f t="shared" ref="BA162:BA165" si="338">AC85</f>
        <v>0.0105588963565617</v>
      </c>
      <c r="BB162" s="25">
        <v>2020</v>
      </c>
    </row>
    <row r="163" ht="15.5" spans="21:54">
      <c r="U163" s="25" t="str">
        <f t="shared" ref="U163:U165" si="339">U162</f>
        <v>PyroRecy-NMC111</v>
      </c>
      <c r="V163" s="26" t="s">
        <v>301</v>
      </c>
      <c r="W163" s="25">
        <f t="shared" si="332"/>
        <v>0.0447027118073101</v>
      </c>
      <c r="X163" s="25">
        <v>2020</v>
      </c>
      <c r="Z163" s="25" t="str">
        <f t="shared" ref="Z163:Z165" si="340">Z162</f>
        <v>PyroRecy-NMC532</v>
      </c>
      <c r="AA163" s="26" t="s">
        <v>301</v>
      </c>
      <c r="AB163" s="25">
        <f t="shared" si="333"/>
        <v>0.0428058169375535</v>
      </c>
      <c r="AC163" s="25">
        <v>2020</v>
      </c>
      <c r="AE163" s="25" t="str">
        <f t="shared" ref="AE163:AE165" si="341">AE162</f>
        <v>PyroRecy-NMC622</v>
      </c>
      <c r="AF163" s="26" t="s">
        <v>301</v>
      </c>
      <c r="AG163" s="25">
        <f t="shared" si="334"/>
        <v>0.0441255605381166</v>
      </c>
      <c r="AH163" s="25">
        <v>2020</v>
      </c>
      <c r="AJ163" s="25" t="str">
        <f t="shared" ref="AJ163:AJ165" si="342">AJ162</f>
        <v>PyroRecy-NMC811</v>
      </c>
      <c r="AK163" s="26" t="s">
        <v>301</v>
      </c>
      <c r="AL163" s="25">
        <f t="shared" si="335"/>
        <v>0.0456406368460955</v>
      </c>
      <c r="AM163" s="25">
        <v>2020</v>
      </c>
      <c r="AO163" s="25" t="str">
        <f t="shared" ref="AO163:AO165" si="343">AO162</f>
        <v>PyroRecy-NCA</v>
      </c>
      <c r="AP163" s="26" t="s">
        <v>301</v>
      </c>
      <c r="AQ163" s="25">
        <f t="shared" si="336"/>
        <v>0.0467275778482193</v>
      </c>
      <c r="AR163" s="25">
        <v>2020</v>
      </c>
      <c r="AT163" s="25" t="str">
        <f t="shared" ref="AT163:AT165" si="344">AT162</f>
        <v>PyroRecy-LMO</v>
      </c>
      <c r="AU163" s="26" t="s">
        <v>301</v>
      </c>
      <c r="AV163" s="25">
        <f t="shared" si="337"/>
        <v>0.037020316027088</v>
      </c>
      <c r="AW163" s="25">
        <v>2020</v>
      </c>
      <c r="AY163" s="25" t="str">
        <f t="shared" ref="AY163:AY165" si="345">AY162</f>
        <v>PyroRecy-LFP</v>
      </c>
      <c r="AZ163" s="26" t="s">
        <v>301</v>
      </c>
      <c r="BA163" s="25">
        <f t="shared" si="338"/>
        <v>0.0435090201627167</v>
      </c>
      <c r="BB163" s="25">
        <v>2020</v>
      </c>
    </row>
    <row r="164" ht="15.5" spans="21:54">
      <c r="U164" s="25" t="str">
        <f t="shared" si="339"/>
        <v>PyroRecy-NMC111</v>
      </c>
      <c r="V164" s="26" t="s">
        <v>302</v>
      </c>
      <c r="W164" s="25">
        <f t="shared" si="332"/>
        <v>0.0724945258548088</v>
      </c>
      <c r="X164" s="25">
        <v>2020</v>
      </c>
      <c r="Z164" s="25" t="str">
        <f t="shared" si="340"/>
        <v>PyroRecy-NMC532</v>
      </c>
      <c r="AA164" s="26" t="s">
        <v>302</v>
      </c>
      <c r="AB164" s="25">
        <f t="shared" si="333"/>
        <v>0.0706073567151412</v>
      </c>
      <c r="AC164" s="25">
        <v>2020</v>
      </c>
      <c r="AE164" s="25" t="str">
        <f t="shared" si="341"/>
        <v>PyroRecy-NMC622</v>
      </c>
      <c r="AF164" s="26" t="s">
        <v>302</v>
      </c>
      <c r="AG164" s="25">
        <f t="shared" si="334"/>
        <v>0.0732017937219731</v>
      </c>
      <c r="AH164" s="25">
        <v>2020</v>
      </c>
      <c r="AJ164" s="25" t="str">
        <f t="shared" si="342"/>
        <v>PyroRecy-NMC811</v>
      </c>
      <c r="AK164" s="26" t="s">
        <v>302</v>
      </c>
      <c r="AL164" s="25">
        <f t="shared" si="335"/>
        <v>0.076516300227445</v>
      </c>
      <c r="AM164" s="25">
        <v>2020</v>
      </c>
      <c r="AO164" s="25" t="str">
        <f t="shared" si="343"/>
        <v>PyroRecy-NCA</v>
      </c>
      <c r="AP164" s="26" t="s">
        <v>302</v>
      </c>
      <c r="AQ164" s="25">
        <f t="shared" si="336"/>
        <v>0.0803841133693828</v>
      </c>
      <c r="AR164" s="25">
        <v>2020</v>
      </c>
      <c r="AT164" s="25" t="str">
        <f t="shared" si="344"/>
        <v>PyroRecy-LMO</v>
      </c>
      <c r="AU164" s="26" t="s">
        <v>302</v>
      </c>
      <c r="AV164" s="25">
        <f t="shared" si="337"/>
        <v>0.0614145974416855</v>
      </c>
      <c r="AW164" s="25">
        <v>2020</v>
      </c>
      <c r="AY164" s="25" t="str">
        <f t="shared" si="345"/>
        <v>PyroRecy-LFP</v>
      </c>
      <c r="AZ164" s="26" t="s">
        <v>302</v>
      </c>
      <c r="BA164" s="25">
        <f t="shared" si="338"/>
        <v>0.0721789883268483</v>
      </c>
      <c r="BB164" s="25">
        <v>2020</v>
      </c>
    </row>
    <row r="165" ht="15.5" spans="21:54">
      <c r="U165" s="25" t="str">
        <f t="shared" si="339"/>
        <v>PyroRecy-NMC111</v>
      </c>
      <c r="V165" s="26" t="s">
        <v>303</v>
      </c>
      <c r="W165" s="25">
        <f t="shared" si="332"/>
        <v>0.0131547919824827</v>
      </c>
      <c r="X165" s="25">
        <v>2020</v>
      </c>
      <c r="Z165" s="25" t="str">
        <f t="shared" si="340"/>
        <v>PyroRecy-NMC532</v>
      </c>
      <c r="AA165" s="26" t="s">
        <v>303</v>
      </c>
      <c r="AB165" s="25">
        <f t="shared" si="333"/>
        <v>0.0128656971770744</v>
      </c>
      <c r="AC165" s="25">
        <v>2020</v>
      </c>
      <c r="AE165" s="25" t="str">
        <f t="shared" si="341"/>
        <v>PyroRecy-NMC622</v>
      </c>
      <c r="AF165" s="26" t="s">
        <v>303</v>
      </c>
      <c r="AG165" s="25">
        <f t="shared" si="334"/>
        <v>0.0133273542600897</v>
      </c>
      <c r="AH165" s="25">
        <v>2020</v>
      </c>
      <c r="AJ165" s="25" t="str">
        <f t="shared" si="342"/>
        <v>PyroRecy-NMC811</v>
      </c>
      <c r="AK165" s="26" t="s">
        <v>303</v>
      </c>
      <c r="AL165" s="25">
        <f t="shared" si="335"/>
        <v>0.0145564821834723</v>
      </c>
      <c r="AM165" s="25">
        <v>2020</v>
      </c>
      <c r="AO165" s="25" t="str">
        <f t="shared" si="343"/>
        <v>PyroRecy-NCA</v>
      </c>
      <c r="AP165" s="26" t="s">
        <v>303</v>
      </c>
      <c r="AQ165" s="25">
        <f t="shared" si="336"/>
        <v>0.0148610852134999</v>
      </c>
      <c r="AR165" s="25">
        <v>2020</v>
      </c>
      <c r="AT165" s="25" t="str">
        <f t="shared" si="344"/>
        <v>PyroRecy-LMO</v>
      </c>
      <c r="AU165" s="26" t="s">
        <v>303</v>
      </c>
      <c r="AV165" s="25">
        <f t="shared" si="337"/>
        <v>0.0111813393528969</v>
      </c>
      <c r="AW165" s="25">
        <v>2020</v>
      </c>
      <c r="AY165" s="25" t="str">
        <f t="shared" si="345"/>
        <v>PyroRecy-LFP</v>
      </c>
      <c r="AZ165" s="26" t="s">
        <v>303</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299</v>
      </c>
      <c r="W172" s="23"/>
      <c r="X172" s="25"/>
      <c r="Z172" s="23"/>
      <c r="AA172" s="24" t="s">
        <v>299</v>
      </c>
      <c r="AB172" s="23"/>
      <c r="AC172" s="25"/>
      <c r="AE172" s="23"/>
      <c r="AF172" s="24" t="s">
        <v>299</v>
      </c>
      <c r="AG172" s="23"/>
      <c r="AH172" s="25"/>
      <c r="AJ172" s="23"/>
      <c r="AK172" s="24" t="s">
        <v>299</v>
      </c>
      <c r="AL172" s="23"/>
      <c r="AM172" s="25"/>
      <c r="AO172" s="23"/>
      <c r="AP172" s="24" t="s">
        <v>299</v>
      </c>
      <c r="AQ172" s="23"/>
      <c r="AR172" s="25"/>
      <c r="AT172" s="23"/>
      <c r="AU172" s="24" t="s">
        <v>299</v>
      </c>
      <c r="AV172" s="23"/>
      <c r="AW172" s="25"/>
      <c r="AY172" s="23"/>
      <c r="AZ172" s="24" t="s">
        <v>299</v>
      </c>
      <c r="BA172" s="23"/>
    </row>
    <row r="173" ht="15.5" spans="21:54">
      <c r="U173" s="24" t="s">
        <v>65</v>
      </c>
      <c r="V173" s="24" t="s">
        <v>118</v>
      </c>
      <c r="W173" s="24" t="s">
        <v>11</v>
      </c>
      <c r="X173" s="25" t="s">
        <v>41</v>
      </c>
      <c r="Z173" s="24" t="s">
        <v>65</v>
      </c>
      <c r="AA173" s="24" t="s">
        <v>118</v>
      </c>
      <c r="AB173" s="24" t="s">
        <v>11</v>
      </c>
      <c r="AC173" s="25" t="s">
        <v>41</v>
      </c>
      <c r="AE173" s="24" t="s">
        <v>65</v>
      </c>
      <c r="AF173" s="24" t="s">
        <v>118</v>
      </c>
      <c r="AG173" s="24" t="s">
        <v>11</v>
      </c>
      <c r="AH173" s="25" t="s">
        <v>41</v>
      </c>
      <c r="AJ173" s="24" t="s">
        <v>65</v>
      </c>
      <c r="AK173" s="24" t="s">
        <v>118</v>
      </c>
      <c r="AL173" s="24" t="s">
        <v>11</v>
      </c>
      <c r="AM173" s="25" t="s">
        <v>41</v>
      </c>
      <c r="AO173" s="24" t="s">
        <v>65</v>
      </c>
      <c r="AP173" s="24" t="s">
        <v>118</v>
      </c>
      <c r="AQ173" s="24" t="s">
        <v>11</v>
      </c>
      <c r="AR173" s="25" t="s">
        <v>41</v>
      </c>
      <c r="AT173" s="24" t="s">
        <v>65</v>
      </c>
      <c r="AU173" s="24" t="s">
        <v>118</v>
      </c>
      <c r="AV173" s="24" t="s">
        <v>11</v>
      </c>
      <c r="AW173" s="25" t="s">
        <v>41</v>
      </c>
      <c r="AY173" s="24" t="s">
        <v>65</v>
      </c>
      <c r="AZ173" s="24" t="s">
        <v>118</v>
      </c>
      <c r="BA173" s="24" t="s">
        <v>11</v>
      </c>
      <c r="BB173" s="25" t="s">
        <v>41</v>
      </c>
    </row>
    <row r="174" ht="15.5" spans="21:54">
      <c r="U174" s="25" t="s">
        <v>262</v>
      </c>
      <c r="V174" s="26" t="s">
        <v>300</v>
      </c>
      <c r="W174" s="25">
        <f t="shared" ref="W174:W177" si="346">W105</f>
        <v>0.011840997136601</v>
      </c>
      <c r="X174" s="25">
        <v>2020</v>
      </c>
      <c r="Z174" s="25" t="s">
        <v>264</v>
      </c>
      <c r="AA174" s="26" t="s">
        <v>300</v>
      </c>
      <c r="AB174" s="25">
        <f t="shared" ref="AB174:AB177" si="347">X105</f>
        <v>0.011377245508982</v>
      </c>
      <c r="AC174" s="25">
        <v>2020</v>
      </c>
      <c r="AE174" s="25" t="s">
        <v>266</v>
      </c>
      <c r="AF174" s="26" t="s">
        <v>300</v>
      </c>
      <c r="AG174" s="25">
        <f t="shared" ref="AG174:AG177" si="348">Y105</f>
        <v>0.0117668161434977</v>
      </c>
      <c r="AH174" s="25">
        <v>2020</v>
      </c>
      <c r="AJ174" s="25" t="s">
        <v>268</v>
      </c>
      <c r="AK174" s="26" t="s">
        <v>300</v>
      </c>
      <c r="AL174" s="25">
        <f t="shared" ref="AL174:AL177" si="349">Z105</f>
        <v>0.0120924943138741</v>
      </c>
      <c r="AM174" s="25">
        <v>2020</v>
      </c>
      <c r="AO174" s="25" t="s">
        <v>260</v>
      </c>
      <c r="AP174" s="26" t="s">
        <v>300</v>
      </c>
      <c r="AQ174" s="25">
        <f t="shared" ref="AQ174:AQ177" si="350">AA105</f>
        <v>0.0122878985642364</v>
      </c>
      <c r="AR174" s="25">
        <v>2020</v>
      </c>
      <c r="AT174" s="25" t="s">
        <v>259</v>
      </c>
      <c r="AU174" s="26" t="s">
        <v>300</v>
      </c>
      <c r="AV174" s="25">
        <f t="shared" ref="AV174:AV177" si="351">AB105</f>
        <v>0.00987208427389014</v>
      </c>
      <c r="AW174" s="25">
        <v>2020</v>
      </c>
      <c r="AY174" s="25" t="s">
        <v>257</v>
      </c>
      <c r="AZ174" s="26" t="s">
        <v>300</v>
      </c>
      <c r="BA174" s="25">
        <f t="shared" ref="BA174:BA177" si="352">AC105</f>
        <v>0.0116024053767244</v>
      </c>
      <c r="BB174" s="25">
        <v>2020</v>
      </c>
    </row>
    <row r="175" ht="15.5" spans="21:54">
      <c r="U175" s="25" t="str">
        <f t="shared" ref="U175:U177" si="353">U174</f>
        <v>HydRecy-NMC111</v>
      </c>
      <c r="V175" s="26" t="s">
        <v>301</v>
      </c>
      <c r="W175" s="25">
        <f t="shared" si="346"/>
        <v>0.0404413003200269</v>
      </c>
      <c r="X175" s="25">
        <v>2020</v>
      </c>
      <c r="Z175" s="25" t="str">
        <f t="shared" ref="Z175:Z177" si="354">Z174</f>
        <v>HydRecy-NMC532</v>
      </c>
      <c r="AA175" s="26" t="s">
        <v>301</v>
      </c>
      <c r="AB175" s="25">
        <f t="shared" si="347"/>
        <v>0.0389734816082122</v>
      </c>
      <c r="AC175" s="25">
        <v>2020</v>
      </c>
      <c r="AE175" s="25" t="str">
        <f t="shared" ref="AE175:AE177" si="355">AE174</f>
        <v>HydRecy-NMC622</v>
      </c>
      <c r="AF175" s="26" t="s">
        <v>301</v>
      </c>
      <c r="AG175" s="25">
        <f t="shared" si="348"/>
        <v>0.0403408071748879</v>
      </c>
      <c r="AH175" s="25">
        <v>2020</v>
      </c>
      <c r="AJ175" s="25" t="str">
        <f t="shared" ref="AJ175:AJ177" si="356">AJ174</f>
        <v>HydRecy-NMC811</v>
      </c>
      <c r="AK175" s="26" t="s">
        <v>301</v>
      </c>
      <c r="AL175" s="25">
        <f t="shared" si="349"/>
        <v>0.0420204700530705</v>
      </c>
      <c r="AM175" s="25">
        <v>2020</v>
      </c>
      <c r="AO175" s="25" t="str">
        <f t="shared" ref="AO175:AO177" si="357">AO174</f>
        <v>HydRecy-NCA</v>
      </c>
      <c r="AP175" s="26" t="s">
        <v>301</v>
      </c>
      <c r="AQ175" s="25">
        <f t="shared" si="350"/>
        <v>0.0428118590341227</v>
      </c>
      <c r="AR175" s="25">
        <v>2020</v>
      </c>
      <c r="AT175" s="25" t="str">
        <f t="shared" ref="AT175:AT177" si="358">AT174</f>
        <v>HydRecy-LMO</v>
      </c>
      <c r="AU175" s="26" t="s">
        <v>301</v>
      </c>
      <c r="AV175" s="25">
        <f t="shared" si="351"/>
        <v>0.0338449962377728</v>
      </c>
      <c r="AW175" s="25">
        <v>2020</v>
      </c>
      <c r="AY175" s="25" t="str">
        <f t="shared" ref="AY175:AY177" si="359">AY174</f>
        <v>HydRecy-LFP</v>
      </c>
      <c r="AZ175" s="26" t="s">
        <v>301</v>
      </c>
      <c r="BA175" s="25">
        <f t="shared" si="352"/>
        <v>0.0397771489211178</v>
      </c>
      <c r="BB175" s="25">
        <v>2020</v>
      </c>
    </row>
    <row r="176" ht="15.5" spans="21:54">
      <c r="U176" s="25" t="str">
        <f t="shared" si="353"/>
        <v>HydRecy-NMC111</v>
      </c>
      <c r="V176" s="26" t="s">
        <v>302</v>
      </c>
      <c r="W176" s="25">
        <f t="shared" si="346"/>
        <v>0.0870304867778339</v>
      </c>
      <c r="X176" s="25">
        <v>2020</v>
      </c>
      <c r="Z176" s="25" t="str">
        <f t="shared" si="354"/>
        <v>HydRecy-NMC532</v>
      </c>
      <c r="AA176" s="26" t="s">
        <v>302</v>
      </c>
      <c r="AB176" s="25">
        <f t="shared" si="347"/>
        <v>0.0843627031650984</v>
      </c>
      <c r="AC176" s="25">
        <v>2020</v>
      </c>
      <c r="AE176" s="25" t="str">
        <f t="shared" si="355"/>
        <v>HydRecy-NMC622</v>
      </c>
      <c r="AF176" s="26" t="s">
        <v>302</v>
      </c>
      <c r="AG176" s="25">
        <f t="shared" si="348"/>
        <v>0.0874439461883408</v>
      </c>
      <c r="AH176" s="25">
        <v>2020</v>
      </c>
      <c r="AJ176" s="25" t="str">
        <f t="shared" si="356"/>
        <v>HydRecy-NMC811</v>
      </c>
      <c r="AK176" s="26" t="s">
        <v>302</v>
      </c>
      <c r="AL176" s="25">
        <f t="shared" si="349"/>
        <v>0.0881918119787718</v>
      </c>
      <c r="AM176" s="25">
        <v>2020</v>
      </c>
      <c r="AO176" s="25" t="str">
        <f t="shared" si="357"/>
        <v>HydRecy-NCA</v>
      </c>
      <c r="AP176" s="26" t="s">
        <v>302</v>
      </c>
      <c r="AQ176" s="25">
        <f t="shared" si="350"/>
        <v>0.0922245012120082</v>
      </c>
      <c r="AR176" s="25">
        <v>2020</v>
      </c>
      <c r="AT176" s="25" t="str">
        <f t="shared" si="358"/>
        <v>HydRecy-LMO</v>
      </c>
      <c r="AU176" s="26" t="s">
        <v>302</v>
      </c>
      <c r="AV176" s="25">
        <f t="shared" si="351"/>
        <v>0.0733634311512415</v>
      </c>
      <c r="AW176" s="25">
        <v>2020</v>
      </c>
      <c r="AY176" s="25" t="str">
        <f t="shared" si="359"/>
        <v>HydRecy-LFP</v>
      </c>
      <c r="AZ176" s="26" t="s">
        <v>302</v>
      </c>
      <c r="BA176" s="25">
        <f t="shared" si="352"/>
        <v>0.0862221436151397</v>
      </c>
      <c r="BB176" s="25">
        <v>2020</v>
      </c>
    </row>
    <row r="177" ht="15.5" spans="21:54">
      <c r="U177" s="25" t="str">
        <f t="shared" si="353"/>
        <v>HydRecy-NMC111</v>
      </c>
      <c r="V177" s="26" t="s">
        <v>303</v>
      </c>
      <c r="W177" s="25">
        <f t="shared" si="346"/>
        <v>0.0133569142664645</v>
      </c>
      <c r="X177" s="25">
        <v>2020</v>
      </c>
      <c r="Z177" s="25" t="str">
        <f t="shared" si="354"/>
        <v>HydRecy-NMC532</v>
      </c>
      <c r="AA177" s="26" t="s">
        <v>303</v>
      </c>
      <c r="AB177" s="25">
        <f t="shared" si="347"/>
        <v>0.0131907613344739</v>
      </c>
      <c r="AC177" s="25">
        <v>2020</v>
      </c>
      <c r="AE177" s="25" t="str">
        <f t="shared" si="355"/>
        <v>HydRecy-NMC622</v>
      </c>
      <c r="AF177" s="26" t="s">
        <v>303</v>
      </c>
      <c r="AG177" s="25">
        <f t="shared" si="348"/>
        <v>0.0137399103139013</v>
      </c>
      <c r="AH177" s="25">
        <v>2020</v>
      </c>
      <c r="AJ177" s="25" t="str">
        <f t="shared" si="356"/>
        <v>HydRecy-NMC811</v>
      </c>
      <c r="AK177" s="26" t="s">
        <v>303</v>
      </c>
      <c r="AL177" s="25">
        <f t="shared" si="349"/>
        <v>0.0141015921152388</v>
      </c>
      <c r="AM177" s="25">
        <v>2020</v>
      </c>
      <c r="AO177" s="25" t="str">
        <f t="shared" si="357"/>
        <v>HydRecy-NCA</v>
      </c>
      <c r="AP177" s="26" t="s">
        <v>303</v>
      </c>
      <c r="AQ177" s="25">
        <f t="shared" si="350"/>
        <v>0.0143016968114861</v>
      </c>
      <c r="AR177" s="25">
        <v>2020</v>
      </c>
      <c r="AT177" s="25" t="str">
        <f t="shared" si="358"/>
        <v>HydRecy-LMO</v>
      </c>
      <c r="AU177" s="26" t="s">
        <v>303</v>
      </c>
      <c r="AV177" s="25">
        <f t="shared" si="351"/>
        <v>0.0115274642588412</v>
      </c>
      <c r="AW177" s="25">
        <v>2020</v>
      </c>
      <c r="AY177" s="25" t="str">
        <f t="shared" si="359"/>
        <v>HydRecy-LFP</v>
      </c>
      <c r="AZ177" s="26" t="s">
        <v>303</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299</v>
      </c>
      <c r="W183" s="23"/>
      <c r="X183" s="25"/>
      <c r="Z183" s="23"/>
      <c r="AA183" s="24" t="s">
        <v>299</v>
      </c>
      <c r="AB183" s="23"/>
      <c r="AC183" s="25"/>
      <c r="AE183" s="23"/>
      <c r="AF183" s="24" t="s">
        <v>299</v>
      </c>
      <c r="AG183" s="23"/>
      <c r="AH183" s="25"/>
      <c r="AJ183" s="23"/>
      <c r="AK183" s="24" t="s">
        <v>299</v>
      </c>
      <c r="AL183" s="23"/>
      <c r="AM183" s="25"/>
      <c r="AO183" s="23"/>
      <c r="AP183" s="24" t="s">
        <v>299</v>
      </c>
      <c r="AQ183" s="23"/>
      <c r="AR183" s="25"/>
      <c r="AT183" s="23"/>
      <c r="AU183" s="24" t="s">
        <v>299</v>
      </c>
      <c r="AV183" s="23"/>
      <c r="AW183" s="25"/>
      <c r="AY183" s="23"/>
      <c r="AZ183" s="24" t="s">
        <v>299</v>
      </c>
      <c r="BA183" s="23"/>
    </row>
    <row r="184" ht="15.5" spans="21:54">
      <c r="U184" s="24" t="s">
        <v>65</v>
      </c>
      <c r="V184" s="24" t="s">
        <v>118</v>
      </c>
      <c r="W184" s="24" t="s">
        <v>11</v>
      </c>
      <c r="X184" s="25" t="s">
        <v>41</v>
      </c>
      <c r="Z184" s="24" t="s">
        <v>65</v>
      </c>
      <c r="AA184" s="24" t="s">
        <v>118</v>
      </c>
      <c r="AB184" s="24" t="s">
        <v>11</v>
      </c>
      <c r="AC184" s="25" t="s">
        <v>41</v>
      </c>
      <c r="AE184" s="24" t="s">
        <v>65</v>
      </c>
      <c r="AF184" s="24" t="s">
        <v>118</v>
      </c>
      <c r="AG184" s="24" t="s">
        <v>11</v>
      </c>
      <c r="AH184" s="25" t="s">
        <v>41</v>
      </c>
      <c r="AJ184" s="24" t="s">
        <v>65</v>
      </c>
      <c r="AK184" s="24" t="s">
        <v>118</v>
      </c>
      <c r="AL184" s="24" t="s">
        <v>11</v>
      </c>
      <c r="AM184" s="25" t="s">
        <v>41</v>
      </c>
      <c r="AO184" s="24" t="s">
        <v>65</v>
      </c>
      <c r="AP184" s="24" t="s">
        <v>118</v>
      </c>
      <c r="AQ184" s="24" t="s">
        <v>11</v>
      </c>
      <c r="AR184" s="25" t="s">
        <v>41</v>
      </c>
      <c r="AT184" s="24" t="s">
        <v>65</v>
      </c>
      <c r="AU184" s="24" t="s">
        <v>118</v>
      </c>
      <c r="AV184" s="24" t="s">
        <v>11</v>
      </c>
      <c r="AW184" s="25" t="s">
        <v>41</v>
      </c>
      <c r="AY184" s="24" t="s">
        <v>65</v>
      </c>
      <c r="AZ184" s="24" t="s">
        <v>118</v>
      </c>
      <c r="BA184" s="24" t="s">
        <v>11</v>
      </c>
      <c r="BB184" s="25" t="s">
        <v>41</v>
      </c>
    </row>
    <row r="185" ht="15.5" spans="21:54">
      <c r="U185" s="25" t="s">
        <v>275</v>
      </c>
      <c r="V185" s="26" t="s">
        <v>300</v>
      </c>
      <c r="W185" s="25">
        <f t="shared" ref="W185:W188" si="360">W125</f>
        <v>0.00810173488293751</v>
      </c>
      <c r="X185" s="25">
        <v>2020</v>
      </c>
      <c r="Z185" s="25" t="s">
        <v>277</v>
      </c>
      <c r="AA185" s="26" t="s">
        <v>300</v>
      </c>
      <c r="AB185" s="25">
        <f t="shared" ref="AB185:AB188" si="361">X125</f>
        <v>0.00786997433704022</v>
      </c>
      <c r="AC185" s="25">
        <v>2020</v>
      </c>
      <c r="AE185" s="25" t="s">
        <v>279</v>
      </c>
      <c r="AF185" s="26" t="s">
        <v>300</v>
      </c>
      <c r="AG185" s="25">
        <f t="shared" ref="AG185:AG188" si="362">Y125</f>
        <v>0.00817937219730942</v>
      </c>
      <c r="AH185" s="25">
        <v>2020</v>
      </c>
      <c r="AJ185" s="25" t="s">
        <v>280</v>
      </c>
      <c r="AK185" s="26" t="s">
        <v>300</v>
      </c>
      <c r="AL185" s="25">
        <f t="shared" ref="AL185:AL188" si="363">Z125</f>
        <v>0.00816906747536013</v>
      </c>
      <c r="AM185" s="25">
        <v>2020</v>
      </c>
      <c r="AO185" s="25" t="s">
        <v>274</v>
      </c>
      <c r="AP185" s="26" t="s">
        <v>300</v>
      </c>
      <c r="AQ185" s="25">
        <f t="shared" ref="AQ185:AQ188" si="364">AA125</f>
        <v>0.00826030206973706</v>
      </c>
      <c r="AR185" s="25">
        <v>2020</v>
      </c>
      <c r="AT185" s="25" t="s">
        <v>272</v>
      </c>
      <c r="AU185" s="26" t="s">
        <v>300</v>
      </c>
      <c r="AV185" s="25">
        <f t="shared" ref="AV185:AV188" si="365">AB125</f>
        <v>0.00686230248306997</v>
      </c>
      <c r="AW185" s="25">
        <v>2020</v>
      </c>
      <c r="AY185" s="25" t="s">
        <v>270</v>
      </c>
      <c r="AZ185" s="26" t="s">
        <v>300</v>
      </c>
      <c r="BA185" s="25">
        <f t="shared" ref="BA185:BA188" si="366">AC125</f>
        <v>0.00806508666430845</v>
      </c>
      <c r="BB185" s="25">
        <v>2020</v>
      </c>
    </row>
    <row r="186" ht="15.5" spans="21:54">
      <c r="U186" s="25" t="str">
        <f t="shared" ref="U186:U188" si="367">U185</f>
        <v>DirRecy-NMC111</v>
      </c>
      <c r="V186" s="26" t="s">
        <v>301</v>
      </c>
      <c r="W186" s="25">
        <f t="shared" si="360"/>
        <v>0.0319690079164561</v>
      </c>
      <c r="X186" s="25">
        <v>2020</v>
      </c>
      <c r="Z186" s="25" t="str">
        <f t="shared" ref="Z186:Z188" si="368">Z185</f>
        <v>DirRecy-NMC532</v>
      </c>
      <c r="AA186" s="26" t="s">
        <v>301</v>
      </c>
      <c r="AB186" s="25">
        <f t="shared" si="361"/>
        <v>0.0310692899914457</v>
      </c>
      <c r="AC186" s="25">
        <v>2020</v>
      </c>
      <c r="AE186" s="25" t="str">
        <f t="shared" ref="AE186:AE188" si="369">AE185</f>
        <v>DirRecy-NMC622</v>
      </c>
      <c r="AF186" s="26" t="s">
        <v>301</v>
      </c>
      <c r="AG186" s="25">
        <f t="shared" si="362"/>
        <v>0.0322331838565022</v>
      </c>
      <c r="AH186" s="25">
        <v>2020</v>
      </c>
      <c r="AJ186" s="25" t="str">
        <f t="shared" ref="AJ186:AJ188" si="370">AJ185</f>
        <v>DirRecy-NMC811</v>
      </c>
      <c r="AK186" s="26" t="s">
        <v>301</v>
      </c>
      <c r="AL186" s="25">
        <f t="shared" si="363"/>
        <v>0.0321645185746778</v>
      </c>
      <c r="AM186" s="25">
        <v>2020</v>
      </c>
      <c r="AO186" s="25" t="str">
        <f t="shared" ref="AO186:AO188" si="371">AO185</f>
        <v>DirRecy-NCA</v>
      </c>
      <c r="AP186" s="26" t="s">
        <v>301</v>
      </c>
      <c r="AQ186" s="25">
        <f t="shared" si="364"/>
        <v>0.0325750512772702</v>
      </c>
      <c r="AR186" s="25">
        <v>2020</v>
      </c>
      <c r="AT186" s="25" t="str">
        <f t="shared" ref="AT186:AT188" si="372">AT185</f>
        <v>DirRecy-LMO</v>
      </c>
      <c r="AU186" s="26" t="s">
        <v>301</v>
      </c>
      <c r="AV186" s="25">
        <f t="shared" si="365"/>
        <v>0.0270428893905192</v>
      </c>
      <c r="AW186" s="25">
        <v>2020</v>
      </c>
      <c r="AY186" s="25" t="str">
        <f t="shared" ref="AY186:AY188" si="373">AY185</f>
        <v>DirRecy-LFP</v>
      </c>
      <c r="AZ186" s="26" t="s">
        <v>301</v>
      </c>
      <c r="BA186" s="25">
        <f t="shared" si="366"/>
        <v>0.0317828086310577</v>
      </c>
      <c r="BB186" s="25">
        <v>2020</v>
      </c>
    </row>
    <row r="187" ht="15.5" spans="21:54">
      <c r="U187" s="25" t="str">
        <f t="shared" si="367"/>
        <v>DirRecy-NMC111</v>
      </c>
      <c r="V187" s="26" t="s">
        <v>302</v>
      </c>
      <c r="W187" s="25">
        <f t="shared" si="360"/>
        <v>0.0557183762843187</v>
      </c>
      <c r="X187" s="25">
        <v>2020</v>
      </c>
      <c r="Z187" s="25" t="str">
        <f t="shared" si="368"/>
        <v>DirRecy-NMC532</v>
      </c>
      <c r="AA187" s="26" t="s">
        <v>302</v>
      </c>
      <c r="AB187" s="25">
        <f t="shared" si="361"/>
        <v>0.055158254918734</v>
      </c>
      <c r="AC187" s="25">
        <v>2020</v>
      </c>
      <c r="AE187" s="25" t="str">
        <f t="shared" si="369"/>
        <v>DirRecy-NMC622</v>
      </c>
      <c r="AF187" s="26" t="s">
        <v>302</v>
      </c>
      <c r="AG187" s="25">
        <f t="shared" si="362"/>
        <v>0.0574887892376682</v>
      </c>
      <c r="AH187" s="25">
        <v>2020</v>
      </c>
      <c r="AJ187" s="25" t="str">
        <f t="shared" si="370"/>
        <v>DirRecy-NMC811</v>
      </c>
      <c r="AK187" s="26" t="s">
        <v>302</v>
      </c>
      <c r="AL187" s="25">
        <f t="shared" si="363"/>
        <v>0.0587755875663381</v>
      </c>
      <c r="AM187" s="25">
        <v>2020</v>
      </c>
      <c r="AO187" s="25" t="str">
        <f t="shared" si="371"/>
        <v>DirRecy-NCA</v>
      </c>
      <c r="AP187" s="26" t="s">
        <v>302</v>
      </c>
      <c r="AQ187" s="25">
        <f t="shared" si="364"/>
        <v>0.0587544284915159</v>
      </c>
      <c r="AR187" s="25">
        <v>2020</v>
      </c>
      <c r="AT187" s="25" t="str">
        <f t="shared" si="372"/>
        <v>DirRecy-LMO</v>
      </c>
      <c r="AU187" s="26" t="s">
        <v>302</v>
      </c>
      <c r="AV187" s="25">
        <f t="shared" si="365"/>
        <v>0.0482317531978932</v>
      </c>
      <c r="AW187" s="25">
        <v>2020</v>
      </c>
      <c r="AY187" s="25" t="str">
        <f t="shared" si="373"/>
        <v>DirRecy-LFP</v>
      </c>
      <c r="AZ187" s="26" t="s">
        <v>302</v>
      </c>
      <c r="BA187" s="25">
        <f t="shared" si="366"/>
        <v>0.0566855323664662</v>
      </c>
      <c r="BB187" s="25">
        <v>2020</v>
      </c>
    </row>
    <row r="188" ht="15.5" spans="21:54">
      <c r="U188" s="25" t="str">
        <f t="shared" si="367"/>
        <v>DirRecy-NMC111</v>
      </c>
      <c r="V188" s="26" t="s">
        <v>303</v>
      </c>
      <c r="W188" s="25">
        <f t="shared" si="360"/>
        <v>0.0130537308404918</v>
      </c>
      <c r="X188" s="25">
        <v>2020</v>
      </c>
      <c r="Z188" s="25" t="str">
        <f t="shared" si="368"/>
        <v>DirRecy-NMC532</v>
      </c>
      <c r="AA188" s="26" t="s">
        <v>303</v>
      </c>
      <c r="AB188" s="25">
        <f t="shared" si="361"/>
        <v>0.0129170230966638</v>
      </c>
      <c r="AC188" s="25">
        <v>2020</v>
      </c>
      <c r="AE188" s="25" t="str">
        <f t="shared" si="369"/>
        <v>DirRecy-NMC622</v>
      </c>
      <c r="AF188" s="26" t="s">
        <v>303</v>
      </c>
      <c r="AG188" s="25">
        <f t="shared" si="362"/>
        <v>0.0134529147982063</v>
      </c>
      <c r="AH188" s="25">
        <v>2020</v>
      </c>
      <c r="AJ188" s="25" t="str">
        <f t="shared" si="370"/>
        <v>DirRecy-NMC811</v>
      </c>
      <c r="AK188" s="26" t="s">
        <v>303</v>
      </c>
      <c r="AL188" s="25">
        <f t="shared" si="363"/>
        <v>0.0136846095526914</v>
      </c>
      <c r="AM188" s="25">
        <v>2020</v>
      </c>
      <c r="AO188" s="25" t="str">
        <f t="shared" si="371"/>
        <v>DirRecy-NCA</v>
      </c>
      <c r="AP188" s="26" t="s">
        <v>303</v>
      </c>
      <c r="AQ188" s="25">
        <f t="shared" si="364"/>
        <v>0.0137236621294052</v>
      </c>
      <c r="AR188" s="25">
        <v>2020</v>
      </c>
      <c r="AT188" s="25" t="str">
        <f t="shared" si="372"/>
        <v>DirRecy-LMO</v>
      </c>
      <c r="AU188" s="26" t="s">
        <v>303</v>
      </c>
      <c r="AV188" s="25">
        <f t="shared" si="365"/>
        <v>0.0112866817155756</v>
      </c>
      <c r="AW188" s="25">
        <v>2020</v>
      </c>
      <c r="AY188" s="25" t="str">
        <f t="shared" si="373"/>
        <v>DirRecy-LFP</v>
      </c>
      <c r="AZ188" s="26" t="s">
        <v>303</v>
      </c>
      <c r="BA188" s="25">
        <f t="shared" si="366"/>
        <v>0.01326494517156</v>
      </c>
      <c r="BB188" s="25">
        <v>2020</v>
      </c>
    </row>
    <row r="198" spans="21:54">
      <c r="V198" s="3" t="s">
        <v>299</v>
      </c>
      <c r="AA198" s="3" t="s">
        <v>299</v>
      </c>
      <c r="AF198" s="3" t="s">
        <v>299</v>
      </c>
      <c r="AK198" s="3" t="s">
        <v>299</v>
      </c>
      <c r="AP198" s="3" t="s">
        <v>299</v>
      </c>
      <c r="AU198" s="3" t="s">
        <v>299</v>
      </c>
      <c r="AZ198" s="3" t="s">
        <v>299</v>
      </c>
    </row>
    <row r="199" ht="15.5" spans="21:54">
      <c r="U199" s="3" t="s">
        <v>65</v>
      </c>
      <c r="V199" s="3" t="s">
        <v>118</v>
      </c>
      <c r="W199" s="3" t="s">
        <v>11</v>
      </c>
      <c r="X199" s="25" t="s">
        <v>41</v>
      </c>
      <c r="Z199" s="3" t="s">
        <v>65</v>
      </c>
      <c r="AA199" s="3" t="s">
        <v>118</v>
      </c>
      <c r="AB199" s="3" t="s">
        <v>11</v>
      </c>
      <c r="AC199" s="25" t="s">
        <v>41</v>
      </c>
      <c r="AE199" s="3" t="s">
        <v>65</v>
      </c>
      <c r="AF199" s="3" t="s">
        <v>118</v>
      </c>
      <c r="AG199" s="3" t="s">
        <v>11</v>
      </c>
      <c r="AH199" s="25" t="s">
        <v>41</v>
      </c>
      <c r="AJ199" s="3" t="s">
        <v>65</v>
      </c>
      <c r="AK199" s="3" t="s">
        <v>118</v>
      </c>
      <c r="AL199" s="3" t="s">
        <v>11</v>
      </c>
      <c r="AM199" s="25" t="s">
        <v>41</v>
      </c>
      <c r="AO199" s="3" t="s">
        <v>65</v>
      </c>
      <c r="AP199" s="3" t="s">
        <v>118</v>
      </c>
      <c r="AQ199" s="3" t="s">
        <v>11</v>
      </c>
      <c r="AR199" s="25" t="s">
        <v>41</v>
      </c>
      <c r="AT199" s="3" t="s">
        <v>65</v>
      </c>
      <c r="AU199" s="3" t="s">
        <v>118</v>
      </c>
      <c r="AV199" s="3" t="s">
        <v>11</v>
      </c>
      <c r="AW199" s="25" t="s">
        <v>41</v>
      </c>
      <c r="AY199" s="3" t="s">
        <v>65</v>
      </c>
      <c r="AZ199" s="3" t="s">
        <v>118</v>
      </c>
      <c r="BA199" s="3" t="s">
        <v>11</v>
      </c>
      <c r="BB199" s="25" t="s">
        <v>41</v>
      </c>
    </row>
    <row r="200" ht="15.5" spans="21:54">
      <c r="U200" s="3" t="s">
        <v>249</v>
      </c>
      <c r="V200" s="3" t="s">
        <v>300</v>
      </c>
      <c r="W200" s="3">
        <f>SUM(W162:W165)</f>
        <v>0.141182415361294</v>
      </c>
      <c r="X200" s="25" t="s">
        <v>325</v>
      </c>
      <c r="Z200" s="3" t="s">
        <v>251</v>
      </c>
      <c r="AA200" s="3" t="s">
        <v>300</v>
      </c>
      <c r="AB200" s="3">
        <f>SUM(AB162:AB165)</f>
        <v>0.136680923866553</v>
      </c>
      <c r="AC200" s="25" t="s">
        <v>325</v>
      </c>
      <c r="AE200" s="3" t="s">
        <v>253</v>
      </c>
      <c r="AF200" s="3" t="s">
        <v>300</v>
      </c>
      <c r="AG200" s="3">
        <f>SUM(AG162:AG165)</f>
        <v>0.141363228699552</v>
      </c>
      <c r="AH200" s="25" t="s">
        <v>325</v>
      </c>
      <c r="AJ200" s="3" t="s">
        <v>255</v>
      </c>
      <c r="AK200" s="3" t="s">
        <v>300</v>
      </c>
      <c r="AL200" s="3">
        <f>SUM(AL162:AL165)</f>
        <v>0.148483699772555</v>
      </c>
      <c r="AM200" s="25" t="s">
        <v>325</v>
      </c>
      <c r="AO200" s="3" t="s">
        <v>247</v>
      </c>
      <c r="AP200" s="3" t="s">
        <v>300</v>
      </c>
      <c r="AQ200" s="3">
        <f>SUM(AQ162:AQ165)</f>
        <v>0.153906395674063</v>
      </c>
      <c r="AR200" s="25" t="s">
        <v>325</v>
      </c>
      <c r="AT200" s="3" t="s">
        <v>245</v>
      </c>
      <c r="AU200" s="3" t="s">
        <v>300</v>
      </c>
      <c r="AV200" s="3">
        <f>SUM(AV162:AV165)</f>
        <v>0.118600451467269</v>
      </c>
      <c r="AW200" s="25" t="s">
        <v>325</v>
      </c>
      <c r="AY200" s="3" t="s">
        <v>243</v>
      </c>
      <c r="AZ200" s="3" t="s">
        <v>300</v>
      </c>
      <c r="BA200" s="3">
        <f>SUM(BA162:BA165)</f>
        <v>0.139388043862752</v>
      </c>
      <c r="BB200" s="25" t="s">
        <v>325</v>
      </c>
    </row>
    <row r="201" ht="15.5" spans="21:54">
      <c r="U201" s="3" t="s">
        <v>249</v>
      </c>
      <c r="V201" s="3" t="s">
        <v>301</v>
      </c>
      <c r="W201" s="3">
        <v>0</v>
      </c>
      <c r="X201" s="25" t="s">
        <v>325</v>
      </c>
      <c r="Z201" s="3" t="s">
        <v>251</v>
      </c>
      <c r="AA201" s="3" t="s">
        <v>301</v>
      </c>
      <c r="AB201" s="3">
        <v>0</v>
      </c>
      <c r="AC201" s="25" t="s">
        <v>325</v>
      </c>
      <c r="AE201" s="3" t="s">
        <v>253</v>
      </c>
      <c r="AF201" s="3" t="s">
        <v>301</v>
      </c>
      <c r="AG201" s="3">
        <v>0</v>
      </c>
      <c r="AH201" s="25" t="s">
        <v>325</v>
      </c>
      <c r="AJ201" s="3" t="s">
        <v>255</v>
      </c>
      <c r="AK201" s="3" t="s">
        <v>301</v>
      </c>
      <c r="AL201" s="3">
        <v>0</v>
      </c>
      <c r="AM201" s="25" t="s">
        <v>325</v>
      </c>
      <c r="AO201" s="3" t="s">
        <v>247</v>
      </c>
      <c r="AP201" s="3" t="s">
        <v>301</v>
      </c>
      <c r="AQ201" s="3">
        <v>0</v>
      </c>
      <c r="AR201" s="25" t="s">
        <v>325</v>
      </c>
      <c r="AT201" s="3" t="s">
        <v>245</v>
      </c>
      <c r="AU201" s="3" t="s">
        <v>301</v>
      </c>
      <c r="AV201" s="3">
        <v>0</v>
      </c>
      <c r="AW201" s="25" t="s">
        <v>325</v>
      </c>
      <c r="AY201" s="3" t="s">
        <v>243</v>
      </c>
      <c r="AZ201" s="3" t="s">
        <v>301</v>
      </c>
      <c r="BA201" s="3">
        <v>0</v>
      </c>
      <c r="BB201" s="25" t="s">
        <v>325</v>
      </c>
    </row>
    <row r="202" ht="15.5" spans="21:54">
      <c r="U202" s="3" t="s">
        <v>249</v>
      </c>
      <c r="V202" s="3" t="s">
        <v>302</v>
      </c>
      <c r="W202" s="3">
        <v>0</v>
      </c>
      <c r="X202" s="25" t="s">
        <v>325</v>
      </c>
      <c r="Z202" s="3" t="s">
        <v>251</v>
      </c>
      <c r="AA202" s="3" t="s">
        <v>302</v>
      </c>
      <c r="AB202" s="3">
        <v>0</v>
      </c>
      <c r="AC202" s="25" t="s">
        <v>325</v>
      </c>
      <c r="AE202" s="3" t="s">
        <v>253</v>
      </c>
      <c r="AF202" s="3" t="s">
        <v>302</v>
      </c>
      <c r="AG202" s="3">
        <v>0</v>
      </c>
      <c r="AH202" s="25" t="s">
        <v>325</v>
      </c>
      <c r="AJ202" s="3" t="s">
        <v>255</v>
      </c>
      <c r="AK202" s="3" t="s">
        <v>302</v>
      </c>
      <c r="AL202" s="3">
        <v>0</v>
      </c>
      <c r="AM202" s="25" t="s">
        <v>325</v>
      </c>
      <c r="AO202" s="3" t="s">
        <v>247</v>
      </c>
      <c r="AP202" s="3" t="s">
        <v>302</v>
      </c>
      <c r="AQ202" s="3">
        <v>0</v>
      </c>
      <c r="AR202" s="25" t="s">
        <v>325</v>
      </c>
      <c r="AT202" s="3" t="s">
        <v>245</v>
      </c>
      <c r="AU202" s="3" t="s">
        <v>302</v>
      </c>
      <c r="AV202" s="3">
        <v>0</v>
      </c>
      <c r="AW202" s="25" t="s">
        <v>325</v>
      </c>
      <c r="AY202" s="3" t="s">
        <v>243</v>
      </c>
      <c r="AZ202" s="3" t="s">
        <v>302</v>
      </c>
      <c r="BA202" s="3">
        <v>0</v>
      </c>
      <c r="BB202" s="25" t="s">
        <v>325</v>
      </c>
    </row>
    <row r="203" ht="15.5" spans="21:54">
      <c r="U203" s="3" t="s">
        <v>249</v>
      </c>
      <c r="V203" s="3" t="s">
        <v>303</v>
      </c>
      <c r="W203" s="3">
        <v>0</v>
      </c>
      <c r="X203" s="25" t="s">
        <v>325</v>
      </c>
      <c r="Z203" s="3" t="s">
        <v>251</v>
      </c>
      <c r="AA203" s="3" t="s">
        <v>303</v>
      </c>
      <c r="AB203" s="3">
        <v>0</v>
      </c>
      <c r="AC203" s="25" t="s">
        <v>325</v>
      </c>
      <c r="AE203" s="3" t="s">
        <v>253</v>
      </c>
      <c r="AF203" s="3" t="s">
        <v>303</v>
      </c>
      <c r="AG203" s="3">
        <v>0</v>
      </c>
      <c r="AH203" s="25" t="s">
        <v>325</v>
      </c>
      <c r="AJ203" s="3" t="s">
        <v>255</v>
      </c>
      <c r="AK203" s="3" t="s">
        <v>303</v>
      </c>
      <c r="AL203" s="3">
        <v>0</v>
      </c>
      <c r="AM203" s="25" t="s">
        <v>325</v>
      </c>
      <c r="AO203" s="3" t="s">
        <v>247</v>
      </c>
      <c r="AP203" s="3" t="s">
        <v>303</v>
      </c>
      <c r="AQ203" s="3">
        <v>0</v>
      </c>
      <c r="AR203" s="25" t="s">
        <v>325</v>
      </c>
      <c r="AT203" s="3" t="s">
        <v>245</v>
      </c>
      <c r="AU203" s="3" t="s">
        <v>303</v>
      </c>
      <c r="AV203" s="3">
        <v>0</v>
      </c>
      <c r="AW203" s="25" t="s">
        <v>325</v>
      </c>
      <c r="AY203" s="3" t="s">
        <v>243</v>
      </c>
      <c r="AZ203" s="3" t="s">
        <v>303</v>
      </c>
      <c r="BA203" s="3">
        <v>0</v>
      </c>
      <c r="BB203" s="25" t="s">
        <v>325</v>
      </c>
    </row>
    <row r="210" spans="21:54">
      <c r="V210" s="3" t="s">
        <v>299</v>
      </c>
      <c r="AA210" s="3" t="s">
        <v>299</v>
      </c>
      <c r="AF210" s="3" t="s">
        <v>299</v>
      </c>
      <c r="AK210" s="3" t="s">
        <v>299</v>
      </c>
      <c r="AP210" s="3" t="s">
        <v>299</v>
      </c>
      <c r="AU210" s="3" t="s">
        <v>299</v>
      </c>
      <c r="AZ210" s="3" t="s">
        <v>299</v>
      </c>
    </row>
    <row r="211" ht="15.5" spans="21:54">
      <c r="U211" s="3" t="s">
        <v>65</v>
      </c>
      <c r="V211" s="3" t="s">
        <v>118</v>
      </c>
      <c r="W211" s="3" t="s">
        <v>11</v>
      </c>
      <c r="X211" s="25" t="s">
        <v>41</v>
      </c>
      <c r="Z211" s="3" t="s">
        <v>65</v>
      </c>
      <c r="AA211" s="3" t="s">
        <v>118</v>
      </c>
      <c r="AB211" s="3" t="s">
        <v>11</v>
      </c>
      <c r="AC211" s="25" t="s">
        <v>41</v>
      </c>
      <c r="AE211" s="3" t="s">
        <v>65</v>
      </c>
      <c r="AF211" s="3" t="s">
        <v>118</v>
      </c>
      <c r="AG211" s="3" t="s">
        <v>11</v>
      </c>
      <c r="AH211" s="25" t="s">
        <v>41</v>
      </c>
      <c r="AJ211" s="3" t="s">
        <v>65</v>
      </c>
      <c r="AK211" s="3" t="s">
        <v>118</v>
      </c>
      <c r="AL211" s="3" t="s">
        <v>11</v>
      </c>
      <c r="AM211" s="25" t="s">
        <v>41</v>
      </c>
      <c r="AO211" s="3" t="s">
        <v>65</v>
      </c>
      <c r="AP211" s="3" t="s">
        <v>118</v>
      </c>
      <c r="AQ211" s="3" t="s">
        <v>11</v>
      </c>
      <c r="AR211" s="25" t="s">
        <v>41</v>
      </c>
      <c r="AT211" s="3" t="s">
        <v>65</v>
      </c>
      <c r="AU211" s="3" t="s">
        <v>118</v>
      </c>
      <c r="AV211" s="3" t="s">
        <v>11</v>
      </c>
      <c r="AW211" s="25" t="s">
        <v>41</v>
      </c>
      <c r="AY211" s="3" t="s">
        <v>65</v>
      </c>
      <c r="AZ211" s="3" t="s">
        <v>118</v>
      </c>
      <c r="BA211" s="3" t="s">
        <v>11</v>
      </c>
      <c r="BB211" s="25" t="s">
        <v>41</v>
      </c>
    </row>
    <row r="212" ht="15.5" spans="21:54">
      <c r="U212" s="3" t="s">
        <v>262</v>
      </c>
      <c r="V212" s="3" t="s">
        <v>300</v>
      </c>
      <c r="W212" s="3">
        <f>SUM(W174:W177)</f>
        <v>0.152669698500926</v>
      </c>
      <c r="X212" s="25" t="s">
        <v>325</v>
      </c>
      <c r="Z212" s="3" t="s">
        <v>264</v>
      </c>
      <c r="AA212" s="3" t="s">
        <v>300</v>
      </c>
      <c r="AB212" s="3">
        <f>SUM(AB174:AB177)</f>
        <v>0.147904191616766</v>
      </c>
      <c r="AC212" s="25" t="s">
        <v>325</v>
      </c>
      <c r="AE212" s="3" t="s">
        <v>266</v>
      </c>
      <c r="AF212" s="3" t="s">
        <v>300</v>
      </c>
      <c r="AG212" s="3">
        <f>SUM(AG174:AG177)</f>
        <v>0.153291479820628</v>
      </c>
      <c r="AH212" s="25" t="s">
        <v>325</v>
      </c>
      <c r="AJ212" s="3" t="s">
        <v>268</v>
      </c>
      <c r="AK212" s="3" t="s">
        <v>300</v>
      </c>
      <c r="AL212" s="3">
        <f>SUM(AL174:AL177)</f>
        <v>0.156406368460955</v>
      </c>
      <c r="AM212" s="25" t="s">
        <v>325</v>
      </c>
      <c r="AO212" s="3" t="s">
        <v>260</v>
      </c>
      <c r="AP212" s="3" t="s">
        <v>300</v>
      </c>
      <c r="AQ212" s="3">
        <f>SUM(AQ174:AQ177)</f>
        <v>0.161625955621853</v>
      </c>
      <c r="AR212" s="25" t="s">
        <v>325</v>
      </c>
      <c r="AT212" s="3" t="s">
        <v>259</v>
      </c>
      <c r="AU212" s="3" t="s">
        <v>300</v>
      </c>
      <c r="AV212" s="3">
        <f>SUM(AV174:AV177)</f>
        <v>0.128607975921746</v>
      </c>
      <c r="AW212" s="25" t="s">
        <v>325</v>
      </c>
      <c r="AY212" s="3" t="s">
        <v>257</v>
      </c>
      <c r="AZ212" s="3" t="s">
        <v>300</v>
      </c>
      <c r="BA212" s="3">
        <f>SUM(BA174:BA177)</f>
        <v>0.151149628581535</v>
      </c>
      <c r="BB212" s="25" t="s">
        <v>325</v>
      </c>
    </row>
    <row r="213" ht="15.5" spans="21:54">
      <c r="U213" s="3" t="s">
        <v>262</v>
      </c>
      <c r="V213" s="3" t="s">
        <v>301</v>
      </c>
      <c r="W213" s="3">
        <v>0</v>
      </c>
      <c r="X213" s="25" t="s">
        <v>325</v>
      </c>
      <c r="Z213" s="3" t="s">
        <v>264</v>
      </c>
      <c r="AA213" s="3" t="s">
        <v>301</v>
      </c>
      <c r="AB213" s="3">
        <v>0</v>
      </c>
      <c r="AC213" s="25" t="s">
        <v>325</v>
      </c>
      <c r="AE213" s="3" t="s">
        <v>266</v>
      </c>
      <c r="AF213" s="3" t="s">
        <v>301</v>
      </c>
      <c r="AG213" s="3">
        <v>0</v>
      </c>
      <c r="AH213" s="25" t="s">
        <v>325</v>
      </c>
      <c r="AJ213" s="3" t="s">
        <v>268</v>
      </c>
      <c r="AK213" s="3" t="s">
        <v>301</v>
      </c>
      <c r="AL213" s="3">
        <v>0</v>
      </c>
      <c r="AM213" s="25" t="s">
        <v>325</v>
      </c>
      <c r="AO213" s="3" t="s">
        <v>260</v>
      </c>
      <c r="AP213" s="3" t="s">
        <v>301</v>
      </c>
      <c r="AQ213" s="3">
        <v>0</v>
      </c>
      <c r="AR213" s="25" t="s">
        <v>325</v>
      </c>
      <c r="AT213" s="3" t="s">
        <v>259</v>
      </c>
      <c r="AU213" s="3" t="s">
        <v>301</v>
      </c>
      <c r="AV213" s="3">
        <v>0</v>
      </c>
      <c r="AW213" s="25" t="s">
        <v>325</v>
      </c>
      <c r="AY213" s="3" t="s">
        <v>257</v>
      </c>
      <c r="AZ213" s="3" t="s">
        <v>301</v>
      </c>
      <c r="BA213" s="3">
        <v>0</v>
      </c>
      <c r="BB213" s="25" t="s">
        <v>325</v>
      </c>
    </row>
    <row r="214" ht="15.5" spans="21:54">
      <c r="U214" s="3" t="s">
        <v>262</v>
      </c>
      <c r="V214" s="3" t="s">
        <v>302</v>
      </c>
      <c r="W214" s="3">
        <v>0</v>
      </c>
      <c r="X214" s="25" t="s">
        <v>325</v>
      </c>
      <c r="Z214" s="3" t="s">
        <v>264</v>
      </c>
      <c r="AA214" s="3" t="s">
        <v>302</v>
      </c>
      <c r="AB214" s="3">
        <v>0</v>
      </c>
      <c r="AC214" s="25" t="s">
        <v>325</v>
      </c>
      <c r="AE214" s="3" t="s">
        <v>266</v>
      </c>
      <c r="AF214" s="3" t="s">
        <v>302</v>
      </c>
      <c r="AG214" s="3">
        <v>0</v>
      </c>
      <c r="AH214" s="25" t="s">
        <v>325</v>
      </c>
      <c r="AJ214" s="3" t="s">
        <v>268</v>
      </c>
      <c r="AK214" s="3" t="s">
        <v>302</v>
      </c>
      <c r="AL214" s="3">
        <v>0</v>
      </c>
      <c r="AM214" s="25" t="s">
        <v>325</v>
      </c>
      <c r="AO214" s="3" t="s">
        <v>260</v>
      </c>
      <c r="AP214" s="3" t="s">
        <v>302</v>
      </c>
      <c r="AQ214" s="3">
        <v>0</v>
      </c>
      <c r="AR214" s="25" t="s">
        <v>325</v>
      </c>
      <c r="AT214" s="3" t="s">
        <v>259</v>
      </c>
      <c r="AU214" s="3" t="s">
        <v>302</v>
      </c>
      <c r="AV214" s="3">
        <v>0</v>
      </c>
      <c r="AW214" s="25" t="s">
        <v>325</v>
      </c>
      <c r="AY214" s="3" t="s">
        <v>257</v>
      </c>
      <c r="AZ214" s="3" t="s">
        <v>302</v>
      </c>
      <c r="BA214" s="3">
        <v>0</v>
      </c>
      <c r="BB214" s="25" t="s">
        <v>325</v>
      </c>
    </row>
    <row r="215" ht="15.5" spans="21:54">
      <c r="U215" s="3" t="s">
        <v>262</v>
      </c>
      <c r="V215" s="3" t="s">
        <v>303</v>
      </c>
      <c r="W215" s="3">
        <v>0</v>
      </c>
      <c r="X215" s="25" t="s">
        <v>325</v>
      </c>
      <c r="Z215" s="3" t="s">
        <v>264</v>
      </c>
      <c r="AA215" s="3" t="s">
        <v>303</v>
      </c>
      <c r="AB215" s="3">
        <v>0</v>
      </c>
      <c r="AC215" s="25" t="s">
        <v>325</v>
      </c>
      <c r="AE215" s="3" t="s">
        <v>266</v>
      </c>
      <c r="AF215" s="3" t="s">
        <v>303</v>
      </c>
      <c r="AG215" s="3">
        <v>0</v>
      </c>
      <c r="AH215" s="25" t="s">
        <v>325</v>
      </c>
      <c r="AJ215" s="3" t="s">
        <v>268</v>
      </c>
      <c r="AK215" s="3" t="s">
        <v>303</v>
      </c>
      <c r="AL215" s="3">
        <v>0</v>
      </c>
      <c r="AM215" s="25" t="s">
        <v>325</v>
      </c>
      <c r="AO215" s="3" t="s">
        <v>260</v>
      </c>
      <c r="AP215" s="3" t="s">
        <v>303</v>
      </c>
      <c r="AQ215" s="3">
        <v>0</v>
      </c>
      <c r="AR215" s="25" t="s">
        <v>325</v>
      </c>
      <c r="AT215" s="3" t="s">
        <v>259</v>
      </c>
      <c r="AU215" s="3" t="s">
        <v>303</v>
      </c>
      <c r="AV215" s="3">
        <v>0</v>
      </c>
      <c r="AW215" s="25" t="s">
        <v>325</v>
      </c>
      <c r="AY215" s="3" t="s">
        <v>257</v>
      </c>
      <c r="AZ215" s="3" t="s">
        <v>303</v>
      </c>
      <c r="BA215" s="3">
        <v>0</v>
      </c>
      <c r="BB215" s="25" t="s">
        <v>325</v>
      </c>
    </row>
    <row r="221" spans="21:54">
      <c r="V221" s="3" t="s">
        <v>299</v>
      </c>
      <c r="AA221" s="3" t="s">
        <v>299</v>
      </c>
      <c r="AF221" s="3" t="s">
        <v>299</v>
      </c>
      <c r="AK221" s="3" t="s">
        <v>299</v>
      </c>
      <c r="AP221" s="3" t="s">
        <v>299</v>
      </c>
      <c r="AU221" s="3" t="s">
        <v>299</v>
      </c>
      <c r="AZ221" s="3" t="s">
        <v>299</v>
      </c>
    </row>
    <row r="222" ht="15.5" spans="21:54">
      <c r="U222" s="3" t="s">
        <v>65</v>
      </c>
      <c r="V222" s="3" t="s">
        <v>118</v>
      </c>
      <c r="W222" s="3" t="s">
        <v>11</v>
      </c>
      <c r="X222" s="25" t="s">
        <v>41</v>
      </c>
      <c r="Z222" s="3" t="s">
        <v>65</v>
      </c>
      <c r="AA222" s="3" t="s">
        <v>118</v>
      </c>
      <c r="AB222" s="3" t="s">
        <v>11</v>
      </c>
      <c r="AC222" s="25" t="s">
        <v>41</v>
      </c>
      <c r="AE222" s="3" t="s">
        <v>65</v>
      </c>
      <c r="AF222" s="3" t="s">
        <v>118</v>
      </c>
      <c r="AG222" s="3" t="s">
        <v>11</v>
      </c>
      <c r="AH222" s="25" t="s">
        <v>41</v>
      </c>
      <c r="AJ222" s="3" t="s">
        <v>65</v>
      </c>
      <c r="AK222" s="3" t="s">
        <v>118</v>
      </c>
      <c r="AL222" s="3" t="s">
        <v>11</v>
      </c>
      <c r="AM222" s="25" t="s">
        <v>41</v>
      </c>
      <c r="AO222" s="3" t="s">
        <v>65</v>
      </c>
      <c r="AP222" s="3" t="s">
        <v>118</v>
      </c>
      <c r="AQ222" s="3" t="s">
        <v>11</v>
      </c>
      <c r="AR222" s="25" t="s">
        <v>41</v>
      </c>
      <c r="AT222" s="3" t="s">
        <v>65</v>
      </c>
      <c r="AU222" s="3" t="s">
        <v>118</v>
      </c>
      <c r="AV222" s="3" t="s">
        <v>11</v>
      </c>
      <c r="AW222" s="25" t="s">
        <v>41</v>
      </c>
      <c r="AY222" s="3" t="s">
        <v>65</v>
      </c>
      <c r="AZ222" s="3" t="s">
        <v>118</v>
      </c>
      <c r="BA222" s="3" t="s">
        <v>11</v>
      </c>
      <c r="BB222" s="25" t="s">
        <v>41</v>
      </c>
    </row>
    <row r="223" ht="15.5" spans="21:54">
      <c r="U223" s="3" t="s">
        <v>275</v>
      </c>
      <c r="V223" s="3" t="s">
        <v>300</v>
      </c>
      <c r="W223" s="3">
        <f>SUM(W185:W188)</f>
        <v>0.108842849924204</v>
      </c>
      <c r="X223" s="25" t="s">
        <v>325</v>
      </c>
      <c r="Z223" s="3" t="s">
        <v>277</v>
      </c>
      <c r="AA223" s="3" t="s">
        <v>300</v>
      </c>
      <c r="AB223" s="3">
        <f>SUM(AB185:AB188)</f>
        <v>0.107014542343884</v>
      </c>
      <c r="AC223" s="25" t="s">
        <v>325</v>
      </c>
      <c r="AE223" s="3" t="s">
        <v>279</v>
      </c>
      <c r="AF223" s="3" t="s">
        <v>300</v>
      </c>
      <c r="AG223" s="3">
        <f>SUM(AG185:AG188)</f>
        <v>0.111354260089686</v>
      </c>
      <c r="AH223" s="25" t="s">
        <v>325</v>
      </c>
      <c r="AJ223" s="3" t="s">
        <v>280</v>
      </c>
      <c r="AK223" s="3" t="s">
        <v>300</v>
      </c>
      <c r="AL223" s="3">
        <f>SUM(AL185:AL188)</f>
        <v>0.112793783169067</v>
      </c>
      <c r="AM223" s="25" t="s">
        <v>325</v>
      </c>
      <c r="AO223" s="3" t="s">
        <v>274</v>
      </c>
      <c r="AP223" s="3" t="s">
        <v>300</v>
      </c>
      <c r="AQ223" s="3">
        <f>SUM(AQ185:AQ188)</f>
        <v>0.113313443967928</v>
      </c>
      <c r="AR223" s="25" t="s">
        <v>325</v>
      </c>
      <c r="AT223" s="3" t="s">
        <v>272</v>
      </c>
      <c r="AU223" s="3" t="s">
        <v>300</v>
      </c>
      <c r="AV223" s="3">
        <f>SUM(AV185:AV188)</f>
        <v>0.093423626787058</v>
      </c>
      <c r="AW223" s="25" t="s">
        <v>325</v>
      </c>
      <c r="AY223" s="3" t="s">
        <v>270</v>
      </c>
      <c r="AZ223" s="3" t="s">
        <v>300</v>
      </c>
      <c r="BA223" s="3">
        <f>SUM(BA185:BA188)</f>
        <v>0.109798372833392</v>
      </c>
      <c r="BB223" s="25" t="s">
        <v>325</v>
      </c>
    </row>
    <row r="224" ht="15.5" spans="21:54">
      <c r="U224" s="3" t="s">
        <v>275</v>
      </c>
      <c r="V224" s="3" t="s">
        <v>301</v>
      </c>
      <c r="W224" s="3">
        <v>0</v>
      </c>
      <c r="X224" s="25" t="s">
        <v>325</v>
      </c>
      <c r="Z224" s="3" t="s">
        <v>277</v>
      </c>
      <c r="AA224" s="3" t="s">
        <v>301</v>
      </c>
      <c r="AB224" s="3">
        <v>0</v>
      </c>
      <c r="AC224" s="25" t="s">
        <v>325</v>
      </c>
      <c r="AE224" s="3" t="s">
        <v>279</v>
      </c>
      <c r="AF224" s="3" t="s">
        <v>301</v>
      </c>
      <c r="AG224" s="3">
        <v>0</v>
      </c>
      <c r="AH224" s="25" t="s">
        <v>325</v>
      </c>
      <c r="AJ224" s="3" t="s">
        <v>280</v>
      </c>
      <c r="AK224" s="3" t="s">
        <v>301</v>
      </c>
      <c r="AL224" s="3">
        <v>0</v>
      </c>
      <c r="AM224" s="25" t="s">
        <v>325</v>
      </c>
      <c r="AO224" s="3" t="s">
        <v>274</v>
      </c>
      <c r="AP224" s="3" t="s">
        <v>301</v>
      </c>
      <c r="AQ224" s="3">
        <v>0</v>
      </c>
      <c r="AR224" s="25" t="s">
        <v>325</v>
      </c>
      <c r="AT224" s="3" t="s">
        <v>272</v>
      </c>
      <c r="AU224" s="3" t="s">
        <v>301</v>
      </c>
      <c r="AV224" s="3">
        <v>0</v>
      </c>
      <c r="AW224" s="25" t="s">
        <v>325</v>
      </c>
      <c r="AY224" s="3" t="s">
        <v>270</v>
      </c>
      <c r="AZ224" s="3" t="s">
        <v>301</v>
      </c>
      <c r="BA224" s="3">
        <v>0</v>
      </c>
      <c r="BB224" s="25" t="s">
        <v>325</v>
      </c>
    </row>
    <row r="225" ht="15.5" spans="21:54">
      <c r="U225" s="3" t="s">
        <v>275</v>
      </c>
      <c r="V225" s="3" t="s">
        <v>302</v>
      </c>
      <c r="W225" s="3">
        <v>0</v>
      </c>
      <c r="X225" s="25" t="s">
        <v>325</v>
      </c>
      <c r="Z225" s="3" t="s">
        <v>277</v>
      </c>
      <c r="AA225" s="3" t="s">
        <v>302</v>
      </c>
      <c r="AB225" s="3">
        <v>0</v>
      </c>
      <c r="AC225" s="25" t="s">
        <v>325</v>
      </c>
      <c r="AE225" s="3" t="s">
        <v>279</v>
      </c>
      <c r="AF225" s="3" t="s">
        <v>302</v>
      </c>
      <c r="AG225" s="3">
        <v>0</v>
      </c>
      <c r="AH225" s="25" t="s">
        <v>325</v>
      </c>
      <c r="AJ225" s="3" t="s">
        <v>280</v>
      </c>
      <c r="AK225" s="3" t="s">
        <v>302</v>
      </c>
      <c r="AL225" s="3">
        <v>0</v>
      </c>
      <c r="AM225" s="25" t="s">
        <v>325</v>
      </c>
      <c r="AO225" s="3" t="s">
        <v>274</v>
      </c>
      <c r="AP225" s="3" t="s">
        <v>302</v>
      </c>
      <c r="AQ225" s="3">
        <v>0</v>
      </c>
      <c r="AR225" s="25" t="s">
        <v>325</v>
      </c>
      <c r="AT225" s="3" t="s">
        <v>272</v>
      </c>
      <c r="AU225" s="3" t="s">
        <v>302</v>
      </c>
      <c r="AV225" s="3">
        <v>0</v>
      </c>
      <c r="AW225" s="25" t="s">
        <v>325</v>
      </c>
      <c r="AY225" s="3" t="s">
        <v>270</v>
      </c>
      <c r="AZ225" s="3" t="s">
        <v>302</v>
      </c>
      <c r="BA225" s="3">
        <v>0</v>
      </c>
      <c r="BB225" s="25" t="s">
        <v>325</v>
      </c>
    </row>
    <row r="226" ht="15.5" spans="21:54">
      <c r="U226" s="3" t="s">
        <v>275</v>
      </c>
      <c r="V226" s="3" t="s">
        <v>303</v>
      </c>
      <c r="W226" s="3">
        <v>0</v>
      </c>
      <c r="X226" s="25" t="s">
        <v>325</v>
      </c>
      <c r="Z226" s="3" t="s">
        <v>277</v>
      </c>
      <c r="AA226" s="3" t="s">
        <v>303</v>
      </c>
      <c r="AB226" s="3">
        <v>0</v>
      </c>
      <c r="AC226" s="25" t="s">
        <v>325</v>
      </c>
      <c r="AE226" s="3" t="s">
        <v>279</v>
      </c>
      <c r="AF226" s="3" t="s">
        <v>303</v>
      </c>
      <c r="AG226" s="3">
        <v>0</v>
      </c>
      <c r="AH226" s="25" t="s">
        <v>325</v>
      </c>
      <c r="AJ226" s="3" t="s">
        <v>280</v>
      </c>
      <c r="AK226" s="3" t="s">
        <v>303</v>
      </c>
      <c r="AL226" s="3">
        <v>0</v>
      </c>
      <c r="AM226" s="25" t="s">
        <v>325</v>
      </c>
      <c r="AO226" s="3" t="s">
        <v>274</v>
      </c>
      <c r="AP226" s="3" t="s">
        <v>303</v>
      </c>
      <c r="AQ226" s="3">
        <v>0</v>
      </c>
      <c r="AR226" s="25" t="s">
        <v>325</v>
      </c>
      <c r="AT226" s="3" t="s">
        <v>272</v>
      </c>
      <c r="AU226" s="3" t="s">
        <v>303</v>
      </c>
      <c r="AV226" s="3">
        <v>0</v>
      </c>
      <c r="AW226" s="25" t="s">
        <v>325</v>
      </c>
      <c r="AY226" s="3" t="s">
        <v>270</v>
      </c>
      <c r="AZ226" s="3" t="s">
        <v>303</v>
      </c>
      <c r="BA226" s="3">
        <v>0</v>
      </c>
      <c r="BB226" s="25" t="s">
        <v>325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344</v>
      </c>
      <c r="AI1" t="s">
        <v>345</v>
      </c>
      <c r="BL1" t="s">
        <v>346</v>
      </c>
    </row>
    <row r="2" spans="1:89">
      <c r="A2" t="s">
        <v>1</v>
      </c>
      <c r="B2" t="s">
        <v>142</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347</v>
      </c>
      <c r="BK2" t="s">
        <v>347</v>
      </c>
    </row>
    <row r="3" spans="1:89">
      <c r="A3" t="s">
        <v>3</v>
      </c>
      <c r="B3" t="s">
        <v>348</v>
      </c>
      <c r="C3" t="s">
        <v>348</v>
      </c>
      <c r="E3" s="2">
        <v>29.5822608017472</v>
      </c>
      <c r="F3" s="2">
        <f>E3</f>
        <v>29.5822608017472</v>
      </c>
      <c r="I3" s="2">
        <f>F3</f>
        <v>29.5822608017472</v>
      </c>
      <c r="J3" s="2">
        <f>I3</f>
        <v>29.5822608017472</v>
      </c>
      <c r="L3" s="2">
        <f>J3</f>
        <v>29.5822608017472</v>
      </c>
      <c r="V3" s="2">
        <f>L3</f>
        <v>29.5822608017472</v>
      </c>
      <c r="W3">
        <v>5</v>
      </c>
      <c r="AG3" s="130" t="s">
        <v>349</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350</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351</v>
      </c>
      <c r="C4" t="s">
        <v>351</v>
      </c>
      <c r="E4" s="2">
        <v>101.446710074843</v>
      </c>
      <c r="F4" s="2">
        <f>E4</f>
        <v>101.446710074843</v>
      </c>
      <c r="I4" s="2">
        <f>F4</f>
        <v>101.446710074843</v>
      </c>
      <c r="J4" s="2">
        <f>I4</f>
        <v>101.446710074843</v>
      </c>
      <c r="L4" s="2">
        <f>J4</f>
        <v>101.446710074843</v>
      </c>
      <c r="V4" s="2">
        <f>L4</f>
        <v>101.446710074843</v>
      </c>
      <c r="W4">
        <v>5</v>
      </c>
      <c r="AG4" s="130" t="s">
        <v>349</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350</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352</v>
      </c>
      <c r="C5" t="s">
        <v>352</v>
      </c>
      <c r="E5" s="2">
        <v>7.339410306728</v>
      </c>
      <c r="I5" s="2">
        <v>13.841847071751</v>
      </c>
      <c r="J5" s="2">
        <v>17.0217286798939</v>
      </c>
      <c r="L5" s="2">
        <v>25.0152093842934</v>
      </c>
      <c r="V5" s="2">
        <v>87.2541501773716</v>
      </c>
      <c r="W5">
        <v>5</v>
      </c>
      <c r="AG5" s="130" t="s">
        <v>349</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350</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353</v>
      </c>
      <c r="C6" t="s">
        <v>353</v>
      </c>
      <c r="E6" s="2">
        <v>7.64151346723974</v>
      </c>
      <c r="I6" s="2">
        <v>9.2993927266152</v>
      </c>
      <c r="J6" s="2">
        <v>9.79653150802128</v>
      </c>
      <c r="L6" s="2">
        <v>10.6662053125579</v>
      </c>
      <c r="V6" s="2">
        <v>11.9574774350737</v>
      </c>
      <c r="W6">
        <v>5</v>
      </c>
      <c r="AG6" s="130" t="s">
        <v>354</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350</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355</v>
      </c>
      <c r="C7" t="s">
        <v>355</v>
      </c>
      <c r="E7" s="2">
        <v>12.3151564281066</v>
      </c>
      <c r="F7" s="2">
        <f>E7</f>
        <v>12.3151564281066</v>
      </c>
      <c r="I7" s="2">
        <f>F7</f>
        <v>12.3151564281066</v>
      </c>
      <c r="J7" s="2">
        <f>I7</f>
        <v>12.3151564281066</v>
      </c>
      <c r="L7" s="2">
        <f>J7</f>
        <v>12.3151564281066</v>
      </c>
      <c r="V7" s="2">
        <f>L7</f>
        <v>12.3151564281066</v>
      </c>
      <c r="W7">
        <v>5</v>
      </c>
      <c r="AG7" s="130" t="s">
        <v>349</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350</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356</v>
      </c>
      <c r="C8" t="s">
        <v>356</v>
      </c>
      <c r="E8" s="2">
        <v>36.6868983480112</v>
      </c>
      <c r="F8" s="2">
        <f>E8</f>
        <v>36.6868983480112</v>
      </c>
      <c r="I8" s="2">
        <f>F8</f>
        <v>36.6868983480112</v>
      </c>
      <c r="J8" s="2">
        <f>I8</f>
        <v>36.6868983480112</v>
      </c>
      <c r="L8" s="2">
        <f>J8</f>
        <v>36.6868983480112</v>
      </c>
      <c r="V8" s="2">
        <f>L8</f>
        <v>36.6868983480112</v>
      </c>
      <c r="W8">
        <v>5</v>
      </c>
      <c r="AG8" s="130" t="s">
        <v>349</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350</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357</v>
      </c>
      <c r="C9" t="s">
        <v>357</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354</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350</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358</v>
      </c>
      <c r="C10" t="s">
        <v>358</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354</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350</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359</v>
      </c>
      <c r="C11" t="s">
        <v>359</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354</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350</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360</v>
      </c>
      <c r="C12" t="s">
        <v>360</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361</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350</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362</v>
      </c>
      <c r="C13" t="s">
        <v>362</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349</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350</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363</v>
      </c>
      <c r="C14" t="s">
        <v>363</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349</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350</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348</v>
      </c>
      <c r="C15" t="s">
        <v>348</v>
      </c>
      <c r="E15" s="2">
        <v>23.1803432118412</v>
      </c>
      <c r="F15" s="2">
        <f>E15</f>
        <v>23.1803432118412</v>
      </c>
      <c r="I15" s="2">
        <f>F15</f>
        <v>23.1803432118412</v>
      </c>
      <c r="J15" s="2">
        <f>I15</f>
        <v>23.1803432118412</v>
      </c>
      <c r="L15" s="2">
        <f>J15</f>
        <v>23.1803432118412</v>
      </c>
      <c r="V15" s="2">
        <f>L15</f>
        <v>23.1803432118412</v>
      </c>
      <c r="W15">
        <v>5</v>
      </c>
      <c r="AG15" s="130" t="s">
        <v>349</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350</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351</v>
      </c>
      <c r="C16" t="s">
        <v>351</v>
      </c>
      <c r="E16" s="2">
        <v>196.398393249324</v>
      </c>
      <c r="F16" s="2">
        <f>E16</f>
        <v>196.398393249324</v>
      </c>
      <c r="I16" s="2">
        <f>F16</f>
        <v>196.398393249324</v>
      </c>
      <c r="J16" s="2">
        <f>I16</f>
        <v>196.398393249324</v>
      </c>
      <c r="L16" s="2">
        <f>J16</f>
        <v>196.398393249324</v>
      </c>
      <c r="V16" s="2">
        <f>L16</f>
        <v>196.398393249324</v>
      </c>
      <c r="W16">
        <v>5</v>
      </c>
      <c r="AG16" s="130" t="s">
        <v>349</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350</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352</v>
      </c>
      <c r="C17" t="s">
        <v>352</v>
      </c>
      <c r="E17" s="2">
        <v>10.9711987039902</v>
      </c>
      <c r="I17" s="2">
        <v>21.9803324306003</v>
      </c>
      <c r="J17" s="2">
        <v>27.9653136634823</v>
      </c>
      <c r="L17" s="2">
        <v>44.1146915834348</v>
      </c>
      <c r="V17" s="2">
        <v>243.633869506012</v>
      </c>
      <c r="W17">
        <v>5</v>
      </c>
      <c r="AG17" s="130" t="s">
        <v>349</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350</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353</v>
      </c>
      <c r="C18" t="s">
        <v>353</v>
      </c>
      <c r="E18" s="2">
        <v>4.81437254044958</v>
      </c>
      <c r="I18" s="2">
        <v>6.86787428674687</v>
      </c>
      <c r="J18" s="2">
        <v>7.58517428493052</v>
      </c>
      <c r="L18" s="2">
        <v>8.98931157796759</v>
      </c>
      <c r="V18" s="2">
        <v>13.0281374717101</v>
      </c>
      <c r="W18">
        <v>5</v>
      </c>
      <c r="AG18" s="130" t="s">
        <v>354</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350</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355</v>
      </c>
      <c r="C19" t="s">
        <v>355</v>
      </c>
      <c r="E19" s="2">
        <v>24.0823261432321</v>
      </c>
      <c r="F19" s="2">
        <f>E19</f>
        <v>24.0823261432321</v>
      </c>
      <c r="I19" s="2">
        <f>F19</f>
        <v>24.0823261432321</v>
      </c>
      <c r="J19" s="2">
        <f>I19</f>
        <v>24.0823261432321</v>
      </c>
      <c r="L19" s="2">
        <f>J19</f>
        <v>24.0823261432321</v>
      </c>
      <c r="V19" s="2">
        <f>L19</f>
        <v>24.0823261432321</v>
      </c>
      <c r="W19">
        <v>5</v>
      </c>
      <c r="AG19" s="130" t="s">
        <v>349</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350</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356</v>
      </c>
      <c r="C20" t="s">
        <v>356</v>
      </c>
      <c r="E20" s="2">
        <v>90.4088922329234</v>
      </c>
      <c r="F20" s="2">
        <f>E20</f>
        <v>90.4088922329234</v>
      </c>
      <c r="I20" s="2">
        <f>F20</f>
        <v>90.4088922329234</v>
      </c>
      <c r="J20" s="2">
        <f>I20</f>
        <v>90.4088922329234</v>
      </c>
      <c r="L20" s="2">
        <f>J20</f>
        <v>90.4088922329234</v>
      </c>
      <c r="V20" s="2">
        <f>L20</f>
        <v>90.4088922329234</v>
      </c>
      <c r="W20">
        <v>5</v>
      </c>
      <c r="AG20" s="130" t="s">
        <v>349</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350</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357</v>
      </c>
      <c r="C21" t="s">
        <v>357</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354</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350</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358</v>
      </c>
      <c r="C22" t="s">
        <v>358</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354</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350</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359</v>
      </c>
      <c r="C23" t="s">
        <v>359</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354</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350</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360</v>
      </c>
      <c r="C24" t="s">
        <v>360</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361</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350</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362</v>
      </c>
      <c r="C25" t="s">
        <v>362</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349</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350</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363</v>
      </c>
      <c r="C26" t="s">
        <v>363</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349</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350</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348</v>
      </c>
      <c r="C27" t="s">
        <v>348</v>
      </c>
      <c r="E27" s="2">
        <v>125.236568967332</v>
      </c>
      <c r="F27" s="2">
        <f>E27</f>
        <v>125.236568967332</v>
      </c>
      <c r="I27" s="2">
        <f>F27</f>
        <v>125.236568967332</v>
      </c>
      <c r="J27" s="2">
        <f>I27</f>
        <v>125.236568967332</v>
      </c>
      <c r="L27" s="2">
        <f>J27</f>
        <v>125.236568967332</v>
      </c>
      <c r="V27" s="2">
        <f>L27</f>
        <v>125.236568967332</v>
      </c>
      <c r="W27">
        <v>5</v>
      </c>
      <c r="AG27" s="130" t="s">
        <v>349</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364</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351</v>
      </c>
      <c r="C28" t="s">
        <v>351</v>
      </c>
      <c r="E28" s="2">
        <v>213.949612782254</v>
      </c>
      <c r="F28" s="2">
        <f>E28</f>
        <v>213.949612782254</v>
      </c>
      <c r="I28" s="2">
        <f>F28</f>
        <v>213.949612782254</v>
      </c>
      <c r="J28" s="2">
        <f>I28</f>
        <v>213.949612782254</v>
      </c>
      <c r="L28" s="2">
        <f>J28</f>
        <v>213.949612782254</v>
      </c>
      <c r="V28" s="2">
        <f>L28</f>
        <v>213.949612782254</v>
      </c>
      <c r="W28">
        <v>5</v>
      </c>
      <c r="AG28" s="130" t="s">
        <v>349</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364</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352</v>
      </c>
      <c r="C29" t="s">
        <v>352</v>
      </c>
      <c r="E29" s="2">
        <v>37.3435930436258</v>
      </c>
      <c r="I29" s="2">
        <v>50.867806738396</v>
      </c>
      <c r="J29" s="2">
        <v>55.6372129625937</v>
      </c>
      <c r="L29" s="2">
        <v>65.4610142006929</v>
      </c>
      <c r="V29" s="2">
        <v>104.777296697505</v>
      </c>
      <c r="W29">
        <v>5</v>
      </c>
      <c r="AG29" s="130" t="s">
        <v>349</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364</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353</v>
      </c>
      <c r="C30" t="s">
        <v>353</v>
      </c>
      <c r="E30" s="2">
        <v>22.6322603522854</v>
      </c>
      <c r="I30" s="2">
        <v>24.6222738080731</v>
      </c>
      <c r="J30" s="2">
        <v>25.1847275482685</v>
      </c>
      <c r="L30" s="2">
        <v>26.2652817642942</v>
      </c>
      <c r="V30" s="2">
        <v>28.4622983069202</v>
      </c>
      <c r="W30">
        <v>5</v>
      </c>
      <c r="AG30" s="130" t="s">
        <v>354</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364</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355</v>
      </c>
      <c r="C31" t="s">
        <v>355</v>
      </c>
      <c r="E31" s="2">
        <v>29.5450191028017</v>
      </c>
      <c r="F31" s="2">
        <f>E31</f>
        <v>29.5450191028017</v>
      </c>
      <c r="I31" s="2">
        <f>F31</f>
        <v>29.5450191028017</v>
      </c>
      <c r="J31" s="2">
        <f>I31</f>
        <v>29.5450191028017</v>
      </c>
      <c r="L31" s="2">
        <f>J31</f>
        <v>29.5450191028017</v>
      </c>
      <c r="V31" s="2">
        <f>L31</f>
        <v>29.5450191028017</v>
      </c>
      <c r="W31">
        <v>5</v>
      </c>
      <c r="AG31" s="130" t="s">
        <v>349</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364</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356</v>
      </c>
      <c r="C32" t="s">
        <v>356</v>
      </c>
      <c r="E32" s="2">
        <v>32.4911044377169</v>
      </c>
      <c r="F32" s="2">
        <f>E32</f>
        <v>32.4911044377169</v>
      </c>
      <c r="I32" s="2">
        <f>F32</f>
        <v>32.4911044377169</v>
      </c>
      <c r="J32" s="2">
        <f>I32</f>
        <v>32.4911044377169</v>
      </c>
      <c r="L32" s="2">
        <f>J32</f>
        <v>32.4911044377169</v>
      </c>
      <c r="V32" s="2">
        <f>L32</f>
        <v>32.4911044377169</v>
      </c>
      <c r="W32">
        <v>5</v>
      </c>
      <c r="AG32" s="130" t="s">
        <v>349</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364</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357</v>
      </c>
      <c r="C33" t="s">
        <v>357</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354</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364</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358</v>
      </c>
      <c r="C34" t="s">
        <v>358</v>
      </c>
      <c r="D34">
        <v>0</v>
      </c>
      <c r="E34">
        <v>0</v>
      </c>
      <c r="F34"/>
      <c r="G34">
        <v>0</v>
      </c>
      <c r="H34">
        <v>0</v>
      </c>
      <c r="I34">
        <v>0</v>
      </c>
      <c r="J34">
        <v>0</v>
      </c>
      <c r="K34">
        <v>0</v>
      </c>
      <c r="L34">
        <v>0</v>
      </c>
      <c r="M34">
        <v>0</v>
      </c>
      <c r="N34">
        <v>0</v>
      </c>
      <c r="O34">
        <v>0</v>
      </c>
      <c r="P34">
        <v>0</v>
      </c>
      <c r="Q34">
        <v>0</v>
      </c>
      <c r="R34">
        <v>0</v>
      </c>
      <c r="S34">
        <v>0</v>
      </c>
      <c r="T34">
        <v>0</v>
      </c>
      <c r="U34">
        <v>0</v>
      </c>
      <c r="V34">
        <v>0</v>
      </c>
      <c r="W34">
        <v>5</v>
      </c>
      <c r="AG34" s="130" t="s">
        <v>354</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364</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359</v>
      </c>
      <c r="C35" t="s">
        <v>359</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354</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364</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360</v>
      </c>
      <c r="C36" t="s">
        <v>360</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361</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364</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362</v>
      </c>
      <c r="C37" t="s">
        <v>362</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349</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364</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363</v>
      </c>
      <c r="C38" t="s">
        <v>363</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349</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364</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348</v>
      </c>
      <c r="C39" t="s">
        <v>348</v>
      </c>
      <c r="E39" s="2">
        <v>1.31029971791135</v>
      </c>
      <c r="F39" s="2">
        <f>E39</f>
        <v>1.31029971791135</v>
      </c>
      <c r="I39" s="2">
        <f>F39</f>
        <v>1.31029971791135</v>
      </c>
      <c r="J39" s="2">
        <f>I39</f>
        <v>1.31029971791135</v>
      </c>
      <c r="L39" s="2">
        <f>J39</f>
        <v>1.31029971791135</v>
      </c>
      <c r="V39" s="2">
        <f>L39</f>
        <v>1.31029971791135</v>
      </c>
      <c r="W39">
        <v>5</v>
      </c>
      <c r="AG39" s="130" t="s">
        <v>349</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364</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351</v>
      </c>
      <c r="C40" t="s">
        <v>351</v>
      </c>
      <c r="E40" s="2">
        <v>39.7497370273663</v>
      </c>
      <c r="F40" s="2">
        <f>E40</f>
        <v>39.7497370273663</v>
      </c>
      <c r="I40" s="2">
        <f>F40</f>
        <v>39.7497370273663</v>
      </c>
      <c r="J40" s="2">
        <f>I40</f>
        <v>39.7497370273663</v>
      </c>
      <c r="L40" s="2">
        <f>J40</f>
        <v>39.7497370273663</v>
      </c>
      <c r="V40" s="2">
        <f>L40</f>
        <v>39.7497370273663</v>
      </c>
      <c r="W40">
        <v>5</v>
      </c>
      <c r="AG40" s="130" t="s">
        <v>349</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364</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352</v>
      </c>
      <c r="C41" t="s">
        <v>352</v>
      </c>
      <c r="E41" s="2">
        <v>1.27011069498277</v>
      </c>
      <c r="I41" s="2">
        <v>1.56700840734804</v>
      </c>
      <c r="J41" s="2">
        <v>1.64178868795761</v>
      </c>
      <c r="L41" s="2">
        <v>1.7820875475286</v>
      </c>
      <c r="V41" s="2">
        <v>2.26478361303252</v>
      </c>
      <c r="W41">
        <v>5</v>
      </c>
      <c r="AG41" s="130" t="s">
        <v>349</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364</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353</v>
      </c>
      <c r="C42" t="s">
        <v>353</v>
      </c>
      <c r="E42" s="2">
        <v>7.31143704140328</v>
      </c>
      <c r="I42" s="2">
        <v>7.4712788225843</v>
      </c>
      <c r="J42" s="2">
        <v>7.49446942090852</v>
      </c>
      <c r="L42" s="2">
        <v>7.53994546338287</v>
      </c>
      <c r="V42" s="2">
        <v>7.26035151569322</v>
      </c>
      <c r="W42">
        <v>5</v>
      </c>
      <c r="AG42" s="130" t="s">
        <v>354</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364</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355</v>
      </c>
      <c r="C43" t="s">
        <v>355</v>
      </c>
      <c r="E43" s="2">
        <v>1.13972076127334</v>
      </c>
      <c r="F43" s="2">
        <f>E43</f>
        <v>1.13972076127334</v>
      </c>
      <c r="I43" s="2">
        <f>F43</f>
        <v>1.13972076127334</v>
      </c>
      <c r="J43" s="2">
        <f>I43</f>
        <v>1.13972076127334</v>
      </c>
      <c r="L43" s="2">
        <f>J43</f>
        <v>1.13972076127334</v>
      </c>
      <c r="V43" s="2">
        <f>L43</f>
        <v>1.13972076127334</v>
      </c>
      <c r="W43">
        <v>5</v>
      </c>
      <c r="AG43" s="130" t="s">
        <v>349</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364</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356</v>
      </c>
      <c r="C44" t="s">
        <v>356</v>
      </c>
      <c r="E44" s="2">
        <v>0.614101020779717</v>
      </c>
      <c r="F44" s="2">
        <f>E44</f>
        <v>0.614101020779717</v>
      </c>
      <c r="I44" s="2">
        <f>F44</f>
        <v>0.614101020779717</v>
      </c>
      <c r="J44" s="2">
        <f>I44</f>
        <v>0.614101020779717</v>
      </c>
      <c r="L44" s="2">
        <f>J44</f>
        <v>0.614101020779717</v>
      </c>
      <c r="V44" s="2">
        <f>L44</f>
        <v>0.614101020779717</v>
      </c>
      <c r="W44">
        <v>5</v>
      </c>
      <c r="AG44" s="130" t="s">
        <v>349</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364</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357</v>
      </c>
      <c r="C45" t="s">
        <v>357</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354</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364</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358</v>
      </c>
      <c r="C46" t="s">
        <v>358</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354</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364</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359</v>
      </c>
      <c r="C47" t="s">
        <v>359</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354</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364</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360</v>
      </c>
      <c r="C48" t="s">
        <v>360</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361</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364</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362</v>
      </c>
      <c r="C49" t="s">
        <v>362</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349</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364</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363</v>
      </c>
      <c r="C50" t="s">
        <v>363</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349</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364</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348</v>
      </c>
      <c r="C51" t="s">
        <v>348</v>
      </c>
      <c r="E51" s="2">
        <v>0.0904007668523383</v>
      </c>
      <c r="F51" s="2">
        <f>E51</f>
        <v>0.0904007668523383</v>
      </c>
      <c r="I51" s="2">
        <f>F51</f>
        <v>0.0904007668523383</v>
      </c>
      <c r="J51" s="2">
        <f>I51</f>
        <v>0.0904007668523383</v>
      </c>
      <c r="L51" s="2">
        <f>J51</f>
        <v>0.0904007668523383</v>
      </c>
      <c r="V51" s="2">
        <f>L51</f>
        <v>0.0904007668523383</v>
      </c>
      <c r="W51">
        <v>5</v>
      </c>
      <c r="AG51" s="130" t="s">
        <v>349</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364</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351</v>
      </c>
      <c r="C52" t="s">
        <v>351</v>
      </c>
      <c r="E52" s="2">
        <v>14.8181528799758</v>
      </c>
      <c r="F52" s="2">
        <f>E52</f>
        <v>14.8181528799758</v>
      </c>
      <c r="I52" s="2">
        <f>F52</f>
        <v>14.8181528799758</v>
      </c>
      <c r="J52" s="2">
        <f>I52</f>
        <v>14.8181528799758</v>
      </c>
      <c r="L52" s="2">
        <f>J52</f>
        <v>14.8181528799758</v>
      </c>
      <c r="V52" s="2">
        <f>L52</f>
        <v>14.8181528799758</v>
      </c>
      <c r="W52">
        <v>5</v>
      </c>
      <c r="AG52" s="130" t="s">
        <v>349</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364</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352</v>
      </c>
      <c r="C53" t="s">
        <v>352</v>
      </c>
      <c r="E53" s="2">
        <v>4.41815872313833</v>
      </c>
      <c r="I53" s="2">
        <v>5.64904106823887</v>
      </c>
      <c r="J53" s="2">
        <v>5.82978759084491</v>
      </c>
      <c r="L53" s="2">
        <v>6.00578208244984</v>
      </c>
      <c r="V53" s="2">
        <v>6.43196534717608</v>
      </c>
      <c r="W53">
        <v>5</v>
      </c>
      <c r="AG53" s="130" t="s">
        <v>349</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364</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353</v>
      </c>
      <c r="C54" t="s">
        <v>353</v>
      </c>
      <c r="E54" s="2">
        <v>0.743295306072797</v>
      </c>
      <c r="I54" s="2">
        <v>0.677223548832968</v>
      </c>
      <c r="J54" s="2">
        <v>0.656209277870055</v>
      </c>
      <c r="L54" s="2">
        <v>0.62247470653344</v>
      </c>
      <c r="V54" s="2">
        <v>0.524452135498622</v>
      </c>
      <c r="W54">
        <v>5</v>
      </c>
      <c r="AG54" s="130" t="s">
        <v>354</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364</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355</v>
      </c>
      <c r="C55" t="s">
        <v>355</v>
      </c>
      <c r="E55" s="2">
        <v>0.53141239378321</v>
      </c>
      <c r="F55" s="2">
        <f>E55</f>
        <v>0.53141239378321</v>
      </c>
      <c r="I55" s="2">
        <f>F55</f>
        <v>0.53141239378321</v>
      </c>
      <c r="J55" s="2">
        <f>I55</f>
        <v>0.53141239378321</v>
      </c>
      <c r="L55" s="2">
        <f>J55</f>
        <v>0.53141239378321</v>
      </c>
      <c r="V55" s="2">
        <f>L55</f>
        <v>0.53141239378321</v>
      </c>
      <c r="W55">
        <v>5</v>
      </c>
      <c r="AG55" s="130" t="s">
        <v>349</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364</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356</v>
      </c>
      <c r="C56" t="s">
        <v>356</v>
      </c>
      <c r="E56" s="2">
        <v>28.7369724475552</v>
      </c>
      <c r="F56" s="2">
        <f>E56</f>
        <v>28.7369724475552</v>
      </c>
      <c r="I56" s="2">
        <f>F56</f>
        <v>28.7369724475552</v>
      </c>
      <c r="J56" s="2">
        <f>I56</f>
        <v>28.7369724475552</v>
      </c>
      <c r="L56" s="2">
        <f>J56</f>
        <v>28.7369724475552</v>
      </c>
      <c r="V56" s="2">
        <f>L56</f>
        <v>28.7369724475552</v>
      </c>
      <c r="W56">
        <v>5</v>
      </c>
      <c r="AG56" s="130" t="s">
        <v>349</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364</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357</v>
      </c>
      <c r="C57" t="s">
        <v>357</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354</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364</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358</v>
      </c>
      <c r="C58" t="s">
        <v>358</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354</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364</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359</v>
      </c>
      <c r="C59" t="s">
        <v>359</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354</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364</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360</v>
      </c>
      <c r="C60" t="s">
        <v>360</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361</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364</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362</v>
      </c>
      <c r="C61" t="s">
        <v>362</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349</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364</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363</v>
      </c>
      <c r="C62" t="s">
        <v>363</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349</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364</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348</v>
      </c>
      <c r="C63" t="s">
        <v>348</v>
      </c>
      <c r="E63" s="2">
        <v>0.556097471395552</v>
      </c>
      <c r="F63" s="2">
        <f>E63</f>
        <v>0.556097471395552</v>
      </c>
      <c r="I63" s="2">
        <f>F63</f>
        <v>0.556097471395552</v>
      </c>
      <c r="J63" s="2">
        <f>I63</f>
        <v>0.556097471395552</v>
      </c>
      <c r="L63" s="2">
        <f>J63</f>
        <v>0.556097471395552</v>
      </c>
      <c r="V63" s="2">
        <f>L63</f>
        <v>0.556097471395552</v>
      </c>
      <c r="W63">
        <v>5</v>
      </c>
      <c r="AG63" s="130" t="s">
        <v>349</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364</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351</v>
      </c>
      <c r="C64" t="s">
        <v>351</v>
      </c>
      <c r="E64" s="2">
        <v>262.50625171618</v>
      </c>
      <c r="F64" s="2">
        <f>E64</f>
        <v>262.50625171618</v>
      </c>
      <c r="I64" s="2">
        <f>F64</f>
        <v>262.50625171618</v>
      </c>
      <c r="J64" s="2">
        <f>I64</f>
        <v>262.50625171618</v>
      </c>
      <c r="L64" s="2">
        <f>J64</f>
        <v>262.50625171618</v>
      </c>
      <c r="V64" s="2">
        <f>L64</f>
        <v>262.50625171618</v>
      </c>
      <c r="W64">
        <v>5</v>
      </c>
      <c r="AG64" s="130" t="s">
        <v>349</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364</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352</v>
      </c>
      <c r="C65" t="s">
        <v>352</v>
      </c>
      <c r="E65" s="2">
        <v>1.78356265105312</v>
      </c>
      <c r="I65" s="2">
        <v>2.22661580785633</v>
      </c>
      <c r="J65" s="2">
        <v>2.32708131726095</v>
      </c>
      <c r="L65" s="2">
        <v>2.50388201247059</v>
      </c>
      <c r="V65" s="2">
        <v>3.07152023009688</v>
      </c>
      <c r="W65">
        <v>5</v>
      </c>
      <c r="AG65" s="130" t="s">
        <v>349</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364</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353</v>
      </c>
      <c r="C66" t="s">
        <v>353</v>
      </c>
      <c r="E66" s="2">
        <v>12.3807603168204</v>
      </c>
      <c r="I66" s="2">
        <v>12.6644810306856</v>
      </c>
      <c r="J66" s="2">
        <v>12.7260322944271</v>
      </c>
      <c r="L66" s="2">
        <v>12.8232854254518</v>
      </c>
      <c r="V66" s="2">
        <v>12.828033432102</v>
      </c>
      <c r="W66">
        <v>5</v>
      </c>
      <c r="AG66" s="130" t="s">
        <v>354</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364</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355</v>
      </c>
      <c r="C67" t="s">
        <v>355</v>
      </c>
      <c r="E67" s="2">
        <v>18.0740611496268</v>
      </c>
      <c r="F67" s="2">
        <f>E67</f>
        <v>18.0740611496268</v>
      </c>
      <c r="I67" s="2">
        <f>F67</f>
        <v>18.0740611496268</v>
      </c>
      <c r="J67" s="2">
        <f>I67</f>
        <v>18.0740611496268</v>
      </c>
      <c r="L67" s="2">
        <f>J67</f>
        <v>18.0740611496268</v>
      </c>
      <c r="V67" s="2">
        <f>L67</f>
        <v>18.0740611496268</v>
      </c>
      <c r="W67">
        <v>5</v>
      </c>
      <c r="AG67" s="130" t="s">
        <v>349</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364</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356</v>
      </c>
      <c r="C68" t="s">
        <v>356</v>
      </c>
      <c r="E68" s="2">
        <v>816.254772786243</v>
      </c>
      <c r="F68" s="2">
        <f>E68</f>
        <v>816.254772786243</v>
      </c>
      <c r="I68" s="2">
        <f>F68</f>
        <v>816.254772786243</v>
      </c>
      <c r="J68" s="2">
        <f>I68</f>
        <v>816.254772786243</v>
      </c>
      <c r="L68" s="2">
        <f>J68</f>
        <v>816.254772786243</v>
      </c>
      <c r="V68" s="2">
        <f>L68</f>
        <v>816.254772786243</v>
      </c>
      <c r="W68">
        <v>5</v>
      </c>
      <c r="AG68" s="130" t="s">
        <v>349</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364</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357</v>
      </c>
      <c r="C69" t="s">
        <v>357</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354</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364</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358</v>
      </c>
      <c r="C70" t="s">
        <v>358</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354</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364</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359</v>
      </c>
      <c r="C71" t="s">
        <v>359</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354</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364</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360</v>
      </c>
      <c r="C72" t="s">
        <v>360</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361</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364</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362</v>
      </c>
      <c r="C73" t="s">
        <v>362</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349</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364</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363</v>
      </c>
      <c r="C74" t="s">
        <v>363</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349</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364</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348</v>
      </c>
      <c r="C75" t="s">
        <v>348</v>
      </c>
      <c r="E75" s="2">
        <v>139.408253389821</v>
      </c>
      <c r="F75" s="2">
        <f>E75</f>
        <v>139.408253389821</v>
      </c>
      <c r="I75" s="2">
        <f>F75</f>
        <v>139.408253389821</v>
      </c>
      <c r="J75" s="2">
        <f>I75</f>
        <v>139.408253389821</v>
      </c>
      <c r="L75" s="2">
        <f>J75</f>
        <v>139.408253389821</v>
      </c>
      <c r="V75" s="2">
        <f>L75</f>
        <v>139.408253389821</v>
      </c>
      <c r="W75">
        <v>5</v>
      </c>
      <c r="AG75" s="130" t="s">
        <v>349</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350</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351</v>
      </c>
      <c r="C76" t="s">
        <v>351</v>
      </c>
      <c r="E76" s="2">
        <v>100.89549985663</v>
      </c>
      <c r="F76" s="2">
        <f>E76</f>
        <v>100.89549985663</v>
      </c>
      <c r="I76" s="2">
        <f>F76</f>
        <v>100.89549985663</v>
      </c>
      <c r="J76" s="2">
        <f>I76</f>
        <v>100.89549985663</v>
      </c>
      <c r="L76" s="2">
        <f>J76</f>
        <v>100.89549985663</v>
      </c>
      <c r="V76" s="2">
        <f>L76</f>
        <v>100.89549985663</v>
      </c>
      <c r="W76">
        <v>5</v>
      </c>
      <c r="AG76" s="130" t="s">
        <v>349</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350</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352</v>
      </c>
      <c r="C77" t="s">
        <v>352</v>
      </c>
      <c r="E77" s="2">
        <v>36.3491412681947</v>
      </c>
      <c r="I77" s="2">
        <v>51.7238503606635</v>
      </c>
      <c r="J77" s="2">
        <v>59.47712543275</v>
      </c>
      <c r="L77" s="2">
        <v>79.1294823604451</v>
      </c>
      <c r="V77" s="2">
        <v>192.459870143503</v>
      </c>
      <c r="W77">
        <v>5</v>
      </c>
      <c r="AG77" s="130" t="s">
        <v>349</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350</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353</v>
      </c>
      <c r="C78" t="s">
        <v>353</v>
      </c>
      <c r="E78" s="2">
        <v>16.8114020843873</v>
      </c>
      <c r="I78" s="2">
        <v>17.8160951323929</v>
      </c>
      <c r="J78" s="2">
        <v>17.9690096349578</v>
      </c>
      <c r="L78" s="2">
        <v>17.9821026520996</v>
      </c>
      <c r="V78" s="2">
        <v>14.8844598657544</v>
      </c>
      <c r="W78">
        <v>5</v>
      </c>
      <c r="AG78" s="130" t="s">
        <v>354</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350</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355</v>
      </c>
      <c r="C79" t="s">
        <v>355</v>
      </c>
      <c r="E79" s="2">
        <v>54.0166941738206</v>
      </c>
      <c r="F79" s="2">
        <f>E79</f>
        <v>54.0166941738206</v>
      </c>
      <c r="I79" s="2">
        <f>F79</f>
        <v>54.0166941738206</v>
      </c>
      <c r="J79" s="2">
        <f>I79</f>
        <v>54.0166941738206</v>
      </c>
      <c r="L79" s="2">
        <f>J79</f>
        <v>54.0166941738206</v>
      </c>
      <c r="V79" s="2">
        <f>L79</f>
        <v>54.0166941738206</v>
      </c>
      <c r="W79">
        <v>5</v>
      </c>
      <c r="AG79" s="130" t="s">
        <v>349</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350</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356</v>
      </c>
      <c r="C80" t="s">
        <v>356</v>
      </c>
      <c r="E80" s="2">
        <v>138.398524415336</v>
      </c>
      <c r="F80" s="2">
        <f>E80</f>
        <v>138.398524415336</v>
      </c>
      <c r="I80" s="2">
        <f>F80</f>
        <v>138.398524415336</v>
      </c>
      <c r="J80" s="2">
        <f>I80</f>
        <v>138.398524415336</v>
      </c>
      <c r="L80" s="2">
        <f>J80</f>
        <v>138.398524415336</v>
      </c>
      <c r="V80" s="2">
        <f>L80</f>
        <v>138.398524415336</v>
      </c>
      <c r="W80">
        <v>5</v>
      </c>
      <c r="AG80" s="130" t="s">
        <v>349</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350</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357</v>
      </c>
      <c r="C81" t="s">
        <v>357</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354</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350</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358</v>
      </c>
      <c r="C82" t="s">
        <v>358</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354</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350</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359</v>
      </c>
      <c r="C83" t="s">
        <v>359</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354</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350</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360</v>
      </c>
      <c r="C84" t="s">
        <v>360</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361</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350</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362</v>
      </c>
      <c r="C85" t="s">
        <v>362</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349</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350</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363</v>
      </c>
      <c r="C86" t="s">
        <v>363</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349</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350</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348</v>
      </c>
      <c r="C87" s="1" t="s">
        <v>348</v>
      </c>
      <c r="E87" s="2">
        <v>1188.16711411818</v>
      </c>
      <c r="F87" s="2">
        <f>E87</f>
        <v>1188.16711411818</v>
      </c>
      <c r="I87" s="2">
        <f>F87</f>
        <v>1188.16711411818</v>
      </c>
      <c r="J87" s="2">
        <f>I87</f>
        <v>1188.16711411818</v>
      </c>
      <c r="L87" s="2">
        <f>J87</f>
        <v>1188.16711411818</v>
      </c>
      <c r="V87" s="2">
        <f>L87</f>
        <v>1188.16711411818</v>
      </c>
      <c r="W87" s="1">
        <v>5</v>
      </c>
      <c r="AG87" s="131" t="s">
        <v>349</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365</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351</v>
      </c>
      <c r="C88" t="s">
        <v>351</v>
      </c>
      <c r="E88" s="2">
        <v>467.444758409838</v>
      </c>
      <c r="F88" s="2">
        <f>E88</f>
        <v>467.444758409838</v>
      </c>
      <c r="I88" s="2">
        <f>F88</f>
        <v>467.444758409838</v>
      </c>
      <c r="J88" s="2">
        <f>I88</f>
        <v>467.444758409838</v>
      </c>
      <c r="L88" s="2">
        <f>J88</f>
        <v>467.444758409838</v>
      </c>
      <c r="V88" s="2">
        <f>L88</f>
        <v>467.444758409838</v>
      </c>
      <c r="W88">
        <v>5</v>
      </c>
      <c r="AG88" s="130" t="s">
        <v>349</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365</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352</v>
      </c>
      <c r="C89" t="s">
        <v>352</v>
      </c>
      <c r="E89" s="2">
        <v>144.327570907279</v>
      </c>
      <c r="I89" s="2">
        <v>224.407696622378</v>
      </c>
      <c r="J89" s="2">
        <v>241.010404715518</v>
      </c>
      <c r="L89" s="2">
        <v>268.938258912685</v>
      </c>
      <c r="V89" s="2">
        <v>317.390632286557</v>
      </c>
      <c r="W89">
        <v>5</v>
      </c>
      <c r="AG89" s="130" t="s">
        <v>349</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365</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353</v>
      </c>
      <c r="C90" t="s">
        <v>353</v>
      </c>
      <c r="E90" s="2">
        <v>326.607668327134</v>
      </c>
      <c r="I90" s="2">
        <v>322.411094673057</v>
      </c>
      <c r="J90" s="2">
        <v>318.688567557196</v>
      </c>
      <c r="L90" s="2">
        <v>308.001346625873</v>
      </c>
      <c r="V90" s="2">
        <v>240.985198947612</v>
      </c>
      <c r="W90">
        <v>5</v>
      </c>
      <c r="AG90" s="130" t="s">
        <v>354</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365</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355</v>
      </c>
      <c r="C91" t="s">
        <v>355</v>
      </c>
      <c r="E91" s="2">
        <v>1059.41231504256</v>
      </c>
      <c r="F91" s="2">
        <f>E91</f>
        <v>1059.41231504256</v>
      </c>
      <c r="I91" s="2">
        <f>F91</f>
        <v>1059.41231504256</v>
      </c>
      <c r="J91" s="2">
        <f>I91</f>
        <v>1059.41231504256</v>
      </c>
      <c r="L91" s="2">
        <f>J91</f>
        <v>1059.41231504256</v>
      </c>
      <c r="V91" s="2">
        <f>L91</f>
        <v>1059.41231504256</v>
      </c>
      <c r="W91">
        <v>5</v>
      </c>
      <c r="AG91" s="130" t="s">
        <v>349</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365</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356</v>
      </c>
      <c r="C92" t="s">
        <v>356</v>
      </c>
      <c r="E92" s="2">
        <v>494.941546836131</v>
      </c>
      <c r="F92" s="2">
        <f>E92</f>
        <v>494.941546836131</v>
      </c>
      <c r="I92" s="2">
        <f>F92</f>
        <v>494.941546836131</v>
      </c>
      <c r="J92" s="2">
        <f>I92</f>
        <v>494.941546836131</v>
      </c>
      <c r="L92" s="2">
        <f>J92</f>
        <v>494.941546836131</v>
      </c>
      <c r="V92" s="2">
        <f>L92</f>
        <v>494.941546836131</v>
      </c>
      <c r="W92">
        <v>5</v>
      </c>
      <c r="AG92" s="130" t="s">
        <v>349</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365</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357</v>
      </c>
      <c r="C93" t="s">
        <v>357</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354</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365</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358</v>
      </c>
      <c r="C94" t="s">
        <v>358</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354</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365</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359</v>
      </c>
      <c r="C95" t="s">
        <v>359</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354</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365</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360</v>
      </c>
      <c r="C96" t="s">
        <v>360</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361</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365</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362</v>
      </c>
      <c r="C97" t="s">
        <v>362</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349</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365</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363</v>
      </c>
      <c r="C98" t="s">
        <v>363</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349</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365</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348</v>
      </c>
      <c r="C99" t="s">
        <v>348</v>
      </c>
      <c r="E99" s="2">
        <v>0.474749727627687</v>
      </c>
      <c r="F99" s="2">
        <f>E99</f>
        <v>0.474749727627687</v>
      </c>
      <c r="I99" s="2">
        <f>F99</f>
        <v>0.474749727627687</v>
      </c>
      <c r="J99" s="2">
        <f>I99</f>
        <v>0.474749727627687</v>
      </c>
      <c r="L99" s="2">
        <f>J99</f>
        <v>0.474749727627687</v>
      </c>
      <c r="V99" s="2">
        <f>L99</f>
        <v>0.474749727627687</v>
      </c>
      <c r="W99">
        <v>5</v>
      </c>
      <c r="AG99" s="130" t="s">
        <v>349</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364</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351</v>
      </c>
      <c r="C100" t="s">
        <v>351</v>
      </c>
      <c r="E100" s="2">
        <v>9.59652531307715</v>
      </c>
      <c r="F100" s="2">
        <f>E100</f>
        <v>9.59652531307715</v>
      </c>
      <c r="I100" s="2">
        <f>F100</f>
        <v>9.59652531307715</v>
      </c>
      <c r="J100" s="2">
        <f>I100</f>
        <v>9.59652531307715</v>
      </c>
      <c r="L100" s="2">
        <f>J100</f>
        <v>9.59652531307715</v>
      </c>
      <c r="V100" s="2">
        <f>L100</f>
        <v>9.59652531307715</v>
      </c>
      <c r="W100">
        <v>5</v>
      </c>
      <c r="AG100" s="130" t="s">
        <v>349</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364</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352</v>
      </c>
      <c r="C101" t="s">
        <v>352</v>
      </c>
      <c r="E101" s="2">
        <v>1.00929896141801</v>
      </c>
      <c r="I101" s="2">
        <v>1.41658801405982</v>
      </c>
      <c r="J101" s="2">
        <v>1.47448946544171</v>
      </c>
      <c r="L101" s="2">
        <v>1.54503579850711</v>
      </c>
      <c r="V101" s="2">
        <v>1.74630995498665</v>
      </c>
      <c r="W101">
        <v>5</v>
      </c>
      <c r="AG101" s="130" t="s">
        <v>349</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364</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353</v>
      </c>
      <c r="C102" t="s">
        <v>353</v>
      </c>
      <c r="E102" s="2">
        <v>1.58463004706926</v>
      </c>
      <c r="I102" s="2">
        <v>1.50167208679505</v>
      </c>
      <c r="J102" s="2">
        <v>1.47566951737528</v>
      </c>
      <c r="L102" s="2">
        <v>1.42900847026344</v>
      </c>
      <c r="V102" s="2">
        <v>1.25848141112579</v>
      </c>
      <c r="W102">
        <v>5</v>
      </c>
      <c r="AG102" s="130" t="s">
        <v>354</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364</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355</v>
      </c>
      <c r="C103" t="s">
        <v>355</v>
      </c>
      <c r="E103" s="2">
        <v>2.11971648311455</v>
      </c>
      <c r="F103" s="2">
        <f>E103</f>
        <v>2.11971648311455</v>
      </c>
      <c r="I103" s="2">
        <f>F103</f>
        <v>2.11971648311455</v>
      </c>
      <c r="J103" s="2">
        <f>I103</f>
        <v>2.11971648311455</v>
      </c>
      <c r="L103" s="2">
        <f>J103</f>
        <v>2.11971648311455</v>
      </c>
      <c r="V103" s="2">
        <f>L103</f>
        <v>2.11971648311455</v>
      </c>
      <c r="W103">
        <v>5</v>
      </c>
      <c r="AG103" s="130" t="s">
        <v>349</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364</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356</v>
      </c>
      <c r="C104" t="s">
        <v>356</v>
      </c>
      <c r="E104" s="2">
        <v>8.94049211840846</v>
      </c>
      <c r="F104" s="2">
        <f>E104</f>
        <v>8.94049211840846</v>
      </c>
      <c r="I104" s="2">
        <f>F104</f>
        <v>8.94049211840846</v>
      </c>
      <c r="J104" s="2">
        <f>I104</f>
        <v>8.94049211840846</v>
      </c>
      <c r="L104" s="2">
        <f>J104</f>
        <v>8.94049211840846</v>
      </c>
      <c r="V104" s="2">
        <f>L104</f>
        <v>8.94049211840846</v>
      </c>
      <c r="W104">
        <v>5</v>
      </c>
      <c r="AG104" s="130" t="s">
        <v>349</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364</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357</v>
      </c>
      <c r="C105" t="s">
        <v>357</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354</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364</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358</v>
      </c>
      <c r="C106" t="s">
        <v>358</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354</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364</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359</v>
      </c>
      <c r="C107" t="s">
        <v>359</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354</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364</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360</v>
      </c>
      <c r="C108" t="s">
        <v>360</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361</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364</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362</v>
      </c>
      <c r="C109" t="s">
        <v>362</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349</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364</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363</v>
      </c>
      <c r="C110" t="s">
        <v>363</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349</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364</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348</v>
      </c>
      <c r="C111" t="s">
        <v>348</v>
      </c>
      <c r="E111" s="2">
        <v>2.00560851222116</v>
      </c>
      <c r="F111" s="2">
        <f>E111</f>
        <v>2.00560851222116</v>
      </c>
      <c r="I111" s="2">
        <f>F111</f>
        <v>2.00560851222116</v>
      </c>
      <c r="J111" s="2">
        <f>I111</f>
        <v>2.00560851222116</v>
      </c>
      <c r="L111" s="2">
        <f>J111</f>
        <v>2.00560851222116</v>
      </c>
      <c r="V111" s="2">
        <f>L111</f>
        <v>2.00560851222116</v>
      </c>
      <c r="W111">
        <v>5</v>
      </c>
      <c r="AG111" s="130" t="s">
        <v>349</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364</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351</v>
      </c>
      <c r="C112" t="s">
        <v>351</v>
      </c>
      <c r="E112" s="2">
        <v>19.5468221264771</v>
      </c>
      <c r="F112" s="2">
        <f>E112</f>
        <v>19.5468221264771</v>
      </c>
      <c r="I112" s="2">
        <f>F112</f>
        <v>19.5468221264771</v>
      </c>
      <c r="J112" s="2">
        <f>I112</f>
        <v>19.5468221264771</v>
      </c>
      <c r="L112" s="2">
        <f>J112</f>
        <v>19.5468221264771</v>
      </c>
      <c r="V112" s="2">
        <f>L112</f>
        <v>19.5468221264771</v>
      </c>
      <c r="W112">
        <v>5</v>
      </c>
      <c r="AG112" s="130" t="s">
        <v>349</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364</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352</v>
      </c>
      <c r="C113" t="s">
        <v>352</v>
      </c>
      <c r="E113" s="2">
        <v>3.92497340838634</v>
      </c>
      <c r="I113" s="2">
        <v>4.83125377216984</v>
      </c>
      <c r="J113" s="2">
        <v>5.09671332771343</v>
      </c>
      <c r="L113" s="2">
        <v>5.5506826861402</v>
      </c>
      <c r="V113" s="2">
        <v>7.01327729505485</v>
      </c>
      <c r="W113">
        <v>5</v>
      </c>
      <c r="AG113" s="130" t="s">
        <v>349</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364</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353</v>
      </c>
      <c r="C114" t="s">
        <v>353</v>
      </c>
      <c r="E114" s="2">
        <v>7.10295902802551</v>
      </c>
      <c r="I114" s="2">
        <v>7.09434671357223</v>
      </c>
      <c r="J114" s="2">
        <v>7.02400495859201</v>
      </c>
      <c r="L114" s="2">
        <v>6.91840009341947</v>
      </c>
      <c r="V114" s="2">
        <v>6.28230153212521</v>
      </c>
      <c r="W114">
        <v>5</v>
      </c>
      <c r="AG114" s="130" t="s">
        <v>354</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364</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355</v>
      </c>
      <c r="C115" t="s">
        <v>355</v>
      </c>
      <c r="E115" s="2">
        <v>0.215645069999914</v>
      </c>
      <c r="F115" s="2">
        <f>E115</f>
        <v>0.215645069999914</v>
      </c>
      <c r="I115" s="2">
        <f>F115</f>
        <v>0.215645069999914</v>
      </c>
      <c r="J115" s="2">
        <f>I115</f>
        <v>0.215645069999914</v>
      </c>
      <c r="L115" s="2">
        <f>J115</f>
        <v>0.215645069999914</v>
      </c>
      <c r="V115" s="2">
        <f>L115</f>
        <v>0.215645069999914</v>
      </c>
      <c r="W115">
        <v>5</v>
      </c>
      <c r="AG115" s="130" t="s">
        <v>349</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364</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356</v>
      </c>
      <c r="C116" t="s">
        <v>356</v>
      </c>
      <c r="E116" s="2">
        <v>0</v>
      </c>
      <c r="F116" s="2">
        <f>E116</f>
        <v>0</v>
      </c>
      <c r="I116" s="2">
        <f>F116</f>
        <v>0</v>
      </c>
      <c r="J116" s="2">
        <f>I116</f>
        <v>0</v>
      </c>
      <c r="L116" s="2">
        <f>J116</f>
        <v>0</v>
      </c>
      <c r="V116" s="2">
        <f>L116</f>
        <v>0</v>
      </c>
      <c r="W116">
        <v>5</v>
      </c>
      <c r="AG116" s="130" t="s">
        <v>349</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364</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357</v>
      </c>
      <c r="C117" t="s">
        <v>357</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354</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364</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358</v>
      </c>
      <c r="C118" t="s">
        <v>358</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354</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364</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359</v>
      </c>
      <c r="C119" t="s">
        <v>359</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354</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364</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360</v>
      </c>
      <c r="C120" t="s">
        <v>360</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361</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364</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362</v>
      </c>
      <c r="C121" t="s">
        <v>362</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349</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364</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363</v>
      </c>
      <c r="C122" t="s">
        <v>363</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349</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364</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348</v>
      </c>
      <c r="C123" t="s">
        <v>348</v>
      </c>
      <c r="E123" s="2">
        <v>67.7006244221446</v>
      </c>
      <c r="F123" s="2">
        <f>E123</f>
        <v>67.7006244221446</v>
      </c>
      <c r="I123" s="2">
        <f>F123</f>
        <v>67.7006244221446</v>
      </c>
      <c r="J123" s="2">
        <f>I123</f>
        <v>67.7006244221446</v>
      </c>
      <c r="L123" s="2">
        <f>J123</f>
        <v>67.7006244221446</v>
      </c>
      <c r="V123" s="2">
        <f>L123</f>
        <v>67.7006244221446</v>
      </c>
      <c r="W123">
        <v>5</v>
      </c>
      <c r="AG123" s="130" t="s">
        <v>349</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364</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351</v>
      </c>
      <c r="C124" t="s">
        <v>351</v>
      </c>
      <c r="E124" s="2">
        <v>259.667818336121</v>
      </c>
      <c r="F124" s="2">
        <f>E124</f>
        <v>259.667818336121</v>
      </c>
      <c r="I124" s="2">
        <f>F124</f>
        <v>259.667818336121</v>
      </c>
      <c r="J124" s="2">
        <f>I124</f>
        <v>259.667818336121</v>
      </c>
      <c r="L124" s="2">
        <f>J124</f>
        <v>259.667818336121</v>
      </c>
      <c r="V124" s="2">
        <f>L124</f>
        <v>259.667818336121</v>
      </c>
      <c r="W124">
        <v>5</v>
      </c>
      <c r="AG124" s="130" t="s">
        <v>349</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364</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352</v>
      </c>
      <c r="C125" t="s">
        <v>352</v>
      </c>
      <c r="E125" s="2">
        <v>4.72257563891638</v>
      </c>
      <c r="I125" s="2">
        <v>5.77714122000144</v>
      </c>
      <c r="J125" s="2">
        <v>6.05615573207307</v>
      </c>
      <c r="L125" s="2">
        <v>6.60926879552228</v>
      </c>
      <c r="V125" s="2">
        <v>9.30139354906975</v>
      </c>
      <c r="W125">
        <v>5</v>
      </c>
      <c r="AG125" s="130" t="s">
        <v>349</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364</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353</v>
      </c>
      <c r="C126" t="s">
        <v>353</v>
      </c>
      <c r="E126" s="2">
        <v>31.0685582966778</v>
      </c>
      <c r="I126" s="2">
        <v>31.8370089157593</v>
      </c>
      <c r="J126" s="2">
        <v>32.1180186747229</v>
      </c>
      <c r="L126" s="2">
        <v>32.5692744879249</v>
      </c>
      <c r="V126" s="2">
        <v>33.9075290194786</v>
      </c>
      <c r="W126">
        <v>5</v>
      </c>
      <c r="AG126" s="130" t="s">
        <v>354</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364</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355</v>
      </c>
      <c r="C127" t="s">
        <v>355</v>
      </c>
      <c r="E127" s="2">
        <v>21.0626926925154</v>
      </c>
      <c r="F127" s="2">
        <f>E127</f>
        <v>21.0626926925154</v>
      </c>
      <c r="I127" s="2">
        <f>F127</f>
        <v>21.0626926925154</v>
      </c>
      <c r="J127" s="2">
        <f>I127</f>
        <v>21.0626926925154</v>
      </c>
      <c r="L127" s="2">
        <f>J127</f>
        <v>21.0626926925154</v>
      </c>
      <c r="V127" s="2">
        <f>L127</f>
        <v>21.0626926925154</v>
      </c>
      <c r="W127">
        <v>5</v>
      </c>
      <c r="AG127" s="130" t="s">
        <v>349</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364</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356</v>
      </c>
      <c r="C128" t="s">
        <v>356</v>
      </c>
      <c r="E128" s="2">
        <v>70.9847274318518</v>
      </c>
      <c r="F128" s="2">
        <f>E128</f>
        <v>70.9847274318518</v>
      </c>
      <c r="I128" s="2">
        <f>F128</f>
        <v>70.9847274318518</v>
      </c>
      <c r="J128" s="2">
        <f>I128</f>
        <v>70.9847274318518</v>
      </c>
      <c r="L128" s="2">
        <f>J128</f>
        <v>70.9847274318518</v>
      </c>
      <c r="V128" s="2">
        <f>L128</f>
        <v>70.9847274318518</v>
      </c>
      <c r="W128">
        <v>5</v>
      </c>
      <c r="AG128" s="130" t="s">
        <v>349</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364</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357</v>
      </c>
      <c r="C129" t="s">
        <v>357</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354</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364</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358</v>
      </c>
      <c r="C130" t="s">
        <v>358</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354</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364</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359</v>
      </c>
      <c r="C131" t="s">
        <v>359</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354</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364</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360</v>
      </c>
      <c r="C132" t="s">
        <v>360</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361</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364</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362</v>
      </c>
      <c r="C133" t="s">
        <v>362</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349</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364</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363</v>
      </c>
      <c r="C134" t="s">
        <v>363</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349</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364</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348</v>
      </c>
      <c r="C135" t="s">
        <v>348</v>
      </c>
      <c r="E135" s="2">
        <v>30.8925002060472</v>
      </c>
      <c r="F135" s="2">
        <f>E135</f>
        <v>30.8925002060472</v>
      </c>
      <c r="I135" s="2">
        <f>F135</f>
        <v>30.8925002060472</v>
      </c>
      <c r="J135" s="2">
        <f>I135</f>
        <v>30.8925002060472</v>
      </c>
      <c r="L135" s="2">
        <f>J135</f>
        <v>30.8925002060472</v>
      </c>
      <c r="V135" s="2">
        <f>L135</f>
        <v>30.8925002060472</v>
      </c>
      <c r="W135">
        <v>5</v>
      </c>
      <c r="AG135" s="130" t="s">
        <v>349</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364</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351</v>
      </c>
      <c r="C136" t="s">
        <v>351</v>
      </c>
      <c r="E136" s="2">
        <v>411.735252066231</v>
      </c>
      <c r="F136" s="2">
        <f>E136</f>
        <v>411.735252066231</v>
      </c>
      <c r="I136" s="2">
        <f>F136</f>
        <v>411.735252066231</v>
      </c>
      <c r="J136" s="2">
        <f>I136</f>
        <v>411.735252066231</v>
      </c>
      <c r="L136" s="2">
        <f>J136</f>
        <v>411.735252066231</v>
      </c>
      <c r="V136" s="2">
        <f>L136</f>
        <v>411.735252066231</v>
      </c>
      <c r="W136">
        <v>5</v>
      </c>
      <c r="AG136" s="130" t="s">
        <v>349</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364</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352</v>
      </c>
      <c r="C137" t="s">
        <v>352</v>
      </c>
      <c r="E137" s="2">
        <v>10.2422820870275</v>
      </c>
      <c r="I137" s="2">
        <v>11.6970659852254</v>
      </c>
      <c r="J137" s="2">
        <v>12.2167840930765</v>
      </c>
      <c r="L137" s="2">
        <v>13.2500408782904</v>
      </c>
      <c r="V137" s="2">
        <v>16.4810771612383</v>
      </c>
      <c r="W137">
        <v>5</v>
      </c>
      <c r="AG137" s="130" t="s">
        <v>349</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364</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353</v>
      </c>
      <c r="C138" t="s">
        <v>353</v>
      </c>
      <c r="E138" s="2">
        <v>41.728037261455</v>
      </c>
      <c r="I138" s="2">
        <v>41.4076364519895</v>
      </c>
      <c r="J138" s="2">
        <v>41.206691240923</v>
      </c>
      <c r="L138" s="2">
        <v>40.8643391636625</v>
      </c>
      <c r="V138" s="2">
        <v>38.3848419306435</v>
      </c>
      <c r="W138">
        <v>5</v>
      </c>
      <c r="AG138" s="130" t="s">
        <v>354</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364</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355</v>
      </c>
      <c r="C139" t="s">
        <v>355</v>
      </c>
      <c r="E139" s="2">
        <v>11.29741306648</v>
      </c>
      <c r="F139" s="2">
        <f>E139</f>
        <v>11.29741306648</v>
      </c>
      <c r="I139" s="2">
        <f>F139</f>
        <v>11.29741306648</v>
      </c>
      <c r="J139" s="2">
        <f>I139</f>
        <v>11.29741306648</v>
      </c>
      <c r="L139" s="2">
        <f>J139</f>
        <v>11.29741306648</v>
      </c>
      <c r="V139" s="2">
        <f>L139</f>
        <v>11.29741306648</v>
      </c>
      <c r="W139">
        <v>5</v>
      </c>
      <c r="AG139" s="130" t="s">
        <v>349</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364</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356</v>
      </c>
      <c r="C140" t="s">
        <v>356</v>
      </c>
      <c r="E140" s="2">
        <v>57.0532322107784</v>
      </c>
      <c r="F140" s="2">
        <f>E140</f>
        <v>57.0532322107784</v>
      </c>
      <c r="I140" s="2">
        <f>F140</f>
        <v>57.0532322107784</v>
      </c>
      <c r="J140" s="2">
        <f>I140</f>
        <v>57.0532322107784</v>
      </c>
      <c r="L140" s="2">
        <f>J140</f>
        <v>57.0532322107784</v>
      </c>
      <c r="V140" s="2">
        <f>L140</f>
        <v>57.0532322107784</v>
      </c>
      <c r="W140">
        <v>5</v>
      </c>
      <c r="AG140" s="130" t="s">
        <v>349</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364</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357</v>
      </c>
      <c r="C141" t="s">
        <v>357</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354</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364</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358</v>
      </c>
      <c r="C142" t="s">
        <v>358</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354</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364</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359</v>
      </c>
      <c r="C143" t="s">
        <v>359</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354</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364</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360</v>
      </c>
      <c r="C144" t="s">
        <v>360</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361</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364</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362</v>
      </c>
      <c r="C145" t="s">
        <v>362</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349</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364</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363</v>
      </c>
      <c r="C146" t="s">
        <v>363</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349</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364</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348</v>
      </c>
      <c r="C147" t="s">
        <v>348</v>
      </c>
      <c r="E147" s="2">
        <v>9.41801071539259</v>
      </c>
      <c r="F147" s="2">
        <f>E147</f>
        <v>9.41801071539259</v>
      </c>
      <c r="I147" s="2">
        <f>F147</f>
        <v>9.41801071539259</v>
      </c>
      <c r="J147" s="2">
        <f>I147</f>
        <v>9.41801071539259</v>
      </c>
      <c r="L147" s="2">
        <f>J147</f>
        <v>9.41801071539259</v>
      </c>
      <c r="V147" s="2">
        <f>L147</f>
        <v>9.41801071539259</v>
      </c>
      <c r="W147">
        <v>5</v>
      </c>
      <c r="AG147" s="130" t="s">
        <v>349</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364</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351</v>
      </c>
      <c r="C148" t="s">
        <v>351</v>
      </c>
      <c r="E148" s="2">
        <v>60.0666943733252</v>
      </c>
      <c r="F148" s="2">
        <f>E148</f>
        <v>60.0666943733252</v>
      </c>
      <c r="I148" s="2">
        <f>F148</f>
        <v>60.0666943733252</v>
      </c>
      <c r="J148" s="2">
        <f>I148</f>
        <v>60.0666943733252</v>
      </c>
      <c r="L148" s="2">
        <f>J148</f>
        <v>60.0666943733252</v>
      </c>
      <c r="V148" s="2">
        <f>L148</f>
        <v>60.0666943733252</v>
      </c>
      <c r="W148">
        <v>5</v>
      </c>
      <c r="AG148" s="130" t="s">
        <v>349</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364</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352</v>
      </c>
      <c r="C149" t="s">
        <v>352</v>
      </c>
      <c r="E149" s="2">
        <v>0.407881973548625</v>
      </c>
      <c r="I149" s="2">
        <v>0.556269853938886</v>
      </c>
      <c r="J149" s="2">
        <v>0.592210356864755</v>
      </c>
      <c r="L149" s="2">
        <v>0.658731360506297</v>
      </c>
      <c r="V149" s="2">
        <v>0.856844601589363</v>
      </c>
      <c r="W149">
        <v>5</v>
      </c>
      <c r="AG149" s="130" t="s">
        <v>349</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364</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353</v>
      </c>
      <c r="C150" t="s">
        <v>353</v>
      </c>
      <c r="E150" s="2">
        <v>0.699362690149308</v>
      </c>
      <c r="I150" s="2">
        <v>0.682703126816235</v>
      </c>
      <c r="J150" s="2">
        <v>0.678924584296357</v>
      </c>
      <c r="L150" s="2">
        <v>0.673124624068275</v>
      </c>
      <c r="V150" s="2">
        <v>0.613005347160796</v>
      </c>
      <c r="W150">
        <v>5</v>
      </c>
      <c r="AG150" s="130" t="s">
        <v>354</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364</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355</v>
      </c>
      <c r="C151" t="s">
        <v>355</v>
      </c>
      <c r="E151" s="2">
        <v>26.7348015160745</v>
      </c>
      <c r="F151" s="2">
        <f>E151</f>
        <v>26.7348015160745</v>
      </c>
      <c r="I151" s="2">
        <f>F151</f>
        <v>26.7348015160745</v>
      </c>
      <c r="J151" s="2">
        <f>I151</f>
        <v>26.7348015160745</v>
      </c>
      <c r="L151" s="2">
        <f>J151</f>
        <v>26.7348015160745</v>
      </c>
      <c r="V151" s="2">
        <f>L151</f>
        <v>26.7348015160745</v>
      </c>
      <c r="W151">
        <v>5</v>
      </c>
      <c r="AG151" s="130" t="s">
        <v>349</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364</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356</v>
      </c>
      <c r="C152" t="s">
        <v>356</v>
      </c>
      <c r="E152" s="2">
        <v>116.52376180417</v>
      </c>
      <c r="F152" s="2">
        <f>E152</f>
        <v>116.52376180417</v>
      </c>
      <c r="I152" s="2">
        <f>F152</f>
        <v>116.52376180417</v>
      </c>
      <c r="J152" s="2">
        <f>I152</f>
        <v>116.52376180417</v>
      </c>
      <c r="L152" s="2">
        <f>J152</f>
        <v>116.52376180417</v>
      </c>
      <c r="V152" s="2">
        <f>L152</f>
        <v>116.52376180417</v>
      </c>
      <c r="W152">
        <v>5</v>
      </c>
      <c r="AG152" s="130" t="s">
        <v>349</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364</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357</v>
      </c>
      <c r="C153" t="s">
        <v>357</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354</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364</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358</v>
      </c>
      <c r="C154" t="s">
        <v>358</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354</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364</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359</v>
      </c>
      <c r="C155" t="s">
        <v>359</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354</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364</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360</v>
      </c>
      <c r="C156" t="s">
        <v>360</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361</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364</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362</v>
      </c>
      <c r="C157" t="s">
        <v>362</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349</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364</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363</v>
      </c>
      <c r="C158" t="s">
        <v>363</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349</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364</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348</v>
      </c>
      <c r="C159" t="s">
        <v>348</v>
      </c>
      <c r="E159" s="2">
        <v>3.26516627111412</v>
      </c>
      <c r="F159" s="2">
        <f>E159</f>
        <v>3.26516627111412</v>
      </c>
      <c r="I159" s="2">
        <f>F159</f>
        <v>3.26516627111412</v>
      </c>
      <c r="J159" s="2">
        <f>I159</f>
        <v>3.26516627111412</v>
      </c>
      <c r="L159" s="2">
        <f>J159</f>
        <v>3.26516627111412</v>
      </c>
      <c r="V159" s="2">
        <f>L159</f>
        <v>3.26516627111412</v>
      </c>
      <c r="W159">
        <v>5</v>
      </c>
      <c r="AG159" s="130" t="s">
        <v>349</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364</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351</v>
      </c>
      <c r="C160" t="s">
        <v>351</v>
      </c>
      <c r="E160" s="2">
        <v>28.7692351147517</v>
      </c>
      <c r="F160" s="2">
        <f>E160</f>
        <v>28.7692351147517</v>
      </c>
      <c r="I160" s="2">
        <f>F160</f>
        <v>28.7692351147517</v>
      </c>
      <c r="J160" s="2">
        <f>I160</f>
        <v>28.7692351147517</v>
      </c>
      <c r="L160" s="2">
        <f>J160</f>
        <v>28.7692351147517</v>
      </c>
      <c r="V160" s="2">
        <f>L160</f>
        <v>28.7692351147517</v>
      </c>
      <c r="W160">
        <v>5</v>
      </c>
      <c r="AG160" s="130" t="s">
        <v>349</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364</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352</v>
      </c>
      <c r="C161" t="s">
        <v>352</v>
      </c>
      <c r="E161" s="2">
        <v>7.75342561481203</v>
      </c>
      <c r="I161" s="2">
        <v>10.6106392868222</v>
      </c>
      <c r="J161" s="2">
        <v>11.184011651854</v>
      </c>
      <c r="L161" s="2">
        <v>11.9476259257563</v>
      </c>
      <c r="V161" s="2">
        <v>13.8206787126309</v>
      </c>
      <c r="W161">
        <v>5</v>
      </c>
      <c r="AG161" s="130" t="s">
        <v>349</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364</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353</v>
      </c>
      <c r="C162" t="s">
        <v>353</v>
      </c>
      <c r="E162" s="2">
        <v>8.67473913168791</v>
      </c>
      <c r="I162" s="2">
        <v>8.08336435165592</v>
      </c>
      <c r="J162" s="2">
        <v>7.89625828842359</v>
      </c>
      <c r="L162" s="2">
        <v>7.54541790110384</v>
      </c>
      <c r="V162" s="2">
        <v>6.17662652933353</v>
      </c>
      <c r="W162">
        <v>5</v>
      </c>
      <c r="AG162" s="130" t="s">
        <v>354</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364</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355</v>
      </c>
      <c r="C163" t="s">
        <v>355</v>
      </c>
      <c r="E163" s="2">
        <v>2.08057642901886</v>
      </c>
      <c r="F163" s="2">
        <f>E163</f>
        <v>2.08057642901886</v>
      </c>
      <c r="I163" s="2">
        <f>F163</f>
        <v>2.08057642901886</v>
      </c>
      <c r="J163" s="2">
        <f>I163</f>
        <v>2.08057642901886</v>
      </c>
      <c r="L163" s="2">
        <f>J163</f>
        <v>2.08057642901886</v>
      </c>
      <c r="V163" s="2">
        <f>L163</f>
        <v>2.08057642901886</v>
      </c>
      <c r="W163">
        <v>5</v>
      </c>
      <c r="AG163" s="130" t="s">
        <v>349</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364</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356</v>
      </c>
      <c r="C164" t="s">
        <v>356</v>
      </c>
      <c r="E164" s="2">
        <v>4.70380562556693</v>
      </c>
      <c r="F164" s="2">
        <f>E164</f>
        <v>4.70380562556693</v>
      </c>
      <c r="I164" s="2">
        <f>F164</f>
        <v>4.70380562556693</v>
      </c>
      <c r="J164" s="2">
        <f>I164</f>
        <v>4.70380562556693</v>
      </c>
      <c r="L164" s="2">
        <f>J164</f>
        <v>4.70380562556693</v>
      </c>
      <c r="V164" s="2">
        <f>L164</f>
        <v>4.70380562556693</v>
      </c>
      <c r="W164">
        <v>5</v>
      </c>
      <c r="AG164" s="130" t="s">
        <v>349</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364</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357</v>
      </c>
      <c r="C165" t="s">
        <v>357</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354</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364</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358</v>
      </c>
      <c r="C166" t="s">
        <v>358</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354</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364</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359</v>
      </c>
      <c r="C167" t="s">
        <v>359</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354</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364</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360</v>
      </c>
      <c r="C168" t="s">
        <v>360</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361</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364</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362</v>
      </c>
      <c r="C169" t="s">
        <v>362</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349</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364</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363</v>
      </c>
      <c r="C170" t="s">
        <v>363</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349</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364</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348</v>
      </c>
      <c r="C171" t="s">
        <v>348</v>
      </c>
      <c r="E171" s="2">
        <v>0.385231112178535</v>
      </c>
      <c r="F171" s="2">
        <f>E171</f>
        <v>0.385231112178535</v>
      </c>
      <c r="I171" s="2">
        <f>F171</f>
        <v>0.385231112178535</v>
      </c>
      <c r="J171" s="2">
        <f>I171</f>
        <v>0.385231112178535</v>
      </c>
      <c r="L171" s="2">
        <f>J171</f>
        <v>0.385231112178535</v>
      </c>
      <c r="V171" s="2">
        <f>L171</f>
        <v>0.385231112178535</v>
      </c>
      <c r="W171">
        <v>5</v>
      </c>
      <c r="AG171" s="130" t="s">
        <v>349</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364</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351</v>
      </c>
      <c r="C172" t="s">
        <v>351</v>
      </c>
      <c r="E172" s="2">
        <v>13.2313227078569</v>
      </c>
      <c r="F172" s="2">
        <f>E172</f>
        <v>13.2313227078569</v>
      </c>
      <c r="I172" s="2">
        <f>F172</f>
        <v>13.2313227078569</v>
      </c>
      <c r="J172" s="2">
        <f>I172</f>
        <v>13.2313227078569</v>
      </c>
      <c r="L172" s="2">
        <f>J172</f>
        <v>13.2313227078569</v>
      </c>
      <c r="V172" s="2">
        <f>L172</f>
        <v>13.2313227078569</v>
      </c>
      <c r="W172">
        <v>5</v>
      </c>
      <c r="AG172" s="130" t="s">
        <v>349</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364</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352</v>
      </c>
      <c r="C173" t="s">
        <v>352</v>
      </c>
      <c r="E173" s="2">
        <v>0</v>
      </c>
      <c r="I173" s="2">
        <v>0</v>
      </c>
      <c r="J173" s="2">
        <v>0</v>
      </c>
      <c r="L173" s="2">
        <v>0</v>
      </c>
      <c r="V173" s="2">
        <v>0</v>
      </c>
      <c r="W173">
        <v>5</v>
      </c>
      <c r="AG173" s="130" t="s">
        <v>349</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364</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353</v>
      </c>
      <c r="C174" t="s">
        <v>353</v>
      </c>
      <c r="E174" s="2">
        <v>0</v>
      </c>
      <c r="I174" s="2">
        <v>0</v>
      </c>
      <c r="J174" s="2">
        <v>0</v>
      </c>
      <c r="L174" s="2">
        <v>0</v>
      </c>
      <c r="V174" s="2">
        <v>0</v>
      </c>
      <c r="W174">
        <v>5</v>
      </c>
      <c r="AG174" s="130" t="s">
        <v>354</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364</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355</v>
      </c>
      <c r="C175" t="s">
        <v>355</v>
      </c>
      <c r="E175" s="2">
        <v>0.709145337885679</v>
      </c>
      <c r="F175" s="2">
        <f>E175</f>
        <v>0.709145337885679</v>
      </c>
      <c r="I175" s="2">
        <f>F175</f>
        <v>0.709145337885679</v>
      </c>
      <c r="J175" s="2">
        <f>I175</f>
        <v>0.709145337885679</v>
      </c>
      <c r="L175" s="2">
        <f>J175</f>
        <v>0.709145337885679</v>
      </c>
      <c r="V175" s="2">
        <f>L175</f>
        <v>0.709145337885679</v>
      </c>
      <c r="W175">
        <v>5</v>
      </c>
      <c r="AG175" s="130" t="s">
        <v>349</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364</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356</v>
      </c>
      <c r="C176" t="s">
        <v>356</v>
      </c>
      <c r="E176" s="2">
        <v>2.73749995706238</v>
      </c>
      <c r="F176" s="2">
        <f>E176</f>
        <v>2.73749995706238</v>
      </c>
      <c r="I176" s="2">
        <f>F176</f>
        <v>2.73749995706238</v>
      </c>
      <c r="J176" s="2">
        <f>I176</f>
        <v>2.73749995706238</v>
      </c>
      <c r="L176" s="2">
        <f>J176</f>
        <v>2.73749995706238</v>
      </c>
      <c r="V176" s="2">
        <f>L176</f>
        <v>2.73749995706238</v>
      </c>
      <c r="W176">
        <v>5</v>
      </c>
      <c r="AG176" s="130" t="s">
        <v>349</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364</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357</v>
      </c>
      <c r="C177" t="s">
        <v>357</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354</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364</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358</v>
      </c>
      <c r="C178" t="s">
        <v>358</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354</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364</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359</v>
      </c>
      <c r="C179" t="s">
        <v>359</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354</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364</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360</v>
      </c>
      <c r="C180" t="s">
        <v>360</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361</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364</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362</v>
      </c>
      <c r="C181" t="s">
        <v>362</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349</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364</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363</v>
      </c>
      <c r="C182" t="s">
        <v>363</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349</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364</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348</v>
      </c>
      <c r="C183" t="s">
        <v>348</v>
      </c>
      <c r="E183" s="2">
        <v>186.015286947819</v>
      </c>
      <c r="F183" s="2">
        <f>E183</f>
        <v>186.015286947819</v>
      </c>
      <c r="I183" s="2">
        <f>F183</f>
        <v>186.015286947819</v>
      </c>
      <c r="J183" s="2">
        <f>I183</f>
        <v>186.015286947819</v>
      </c>
      <c r="L183" s="2">
        <f>J183</f>
        <v>186.015286947819</v>
      </c>
      <c r="V183" s="2">
        <f>L183</f>
        <v>186.015286947819</v>
      </c>
      <c r="W183">
        <v>5</v>
      </c>
      <c r="AG183" s="130" t="s">
        <v>349</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350</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351</v>
      </c>
      <c r="C184" t="s">
        <v>351</v>
      </c>
      <c r="E184" s="2">
        <v>184.129899916563</v>
      </c>
      <c r="F184" s="2">
        <f>E184</f>
        <v>184.129899916563</v>
      </c>
      <c r="I184" s="2">
        <f>F184</f>
        <v>184.129899916563</v>
      </c>
      <c r="J184" s="2">
        <f>I184</f>
        <v>184.129899916563</v>
      </c>
      <c r="L184" s="2">
        <f>J184</f>
        <v>184.129899916563</v>
      </c>
      <c r="V184" s="2">
        <f>L184</f>
        <v>184.129899916563</v>
      </c>
      <c r="W184">
        <v>5</v>
      </c>
      <c r="AG184" s="130" t="s">
        <v>349</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350</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352</v>
      </c>
      <c r="C185" t="s">
        <v>352</v>
      </c>
      <c r="E185" s="2">
        <v>78.4974489885753</v>
      </c>
      <c r="I185" s="2">
        <v>179.473164032869</v>
      </c>
      <c r="J185" s="2">
        <v>217.58565066713</v>
      </c>
      <c r="L185" s="2">
        <v>299.687527515158</v>
      </c>
      <c r="V185" s="2">
        <v>700.385629999891</v>
      </c>
      <c r="W185">
        <v>5</v>
      </c>
      <c r="AG185" s="130" t="s">
        <v>349</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350</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353</v>
      </c>
      <c r="C186" t="s">
        <v>353</v>
      </c>
      <c r="E186" s="2">
        <v>104.060158429408</v>
      </c>
      <c r="I186" s="2">
        <v>115.579723919514</v>
      </c>
      <c r="J186" s="2">
        <v>118.102884953976</v>
      </c>
      <c r="L186" s="2">
        <v>120.651844860726</v>
      </c>
      <c r="V186" s="2">
        <v>106.318426449093</v>
      </c>
      <c r="W186">
        <v>5</v>
      </c>
      <c r="AG186" s="130" t="s">
        <v>354</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350</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355</v>
      </c>
      <c r="C187" t="s">
        <v>355</v>
      </c>
      <c r="E187" s="2">
        <v>66.791549374975</v>
      </c>
      <c r="F187" s="2">
        <f>E187</f>
        <v>66.791549374975</v>
      </c>
      <c r="I187" s="2">
        <f>F187</f>
        <v>66.791549374975</v>
      </c>
      <c r="J187" s="2">
        <f>I187</f>
        <v>66.791549374975</v>
      </c>
      <c r="L187" s="2">
        <f>J187</f>
        <v>66.791549374975</v>
      </c>
      <c r="V187" s="2">
        <f>L187</f>
        <v>66.791549374975</v>
      </c>
      <c r="W187">
        <v>5</v>
      </c>
      <c r="AG187" s="130" t="s">
        <v>349</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350</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356</v>
      </c>
      <c r="C188" t="s">
        <v>356</v>
      </c>
      <c r="E188" s="2">
        <v>70.7067159866117</v>
      </c>
      <c r="F188" s="2">
        <f>E188</f>
        <v>70.7067159866117</v>
      </c>
      <c r="I188" s="2">
        <f>F188</f>
        <v>70.7067159866117</v>
      </c>
      <c r="J188" s="2">
        <f>I188</f>
        <v>70.7067159866117</v>
      </c>
      <c r="L188" s="2">
        <f>J188</f>
        <v>70.7067159866117</v>
      </c>
      <c r="V188" s="2">
        <f>L188</f>
        <v>70.7067159866117</v>
      </c>
      <c r="W188">
        <v>5</v>
      </c>
      <c r="AG188" s="130" t="s">
        <v>349</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350</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357</v>
      </c>
      <c r="C189" t="s">
        <v>357</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354</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350</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358</v>
      </c>
      <c r="C190" t="s">
        <v>358</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354</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350</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359</v>
      </c>
      <c r="C191" t="s">
        <v>359</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354</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350</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360</v>
      </c>
      <c r="C192" t="s">
        <v>360</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361</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350</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362</v>
      </c>
      <c r="C193" t="s">
        <v>362</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349</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350</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363</v>
      </c>
      <c r="C194" t="s">
        <v>363</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349</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350</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348</v>
      </c>
      <c r="C195" t="s">
        <v>348</v>
      </c>
      <c r="E195" s="2">
        <v>0.256072074981676</v>
      </c>
      <c r="F195" s="2">
        <f>E195</f>
        <v>0.256072074981676</v>
      </c>
      <c r="I195" s="2">
        <f>F195</f>
        <v>0.256072074981676</v>
      </c>
      <c r="J195" s="2">
        <f>I195</f>
        <v>0.256072074981676</v>
      </c>
      <c r="L195" s="2">
        <f>J195</f>
        <v>0.256072074981676</v>
      </c>
      <c r="V195" s="2">
        <f>L195</f>
        <v>0.256072074981676</v>
      </c>
      <c r="W195">
        <v>5</v>
      </c>
      <c r="AG195" s="130" t="s">
        <v>349</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364</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351</v>
      </c>
      <c r="C196" t="s">
        <v>351</v>
      </c>
      <c r="E196" s="2">
        <v>47.3746158946769</v>
      </c>
      <c r="F196" s="2">
        <f>E196</f>
        <v>47.3746158946769</v>
      </c>
      <c r="I196" s="2">
        <f>F196</f>
        <v>47.3746158946769</v>
      </c>
      <c r="J196" s="2">
        <f>I196</f>
        <v>47.3746158946769</v>
      </c>
      <c r="L196" s="2">
        <f>J196</f>
        <v>47.3746158946769</v>
      </c>
      <c r="V196" s="2">
        <f>L196</f>
        <v>47.3746158946769</v>
      </c>
      <c r="W196">
        <v>5</v>
      </c>
      <c r="AG196" s="130" t="s">
        <v>349</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364</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352</v>
      </c>
      <c r="C197" t="s">
        <v>352</v>
      </c>
      <c r="E197" s="2">
        <v>1.54205978731801</v>
      </c>
      <c r="I197" s="2">
        <v>2.2933747443729</v>
      </c>
      <c r="J197" s="2">
        <v>2.50091005576803</v>
      </c>
      <c r="L197" s="2">
        <v>3.00411860431572</v>
      </c>
      <c r="V197" s="2">
        <v>4.38797476185201</v>
      </c>
      <c r="W197">
        <v>5</v>
      </c>
      <c r="AG197" s="130" t="s">
        <v>349</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364</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353</v>
      </c>
      <c r="C198" t="s">
        <v>353</v>
      </c>
      <c r="E198" s="2">
        <v>0.352843445576617</v>
      </c>
      <c r="I198" s="2">
        <v>0.380077614067599</v>
      </c>
      <c r="J198" s="2">
        <v>0.388635517829094</v>
      </c>
      <c r="L198" s="2">
        <v>0.405863584509525</v>
      </c>
      <c r="V198" s="2">
        <v>0.439997486713419</v>
      </c>
      <c r="W198">
        <v>5</v>
      </c>
      <c r="AG198" s="130" t="s">
        <v>354</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364</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355</v>
      </c>
      <c r="C199" t="s">
        <v>355</v>
      </c>
      <c r="E199" s="2">
        <v>3.84648924933516</v>
      </c>
      <c r="F199" s="2">
        <f>E199</f>
        <v>3.84648924933516</v>
      </c>
      <c r="I199" s="2">
        <f>F199</f>
        <v>3.84648924933516</v>
      </c>
      <c r="J199" s="2">
        <f>I199</f>
        <v>3.84648924933516</v>
      </c>
      <c r="L199" s="2">
        <f>J199</f>
        <v>3.84648924933516</v>
      </c>
      <c r="V199" s="2">
        <f>L199</f>
        <v>3.84648924933516</v>
      </c>
      <c r="W199">
        <v>5</v>
      </c>
      <c r="AG199" s="130" t="s">
        <v>349</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364</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356</v>
      </c>
      <c r="C200" t="s">
        <v>356</v>
      </c>
      <c r="E200" s="2">
        <v>6.11048510398272</v>
      </c>
      <c r="F200" s="2">
        <f>E200</f>
        <v>6.11048510398272</v>
      </c>
      <c r="I200" s="2">
        <f>F200</f>
        <v>6.11048510398272</v>
      </c>
      <c r="J200" s="2">
        <f>I200</f>
        <v>6.11048510398272</v>
      </c>
      <c r="L200" s="2">
        <f>J200</f>
        <v>6.11048510398272</v>
      </c>
      <c r="V200" s="2">
        <f>L200</f>
        <v>6.11048510398272</v>
      </c>
      <c r="W200">
        <v>5</v>
      </c>
      <c r="AG200" s="130" t="s">
        <v>349</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364</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357</v>
      </c>
      <c r="C201" t="s">
        <v>357</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354</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364</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358</v>
      </c>
      <c r="C202" t="s">
        <v>358</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354</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364</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359</v>
      </c>
      <c r="C203" t="s">
        <v>359</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354</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364</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360</v>
      </c>
      <c r="C204" t="s">
        <v>360</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361</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364</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362</v>
      </c>
      <c r="C205" t="s">
        <v>362</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349</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364</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363</v>
      </c>
      <c r="C206" t="s">
        <v>363</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349</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364</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348</v>
      </c>
      <c r="C207" t="s">
        <v>348</v>
      </c>
      <c r="E207" s="2">
        <v>37.6862690821027</v>
      </c>
      <c r="F207" s="2">
        <f>E207</f>
        <v>37.6862690821027</v>
      </c>
      <c r="I207" s="2">
        <f>F207</f>
        <v>37.6862690821027</v>
      </c>
      <c r="J207" s="2">
        <f>I207</f>
        <v>37.6862690821027</v>
      </c>
      <c r="L207" s="2">
        <f>J207</f>
        <v>37.6862690821027</v>
      </c>
      <c r="V207" s="2">
        <f>L207</f>
        <v>37.6862690821027</v>
      </c>
      <c r="W207">
        <v>5</v>
      </c>
      <c r="AG207" s="130" t="s">
        <v>349</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364</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351</v>
      </c>
      <c r="C208" t="s">
        <v>351</v>
      </c>
      <c r="E208" s="2">
        <v>171.695546898346</v>
      </c>
      <c r="F208" s="2">
        <f>E208</f>
        <v>171.695546898346</v>
      </c>
      <c r="I208" s="2">
        <f>F208</f>
        <v>171.695546898346</v>
      </c>
      <c r="J208" s="2">
        <f>I208</f>
        <v>171.695546898346</v>
      </c>
      <c r="L208" s="2">
        <f>J208</f>
        <v>171.695546898346</v>
      </c>
      <c r="V208" s="2">
        <f>L208</f>
        <v>171.695546898346</v>
      </c>
      <c r="W208">
        <v>5</v>
      </c>
      <c r="AG208" s="130" t="s">
        <v>349</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364</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352</v>
      </c>
      <c r="C209" t="s">
        <v>352</v>
      </c>
      <c r="E209" s="2">
        <v>1.63567528506496</v>
      </c>
      <c r="I209" s="2">
        <v>2.00210413796029</v>
      </c>
      <c r="J209" s="2">
        <v>2.09278038542612</v>
      </c>
      <c r="L209" s="2">
        <v>2.26532114634834</v>
      </c>
      <c r="V209" s="2">
        <v>2.74074096644458</v>
      </c>
      <c r="W209">
        <v>5</v>
      </c>
      <c r="AG209" s="130" t="s">
        <v>349</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364</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353</v>
      </c>
      <c r="C210" t="s">
        <v>353</v>
      </c>
      <c r="E210" s="2">
        <v>20.1251585840136</v>
      </c>
      <c r="I210" s="2">
        <v>19.5799173646443</v>
      </c>
      <c r="J210" s="2">
        <v>19.4340318121154</v>
      </c>
      <c r="L210" s="2">
        <v>19.1689954097244</v>
      </c>
      <c r="V210" s="2">
        <v>17.2937393473289</v>
      </c>
      <c r="W210">
        <v>5</v>
      </c>
      <c r="AG210" s="130" t="s">
        <v>354</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364</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355</v>
      </c>
      <c r="C211" t="s">
        <v>355</v>
      </c>
      <c r="E211" s="2">
        <v>25.7362823995911</v>
      </c>
      <c r="F211" s="2">
        <f>E211</f>
        <v>25.7362823995911</v>
      </c>
      <c r="I211" s="2">
        <f>F211</f>
        <v>25.7362823995911</v>
      </c>
      <c r="J211" s="2">
        <f>I211</f>
        <v>25.7362823995911</v>
      </c>
      <c r="L211" s="2">
        <f>J211</f>
        <v>25.7362823995911</v>
      </c>
      <c r="V211" s="2">
        <f>L211</f>
        <v>25.7362823995911</v>
      </c>
      <c r="W211">
        <v>5</v>
      </c>
      <c r="AG211" s="130" t="s">
        <v>349</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364</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356</v>
      </c>
      <c r="C212" t="s">
        <v>356</v>
      </c>
      <c r="E212" s="2">
        <v>204.212343478537</v>
      </c>
      <c r="F212" s="2">
        <f>E212</f>
        <v>204.212343478537</v>
      </c>
      <c r="I212" s="2">
        <f>F212</f>
        <v>204.212343478537</v>
      </c>
      <c r="J212" s="2">
        <f>I212</f>
        <v>204.212343478537</v>
      </c>
      <c r="L212" s="2">
        <f>J212</f>
        <v>204.212343478537</v>
      </c>
      <c r="V212" s="2">
        <f>L212</f>
        <v>204.212343478537</v>
      </c>
      <c r="W212">
        <v>5</v>
      </c>
      <c r="AG212" s="130" t="s">
        <v>349</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364</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357</v>
      </c>
      <c r="C213" t="s">
        <v>357</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354</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364</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358</v>
      </c>
      <c r="C214" t="s">
        <v>358</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354</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364</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359</v>
      </c>
      <c r="C215" t="s">
        <v>359</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354</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364</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360</v>
      </c>
      <c r="C216" t="s">
        <v>360</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361</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364</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362</v>
      </c>
      <c r="C217" t="s">
        <v>362</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349</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364</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363</v>
      </c>
      <c r="C218" t="s">
        <v>363</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349</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364</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348</v>
      </c>
      <c r="C219" t="s">
        <v>348</v>
      </c>
      <c r="E219" s="2">
        <v>147.201253049397</v>
      </c>
      <c r="F219" s="2">
        <f>E219</f>
        <v>147.201253049397</v>
      </c>
      <c r="I219" s="2">
        <f>F219</f>
        <v>147.201253049397</v>
      </c>
      <c r="J219" s="2">
        <f>I219</f>
        <v>147.201253049397</v>
      </c>
      <c r="L219" s="2">
        <f>J219</f>
        <v>147.201253049397</v>
      </c>
      <c r="V219" s="2">
        <f>L219</f>
        <v>147.201253049397</v>
      </c>
      <c r="W219">
        <v>5</v>
      </c>
      <c r="AG219" s="130" t="s">
        <v>349</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364</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351</v>
      </c>
      <c r="C220" t="s">
        <v>351</v>
      </c>
      <c r="E220" s="2">
        <v>304.698744172512</v>
      </c>
      <c r="F220" s="2">
        <f>E220</f>
        <v>304.698744172512</v>
      </c>
      <c r="I220" s="2">
        <f>F220</f>
        <v>304.698744172512</v>
      </c>
      <c r="J220" s="2">
        <f>I220</f>
        <v>304.698744172512</v>
      </c>
      <c r="L220" s="2">
        <f>J220</f>
        <v>304.698744172512</v>
      </c>
      <c r="V220" s="2">
        <f>L220</f>
        <v>304.698744172512</v>
      </c>
      <c r="W220">
        <v>5</v>
      </c>
      <c r="AG220" s="130" t="s">
        <v>349</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364</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352</v>
      </c>
      <c r="C221" t="s">
        <v>352</v>
      </c>
      <c r="E221" s="2">
        <v>2.00415370193619</v>
      </c>
      <c r="I221" s="2">
        <v>2.25537567940657</v>
      </c>
      <c r="J221" s="2">
        <v>2.31451247838056</v>
      </c>
      <c r="L221" s="2">
        <v>2.43518133307239</v>
      </c>
      <c r="V221" s="2">
        <v>2.7227704244893</v>
      </c>
      <c r="W221">
        <v>5</v>
      </c>
      <c r="AG221" s="130" t="s">
        <v>349</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364</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353</v>
      </c>
      <c r="C222" t="s">
        <v>353</v>
      </c>
      <c r="E222" s="2">
        <v>66.7506994732046</v>
      </c>
      <c r="I222" s="2">
        <v>62.8279897332199</v>
      </c>
      <c r="J222" s="2">
        <v>61.4557974881527</v>
      </c>
      <c r="L222" s="2">
        <v>58.7814507762721</v>
      </c>
      <c r="V222" s="2">
        <v>46.9474788673513</v>
      </c>
      <c r="W222">
        <v>5</v>
      </c>
      <c r="AG222" s="130" t="s">
        <v>354</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364</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355</v>
      </c>
      <c r="C223" t="s">
        <v>355</v>
      </c>
      <c r="E223" s="2">
        <v>130.648113917981</v>
      </c>
      <c r="F223" s="2">
        <f>E223</f>
        <v>130.648113917981</v>
      </c>
      <c r="I223" s="2">
        <f>F223</f>
        <v>130.648113917981</v>
      </c>
      <c r="J223" s="2">
        <f>I223</f>
        <v>130.648113917981</v>
      </c>
      <c r="L223" s="2">
        <f>J223</f>
        <v>130.648113917981</v>
      </c>
      <c r="V223" s="2">
        <f>L223</f>
        <v>130.648113917981</v>
      </c>
      <c r="W223">
        <v>5</v>
      </c>
      <c r="AG223" s="130" t="s">
        <v>349</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364</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356</v>
      </c>
      <c r="C224" t="s">
        <v>356</v>
      </c>
      <c r="E224" s="2">
        <v>187.66044154924</v>
      </c>
      <c r="F224" s="2">
        <f>E224</f>
        <v>187.66044154924</v>
      </c>
      <c r="I224" s="2">
        <f>F224</f>
        <v>187.66044154924</v>
      </c>
      <c r="J224" s="2">
        <f>I224</f>
        <v>187.66044154924</v>
      </c>
      <c r="L224" s="2">
        <f>J224</f>
        <v>187.66044154924</v>
      </c>
      <c r="V224" s="2">
        <f>L224</f>
        <v>187.66044154924</v>
      </c>
      <c r="W224">
        <v>5</v>
      </c>
      <c r="AG224" s="130" t="s">
        <v>349</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364</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357</v>
      </c>
      <c r="C225" t="s">
        <v>357</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354</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364</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358</v>
      </c>
      <c r="C226" t="s">
        <v>358</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354</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364</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359</v>
      </c>
      <c r="C227" t="s">
        <v>359</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354</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364</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360</v>
      </c>
      <c r="C228" t="s">
        <v>360</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361</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364</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362</v>
      </c>
      <c r="C229" t="s">
        <v>362</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349</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364</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363</v>
      </c>
      <c r="C230" t="s">
        <v>363</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349</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364</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348</v>
      </c>
      <c r="C231" t="s">
        <v>348</v>
      </c>
      <c r="E231" s="2">
        <v>90.136915586846</v>
      </c>
      <c r="F231" s="2">
        <f>E231</f>
        <v>90.136915586846</v>
      </c>
      <c r="I231" s="2">
        <f>F231</f>
        <v>90.136915586846</v>
      </c>
      <c r="J231" s="2">
        <f>I231</f>
        <v>90.136915586846</v>
      </c>
      <c r="L231" s="2">
        <f>J231</f>
        <v>90.136915586846</v>
      </c>
      <c r="V231" s="2">
        <f>L231</f>
        <v>90.136915586846</v>
      </c>
      <c r="W231">
        <v>5</v>
      </c>
      <c r="AG231" s="130" t="s">
        <v>349</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350</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351</v>
      </c>
      <c r="C232" t="s">
        <v>351</v>
      </c>
      <c r="E232" s="2">
        <v>322.671564831785</v>
      </c>
      <c r="F232" s="2">
        <f>E232</f>
        <v>322.671564831785</v>
      </c>
      <c r="I232" s="2">
        <f>F232</f>
        <v>322.671564831785</v>
      </c>
      <c r="J232" s="2">
        <f>I232</f>
        <v>322.671564831785</v>
      </c>
      <c r="L232" s="2">
        <f>J232</f>
        <v>322.671564831785</v>
      </c>
      <c r="V232" s="2">
        <f>L232</f>
        <v>322.671564831785</v>
      </c>
      <c r="W232">
        <v>5</v>
      </c>
      <c r="AG232" s="130" t="s">
        <v>349</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350</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352</v>
      </c>
      <c r="C233" t="s">
        <v>352</v>
      </c>
      <c r="E233" s="2">
        <v>1.84646348307184</v>
      </c>
      <c r="I233" s="2">
        <v>2.9750260287217</v>
      </c>
      <c r="J233" s="2">
        <v>3.41960386866863</v>
      </c>
      <c r="L233" s="2">
        <v>4.40674604488185</v>
      </c>
      <c r="V233" s="2">
        <v>10.1928288864832</v>
      </c>
      <c r="W233">
        <v>5</v>
      </c>
      <c r="AG233" s="130" t="s">
        <v>349</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350</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353</v>
      </c>
      <c r="C234" t="s">
        <v>353</v>
      </c>
      <c r="E234" s="2">
        <v>5.37764191828844</v>
      </c>
      <c r="I234" s="2">
        <v>5.9759908455789</v>
      </c>
      <c r="J234" s="2">
        <v>6.11874641816906</v>
      </c>
      <c r="L234" s="2">
        <v>6.30184396491898</v>
      </c>
      <c r="V234" s="2">
        <v>5.931543434921</v>
      </c>
      <c r="W234">
        <v>5</v>
      </c>
      <c r="AG234" s="130" t="s">
        <v>354</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350</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355</v>
      </c>
      <c r="C235" t="s">
        <v>355</v>
      </c>
      <c r="E235" s="2">
        <v>51.9865510775928</v>
      </c>
      <c r="F235" s="2">
        <f>E235</f>
        <v>51.9865510775928</v>
      </c>
      <c r="I235" s="2">
        <f>F235</f>
        <v>51.9865510775928</v>
      </c>
      <c r="J235" s="2">
        <f>I235</f>
        <v>51.9865510775928</v>
      </c>
      <c r="L235" s="2">
        <f>J235</f>
        <v>51.9865510775928</v>
      </c>
      <c r="V235" s="2">
        <f>L235</f>
        <v>51.9865510775928</v>
      </c>
      <c r="W235">
        <v>5</v>
      </c>
      <c r="AG235" s="130" t="s">
        <v>349</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350</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356</v>
      </c>
      <c r="C236" t="s">
        <v>356</v>
      </c>
      <c r="E236" s="2">
        <v>361.380565652376</v>
      </c>
      <c r="F236" s="2">
        <f>E236</f>
        <v>361.380565652376</v>
      </c>
      <c r="I236" s="2">
        <f>F236</f>
        <v>361.380565652376</v>
      </c>
      <c r="J236" s="2">
        <f>I236</f>
        <v>361.380565652376</v>
      </c>
      <c r="L236" s="2">
        <f>J236</f>
        <v>361.380565652376</v>
      </c>
      <c r="V236" s="2">
        <f>L236</f>
        <v>361.380565652376</v>
      </c>
      <c r="W236">
        <v>5</v>
      </c>
      <c r="AG236" s="130" t="s">
        <v>349</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350</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357</v>
      </c>
      <c r="C237" t="s">
        <v>357</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354</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350</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358</v>
      </c>
      <c r="C238" t="s">
        <v>358</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354</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350</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359</v>
      </c>
      <c r="C239" t="s">
        <v>359</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354</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350</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360</v>
      </c>
      <c r="C240" t="s">
        <v>360</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361</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350</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362</v>
      </c>
      <c r="C241" t="s">
        <v>362</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349</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350</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363</v>
      </c>
      <c r="C242" t="s">
        <v>363</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349</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350</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348</v>
      </c>
      <c r="C243" t="s">
        <v>348</v>
      </c>
      <c r="E243" s="2">
        <v>60.7568958307909</v>
      </c>
      <c r="F243" s="2">
        <f>E243</f>
        <v>60.7568958307909</v>
      </c>
      <c r="I243" s="2">
        <f>F243</f>
        <v>60.7568958307909</v>
      </c>
      <c r="J243" s="2">
        <f>I243</f>
        <v>60.7568958307909</v>
      </c>
      <c r="L243" s="2">
        <f>J243</f>
        <v>60.7568958307909</v>
      </c>
      <c r="V243" s="2">
        <f>L243</f>
        <v>60.7568958307909</v>
      </c>
      <c r="W243">
        <v>5</v>
      </c>
      <c r="AG243" s="130" t="s">
        <v>349</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350</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351</v>
      </c>
      <c r="C244" t="s">
        <v>351</v>
      </c>
      <c r="E244" s="2">
        <v>769.872325083212</v>
      </c>
      <c r="F244" s="2">
        <f>E244</f>
        <v>769.872325083212</v>
      </c>
      <c r="I244" s="2">
        <f>F244</f>
        <v>769.872325083212</v>
      </c>
      <c r="J244" s="2">
        <f>I244</f>
        <v>769.872325083212</v>
      </c>
      <c r="L244" s="2">
        <f>J244</f>
        <v>769.872325083212</v>
      </c>
      <c r="V244" s="2">
        <f>L244</f>
        <v>769.872325083212</v>
      </c>
      <c r="W244">
        <v>5</v>
      </c>
      <c r="AG244" s="130" t="s">
        <v>349</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350</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352</v>
      </c>
      <c r="C245" t="s">
        <v>352</v>
      </c>
      <c r="E245" s="2">
        <v>2.42303774855836</v>
      </c>
      <c r="I245" s="2">
        <v>3.84384051393692</v>
      </c>
      <c r="J245" s="2">
        <v>4.4294966471537</v>
      </c>
      <c r="L245" s="2">
        <v>5.66688008820451</v>
      </c>
      <c r="V245" s="2">
        <v>12.5737312548675</v>
      </c>
      <c r="W245">
        <v>5</v>
      </c>
      <c r="AG245" s="130" t="s">
        <v>349</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350</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353</v>
      </c>
      <c r="C246" t="s">
        <v>353</v>
      </c>
      <c r="E246" s="2">
        <v>1.04527510225683</v>
      </c>
      <c r="I246" s="2">
        <v>1.28003974811183</v>
      </c>
      <c r="J246" s="2">
        <v>1.34969977903957</v>
      </c>
      <c r="L246" s="2">
        <v>1.46831105505433</v>
      </c>
      <c r="V246" s="2">
        <v>1.60221331092418</v>
      </c>
      <c r="W246">
        <v>5</v>
      </c>
      <c r="AG246" s="130" t="s">
        <v>354</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350</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355</v>
      </c>
      <c r="C247" t="s">
        <v>355</v>
      </c>
      <c r="E247" s="2">
        <v>0</v>
      </c>
      <c r="F247" s="2">
        <f>E247</f>
        <v>0</v>
      </c>
      <c r="I247" s="2">
        <f>F247</f>
        <v>0</v>
      </c>
      <c r="J247" s="2">
        <f>I247</f>
        <v>0</v>
      </c>
      <c r="L247" s="2">
        <f>J247</f>
        <v>0</v>
      </c>
      <c r="V247" s="2">
        <f>L247</f>
        <v>0</v>
      </c>
      <c r="W247">
        <v>5</v>
      </c>
      <c r="AG247" s="130" t="s">
        <v>349</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350</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356</v>
      </c>
      <c r="C248" t="s">
        <v>356</v>
      </c>
      <c r="E248" s="2">
        <v>877.340866458265</v>
      </c>
      <c r="F248" s="2">
        <f>E248</f>
        <v>877.340866458265</v>
      </c>
      <c r="I248" s="2">
        <f>F248</f>
        <v>877.340866458265</v>
      </c>
      <c r="J248" s="2">
        <f>I248</f>
        <v>877.340866458265</v>
      </c>
      <c r="L248" s="2">
        <f>J248</f>
        <v>877.340866458265</v>
      </c>
      <c r="V248" s="2">
        <f>L248</f>
        <v>877.340866458265</v>
      </c>
      <c r="W248">
        <v>5</v>
      </c>
      <c r="AG248" s="130" t="s">
        <v>349</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350</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357</v>
      </c>
      <c r="C249" t="s">
        <v>357</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354</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350</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358</v>
      </c>
      <c r="C250" t="s">
        <v>358</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354</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350</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359</v>
      </c>
      <c r="C251" t="s">
        <v>359</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354</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350</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360</v>
      </c>
      <c r="C252" t="s">
        <v>360</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361</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350</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362</v>
      </c>
      <c r="C253" t="s">
        <v>362</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349</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350</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363</v>
      </c>
      <c r="C254" t="s">
        <v>363</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349</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350</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348</v>
      </c>
      <c r="C255" t="s">
        <v>348</v>
      </c>
      <c r="E255" s="2">
        <v>2841.17573671432</v>
      </c>
      <c r="F255" s="2">
        <f>E255</f>
        <v>2841.17573671432</v>
      </c>
      <c r="I255" s="2">
        <f>F255</f>
        <v>2841.17573671432</v>
      </c>
      <c r="J255" s="2">
        <f>I255</f>
        <v>2841.17573671432</v>
      </c>
      <c r="L255" s="2">
        <f>J255</f>
        <v>2841.17573671432</v>
      </c>
      <c r="V255" s="2">
        <f>L255</f>
        <v>2841.17573671432</v>
      </c>
      <c r="W255">
        <v>5</v>
      </c>
      <c r="AG255" s="130" t="s">
        <v>349</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364</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351</v>
      </c>
      <c r="C256" t="s">
        <v>351</v>
      </c>
      <c r="E256" s="2">
        <v>1296.87718269106</v>
      </c>
      <c r="F256" s="2">
        <f>E256</f>
        <v>1296.87718269106</v>
      </c>
      <c r="I256" s="2">
        <f>F256</f>
        <v>1296.87718269106</v>
      </c>
      <c r="J256" s="2">
        <f>I256</f>
        <v>1296.87718269106</v>
      </c>
      <c r="L256" s="2">
        <f>J256</f>
        <v>1296.87718269106</v>
      </c>
      <c r="V256" s="2">
        <f>L256</f>
        <v>1296.87718269106</v>
      </c>
      <c r="W256">
        <v>5</v>
      </c>
      <c r="AG256" s="130" t="s">
        <v>349</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364</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352</v>
      </c>
      <c r="C257" t="s">
        <v>352</v>
      </c>
      <c r="E257" s="2">
        <v>679.575521485568</v>
      </c>
      <c r="I257" s="2">
        <v>871.443239460521</v>
      </c>
      <c r="J257" s="2">
        <v>923.557036642287</v>
      </c>
      <c r="L257" s="2">
        <v>1023.3743399238</v>
      </c>
      <c r="V257" s="2">
        <v>1430.88134514306</v>
      </c>
      <c r="W257">
        <v>5</v>
      </c>
      <c r="AG257" s="130" t="s">
        <v>349</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364</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353</v>
      </c>
      <c r="C258" t="s">
        <v>353</v>
      </c>
      <c r="E258" s="2">
        <v>58.4320094976446</v>
      </c>
      <c r="I258" s="2">
        <v>61.9365902820291</v>
      </c>
      <c r="J258" s="2">
        <v>62.9423237956776</v>
      </c>
      <c r="L258" s="2">
        <v>64.5538136248101</v>
      </c>
      <c r="V258" s="2">
        <v>66.6913174585817</v>
      </c>
      <c r="W258">
        <v>5</v>
      </c>
      <c r="AG258" s="130" t="s">
        <v>354</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364</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355</v>
      </c>
      <c r="C259" t="s">
        <v>355</v>
      </c>
      <c r="E259" s="2">
        <v>449.84905940102</v>
      </c>
      <c r="F259" s="2">
        <f>E259</f>
        <v>449.84905940102</v>
      </c>
      <c r="I259" s="2">
        <f>F259</f>
        <v>449.84905940102</v>
      </c>
      <c r="J259" s="2">
        <f>I259</f>
        <v>449.84905940102</v>
      </c>
      <c r="L259" s="2">
        <f>J259</f>
        <v>449.84905940102</v>
      </c>
      <c r="V259" s="2">
        <f>L259</f>
        <v>449.84905940102</v>
      </c>
      <c r="W259">
        <v>5</v>
      </c>
      <c r="AG259" s="130" t="s">
        <v>349</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364</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356</v>
      </c>
      <c r="C260" t="s">
        <v>356</v>
      </c>
      <c r="E260" s="2">
        <v>1024.60125475921</v>
      </c>
      <c r="F260" s="2">
        <f>E260</f>
        <v>1024.60125475921</v>
      </c>
      <c r="I260" s="2">
        <f>F260</f>
        <v>1024.60125475921</v>
      </c>
      <c r="J260" s="2">
        <f>I260</f>
        <v>1024.60125475921</v>
      </c>
      <c r="L260" s="2">
        <f>J260</f>
        <v>1024.60125475921</v>
      </c>
      <c r="V260" s="2">
        <f>L260</f>
        <v>1024.60125475921</v>
      </c>
      <c r="W260">
        <v>5</v>
      </c>
      <c r="AG260" s="130" t="s">
        <v>349</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364</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357</v>
      </c>
      <c r="C261" t="s">
        <v>357</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354</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364</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358</v>
      </c>
      <c r="C262" t="s">
        <v>358</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354</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364</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359</v>
      </c>
      <c r="C263" t="s">
        <v>359</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354</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364</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360</v>
      </c>
      <c r="C264" t="s">
        <v>360</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361</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364</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362</v>
      </c>
      <c r="C265" t="s">
        <v>362</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349</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364</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363</v>
      </c>
      <c r="C266" t="s">
        <v>363</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349</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364</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348</v>
      </c>
      <c r="C267" t="s">
        <v>348</v>
      </c>
      <c r="E267" s="2">
        <v>14.7984681944307</v>
      </c>
      <c r="F267" s="2">
        <f>E267</f>
        <v>14.7984681944307</v>
      </c>
      <c r="I267" s="2">
        <f>F267</f>
        <v>14.7984681944307</v>
      </c>
      <c r="J267" s="2">
        <f>I267</f>
        <v>14.7984681944307</v>
      </c>
      <c r="L267" s="2">
        <f>J267</f>
        <v>14.7984681944307</v>
      </c>
      <c r="V267" s="2">
        <f>L267</f>
        <v>14.7984681944307</v>
      </c>
      <c r="W267">
        <v>5</v>
      </c>
      <c r="AG267" s="130" t="s">
        <v>349</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364</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351</v>
      </c>
      <c r="C268" t="s">
        <v>351</v>
      </c>
      <c r="E268" s="2">
        <v>23.0960305800922</v>
      </c>
      <c r="F268" s="2">
        <f>E268</f>
        <v>23.0960305800922</v>
      </c>
      <c r="I268" s="2">
        <f>F268</f>
        <v>23.0960305800922</v>
      </c>
      <c r="J268" s="2">
        <f>I268</f>
        <v>23.0960305800922</v>
      </c>
      <c r="L268" s="2">
        <f>J268</f>
        <v>23.0960305800922</v>
      </c>
      <c r="V268" s="2">
        <f>L268</f>
        <v>23.0960305800922</v>
      </c>
      <c r="W268">
        <v>5</v>
      </c>
      <c r="AG268" s="130" t="s">
        <v>349</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364</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352</v>
      </c>
      <c r="C269" t="s">
        <v>352</v>
      </c>
      <c r="E269" s="2">
        <v>0.51595754320536</v>
      </c>
      <c r="I269" s="2">
        <v>0.638928901592722</v>
      </c>
      <c r="J269" s="2">
        <v>0.677045949641929</v>
      </c>
      <c r="L269" s="2">
        <v>0.753366829922741</v>
      </c>
      <c r="V269" s="2">
        <v>1.0359150852844</v>
      </c>
      <c r="W269">
        <v>5</v>
      </c>
      <c r="AG269" s="130" t="s">
        <v>349</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364</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353</v>
      </c>
      <c r="C270" t="s">
        <v>353</v>
      </c>
      <c r="E270" s="2">
        <v>2.17914793638656</v>
      </c>
      <c r="I270" s="2">
        <v>2.29597042282211</v>
      </c>
      <c r="J270" s="2">
        <v>2.33082853795445</v>
      </c>
      <c r="L270" s="2">
        <v>2.40103698525162</v>
      </c>
      <c r="V270" s="2">
        <v>2.54308329491963</v>
      </c>
      <c r="W270">
        <v>5</v>
      </c>
      <c r="AG270" s="130" t="s">
        <v>354</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364</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355</v>
      </c>
      <c r="C271" t="s">
        <v>355</v>
      </c>
      <c r="E271" s="2">
        <v>42.2817941023615</v>
      </c>
      <c r="F271" s="2">
        <f>E271</f>
        <v>42.2817941023615</v>
      </c>
      <c r="I271" s="2">
        <f>F271</f>
        <v>42.2817941023615</v>
      </c>
      <c r="J271" s="2">
        <f>I271</f>
        <v>42.2817941023615</v>
      </c>
      <c r="L271" s="2">
        <f>J271</f>
        <v>42.2817941023615</v>
      </c>
      <c r="V271" s="2">
        <f>L271</f>
        <v>42.2817941023615</v>
      </c>
      <c r="W271">
        <v>5</v>
      </c>
      <c r="AG271" s="130" t="s">
        <v>349</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364</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356</v>
      </c>
      <c r="C272" t="s">
        <v>356</v>
      </c>
      <c r="E272" s="2">
        <v>13.8699028407244</v>
      </c>
      <c r="F272" s="2">
        <f>E272</f>
        <v>13.8699028407244</v>
      </c>
      <c r="I272" s="2">
        <f>F272</f>
        <v>13.8699028407244</v>
      </c>
      <c r="J272" s="2">
        <f>I272</f>
        <v>13.8699028407244</v>
      </c>
      <c r="L272" s="2">
        <f>J272</f>
        <v>13.8699028407244</v>
      </c>
      <c r="V272" s="2">
        <f>L272</f>
        <v>13.8699028407244</v>
      </c>
      <c r="W272">
        <v>5</v>
      </c>
      <c r="AG272" s="130" t="s">
        <v>349</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364</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357</v>
      </c>
      <c r="C273" t="s">
        <v>357</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354</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364</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358</v>
      </c>
      <c r="C274" t="s">
        <v>358</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354</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364</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359</v>
      </c>
      <c r="C275" t="s">
        <v>359</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354</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364</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360</v>
      </c>
      <c r="C276" t="s">
        <v>360</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361</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364</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362</v>
      </c>
      <c r="C277" t="s">
        <v>362</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349</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364</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363</v>
      </c>
      <c r="C278" t="s">
        <v>363</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349</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364</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348</v>
      </c>
      <c r="C279" t="s">
        <v>348</v>
      </c>
      <c r="E279" s="2">
        <v>1.45078903816604</v>
      </c>
      <c r="F279" s="2">
        <f>E279</f>
        <v>1.45078903816604</v>
      </c>
      <c r="I279" s="2">
        <f>F279</f>
        <v>1.45078903816604</v>
      </c>
      <c r="J279" s="2">
        <f>I279</f>
        <v>1.45078903816604</v>
      </c>
      <c r="L279" s="2">
        <f>J279</f>
        <v>1.45078903816604</v>
      </c>
      <c r="V279" s="2">
        <f>L279</f>
        <v>1.45078903816604</v>
      </c>
      <c r="W279">
        <v>5</v>
      </c>
      <c r="AG279" s="130" t="s">
        <v>349</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364</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351</v>
      </c>
      <c r="C280" t="s">
        <v>351</v>
      </c>
      <c r="E280" s="2">
        <v>46.1548724636098</v>
      </c>
      <c r="F280" s="2">
        <f>E280</f>
        <v>46.1548724636098</v>
      </c>
      <c r="I280" s="2">
        <f>F280</f>
        <v>46.1548724636098</v>
      </c>
      <c r="J280" s="2">
        <f>I280</f>
        <v>46.1548724636098</v>
      </c>
      <c r="L280" s="2">
        <f>J280</f>
        <v>46.1548724636098</v>
      </c>
      <c r="V280" s="2">
        <f>L280</f>
        <v>46.1548724636098</v>
      </c>
      <c r="W280">
        <v>5</v>
      </c>
      <c r="AG280" s="130" t="s">
        <v>349</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364</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352</v>
      </c>
      <c r="C281" t="s">
        <v>352</v>
      </c>
      <c r="E281" s="2">
        <v>4.46314013629739</v>
      </c>
      <c r="I281" s="2">
        <v>6.35758734024323</v>
      </c>
      <c r="J281" s="2">
        <v>6.76445580300758</v>
      </c>
      <c r="L281" s="2">
        <v>7.22461343573354</v>
      </c>
      <c r="V281" s="2">
        <v>7.83606786808991</v>
      </c>
      <c r="W281">
        <v>5</v>
      </c>
      <c r="AG281" s="130" t="s">
        <v>349</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364</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353</v>
      </c>
      <c r="C282" t="s">
        <v>353</v>
      </c>
      <c r="E282" s="2">
        <v>10.5765290940029</v>
      </c>
      <c r="I282" s="2">
        <v>10.347440240102</v>
      </c>
      <c r="J282" s="2">
        <v>10.1800295633949</v>
      </c>
      <c r="L282" s="2">
        <v>9.87991671494312</v>
      </c>
      <c r="V282" s="2">
        <v>8.4582264030971</v>
      </c>
      <c r="W282">
        <v>5</v>
      </c>
      <c r="AG282" s="130" t="s">
        <v>354</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364</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355</v>
      </c>
      <c r="C283" t="s">
        <v>355</v>
      </c>
      <c r="E283" s="2">
        <v>0.0798619145042989</v>
      </c>
      <c r="F283" s="2">
        <f>E283</f>
        <v>0.0798619145042989</v>
      </c>
      <c r="I283" s="2">
        <f>F283</f>
        <v>0.0798619145042989</v>
      </c>
      <c r="J283" s="2">
        <f>I283</f>
        <v>0.0798619145042989</v>
      </c>
      <c r="L283" s="2">
        <f>J283</f>
        <v>0.0798619145042989</v>
      </c>
      <c r="V283" s="2">
        <f>L283</f>
        <v>0.0798619145042989</v>
      </c>
      <c r="W283">
        <v>5</v>
      </c>
      <c r="AG283" s="130" t="s">
        <v>349</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364</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356</v>
      </c>
      <c r="C284" t="s">
        <v>356</v>
      </c>
      <c r="E284" s="2">
        <v>11.6805555781569</v>
      </c>
      <c r="F284" s="2">
        <f>E284</f>
        <v>11.6805555781569</v>
      </c>
      <c r="I284" s="2">
        <f>F284</f>
        <v>11.6805555781569</v>
      </c>
      <c r="J284" s="2">
        <f>I284</f>
        <v>11.6805555781569</v>
      </c>
      <c r="L284" s="2">
        <f>J284</f>
        <v>11.6805555781569</v>
      </c>
      <c r="V284" s="2">
        <f>L284</f>
        <v>11.6805555781569</v>
      </c>
      <c r="W284">
        <v>5</v>
      </c>
      <c r="AG284" s="130" t="s">
        <v>349</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364</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357</v>
      </c>
      <c r="C285" t="s">
        <v>357</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354</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364</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358</v>
      </c>
      <c r="C286" t="s">
        <v>358</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354</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364</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359</v>
      </c>
      <c r="C287" t="s">
        <v>359</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354</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364</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360</v>
      </c>
      <c r="C288" t="s">
        <v>360</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361</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364</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362</v>
      </c>
      <c r="C289" t="s">
        <v>362</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349</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364</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363</v>
      </c>
      <c r="C290" t="s">
        <v>363</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349</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364</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348</v>
      </c>
      <c r="C291" t="s">
        <v>348</v>
      </c>
      <c r="E291" s="2">
        <v>375.856107261349</v>
      </c>
      <c r="F291" s="2">
        <f>E291</f>
        <v>375.856107261349</v>
      </c>
      <c r="I291" s="2">
        <f>F291</f>
        <v>375.856107261349</v>
      </c>
      <c r="J291" s="2">
        <f>I291</f>
        <v>375.856107261349</v>
      </c>
      <c r="L291" s="2">
        <f>J291</f>
        <v>375.856107261349</v>
      </c>
      <c r="V291" s="2">
        <f>L291</f>
        <v>375.856107261349</v>
      </c>
      <c r="W291">
        <v>5</v>
      </c>
      <c r="AG291" s="130" t="s">
        <v>349</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350</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351</v>
      </c>
      <c r="C292" t="s">
        <v>351</v>
      </c>
      <c r="E292" s="2">
        <v>1793.42387251125</v>
      </c>
      <c r="F292" s="2">
        <f>E292</f>
        <v>1793.42387251125</v>
      </c>
      <c r="I292" s="2">
        <f>F292</f>
        <v>1793.42387251125</v>
      </c>
      <c r="J292" s="2">
        <f>I292</f>
        <v>1793.42387251125</v>
      </c>
      <c r="L292" s="2">
        <f>J292</f>
        <v>1793.42387251125</v>
      </c>
      <c r="V292" s="2">
        <f>L292</f>
        <v>1793.42387251125</v>
      </c>
      <c r="W292">
        <v>5</v>
      </c>
      <c r="AG292" s="130" t="s">
        <v>349</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350</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352</v>
      </c>
      <c r="C293" t="s">
        <v>352</v>
      </c>
      <c r="E293" s="2">
        <v>68.1480988096855</v>
      </c>
      <c r="I293" s="2">
        <v>120.210053388916</v>
      </c>
      <c r="J293" s="2">
        <v>138.717891505017</v>
      </c>
      <c r="L293" s="2">
        <v>176.096796523436</v>
      </c>
      <c r="V293" s="2">
        <v>396.400729239108</v>
      </c>
      <c r="W293">
        <v>5</v>
      </c>
      <c r="AG293" s="130" t="s">
        <v>349</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350</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353</v>
      </c>
      <c r="C294" t="s">
        <v>353</v>
      </c>
      <c r="E294" s="2">
        <v>65.0197081639144</v>
      </c>
      <c r="I294" s="2">
        <v>74.8789879038112</v>
      </c>
      <c r="J294" s="2">
        <v>77.4311006071278</v>
      </c>
      <c r="L294" s="2">
        <v>81.3506404193642</v>
      </c>
      <c r="V294" s="2">
        <v>82.103251456904</v>
      </c>
      <c r="W294">
        <v>5</v>
      </c>
      <c r="AG294" s="130" t="s">
        <v>354</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350</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355</v>
      </c>
      <c r="C295" t="s">
        <v>355</v>
      </c>
      <c r="E295" s="2">
        <v>289.95526653166</v>
      </c>
      <c r="F295" s="2">
        <f>E295</f>
        <v>289.95526653166</v>
      </c>
      <c r="I295" s="2">
        <f>F295</f>
        <v>289.95526653166</v>
      </c>
      <c r="J295" s="2">
        <f>I295</f>
        <v>289.95526653166</v>
      </c>
      <c r="L295" s="2">
        <f>J295</f>
        <v>289.95526653166</v>
      </c>
      <c r="V295" s="2">
        <f>L295</f>
        <v>289.95526653166</v>
      </c>
      <c r="W295">
        <v>5</v>
      </c>
      <c r="AG295" s="130" t="s">
        <v>349</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350</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356</v>
      </c>
      <c r="C296" t="s">
        <v>356</v>
      </c>
      <c r="E296" s="2">
        <v>2967.54737989209</v>
      </c>
      <c r="F296" s="2">
        <f>E296</f>
        <v>2967.54737989209</v>
      </c>
      <c r="I296" s="2">
        <f>F296</f>
        <v>2967.54737989209</v>
      </c>
      <c r="J296" s="2">
        <f>I296</f>
        <v>2967.54737989209</v>
      </c>
      <c r="L296" s="2">
        <f>J296</f>
        <v>2967.54737989209</v>
      </c>
      <c r="V296" s="2">
        <f>L296</f>
        <v>2967.54737989209</v>
      </c>
      <c r="W296">
        <v>5</v>
      </c>
      <c r="AG296" s="130" t="s">
        <v>349</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350</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357</v>
      </c>
      <c r="C297" t="s">
        <v>357</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354</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350</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358</v>
      </c>
      <c r="C298" t="s">
        <v>358</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354</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350</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359</v>
      </c>
      <c r="C299" t="s">
        <v>359</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354</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350</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360</v>
      </c>
      <c r="C300" t="s">
        <v>360</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361</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350</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362</v>
      </c>
      <c r="C301" t="s">
        <v>362</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349</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350</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363</v>
      </c>
      <c r="C302" t="s">
        <v>363</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349</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350</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348</v>
      </c>
      <c r="C303" t="s">
        <v>348</v>
      </c>
      <c r="E303" s="2">
        <v>247.424732991695</v>
      </c>
      <c r="F303" s="2">
        <f>E303</f>
        <v>247.424732991695</v>
      </c>
      <c r="I303" s="2">
        <f>F303</f>
        <v>247.424732991695</v>
      </c>
      <c r="J303" s="2">
        <f>I303</f>
        <v>247.424732991695</v>
      </c>
      <c r="L303" s="2">
        <f>J303</f>
        <v>247.424732991695</v>
      </c>
      <c r="V303" s="2">
        <f>L303</f>
        <v>247.424732991695</v>
      </c>
      <c r="W303">
        <v>5</v>
      </c>
      <c r="AG303" s="130" t="s">
        <v>349</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364</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351</v>
      </c>
      <c r="C304" t="s">
        <v>351</v>
      </c>
      <c r="E304" s="2">
        <v>254.796113659036</v>
      </c>
      <c r="F304" s="2">
        <f>E304</f>
        <v>254.796113659036</v>
      </c>
      <c r="I304" s="2">
        <f>F304</f>
        <v>254.796113659036</v>
      </c>
      <c r="J304" s="2">
        <f>I304</f>
        <v>254.796113659036</v>
      </c>
      <c r="L304" s="2">
        <f>J304</f>
        <v>254.796113659036</v>
      </c>
      <c r="V304" s="2">
        <f>L304</f>
        <v>254.796113659036</v>
      </c>
      <c r="W304">
        <v>5</v>
      </c>
      <c r="AG304" s="130" t="s">
        <v>349</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364</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352</v>
      </c>
      <c r="C305" t="s">
        <v>352</v>
      </c>
      <c r="E305" s="2">
        <v>195.540546638997</v>
      </c>
      <c r="I305" s="2">
        <v>233.403341867434</v>
      </c>
      <c r="J305" s="2">
        <v>249.181754381167</v>
      </c>
      <c r="L305" s="2">
        <v>279.646185639978</v>
      </c>
      <c r="V305" s="2">
        <v>454.057544816134</v>
      </c>
      <c r="W305">
        <v>5</v>
      </c>
      <c r="AG305" s="130" t="s">
        <v>349</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364</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353</v>
      </c>
      <c r="C306" t="s">
        <v>353</v>
      </c>
      <c r="E306" s="2">
        <v>172.001941684198</v>
      </c>
      <c r="I306" s="2">
        <v>167.898987057315</v>
      </c>
      <c r="J306" s="2">
        <v>166.624883992822</v>
      </c>
      <c r="L306" s="2">
        <v>165.248837367325</v>
      </c>
      <c r="V306" s="2">
        <v>154.25511252623</v>
      </c>
      <c r="W306">
        <v>5</v>
      </c>
      <c r="AG306" s="130" t="s">
        <v>354</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364</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355</v>
      </c>
      <c r="C307" t="s">
        <v>355</v>
      </c>
      <c r="E307" s="2">
        <v>25.7643640096326</v>
      </c>
      <c r="F307" s="2">
        <f>E307</f>
        <v>25.7643640096326</v>
      </c>
      <c r="I307" s="2">
        <f>F307</f>
        <v>25.7643640096326</v>
      </c>
      <c r="J307" s="2">
        <f>I307</f>
        <v>25.7643640096326</v>
      </c>
      <c r="L307" s="2">
        <f>J307</f>
        <v>25.7643640096326</v>
      </c>
      <c r="V307" s="2">
        <f>L307</f>
        <v>25.7643640096326</v>
      </c>
      <c r="W307">
        <v>5</v>
      </c>
      <c r="AG307" s="130" t="s">
        <v>349</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364</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356</v>
      </c>
      <c r="C308" t="s">
        <v>356</v>
      </c>
      <c r="E308" s="2">
        <v>455.503588512067</v>
      </c>
      <c r="F308" s="2">
        <f>E308</f>
        <v>455.503588512067</v>
      </c>
      <c r="I308" s="2">
        <f>F308</f>
        <v>455.503588512067</v>
      </c>
      <c r="J308" s="2">
        <f>I308</f>
        <v>455.503588512067</v>
      </c>
      <c r="L308" s="2">
        <f>J308</f>
        <v>455.503588512067</v>
      </c>
      <c r="V308" s="2">
        <f>L308</f>
        <v>455.503588512067</v>
      </c>
      <c r="W308">
        <v>5</v>
      </c>
      <c r="AG308" s="130" t="s">
        <v>349</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364</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357</v>
      </c>
      <c r="C309" t="s">
        <v>357</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354</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364</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358</v>
      </c>
      <c r="C310" t="s">
        <v>358</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354</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364</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359</v>
      </c>
      <c r="C311" t="s">
        <v>359</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354</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364</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360</v>
      </c>
      <c r="C312" t="s">
        <v>360</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361</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364</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362</v>
      </c>
      <c r="C313" t="s">
        <v>362</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349</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364</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363</v>
      </c>
      <c r="C314" t="s">
        <v>363</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349</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364</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348</v>
      </c>
      <c r="C315" t="s">
        <v>348</v>
      </c>
      <c r="E315" s="2">
        <v>40.9363086427679</v>
      </c>
      <c r="F315" s="2">
        <f>E315</f>
        <v>40.9363086427679</v>
      </c>
      <c r="I315" s="2">
        <f>F315</f>
        <v>40.9363086427679</v>
      </c>
      <c r="J315" s="2">
        <f>I315</f>
        <v>40.9363086427679</v>
      </c>
      <c r="L315" s="2">
        <f>J315</f>
        <v>40.9363086427679</v>
      </c>
      <c r="V315" s="2">
        <f>L315</f>
        <v>40.9363086427679</v>
      </c>
      <c r="W315">
        <v>5</v>
      </c>
      <c r="AG315" s="130" t="s">
        <v>349</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364</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351</v>
      </c>
      <c r="C316" t="s">
        <v>351</v>
      </c>
      <c r="E316" s="2">
        <v>153.428915688234</v>
      </c>
      <c r="F316" s="2">
        <f>E316</f>
        <v>153.428915688234</v>
      </c>
      <c r="I316" s="2">
        <f>F316</f>
        <v>153.428915688234</v>
      </c>
      <c r="J316" s="2">
        <f>I316</f>
        <v>153.428915688234</v>
      </c>
      <c r="L316" s="2">
        <f>J316</f>
        <v>153.428915688234</v>
      </c>
      <c r="V316" s="2">
        <f>L316</f>
        <v>153.428915688234</v>
      </c>
      <c r="W316">
        <v>5</v>
      </c>
      <c r="AG316" s="130" t="s">
        <v>349</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364</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352</v>
      </c>
      <c r="C317" t="s">
        <v>352</v>
      </c>
      <c r="E317" s="2">
        <v>0</v>
      </c>
      <c r="I317" s="2">
        <v>0</v>
      </c>
      <c r="J317" s="2">
        <v>0</v>
      </c>
      <c r="L317" s="2">
        <v>0</v>
      </c>
      <c r="V317" s="2">
        <v>0</v>
      </c>
      <c r="W317">
        <v>5</v>
      </c>
      <c r="AG317" s="130" t="s">
        <v>349</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364</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353</v>
      </c>
      <c r="C318" t="s">
        <v>353</v>
      </c>
      <c r="E318" s="2">
        <v>0</v>
      </c>
      <c r="I318" s="2">
        <v>0</v>
      </c>
      <c r="J318" s="2">
        <v>0</v>
      </c>
      <c r="L318" s="2">
        <v>0</v>
      </c>
      <c r="V318" s="2">
        <v>0</v>
      </c>
      <c r="W318">
        <v>5</v>
      </c>
      <c r="AG318" s="130" t="s">
        <v>354</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364</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355</v>
      </c>
      <c r="C319" t="s">
        <v>355</v>
      </c>
      <c r="E319" s="2">
        <v>0</v>
      </c>
      <c r="F319" s="2">
        <f>E319</f>
        <v>0</v>
      </c>
      <c r="I319" s="2">
        <f>F319</f>
        <v>0</v>
      </c>
      <c r="J319" s="2">
        <f>I319</f>
        <v>0</v>
      </c>
      <c r="L319" s="2">
        <f>J319</f>
        <v>0</v>
      </c>
      <c r="V319" s="2">
        <f>L319</f>
        <v>0</v>
      </c>
      <c r="W319">
        <v>5</v>
      </c>
      <c r="AG319" s="130" t="s">
        <v>349</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364</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356</v>
      </c>
      <c r="C320" t="s">
        <v>356</v>
      </c>
      <c r="E320" s="2">
        <v>135.303709517611</v>
      </c>
      <c r="F320" s="2">
        <f>E320</f>
        <v>135.303709517611</v>
      </c>
      <c r="I320" s="2">
        <f>F320</f>
        <v>135.303709517611</v>
      </c>
      <c r="J320" s="2">
        <f>I320</f>
        <v>135.303709517611</v>
      </c>
      <c r="L320" s="2">
        <f>J320</f>
        <v>135.303709517611</v>
      </c>
      <c r="V320" s="2">
        <f>L320</f>
        <v>135.303709517611</v>
      </c>
      <c r="W320">
        <v>5</v>
      </c>
      <c r="AG320" s="130" t="s">
        <v>349</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364</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357</v>
      </c>
      <c r="C321" t="s">
        <v>357</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354</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364</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358</v>
      </c>
      <c r="C322" t="s">
        <v>358</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354</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364</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359</v>
      </c>
      <c r="C323" t="s">
        <v>359</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354</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364</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360</v>
      </c>
      <c r="C324" t="s">
        <v>360</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361</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364</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362</v>
      </c>
      <c r="C325" t="s">
        <v>362</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349</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364</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363</v>
      </c>
      <c r="C326" t="s">
        <v>363</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349</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364</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348</v>
      </c>
      <c r="C327" t="s">
        <v>348</v>
      </c>
      <c r="E327" s="2">
        <v>52.4749917783354</v>
      </c>
      <c r="F327" s="2">
        <f>E327</f>
        <v>52.4749917783354</v>
      </c>
      <c r="I327" s="2">
        <f>F327</f>
        <v>52.4749917783354</v>
      </c>
      <c r="J327" s="2">
        <f>I327</f>
        <v>52.4749917783354</v>
      </c>
      <c r="L327" s="2">
        <f>J327</f>
        <v>52.4749917783354</v>
      </c>
      <c r="V327" s="2">
        <f>L327</f>
        <v>52.4749917783354</v>
      </c>
      <c r="W327">
        <v>5</v>
      </c>
      <c r="AG327" s="130" t="s">
        <v>349</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350</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351</v>
      </c>
      <c r="C328" t="s">
        <v>351</v>
      </c>
      <c r="E328" s="2">
        <v>45.8382269487756</v>
      </c>
      <c r="F328" s="2">
        <f>E328</f>
        <v>45.8382269487756</v>
      </c>
      <c r="I328" s="2">
        <f>F328</f>
        <v>45.8382269487756</v>
      </c>
      <c r="J328" s="2">
        <f>I328</f>
        <v>45.8382269487756</v>
      </c>
      <c r="L328" s="2">
        <f>J328</f>
        <v>45.8382269487756</v>
      </c>
      <c r="V328" s="2">
        <f>L328</f>
        <v>45.8382269487756</v>
      </c>
      <c r="W328">
        <v>5</v>
      </c>
      <c r="AG328" s="130" t="s">
        <v>349</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350</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352</v>
      </c>
      <c r="C329" t="s">
        <v>352</v>
      </c>
      <c r="E329" s="2">
        <v>9.12676390579556</v>
      </c>
      <c r="I329" s="2">
        <v>12.3280833254511</v>
      </c>
      <c r="J329" s="2">
        <v>14.3309310966871</v>
      </c>
      <c r="L329" s="2">
        <v>19.4316201953666</v>
      </c>
      <c r="V329" s="2">
        <v>53.2382589133765</v>
      </c>
      <c r="W329">
        <v>5</v>
      </c>
      <c r="AG329" s="130" t="s">
        <v>349</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350</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353</v>
      </c>
      <c r="C330" t="s">
        <v>353</v>
      </c>
      <c r="E330" s="2">
        <v>9.74070027471122</v>
      </c>
      <c r="I330" s="2">
        <v>10.8414100633482</v>
      </c>
      <c r="J330" s="2">
        <v>11.0821321791008</v>
      </c>
      <c r="L330" s="2">
        <v>11.335909074956</v>
      </c>
      <c r="V330" s="2">
        <v>9.99259949010795</v>
      </c>
      <c r="W330">
        <v>5</v>
      </c>
      <c r="AG330" s="130" t="s">
        <v>354</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350</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355</v>
      </c>
      <c r="C331" t="s">
        <v>355</v>
      </c>
      <c r="E331" s="2">
        <v>10.9989574210474</v>
      </c>
      <c r="F331" s="2">
        <f>E331</f>
        <v>10.9989574210474</v>
      </c>
      <c r="I331" s="2">
        <f>F331</f>
        <v>10.9989574210474</v>
      </c>
      <c r="J331" s="2">
        <f>I331</f>
        <v>10.9989574210474</v>
      </c>
      <c r="L331" s="2">
        <f>J331</f>
        <v>10.9989574210474</v>
      </c>
      <c r="V331" s="2">
        <f>L331</f>
        <v>10.9989574210474</v>
      </c>
      <c r="W331">
        <v>5</v>
      </c>
      <c r="AG331" s="130" t="s">
        <v>349</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350</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356</v>
      </c>
      <c r="C332" t="s">
        <v>356</v>
      </c>
      <c r="E332" s="2">
        <v>125.722145353272</v>
      </c>
      <c r="F332" s="2">
        <f>E332</f>
        <v>125.722145353272</v>
      </c>
      <c r="I332" s="2">
        <f>F332</f>
        <v>125.722145353272</v>
      </c>
      <c r="J332" s="2">
        <f>I332</f>
        <v>125.722145353272</v>
      </c>
      <c r="L332" s="2">
        <f>J332</f>
        <v>125.722145353272</v>
      </c>
      <c r="V332" s="2">
        <f>L332</f>
        <v>125.722145353272</v>
      </c>
      <c r="W332">
        <v>5</v>
      </c>
      <c r="AG332" s="130" t="s">
        <v>349</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350</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357</v>
      </c>
      <c r="C333" t="s">
        <v>357</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354</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350</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358</v>
      </c>
      <c r="C334" t="s">
        <v>358</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354</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350</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359</v>
      </c>
      <c r="C335" t="s">
        <v>359</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354</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350</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360</v>
      </c>
      <c r="C336" t="s">
        <v>360</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361</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350</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362</v>
      </c>
      <c r="C337" t="s">
        <v>362</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349</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350</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363</v>
      </c>
      <c r="C338" t="s">
        <v>363</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349</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350</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348</v>
      </c>
      <c r="C339" t="s">
        <v>348</v>
      </c>
      <c r="E339" s="2">
        <v>103.891851463989</v>
      </c>
      <c r="F339" s="2">
        <f>E339</f>
        <v>103.891851463989</v>
      </c>
      <c r="I339" s="2">
        <f>F339</f>
        <v>103.891851463989</v>
      </c>
      <c r="J339" s="2">
        <f>I339</f>
        <v>103.891851463989</v>
      </c>
      <c r="L339" s="2">
        <f>J339</f>
        <v>103.891851463989</v>
      </c>
      <c r="V339" s="2">
        <f>L339</f>
        <v>103.891851463989</v>
      </c>
      <c r="W339">
        <v>5</v>
      </c>
      <c r="AG339" s="130" t="s">
        <v>349</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364</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351</v>
      </c>
      <c r="C340" t="s">
        <v>351</v>
      </c>
      <c r="E340" s="2">
        <v>260.258225243851</v>
      </c>
      <c r="F340" s="2">
        <f>E340</f>
        <v>260.258225243851</v>
      </c>
      <c r="I340" s="2">
        <f>F340</f>
        <v>260.258225243851</v>
      </c>
      <c r="J340" s="2">
        <f>I340</f>
        <v>260.258225243851</v>
      </c>
      <c r="L340" s="2">
        <f>J340</f>
        <v>260.258225243851</v>
      </c>
      <c r="V340" s="2">
        <f>L340</f>
        <v>260.258225243851</v>
      </c>
      <c r="W340">
        <v>5</v>
      </c>
      <c r="AG340" s="130" t="s">
        <v>349</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364</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352</v>
      </c>
      <c r="C341" t="s">
        <v>352</v>
      </c>
      <c r="E341" s="2">
        <v>3.47343215679999</v>
      </c>
      <c r="I341" s="2">
        <v>4.5230426202522</v>
      </c>
      <c r="J341" s="2">
        <v>4.8408389135394</v>
      </c>
      <c r="L341" s="2">
        <v>5.47408246075369</v>
      </c>
      <c r="V341" s="2">
        <v>7.4792063275324</v>
      </c>
      <c r="W341">
        <v>5</v>
      </c>
      <c r="AG341" s="130" t="s">
        <v>349</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364</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353</v>
      </c>
      <c r="C342" t="s">
        <v>353</v>
      </c>
      <c r="E342" s="2">
        <v>14.626041583712</v>
      </c>
      <c r="I342" s="2">
        <v>14.7086189446099</v>
      </c>
      <c r="J342" s="2">
        <v>14.7592524756673</v>
      </c>
      <c r="L342" s="2">
        <v>14.8957022241977</v>
      </c>
      <c r="V342" s="2">
        <v>14.2703428586092</v>
      </c>
      <c r="W342">
        <v>5</v>
      </c>
      <c r="AG342" s="130" t="s">
        <v>354</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364</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355</v>
      </c>
      <c r="C343" t="s">
        <v>355</v>
      </c>
      <c r="E343" s="2">
        <v>46.6214604970415</v>
      </c>
      <c r="F343" s="2">
        <f>E343</f>
        <v>46.6214604970415</v>
      </c>
      <c r="I343" s="2">
        <f>F343</f>
        <v>46.6214604970415</v>
      </c>
      <c r="J343" s="2">
        <f>I343</f>
        <v>46.6214604970415</v>
      </c>
      <c r="L343" s="2">
        <f>J343</f>
        <v>46.6214604970415</v>
      </c>
      <c r="V343" s="2">
        <f>L343</f>
        <v>46.6214604970415</v>
      </c>
      <c r="W343">
        <v>5</v>
      </c>
      <c r="AG343" s="130" t="s">
        <v>349</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364</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356</v>
      </c>
      <c r="C344" t="s">
        <v>356</v>
      </c>
      <c r="E344" s="2">
        <v>337.154179744827</v>
      </c>
      <c r="F344" s="2">
        <f>E344</f>
        <v>337.154179744827</v>
      </c>
      <c r="I344" s="2">
        <f>F344</f>
        <v>337.154179744827</v>
      </c>
      <c r="J344" s="2">
        <f>I344</f>
        <v>337.154179744827</v>
      </c>
      <c r="L344" s="2">
        <f>J344</f>
        <v>337.154179744827</v>
      </c>
      <c r="V344" s="2">
        <f>L344</f>
        <v>337.154179744827</v>
      </c>
      <c r="W344">
        <v>5</v>
      </c>
      <c r="AG344" s="130" t="s">
        <v>349</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364</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357</v>
      </c>
      <c r="C345" t="s">
        <v>357</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354</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364</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358</v>
      </c>
      <c r="C346" t="s">
        <v>358</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354</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364</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359</v>
      </c>
      <c r="C347" t="s">
        <v>359</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354</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364</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360</v>
      </c>
      <c r="C348" t="s">
        <v>360</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361</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364</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362</v>
      </c>
      <c r="C349" t="s">
        <v>362</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349</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364</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363</v>
      </c>
      <c r="C350" t="s">
        <v>363</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349</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364</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348</v>
      </c>
      <c r="C351" t="s">
        <v>348</v>
      </c>
      <c r="E351" s="2">
        <v>10.8787135219328</v>
      </c>
      <c r="F351" s="2">
        <f>E351</f>
        <v>10.8787135219328</v>
      </c>
      <c r="I351" s="2">
        <f>F351</f>
        <v>10.8787135219328</v>
      </c>
      <c r="J351" s="2">
        <f>I351</f>
        <v>10.8787135219328</v>
      </c>
      <c r="L351" s="2">
        <f>J351</f>
        <v>10.8787135219328</v>
      </c>
      <c r="V351" s="2">
        <f>L351</f>
        <v>10.8787135219328</v>
      </c>
      <c r="W351">
        <v>5</v>
      </c>
      <c r="AG351" s="130" t="s">
        <v>349</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364</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351</v>
      </c>
      <c r="C352" t="s">
        <v>351</v>
      </c>
      <c r="E352" s="2">
        <v>116.616235183285</v>
      </c>
      <c r="F352" s="2">
        <f>E352</f>
        <v>116.616235183285</v>
      </c>
      <c r="I352" s="2">
        <f>F352</f>
        <v>116.616235183285</v>
      </c>
      <c r="J352" s="2">
        <f>I352</f>
        <v>116.616235183285</v>
      </c>
      <c r="L352" s="2">
        <f>J352</f>
        <v>116.616235183285</v>
      </c>
      <c r="V352" s="2">
        <f>L352</f>
        <v>116.616235183285</v>
      </c>
      <c r="W352">
        <v>5</v>
      </c>
      <c r="AG352" s="130" t="s">
        <v>349</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364</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352</v>
      </c>
      <c r="C353" t="s">
        <v>352</v>
      </c>
      <c r="E353" s="2">
        <v>4.13885072055123</v>
      </c>
      <c r="I353" s="2">
        <v>5.17869535206599</v>
      </c>
      <c r="J353" s="2">
        <v>5.45308235480547</v>
      </c>
      <c r="L353" s="2">
        <v>5.97960378256308</v>
      </c>
      <c r="V353" s="2">
        <v>8.15145189420441</v>
      </c>
      <c r="W353">
        <v>5</v>
      </c>
      <c r="AG353" s="130" t="s">
        <v>349</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364</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353</v>
      </c>
      <c r="C354" t="s">
        <v>353</v>
      </c>
      <c r="E354" s="2">
        <v>13.7458008530983</v>
      </c>
      <c r="I354" s="2">
        <v>14.148885907274</v>
      </c>
      <c r="J354" s="2">
        <v>14.2616938690585</v>
      </c>
      <c r="L354" s="2">
        <v>14.5485180546064</v>
      </c>
      <c r="V354" s="2">
        <v>15.3661972671952</v>
      </c>
      <c r="W354">
        <v>5</v>
      </c>
      <c r="AG354" s="130" t="s">
        <v>354</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364</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355</v>
      </c>
      <c r="C355" t="s">
        <v>355</v>
      </c>
      <c r="E355" s="2">
        <v>16.6107321567818</v>
      </c>
      <c r="F355" s="2">
        <f>E355</f>
        <v>16.6107321567818</v>
      </c>
      <c r="I355" s="2">
        <f>F355</f>
        <v>16.6107321567818</v>
      </c>
      <c r="J355" s="2">
        <f>I355</f>
        <v>16.6107321567818</v>
      </c>
      <c r="L355" s="2">
        <f>J355</f>
        <v>16.6107321567818</v>
      </c>
      <c r="V355" s="2">
        <f>L355</f>
        <v>16.6107321567818</v>
      </c>
      <c r="W355">
        <v>5</v>
      </c>
      <c r="AG355" s="130" t="s">
        <v>349</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364</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356</v>
      </c>
      <c r="C356" t="s">
        <v>356</v>
      </c>
      <c r="E356" s="2">
        <v>129.840269242668</v>
      </c>
      <c r="F356" s="2">
        <f>E356</f>
        <v>129.840269242668</v>
      </c>
      <c r="I356" s="2">
        <f>F356</f>
        <v>129.840269242668</v>
      </c>
      <c r="J356" s="2">
        <f>I356</f>
        <v>129.840269242668</v>
      </c>
      <c r="L356" s="2">
        <f>J356</f>
        <v>129.840269242668</v>
      </c>
      <c r="V356" s="2">
        <f>L356</f>
        <v>129.840269242668</v>
      </c>
      <c r="W356">
        <v>5</v>
      </c>
      <c r="AG356" s="130" t="s">
        <v>349</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364</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357</v>
      </c>
      <c r="C357" t="s">
        <v>357</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354</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364</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358</v>
      </c>
      <c r="C358" t="s">
        <v>358</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354</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364</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359</v>
      </c>
      <c r="C359" t="s">
        <v>359</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354</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364</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360</v>
      </c>
      <c r="C360" t="s">
        <v>360</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361</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364</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362</v>
      </c>
      <c r="C361" t="s">
        <v>362</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349</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364</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363</v>
      </c>
      <c r="C362" t="s">
        <v>363</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349</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364</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348</v>
      </c>
      <c r="C363" t="s">
        <v>348</v>
      </c>
      <c r="E363" s="2">
        <v>2.7922333831801</v>
      </c>
      <c r="F363" s="2">
        <f>E363</f>
        <v>2.7922333831801</v>
      </c>
      <c r="I363" s="2">
        <f>F363</f>
        <v>2.7922333831801</v>
      </c>
      <c r="J363" s="2">
        <f>I363</f>
        <v>2.7922333831801</v>
      </c>
      <c r="L363" s="2">
        <f>J363</f>
        <v>2.7922333831801</v>
      </c>
      <c r="V363" s="2">
        <f>L363</f>
        <v>2.7922333831801</v>
      </c>
      <c r="W363">
        <v>5</v>
      </c>
      <c r="AG363" s="130" t="s">
        <v>349</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364</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351</v>
      </c>
      <c r="C364" t="s">
        <v>351</v>
      </c>
      <c r="E364" s="2">
        <v>78.5809754084052</v>
      </c>
      <c r="F364" s="2">
        <f>E364</f>
        <v>78.5809754084052</v>
      </c>
      <c r="I364" s="2">
        <f>F364</f>
        <v>78.5809754084052</v>
      </c>
      <c r="J364" s="2">
        <f>I364</f>
        <v>78.5809754084052</v>
      </c>
      <c r="L364" s="2">
        <f>J364</f>
        <v>78.5809754084052</v>
      </c>
      <c r="V364" s="2">
        <f>L364</f>
        <v>78.5809754084052</v>
      </c>
      <c r="W364">
        <v>5</v>
      </c>
      <c r="AG364" s="130" t="s">
        <v>349</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364</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352</v>
      </c>
      <c r="C365" t="s">
        <v>352</v>
      </c>
      <c r="E365" s="2">
        <v>0.356036346642533</v>
      </c>
      <c r="I365" s="2">
        <v>0.422268318976179</v>
      </c>
      <c r="J365" s="2">
        <v>0.437318678711944</v>
      </c>
      <c r="L365" s="2">
        <v>0.465843190262119</v>
      </c>
      <c r="V365" s="2">
        <v>0.587643350380561</v>
      </c>
      <c r="W365">
        <v>5</v>
      </c>
      <c r="AG365" s="130" t="s">
        <v>349</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364</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353</v>
      </c>
      <c r="C366" t="s">
        <v>353</v>
      </c>
      <c r="E366" s="2">
        <v>11.0388847973258</v>
      </c>
      <c r="I366" s="2">
        <v>11.6000229964462</v>
      </c>
      <c r="J366" s="2">
        <v>11.7445834962148</v>
      </c>
      <c r="L366" s="2">
        <v>12.0632503469926</v>
      </c>
      <c r="V366" s="2">
        <v>12.6327834024112</v>
      </c>
      <c r="W366">
        <v>5</v>
      </c>
      <c r="AG366" s="130" t="s">
        <v>354</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364</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355</v>
      </c>
      <c r="C367" t="s">
        <v>355</v>
      </c>
      <c r="E367" s="2">
        <v>1.5612086088509</v>
      </c>
      <c r="F367" s="2">
        <f>E367</f>
        <v>1.5612086088509</v>
      </c>
      <c r="I367" s="2">
        <f>F367</f>
        <v>1.5612086088509</v>
      </c>
      <c r="J367" s="2">
        <f>I367</f>
        <v>1.5612086088509</v>
      </c>
      <c r="L367" s="2">
        <f>J367</f>
        <v>1.5612086088509</v>
      </c>
      <c r="V367" s="2">
        <f>L367</f>
        <v>1.5612086088509</v>
      </c>
      <c r="W367">
        <v>5</v>
      </c>
      <c r="AG367" s="130" t="s">
        <v>349</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364</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356</v>
      </c>
      <c r="C368" t="s">
        <v>356</v>
      </c>
      <c r="E368" s="2">
        <v>0.112388280015901</v>
      </c>
      <c r="F368" s="2">
        <f>E368</f>
        <v>0.112388280015901</v>
      </c>
      <c r="I368" s="2">
        <f>F368</f>
        <v>0.112388280015901</v>
      </c>
      <c r="J368" s="2">
        <f>I368</f>
        <v>0.112388280015901</v>
      </c>
      <c r="L368" s="2">
        <f>J368</f>
        <v>0.112388280015901</v>
      </c>
      <c r="V368" s="2">
        <f>L368</f>
        <v>0.112388280015901</v>
      </c>
      <c r="W368">
        <v>5</v>
      </c>
      <c r="AG368" s="130" t="s">
        <v>349</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364</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357</v>
      </c>
      <c r="C369" t="s">
        <v>357</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354</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364</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358</v>
      </c>
      <c r="C370" t="s">
        <v>358</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354</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364</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359</v>
      </c>
      <c r="C371" t="s">
        <v>359</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354</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364</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360</v>
      </c>
      <c r="C372" t="s">
        <v>360</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361</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364</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362</v>
      </c>
      <c r="C373" t="s">
        <v>362</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349</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364</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363</v>
      </c>
      <c r="C374" t="s">
        <v>363</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349</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364</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348</v>
      </c>
      <c r="C375" t="s">
        <v>348</v>
      </c>
      <c r="E375" s="2">
        <v>51.6742677900742</v>
      </c>
      <c r="F375" s="2">
        <f>E375</f>
        <v>51.6742677900742</v>
      </c>
      <c r="I375" s="2">
        <f>F375</f>
        <v>51.6742677900742</v>
      </c>
      <c r="J375" s="2">
        <f>I375</f>
        <v>51.6742677900742</v>
      </c>
      <c r="L375" s="2">
        <f>J375</f>
        <v>51.6742677900742</v>
      </c>
      <c r="V375" s="2">
        <f>L375</f>
        <v>51.6742677900742</v>
      </c>
      <c r="W375">
        <v>5</v>
      </c>
      <c r="AG375" s="130" t="s">
        <v>349</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364</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351</v>
      </c>
      <c r="C376" t="s">
        <v>351</v>
      </c>
      <c r="E376" s="2">
        <v>188.943680282024</v>
      </c>
      <c r="F376" s="2">
        <f>E376</f>
        <v>188.943680282024</v>
      </c>
      <c r="I376" s="2">
        <f>F376</f>
        <v>188.943680282024</v>
      </c>
      <c r="J376" s="2">
        <f>I376</f>
        <v>188.943680282024</v>
      </c>
      <c r="L376" s="2">
        <f>J376</f>
        <v>188.943680282024</v>
      </c>
      <c r="V376" s="2">
        <f>L376</f>
        <v>188.943680282024</v>
      </c>
      <c r="W376">
        <v>5</v>
      </c>
      <c r="AG376" s="130" t="s">
        <v>349</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364</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352</v>
      </c>
      <c r="C377" t="s">
        <v>352</v>
      </c>
      <c r="E377" s="2">
        <v>3.95764867674044</v>
      </c>
      <c r="I377" s="2">
        <v>6.4464674603342</v>
      </c>
      <c r="J377" s="2">
        <v>7.10077394538316</v>
      </c>
      <c r="L377" s="2">
        <v>8.21786107201598</v>
      </c>
      <c r="V377" s="2">
        <v>10.5694547388171</v>
      </c>
      <c r="W377">
        <v>5</v>
      </c>
      <c r="AG377" s="130" t="s">
        <v>349</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364</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353</v>
      </c>
      <c r="C378" t="s">
        <v>353</v>
      </c>
      <c r="E378" s="2">
        <v>5.66430246258363</v>
      </c>
      <c r="I378" s="2">
        <v>6.10401954633122</v>
      </c>
      <c r="J378" s="2">
        <v>6.19700482916527</v>
      </c>
      <c r="L378" s="2">
        <v>6.30371330506704</v>
      </c>
      <c r="V378" s="2">
        <v>5.7761418345808</v>
      </c>
      <c r="W378">
        <v>5</v>
      </c>
      <c r="AG378" s="130" t="s">
        <v>354</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364</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355</v>
      </c>
      <c r="C379" t="s">
        <v>355</v>
      </c>
      <c r="E379" s="2">
        <v>16.622151379341</v>
      </c>
      <c r="F379" s="2">
        <f>E379</f>
        <v>16.622151379341</v>
      </c>
      <c r="I379" s="2">
        <f>F379</f>
        <v>16.622151379341</v>
      </c>
      <c r="J379" s="2">
        <f>I379</f>
        <v>16.622151379341</v>
      </c>
      <c r="L379" s="2">
        <f>J379</f>
        <v>16.622151379341</v>
      </c>
      <c r="V379" s="2">
        <f>L379</f>
        <v>16.622151379341</v>
      </c>
      <c r="W379">
        <v>5</v>
      </c>
      <c r="AG379" s="130" t="s">
        <v>349</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364</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356</v>
      </c>
      <c r="C380" t="s">
        <v>356</v>
      </c>
      <c r="E380" s="2">
        <v>37.8006200912268</v>
      </c>
      <c r="F380" s="2">
        <f>E380</f>
        <v>37.8006200912268</v>
      </c>
      <c r="I380" s="2">
        <f>F380</f>
        <v>37.8006200912268</v>
      </c>
      <c r="J380" s="2">
        <f>I380</f>
        <v>37.8006200912268</v>
      </c>
      <c r="L380" s="2">
        <f>J380</f>
        <v>37.8006200912268</v>
      </c>
      <c r="V380" s="2">
        <f>L380</f>
        <v>37.8006200912268</v>
      </c>
      <c r="W380">
        <v>5</v>
      </c>
      <c r="AG380" s="130" t="s">
        <v>349</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364</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357</v>
      </c>
      <c r="C381" t="s">
        <v>357</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354</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364</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358</v>
      </c>
      <c r="C382" t="s">
        <v>358</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354</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364</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359</v>
      </c>
      <c r="C383" t="s">
        <v>359</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354</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364</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360</v>
      </c>
      <c r="C384" t="s">
        <v>360</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361</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364</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362</v>
      </c>
      <c r="C385" t="s">
        <v>362</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349</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364</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363</v>
      </c>
      <c r="C386" t="s">
        <v>363</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349</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364</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348</v>
      </c>
      <c r="C387" t="s">
        <v>348</v>
      </c>
      <c r="E387" s="2">
        <v>36.9226194799132</v>
      </c>
      <c r="F387" s="2">
        <f>E387</f>
        <v>36.9226194799132</v>
      </c>
      <c r="I387" s="2">
        <f>F387</f>
        <v>36.9226194799132</v>
      </c>
      <c r="J387" s="2">
        <f>I387</f>
        <v>36.9226194799132</v>
      </c>
      <c r="L387" s="2">
        <f>J387</f>
        <v>36.9226194799132</v>
      </c>
      <c r="V387" s="2">
        <f>L387</f>
        <v>36.9226194799132</v>
      </c>
      <c r="W387">
        <v>5</v>
      </c>
      <c r="AG387" s="130" t="s">
        <v>349</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364</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351</v>
      </c>
      <c r="C388" t="s">
        <v>351</v>
      </c>
      <c r="E388" s="2">
        <v>490.543871571096</v>
      </c>
      <c r="F388" s="2">
        <f>E388</f>
        <v>490.543871571096</v>
      </c>
      <c r="I388" s="2">
        <f>F388</f>
        <v>490.543871571096</v>
      </c>
      <c r="J388" s="2">
        <f>I388</f>
        <v>490.543871571096</v>
      </c>
      <c r="L388" s="2">
        <f>J388</f>
        <v>490.543871571096</v>
      </c>
      <c r="V388" s="2">
        <f>L388</f>
        <v>490.543871571096</v>
      </c>
      <c r="W388">
        <v>5</v>
      </c>
      <c r="AG388" s="130" t="s">
        <v>349</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364</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352</v>
      </c>
      <c r="C389" t="s">
        <v>352</v>
      </c>
      <c r="E389" s="2">
        <v>24.6033770922968</v>
      </c>
      <c r="I389" s="2">
        <v>31.7384471153733</v>
      </c>
      <c r="J389" s="2">
        <v>34.1423828187106</v>
      </c>
      <c r="L389" s="2">
        <v>39.4372995434473</v>
      </c>
      <c r="V389" s="2">
        <v>61.3720467254865</v>
      </c>
      <c r="W389">
        <v>5</v>
      </c>
      <c r="AG389" s="130" t="s">
        <v>349</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364</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353</v>
      </c>
      <c r="C390" t="s">
        <v>353</v>
      </c>
      <c r="E390" s="2">
        <v>23.1089699635029</v>
      </c>
      <c r="I390" s="2">
        <v>23.8134228090774</v>
      </c>
      <c r="J390" s="2">
        <v>24.0593576107348</v>
      </c>
      <c r="L390" s="2">
        <v>24.6177722207965</v>
      </c>
      <c r="V390" s="2">
        <v>25.7219062863884</v>
      </c>
      <c r="W390">
        <v>5</v>
      </c>
      <c r="AG390" s="130" t="s">
        <v>354</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364</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355</v>
      </c>
      <c r="C391" t="s">
        <v>355</v>
      </c>
      <c r="E391" s="2">
        <v>36.9758094058833</v>
      </c>
      <c r="F391" s="2">
        <f>E391</f>
        <v>36.9758094058833</v>
      </c>
      <c r="I391" s="2">
        <f>F391</f>
        <v>36.9758094058833</v>
      </c>
      <c r="J391" s="2">
        <f>I391</f>
        <v>36.9758094058833</v>
      </c>
      <c r="L391" s="2">
        <f>J391</f>
        <v>36.9758094058833</v>
      </c>
      <c r="V391" s="2">
        <f>L391</f>
        <v>36.9758094058833</v>
      </c>
      <c r="W391">
        <v>5</v>
      </c>
      <c r="AG391" s="130" t="s">
        <v>349</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364</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356</v>
      </c>
      <c r="C392" t="s">
        <v>356</v>
      </c>
      <c r="E392" s="2">
        <v>94.701473626264</v>
      </c>
      <c r="F392" s="2">
        <f>E392</f>
        <v>94.701473626264</v>
      </c>
      <c r="I392" s="2">
        <f>F392</f>
        <v>94.701473626264</v>
      </c>
      <c r="J392" s="2">
        <f>I392</f>
        <v>94.701473626264</v>
      </c>
      <c r="L392" s="2">
        <f>J392</f>
        <v>94.701473626264</v>
      </c>
      <c r="V392" s="2">
        <f>L392</f>
        <v>94.701473626264</v>
      </c>
      <c r="W392">
        <v>5</v>
      </c>
      <c r="AG392" s="130" t="s">
        <v>349</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364</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357</v>
      </c>
      <c r="C393" t="s">
        <v>357</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354</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364</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358</v>
      </c>
      <c r="C394" t="s">
        <v>358</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354</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364</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359</v>
      </c>
      <c r="C395" t="s">
        <v>359</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354</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364</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360</v>
      </c>
      <c r="C396" t="s">
        <v>360</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361</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364</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362</v>
      </c>
      <c r="C397" t="s">
        <v>362</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349</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364</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363</v>
      </c>
      <c r="C398" t="s">
        <v>363</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349</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364</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348</v>
      </c>
      <c r="C399" t="s">
        <v>348</v>
      </c>
      <c r="E399" s="2">
        <v>7.75124785307158</v>
      </c>
      <c r="F399" s="2">
        <f>E399</f>
        <v>7.75124785307158</v>
      </c>
      <c r="I399" s="2">
        <f>F399</f>
        <v>7.75124785307158</v>
      </c>
      <c r="J399" s="2">
        <f>I399</f>
        <v>7.75124785307158</v>
      </c>
      <c r="L399" s="2">
        <f>J399</f>
        <v>7.75124785307158</v>
      </c>
      <c r="V399" s="2">
        <f>L399</f>
        <v>7.75124785307158</v>
      </c>
      <c r="W399">
        <v>5</v>
      </c>
      <c r="AG399" s="130" t="s">
        <v>349</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350</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351</v>
      </c>
      <c r="C400" t="s">
        <v>351</v>
      </c>
      <c r="E400" s="2">
        <v>7.39791458129825</v>
      </c>
      <c r="F400" s="2">
        <f>E400</f>
        <v>7.39791458129825</v>
      </c>
      <c r="I400" s="2">
        <f>F400</f>
        <v>7.39791458129825</v>
      </c>
      <c r="J400" s="2">
        <f>I400</f>
        <v>7.39791458129825</v>
      </c>
      <c r="L400" s="2">
        <f>J400</f>
        <v>7.39791458129825</v>
      </c>
      <c r="V400" s="2">
        <f>L400</f>
        <v>7.39791458129825</v>
      </c>
      <c r="W400">
        <v>5</v>
      </c>
      <c r="AG400" s="130" t="s">
        <v>349</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350</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352</v>
      </c>
      <c r="C401" t="s">
        <v>352</v>
      </c>
      <c r="E401" s="2">
        <v>5.36702369795162</v>
      </c>
      <c r="I401" s="2">
        <v>6.79767649689424</v>
      </c>
      <c r="J401" s="2">
        <v>7.90571937471574</v>
      </c>
      <c r="L401" s="2">
        <v>9.94129063496476</v>
      </c>
      <c r="V401" s="2">
        <v>19.5816696304826</v>
      </c>
      <c r="W401">
        <v>5</v>
      </c>
      <c r="AG401" s="130" t="s">
        <v>349</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350</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353</v>
      </c>
      <c r="C402" t="s">
        <v>353</v>
      </c>
      <c r="E402" s="2">
        <v>15.1011499893745</v>
      </c>
      <c r="I402" s="2">
        <v>12.7482738405374</v>
      </c>
      <c r="J402" s="2">
        <v>12.5807321535368</v>
      </c>
      <c r="L402" s="2">
        <v>12.0676049227177</v>
      </c>
      <c r="V402" s="2">
        <v>9.69056012966569</v>
      </c>
      <c r="W402">
        <v>5</v>
      </c>
      <c r="AG402" s="130" t="s">
        <v>354</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350</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355</v>
      </c>
      <c r="C403" t="s">
        <v>355</v>
      </c>
      <c r="E403" s="2">
        <v>5.71590616242323</v>
      </c>
      <c r="F403" s="2">
        <f>E403</f>
        <v>5.71590616242323</v>
      </c>
      <c r="I403" s="2">
        <f>F403</f>
        <v>5.71590616242323</v>
      </c>
      <c r="J403" s="2">
        <f>I403</f>
        <v>5.71590616242323</v>
      </c>
      <c r="L403" s="2">
        <f>J403</f>
        <v>5.71590616242323</v>
      </c>
      <c r="V403" s="2">
        <f>L403</f>
        <v>5.71590616242323</v>
      </c>
      <c r="W403">
        <v>5</v>
      </c>
      <c r="AG403" s="130" t="s">
        <v>349</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350</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356</v>
      </c>
      <c r="C404" t="s">
        <v>356</v>
      </c>
      <c r="E404" s="2">
        <v>0</v>
      </c>
      <c r="F404" s="2">
        <f>E404</f>
        <v>0</v>
      </c>
      <c r="I404" s="2">
        <f>F404</f>
        <v>0</v>
      </c>
      <c r="J404" s="2">
        <f>I404</f>
        <v>0</v>
      </c>
      <c r="L404" s="2">
        <f>J404</f>
        <v>0</v>
      </c>
      <c r="V404" s="2">
        <f>L404</f>
        <v>0</v>
      </c>
      <c r="W404">
        <v>5</v>
      </c>
      <c r="AG404" s="130" t="s">
        <v>349</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350</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357</v>
      </c>
      <c r="C405" t="s">
        <v>357</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354</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350</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358</v>
      </c>
      <c r="C406" t="s">
        <v>358</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354</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350</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359</v>
      </c>
      <c r="C407" t="s">
        <v>359</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354</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350</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360</v>
      </c>
      <c r="C408" t="s">
        <v>360</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361</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350</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362</v>
      </c>
      <c r="C409" t="s">
        <v>362</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349</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350</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363</v>
      </c>
      <c r="C410" t="s">
        <v>363</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349</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350</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348</v>
      </c>
      <c r="C411" t="s">
        <v>348</v>
      </c>
      <c r="E411" s="2">
        <v>0</v>
      </c>
      <c r="F411" s="2">
        <f>E411</f>
        <v>0</v>
      </c>
      <c r="I411" s="2">
        <f>F411</f>
        <v>0</v>
      </c>
      <c r="J411" s="2">
        <f>I411</f>
        <v>0</v>
      </c>
      <c r="L411" s="2">
        <f>J411</f>
        <v>0</v>
      </c>
      <c r="V411" s="2">
        <f>L411</f>
        <v>0</v>
      </c>
      <c r="W411">
        <v>5</v>
      </c>
      <c r="AG411" s="130" t="s">
        <v>349</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350</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351</v>
      </c>
      <c r="C412" t="s">
        <v>351</v>
      </c>
      <c r="E412" s="2">
        <v>9.75424966159573</v>
      </c>
      <c r="F412" s="2">
        <f>E412</f>
        <v>9.75424966159573</v>
      </c>
      <c r="I412" s="2">
        <f>F412</f>
        <v>9.75424966159573</v>
      </c>
      <c r="J412" s="2">
        <f>I412</f>
        <v>9.75424966159573</v>
      </c>
      <c r="L412" s="2">
        <f>J412</f>
        <v>9.75424966159573</v>
      </c>
      <c r="V412" s="2">
        <f>L412</f>
        <v>9.75424966159573</v>
      </c>
      <c r="W412">
        <v>5</v>
      </c>
      <c r="AG412" s="130" t="s">
        <v>349</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350</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352</v>
      </c>
      <c r="C413" t="s">
        <v>352</v>
      </c>
      <c r="E413" s="2">
        <v>0.890246851516642</v>
      </c>
      <c r="I413" s="2">
        <v>1.46050023609891</v>
      </c>
      <c r="J413" s="2">
        <v>1.61970024496212</v>
      </c>
      <c r="L413" s="2">
        <v>1.89179360953464</v>
      </c>
      <c r="V413" s="2">
        <v>3.05610476950368</v>
      </c>
      <c r="W413">
        <v>5</v>
      </c>
      <c r="AG413" s="130" t="s">
        <v>349</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350</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353</v>
      </c>
      <c r="C414" t="s">
        <v>353</v>
      </c>
      <c r="E414" s="2">
        <v>1.58810450436334</v>
      </c>
      <c r="I414" s="2">
        <v>1.49267611008859</v>
      </c>
      <c r="J414" s="2">
        <v>1.46069677747366</v>
      </c>
      <c r="L414" s="2">
        <v>1.39716477220475</v>
      </c>
      <c r="V414" s="2">
        <v>1.13898479048603</v>
      </c>
      <c r="W414">
        <v>5</v>
      </c>
      <c r="AG414" s="130" t="s">
        <v>354</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350</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355</v>
      </c>
      <c r="C415" t="s">
        <v>355</v>
      </c>
      <c r="E415" s="2">
        <v>1.85651971653567</v>
      </c>
      <c r="F415" s="2">
        <f>E415</f>
        <v>1.85651971653567</v>
      </c>
      <c r="I415" s="2">
        <f>F415</f>
        <v>1.85651971653567</v>
      </c>
      <c r="J415" s="2">
        <f>I415</f>
        <v>1.85651971653567</v>
      </c>
      <c r="L415" s="2">
        <f>J415</f>
        <v>1.85651971653567</v>
      </c>
      <c r="V415" s="2">
        <f>L415</f>
        <v>1.85651971653567</v>
      </c>
      <c r="W415">
        <v>5</v>
      </c>
      <c r="AG415" s="130" t="s">
        <v>349</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350</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356</v>
      </c>
      <c r="C416" t="s">
        <v>356</v>
      </c>
      <c r="E416" s="2">
        <v>2.05021145703732</v>
      </c>
      <c r="F416" s="2">
        <f>E416</f>
        <v>2.05021145703732</v>
      </c>
      <c r="I416" s="2">
        <f>F416</f>
        <v>2.05021145703732</v>
      </c>
      <c r="J416" s="2">
        <f>I416</f>
        <v>2.05021145703732</v>
      </c>
      <c r="L416" s="2">
        <f>J416</f>
        <v>2.05021145703732</v>
      </c>
      <c r="V416" s="2">
        <f>L416</f>
        <v>2.05021145703732</v>
      </c>
      <c r="W416">
        <v>5</v>
      </c>
      <c r="AG416" s="130" t="s">
        <v>349</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350</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357</v>
      </c>
      <c r="C417" t="s">
        <v>357</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354</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350</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358</v>
      </c>
      <c r="C418" t="s">
        <v>358</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354</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350</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359</v>
      </c>
      <c r="C419" t="s">
        <v>359</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354</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350</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360</v>
      </c>
      <c r="C420" t="s">
        <v>360</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361</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350</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362</v>
      </c>
      <c r="C421" t="s">
        <v>362</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349</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350</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363</v>
      </c>
      <c r="C422" t="s">
        <v>363</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349</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350</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2026-06-13T01:13:05Z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