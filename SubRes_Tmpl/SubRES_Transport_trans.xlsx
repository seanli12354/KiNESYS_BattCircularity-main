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<sst xmlns="http://schemas.openxmlformats.org/spreadsheetml/2006/main" count="2299" uniqueCount="266">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</sst>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imes New Roman"/>
      <charset val="134"/>
    </font>
    <font>
      <b/>
      <sz val="9"/>
      <name val="Times New Roman"/>
      <charset val="0"/>
    </font>
    <font>
      <sz val="9"/>
      <name val="Tahoma"/>
      <charset val="1"/>
    </font>
    <font>
      <sz val="9"/>
      <name val="Times New Roman"/>
      <charset val="0"/>
    </font>
    <font>
      <b/>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tabSelected="1" zoomScale="66" zoomScaleNormal="66" topLeftCell="A37" workbookViewId="0">
      <selection activeCell="K63" sqref="K63"/>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9">
      <c r="B54" t="s">
        <v>116</v>
      </c>
      <c r="C54" t="s">
        <v>50</v>
      </c>
      <c r="D54" t="s">
        <v>159</v>
      </c>
      <c r="E54" t="s">
        <v>139</v>
      </c>
      <c r="F54" t="s">
        <v>95</v>
      </c>
      <c r="G54" t="s">
        <v>160</v>
      </c>
      <c r="H54" t="s">
        <v>94</v>
      </c>
      <c r="I54" t="s">
        <v>131</v>
      </c>
    </row>
    <row r="55" spans="2:5">
      <c r="B55" t="s">
        <v>134</v>
      </c>
      <c r="C55">
        <v>10</v>
      </c>
      <c r="D55" t="s">
        <v>161</v>
      </c>
      <c r="E55" s="98" t="s">
        <v>162</v>
      </c>
    </row>
    <row r="56" spans="2:9">
      <c r="B56" t="s">
        <v>163</v>
      </c>
      <c r="C56">
        <v>1</v>
      </c>
      <c r="F56" t="s">
        <v>164</v>
      </c>
      <c r="G56" t="s">
        <v>103</v>
      </c>
      <c r="H56" t="str">
        <f>F56</f>
        <v>AuxStoIN</v>
      </c>
      <c r="I56" t="s">
        <v>165</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1:106">
      <c r="A66" s="50" t="s">
        <v>41</v>
      </c>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166</v>
      </c>
      <c r="CQ66" s="75"/>
      <c r="CR66" s="75"/>
      <c r="CT66" s="75"/>
      <c r="CU66" s="75"/>
      <c r="CW66" t="s">
        <v>116</v>
      </c>
      <c r="CX66" t="s">
        <v>120</v>
      </c>
      <c r="CY66" t="s">
        <v>64</v>
      </c>
      <c r="CZ66" t="s">
        <v>95</v>
      </c>
      <c r="DA66" s="80" t="s">
        <v>41</v>
      </c>
      <c r="DB66" s="80" t="s">
        <v>65</v>
      </c>
    </row>
    <row r="67" s="50" customFormat="1" ht="14.5" spans="1:106">
      <c r="A67" s="50">
        <v>2020</v>
      </c>
      <c r="B67" s="60" t="s">
        <v>167</v>
      </c>
      <c r="C67" s="58" t="s">
        <v>168</v>
      </c>
      <c r="D67" s="61" t="s">
        <v>169</v>
      </c>
      <c r="E67" s="59" t="s">
        <v>170</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167</v>
      </c>
      <c r="CX67" t="s">
        <v>168</v>
      </c>
      <c r="CY67" s="52" t="str">
        <f>D67</f>
        <v>MINBatMaterials_LI</v>
      </c>
      <c r="CZ67" s="52" t="s">
        <v>170</v>
      </c>
      <c r="DA67" s="80">
        <v>0</v>
      </c>
      <c r="DB67" s="80">
        <v>5</v>
      </c>
    </row>
    <row r="68" s="50" customFormat="1" ht="16" spans="1:106">
      <c r="A68" s="50">
        <v>2020</v>
      </c>
      <c r="B68" s="60" t="s">
        <v>167</v>
      </c>
      <c r="C68" s="58" t="s">
        <v>168</v>
      </c>
      <c r="D68" s="62" t="s">
        <v>171</v>
      </c>
      <c r="E68" s="59"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167</v>
      </c>
      <c r="CX68" t="s">
        <v>168</v>
      </c>
      <c r="CY68" s="52" t="str">
        <f t="shared" ref="CY68:CY73" si="7">D68</f>
        <v>MINBatMaterials_NI</v>
      </c>
      <c r="CZ68" s="52" t="s">
        <v>172</v>
      </c>
      <c r="DA68" s="80">
        <v>0</v>
      </c>
      <c r="DB68" s="80">
        <v>5</v>
      </c>
    </row>
    <row r="69" s="51" customFormat="1" ht="16" spans="1:106">
      <c r="A69" s="50">
        <v>2020</v>
      </c>
      <c r="B69" s="63" t="s">
        <v>167</v>
      </c>
      <c r="C69" s="51" t="s">
        <v>168</v>
      </c>
      <c r="D69" s="62" t="s">
        <v>173</v>
      </c>
      <c r="E69" s="64" t="s">
        <v>174</v>
      </c>
      <c r="F69" s="65">
        <v>0</v>
      </c>
      <c r="G69" s="65">
        <f>E79/10000</f>
        <v>410</v>
      </c>
      <c r="H69" s="65">
        <f>F79/10000</f>
        <v>150</v>
      </c>
      <c r="I69" s="65">
        <f>G79/10000</f>
        <v>0</v>
      </c>
      <c r="J69" s="65">
        <f>H79/10000</f>
        <v>0</v>
      </c>
      <c r="K69" s="65">
        <f>I79/10000</f>
        <v>0</v>
      </c>
      <c r="L69" s="65">
        <f t="shared" ref="L69:AM69" si="8">J79/10000</f>
        <v>0</v>
      </c>
      <c r="M69" s="65">
        <f t="shared" si="8"/>
        <v>14</v>
      </c>
      <c r="N69" s="65">
        <f t="shared" si="8"/>
        <v>0</v>
      </c>
      <c r="O69" s="65">
        <f t="shared" si="8"/>
        <v>0</v>
      </c>
      <c r="P69" s="65">
        <f t="shared" si="8"/>
        <v>0</v>
      </c>
      <c r="Q69" s="65">
        <f t="shared" si="8"/>
        <v>0</v>
      </c>
      <c r="R69" s="65">
        <f t="shared" si="8"/>
        <v>0</v>
      </c>
      <c r="S69" s="65">
        <f t="shared" si="8"/>
        <v>0</v>
      </c>
      <c r="T69" s="65">
        <f t="shared" si="8"/>
        <v>0</v>
      </c>
      <c r="U69" s="65">
        <f t="shared" si="8"/>
        <v>0</v>
      </c>
      <c r="V69" s="65">
        <f t="shared" si="8"/>
        <v>0</v>
      </c>
      <c r="W69" s="65">
        <f t="shared" si="8"/>
        <v>0</v>
      </c>
      <c r="X69" s="65">
        <f t="shared" si="8"/>
        <v>0</v>
      </c>
      <c r="Y69" s="65">
        <f t="shared" si="8"/>
        <v>50</v>
      </c>
      <c r="Z69" s="65">
        <f t="shared" si="8"/>
        <v>3.6</v>
      </c>
      <c r="AA69" s="65">
        <f t="shared" si="8"/>
        <v>28.9</v>
      </c>
      <c r="AB69" s="65">
        <f t="shared" si="8"/>
        <v>0</v>
      </c>
      <c r="AC69" s="65">
        <f t="shared" si="8"/>
        <v>0</v>
      </c>
      <c r="AD69" s="65">
        <f t="shared" si="8"/>
        <v>151.7</v>
      </c>
      <c r="AE69" s="65">
        <f t="shared" si="8"/>
        <v>25</v>
      </c>
      <c r="AF69" s="65">
        <f t="shared" si="8"/>
        <v>0</v>
      </c>
      <c r="AG69" s="65">
        <f t="shared" si="8"/>
        <v>0</v>
      </c>
      <c r="AH69" s="65">
        <f t="shared" si="8"/>
        <v>0</v>
      </c>
      <c r="AI69" s="65">
        <f t="shared" si="8"/>
        <v>0</v>
      </c>
      <c r="AJ69" s="65">
        <f t="shared" si="8"/>
        <v>0</v>
      </c>
      <c r="AK69" s="65">
        <f t="shared" si="8"/>
        <v>3.6</v>
      </c>
      <c r="AL69" s="65">
        <f t="shared" si="8"/>
        <v>0</v>
      </c>
      <c r="AM69" s="65">
        <f t="shared" si="8"/>
        <v>0</v>
      </c>
      <c r="AN69" s="50" t="str">
        <f t="shared" si="6"/>
        <v>m_cobalt</v>
      </c>
      <c r="CQ69" s="76"/>
      <c r="CR69" s="76"/>
      <c r="CT69" s="76"/>
      <c r="CU69" s="76"/>
      <c r="CW69" s="63" t="s">
        <v>167</v>
      </c>
      <c r="CX69" s="51" t="s">
        <v>168</v>
      </c>
      <c r="CY69" s="52" t="str">
        <f t="shared" si="7"/>
        <v>MINBatMaterials_COB</v>
      </c>
      <c r="CZ69" s="64" t="s">
        <v>174</v>
      </c>
      <c r="DA69" s="76">
        <v>0</v>
      </c>
      <c r="DB69" s="76">
        <v>5</v>
      </c>
    </row>
    <row r="70" s="50" customFormat="1" ht="16" spans="1:106">
      <c r="A70" s="50">
        <v>2020</v>
      </c>
      <c r="B70" s="60" t="s">
        <v>167</v>
      </c>
      <c r="C70" s="58" t="s">
        <v>168</v>
      </c>
      <c r="D70" s="62" t="s">
        <v>175</v>
      </c>
      <c r="E70" s="66" t="s">
        <v>176</v>
      </c>
      <c r="F70" s="67">
        <f t="shared" ref="F70:Z70" si="9">D80/1000</f>
        <v>0</v>
      </c>
      <c r="G70" s="67">
        <f t="shared" si="9"/>
        <v>74000</v>
      </c>
      <c r="H70" s="67">
        <f t="shared" si="9"/>
        <v>270000</v>
      </c>
      <c r="I70" s="67">
        <f t="shared" si="9"/>
        <v>0</v>
      </c>
      <c r="J70" s="67">
        <f t="shared" si="9"/>
        <v>0</v>
      </c>
      <c r="K70" s="67">
        <f t="shared" si="9"/>
        <v>0</v>
      </c>
      <c r="L70" s="67">
        <f t="shared" si="9"/>
        <v>270000</v>
      </c>
      <c r="M70" s="67">
        <f t="shared" si="9"/>
        <v>280000</v>
      </c>
      <c r="N70" s="67">
        <f t="shared" si="9"/>
        <v>0</v>
      </c>
      <c r="O70" s="67">
        <f t="shared" si="9"/>
        <v>0</v>
      </c>
      <c r="P70" s="67">
        <f t="shared" si="9"/>
        <v>0</v>
      </c>
      <c r="Q70" s="67">
        <f t="shared" si="9"/>
        <v>0</v>
      </c>
      <c r="R70" s="67">
        <f t="shared" si="9"/>
        <v>0</v>
      </c>
      <c r="S70" s="67">
        <f t="shared" si="9"/>
        <v>0</v>
      </c>
      <c r="T70" s="67">
        <f t="shared" si="9"/>
        <v>0</v>
      </c>
      <c r="U70" s="67">
        <f t="shared" si="9"/>
        <v>34000</v>
      </c>
      <c r="V70" s="67">
        <f t="shared" si="9"/>
        <v>0</v>
      </c>
      <c r="W70" s="67">
        <f t="shared" si="9"/>
        <v>0</v>
      </c>
      <c r="X70" s="67">
        <f t="shared" si="9"/>
        <v>0</v>
      </c>
      <c r="Y70" s="67">
        <f t="shared" si="9"/>
        <v>275000</v>
      </c>
      <c r="Z70" s="67">
        <f t="shared" si="9"/>
        <v>0</v>
      </c>
      <c r="AA70" s="73">
        <v>100</v>
      </c>
      <c r="AB70" s="50">
        <f t="shared" ref="AB70:AM73" si="10">Z80/1000</f>
        <v>0</v>
      </c>
      <c r="AC70" s="50">
        <f t="shared" si="10"/>
        <v>0</v>
      </c>
      <c r="AD70" s="50">
        <f t="shared" si="10"/>
        <v>5000</v>
      </c>
      <c r="AE70" s="50">
        <f t="shared" si="10"/>
        <v>0</v>
      </c>
      <c r="AF70" s="50">
        <f t="shared" si="10"/>
        <v>0</v>
      </c>
      <c r="AG70" s="58">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75"/>
      <c r="CR70" s="75"/>
      <c r="CT70" s="75"/>
      <c r="CU70" s="75"/>
      <c r="CW70" s="78" t="s">
        <v>167</v>
      </c>
      <c r="CX70" t="s">
        <v>168</v>
      </c>
      <c r="CY70" s="52" t="str">
        <f t="shared" si="7"/>
        <v>MINBatMaterials_MN</v>
      </c>
      <c r="CZ70" s="79" t="s">
        <v>176</v>
      </c>
      <c r="DA70" s="80">
        <v>0</v>
      </c>
      <c r="DB70" s="80">
        <v>5</v>
      </c>
    </row>
    <row r="71" s="50" customFormat="1" ht="16" spans="1:106">
      <c r="A71" s="50">
        <v>2020</v>
      </c>
      <c r="B71" s="60" t="s">
        <v>167</v>
      </c>
      <c r="C71" s="58" t="s">
        <v>168</v>
      </c>
      <c r="D71" s="62" t="s">
        <v>177</v>
      </c>
      <c r="E71" s="59" t="s">
        <v>178</v>
      </c>
      <c r="F71" s="50">
        <f t="shared" ref="F71:L73" si="11">D81/1000</f>
        <v>0</v>
      </c>
      <c r="G71" s="50">
        <f t="shared" si="11"/>
        <v>0</v>
      </c>
      <c r="H71" s="50">
        <f t="shared" si="11"/>
        <v>0</v>
      </c>
      <c r="I71" s="50">
        <f t="shared" si="11"/>
        <v>0</v>
      </c>
      <c r="J71" s="50">
        <f t="shared" si="11"/>
        <v>0</v>
      </c>
      <c r="K71" s="50">
        <f t="shared" si="11"/>
        <v>0</v>
      </c>
      <c r="L71" s="50">
        <f t="shared" si="11"/>
        <v>0</v>
      </c>
      <c r="M71" s="72">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2">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75"/>
      <c r="CR71" s="75"/>
      <c r="CT71" s="75"/>
      <c r="CU71" s="75"/>
      <c r="CW71" s="78" t="s">
        <v>167</v>
      </c>
      <c r="CX71" t="s">
        <v>168</v>
      </c>
      <c r="CY71" s="52" t="str">
        <f t="shared" si="7"/>
        <v>MINBatMaterials_AL</v>
      </c>
      <c r="CZ71" s="52" t="s">
        <v>178</v>
      </c>
      <c r="DA71" s="80">
        <v>0</v>
      </c>
      <c r="DB71" s="80">
        <v>5</v>
      </c>
    </row>
    <row r="72" s="50" customFormat="1" ht="16" spans="1:106">
      <c r="A72" s="50">
        <v>2020</v>
      </c>
      <c r="B72" s="60" t="s">
        <v>167</v>
      </c>
      <c r="C72" s="58" t="s">
        <v>168</v>
      </c>
      <c r="D72" s="62" t="s">
        <v>179</v>
      </c>
      <c r="E72" s="59" t="s">
        <v>180</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75"/>
      <c r="CR72" s="75"/>
      <c r="CT72" s="75"/>
      <c r="CU72" s="75"/>
      <c r="CW72" s="78" t="s">
        <v>167</v>
      </c>
      <c r="CX72" t="s">
        <v>168</v>
      </c>
      <c r="CY72" s="52" t="str">
        <f t="shared" si="7"/>
        <v>MINBatMaterials_COP</v>
      </c>
      <c r="CZ72" s="52" t="s">
        <v>180</v>
      </c>
      <c r="DA72" s="80">
        <v>0</v>
      </c>
      <c r="DB72" s="80">
        <v>5</v>
      </c>
    </row>
    <row r="73" s="49" customFormat="1" ht="16" spans="1:106">
      <c r="A73" s="50">
        <v>2020</v>
      </c>
      <c r="B73" s="60" t="s">
        <v>167</v>
      </c>
      <c r="C73" s="58" t="s">
        <v>168</v>
      </c>
      <c r="D73" s="62" t="s">
        <v>181</v>
      </c>
      <c r="E73" s="59" t="s">
        <v>182</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74"/>
      <c r="CR73" s="75"/>
      <c r="CT73" s="74"/>
      <c r="CU73" s="74"/>
      <c r="CW73" s="78" t="s">
        <v>167</v>
      </c>
      <c r="CX73" t="s">
        <v>168</v>
      </c>
      <c r="CY73" s="52" t="str">
        <f t="shared" si="7"/>
        <v>MINBatMaterials_GR</v>
      </c>
      <c r="CZ73" s="52" t="s">
        <v>182</v>
      </c>
      <c r="DA73" s="80">
        <v>0</v>
      </c>
      <c r="DB73" s="80">
        <v>5</v>
      </c>
    </row>
    <row r="74" s="52" customFormat="1"/>
    <row r="75" s="52" customFormat="1" spans="5:5">
      <c r="E75" s="52" t="s">
        <v>183</v>
      </c>
    </row>
    <row r="76" s="52" customFormat="1"/>
    <row r="77" s="52" customFormat="1" spans="2:37">
      <c r="B77" t="s">
        <v>184</v>
      </c>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185</v>
      </c>
      <c r="D104" s="69" t="s">
        <v>186</v>
      </c>
      <c r="E104" s="69">
        <v>7.11384396954065</v>
      </c>
      <c r="F104" s="70">
        <v>5.40179852616065</v>
      </c>
      <c r="G104" s="70">
        <v>8.85540744288872</v>
      </c>
      <c r="L104">
        <v>2050</v>
      </c>
      <c r="M104" s="52" t="s">
        <v>185</v>
      </c>
      <c r="N104" s="69" t="s">
        <v>186</v>
      </c>
      <c r="O104" s="69">
        <f>E104*0.313</f>
        <v>2.22663316246622</v>
      </c>
      <c r="P104" s="69">
        <f>F104*0.313</f>
        <v>1.69076293868828</v>
      </c>
      <c r="Q104" s="69">
        <f>G104*0.313</f>
        <v>2.77174252962417</v>
      </c>
      <c r="X104">
        <v>0</v>
      </c>
      <c r="Y104" s="52" t="s">
        <v>185</v>
      </c>
      <c r="Z104" s="69" t="s">
        <v>186</v>
      </c>
      <c r="AA104" s="69">
        <v>5</v>
      </c>
      <c r="AB104" s="69">
        <v>5</v>
      </c>
      <c r="AC104" s="69">
        <v>5</v>
      </c>
    </row>
    <row r="105" spans="3:29">
      <c r="C105" s="52" t="s">
        <v>185</v>
      </c>
      <c r="D105" s="69" t="s">
        <v>187</v>
      </c>
      <c r="E105" s="69">
        <v>7.11384396954065</v>
      </c>
      <c r="F105" s="70">
        <v>5.40179852616065</v>
      </c>
      <c r="G105" s="70">
        <v>8.85540744288872</v>
      </c>
      <c r="L105">
        <v>2050</v>
      </c>
      <c r="M105" s="52" t="s">
        <v>185</v>
      </c>
      <c r="N105" s="69" t="s">
        <v>187</v>
      </c>
      <c r="O105" s="69">
        <f t="shared" ref="O105:O124" si="13">E105*0.313</f>
        <v>2.22663316246622</v>
      </c>
      <c r="P105" s="69">
        <f t="shared" ref="P105:P124" si="14">F105*0.313</f>
        <v>1.69076293868828</v>
      </c>
      <c r="Q105" s="69">
        <f t="shared" ref="Q105:Q124" si="15">G105*0.313</f>
        <v>2.77174252962417</v>
      </c>
      <c r="X105">
        <v>0</v>
      </c>
      <c r="Y105" s="52" t="s">
        <v>185</v>
      </c>
      <c r="Z105" s="69" t="s">
        <v>187</v>
      </c>
      <c r="AA105" s="69">
        <v>5</v>
      </c>
      <c r="AB105" s="69">
        <v>5</v>
      </c>
      <c r="AC105" s="69">
        <v>5</v>
      </c>
    </row>
    <row r="106" spans="3:29">
      <c r="C106" s="52" t="s">
        <v>185</v>
      </c>
      <c r="D106" s="69" t="s">
        <v>188</v>
      </c>
      <c r="E106" s="69">
        <v>7.62975445836404</v>
      </c>
      <c r="F106" s="70">
        <v>5.79354797347089</v>
      </c>
      <c r="G106" s="70">
        <v>9.49761967575534</v>
      </c>
      <c r="L106">
        <v>2050</v>
      </c>
      <c r="M106" s="52" t="s">
        <v>185</v>
      </c>
      <c r="N106" s="69" t="s">
        <v>188</v>
      </c>
      <c r="O106" s="69">
        <f t="shared" si="13"/>
        <v>2.38811314546794</v>
      </c>
      <c r="P106" s="69">
        <f t="shared" si="14"/>
        <v>1.81338051569639</v>
      </c>
      <c r="Q106" s="69">
        <f t="shared" si="15"/>
        <v>2.97275495851142</v>
      </c>
      <c r="X106">
        <v>0</v>
      </c>
      <c r="Y106" s="52" t="s">
        <v>185</v>
      </c>
      <c r="Z106" s="69" t="s">
        <v>188</v>
      </c>
      <c r="AA106" s="69">
        <v>5</v>
      </c>
      <c r="AB106" s="69">
        <v>5</v>
      </c>
      <c r="AC106" s="69">
        <v>5</v>
      </c>
    </row>
    <row r="107" spans="3:29">
      <c r="C107" s="52" t="s">
        <v>185</v>
      </c>
      <c r="D107" s="69" t="s">
        <v>189</v>
      </c>
      <c r="E107" s="69">
        <v>7.47097081798084</v>
      </c>
      <c r="F107" s="70">
        <v>5.67297781871776</v>
      </c>
      <c r="G107" s="70">
        <v>9.29996366985999</v>
      </c>
      <c r="L107">
        <v>2050</v>
      </c>
      <c r="M107" s="52" t="s">
        <v>185</v>
      </c>
      <c r="N107" s="69" t="s">
        <v>189</v>
      </c>
      <c r="O107" s="69">
        <f t="shared" si="13"/>
        <v>2.338413866028</v>
      </c>
      <c r="P107" s="69">
        <f t="shared" si="14"/>
        <v>1.77564205725866</v>
      </c>
      <c r="Q107" s="69">
        <f t="shared" si="15"/>
        <v>2.91088862866618</v>
      </c>
      <c r="X107">
        <v>0</v>
      </c>
      <c r="Y107" s="52" t="s">
        <v>185</v>
      </c>
      <c r="Z107" s="69" t="s">
        <v>189</v>
      </c>
      <c r="AA107" s="69">
        <v>5</v>
      </c>
      <c r="AB107" s="69">
        <v>5</v>
      </c>
      <c r="AC107" s="69">
        <v>5</v>
      </c>
    </row>
    <row r="108" spans="3:29">
      <c r="C108" s="52" t="s">
        <v>185</v>
      </c>
      <c r="D108" s="69" t="s">
        <v>190</v>
      </c>
      <c r="E108" s="69">
        <v>7.51643520019651</v>
      </c>
      <c r="F108" s="70">
        <v>5.70750058953574</v>
      </c>
      <c r="G108" s="70">
        <v>9.35655836403832</v>
      </c>
      <c r="L108">
        <v>2050</v>
      </c>
      <c r="M108" s="52" t="s">
        <v>185</v>
      </c>
      <c r="N108" s="69" t="s">
        <v>190</v>
      </c>
      <c r="O108" s="69">
        <f t="shared" si="13"/>
        <v>2.35264421766151</v>
      </c>
      <c r="P108" s="69">
        <f t="shared" si="14"/>
        <v>1.78644768452469</v>
      </c>
      <c r="Q108" s="69">
        <f t="shared" si="15"/>
        <v>2.92860276794399</v>
      </c>
      <c r="X108">
        <v>0</v>
      </c>
      <c r="Y108" s="52" t="s">
        <v>185</v>
      </c>
      <c r="Z108" s="69" t="s">
        <v>190</v>
      </c>
      <c r="AA108" s="69">
        <v>5</v>
      </c>
      <c r="AB108" s="69">
        <v>5</v>
      </c>
      <c r="AC108" s="69">
        <v>5</v>
      </c>
    </row>
    <row r="109" spans="3:29">
      <c r="C109" s="52" t="s">
        <v>185</v>
      </c>
      <c r="D109" s="69" t="s">
        <v>191</v>
      </c>
      <c r="E109" s="69">
        <v>7.55036263817244</v>
      </c>
      <c r="F109" s="70">
        <v>5.73326293294031</v>
      </c>
      <c r="G109" s="70">
        <v>9.39879167280766</v>
      </c>
      <c r="L109">
        <v>2050</v>
      </c>
      <c r="M109" s="52" t="s">
        <v>185</v>
      </c>
      <c r="N109" s="69" t="s">
        <v>191</v>
      </c>
      <c r="O109" s="69">
        <f t="shared" si="13"/>
        <v>2.36326350574797</v>
      </c>
      <c r="P109" s="69">
        <f t="shared" si="14"/>
        <v>1.79451129801032</v>
      </c>
      <c r="Q109" s="69">
        <f t="shared" si="15"/>
        <v>2.9418217935888</v>
      </c>
      <c r="X109">
        <v>0</v>
      </c>
      <c r="Y109" s="52" t="s">
        <v>185</v>
      </c>
      <c r="Z109" s="69" t="s">
        <v>191</v>
      </c>
      <c r="AA109" s="69">
        <v>5</v>
      </c>
      <c r="AB109" s="69">
        <v>5</v>
      </c>
      <c r="AC109" s="69">
        <v>5</v>
      </c>
    </row>
    <row r="110" spans="3:29">
      <c r="C110" s="52" t="s">
        <v>185</v>
      </c>
      <c r="D110" s="69" t="s">
        <v>192</v>
      </c>
      <c r="E110" s="69">
        <v>7.62975445836404</v>
      </c>
      <c r="F110" s="70">
        <v>5.79354797347089</v>
      </c>
      <c r="G110" s="70">
        <v>9.49761967575534</v>
      </c>
      <c r="L110">
        <v>2050</v>
      </c>
      <c r="M110" s="52" t="s">
        <v>185</v>
      </c>
      <c r="N110" s="69" t="s">
        <v>192</v>
      </c>
      <c r="O110" s="69">
        <f t="shared" si="13"/>
        <v>2.38811314546794</v>
      </c>
      <c r="P110" s="69">
        <f t="shared" si="14"/>
        <v>1.81338051569639</v>
      </c>
      <c r="Q110" s="69">
        <f t="shared" si="15"/>
        <v>2.97275495851142</v>
      </c>
      <c r="X110">
        <v>0</v>
      </c>
      <c r="Y110" s="52" t="s">
        <v>185</v>
      </c>
      <c r="Z110" s="69" t="s">
        <v>192</v>
      </c>
      <c r="AA110" s="69">
        <v>5</v>
      </c>
      <c r="AB110" s="69">
        <v>5</v>
      </c>
      <c r="AC110" s="69">
        <v>5</v>
      </c>
    </row>
    <row r="111" spans="3:29">
      <c r="C111" s="52" t="s">
        <v>185</v>
      </c>
      <c r="D111" s="69" t="s">
        <v>193</v>
      </c>
      <c r="E111" s="69">
        <v>4.18384600835176</v>
      </c>
      <c r="F111" s="70">
        <v>3.17694532056006</v>
      </c>
      <c r="G111" s="70">
        <v>5.20810707442889</v>
      </c>
      <c r="L111">
        <v>2050</v>
      </c>
      <c r="M111" s="52" t="s">
        <v>185</v>
      </c>
      <c r="N111" s="69" t="s">
        <v>193</v>
      </c>
      <c r="O111" s="69">
        <f t="shared" si="13"/>
        <v>1.3095438006141</v>
      </c>
      <c r="P111" s="69">
        <f t="shared" si="14"/>
        <v>0.994383885335299</v>
      </c>
      <c r="Q111" s="69">
        <f t="shared" si="15"/>
        <v>1.63013751429624</v>
      </c>
      <c r="X111">
        <v>0</v>
      </c>
      <c r="Y111" s="52" t="s">
        <v>185</v>
      </c>
      <c r="Z111" s="69" t="s">
        <v>193</v>
      </c>
      <c r="AA111" s="69">
        <v>5</v>
      </c>
      <c r="AB111" s="69">
        <v>5</v>
      </c>
      <c r="AC111" s="69">
        <v>5</v>
      </c>
    </row>
    <row r="112" spans="3:29">
      <c r="C112" s="52" t="s">
        <v>185</v>
      </c>
      <c r="D112" s="69" t="s">
        <v>194</v>
      </c>
      <c r="E112" s="69">
        <v>4.18384600835176</v>
      </c>
      <c r="F112" s="70">
        <v>3.17694532056006</v>
      </c>
      <c r="G112" s="70">
        <v>5.20810707442889</v>
      </c>
      <c r="L112">
        <v>2050</v>
      </c>
      <c r="M112" s="52" t="s">
        <v>185</v>
      </c>
      <c r="N112" s="69" t="s">
        <v>194</v>
      </c>
      <c r="O112" s="69">
        <f t="shared" si="13"/>
        <v>1.3095438006141</v>
      </c>
      <c r="P112" s="69">
        <f t="shared" si="14"/>
        <v>0.994383885335299</v>
      </c>
      <c r="Q112" s="69">
        <f t="shared" si="15"/>
        <v>1.63013751429624</v>
      </c>
      <c r="X112">
        <v>0</v>
      </c>
      <c r="Y112" s="52" t="s">
        <v>185</v>
      </c>
      <c r="Z112" s="69" t="s">
        <v>194</v>
      </c>
      <c r="AA112" s="69">
        <v>5</v>
      </c>
      <c r="AB112" s="69">
        <v>5</v>
      </c>
      <c r="AC112" s="69">
        <v>5</v>
      </c>
    </row>
    <row r="113" spans="3:29">
      <c r="C113" s="52" t="s">
        <v>185</v>
      </c>
      <c r="D113" s="69" t="s">
        <v>195</v>
      </c>
      <c r="E113" s="69">
        <v>4.18384600835176</v>
      </c>
      <c r="F113" s="70">
        <v>3.17694532056006</v>
      </c>
      <c r="G113" s="70">
        <v>5.20810707442889</v>
      </c>
      <c r="L113">
        <v>2050</v>
      </c>
      <c r="M113" s="52" t="s">
        <v>185</v>
      </c>
      <c r="N113" s="69" t="s">
        <v>195</v>
      </c>
      <c r="O113" s="69">
        <f t="shared" si="13"/>
        <v>1.3095438006141</v>
      </c>
      <c r="P113" s="69">
        <f t="shared" si="14"/>
        <v>0.994383885335299</v>
      </c>
      <c r="Q113" s="69">
        <f t="shared" si="15"/>
        <v>1.63013751429624</v>
      </c>
      <c r="X113">
        <v>0</v>
      </c>
      <c r="Y113" s="52" t="s">
        <v>185</v>
      </c>
      <c r="Z113" s="69" t="s">
        <v>195</v>
      </c>
      <c r="AA113" s="69">
        <v>5</v>
      </c>
      <c r="AB113" s="69">
        <v>5</v>
      </c>
      <c r="AC113" s="69">
        <v>5</v>
      </c>
    </row>
    <row r="114" spans="3:29">
      <c r="C114" s="52" t="s">
        <v>185</v>
      </c>
      <c r="D114" s="69" t="s">
        <v>196</v>
      </c>
      <c r="E114" s="69">
        <v>4.18384600835176</v>
      </c>
      <c r="F114" s="70">
        <v>3.17694532056006</v>
      </c>
      <c r="G114" s="70">
        <v>5.20810707442889</v>
      </c>
      <c r="L114">
        <v>2050</v>
      </c>
      <c r="M114" s="52" t="s">
        <v>185</v>
      </c>
      <c r="N114" s="69" t="s">
        <v>196</v>
      </c>
      <c r="O114" s="69">
        <f t="shared" si="13"/>
        <v>1.3095438006141</v>
      </c>
      <c r="P114" s="69">
        <f t="shared" si="14"/>
        <v>0.994383885335299</v>
      </c>
      <c r="Q114" s="69">
        <f t="shared" si="15"/>
        <v>1.63013751429624</v>
      </c>
      <c r="X114">
        <v>0</v>
      </c>
      <c r="Y114" s="52" t="s">
        <v>185</v>
      </c>
      <c r="Z114" s="69" t="s">
        <v>196</v>
      </c>
      <c r="AA114" s="69">
        <v>5</v>
      </c>
      <c r="AB114" s="69">
        <v>5</v>
      </c>
      <c r="AC114" s="69">
        <v>5</v>
      </c>
    </row>
    <row r="115" spans="3:29">
      <c r="C115" s="52" t="s">
        <v>185</v>
      </c>
      <c r="D115" s="69" t="s">
        <v>197</v>
      </c>
      <c r="E115" s="69">
        <v>4.18384600835176</v>
      </c>
      <c r="F115" s="70">
        <v>3.17694532056006</v>
      </c>
      <c r="G115" s="70">
        <v>5.20810707442889</v>
      </c>
      <c r="L115">
        <v>2050</v>
      </c>
      <c r="M115" s="52" t="s">
        <v>185</v>
      </c>
      <c r="N115" s="69" t="s">
        <v>197</v>
      </c>
      <c r="O115" s="69">
        <f t="shared" si="13"/>
        <v>1.3095438006141</v>
      </c>
      <c r="P115" s="69">
        <f t="shared" si="14"/>
        <v>0.994383885335299</v>
      </c>
      <c r="Q115" s="69">
        <f t="shared" si="15"/>
        <v>1.63013751429624</v>
      </c>
      <c r="X115">
        <v>0</v>
      </c>
      <c r="Y115" s="52" t="s">
        <v>185</v>
      </c>
      <c r="Z115" s="69" t="s">
        <v>197</v>
      </c>
      <c r="AA115" s="69">
        <v>5</v>
      </c>
      <c r="AB115" s="69">
        <v>5</v>
      </c>
      <c r="AC115" s="69">
        <v>5</v>
      </c>
    </row>
    <row r="116" spans="3:29">
      <c r="C116" s="52" t="s">
        <v>185</v>
      </c>
      <c r="D116" s="69" t="s">
        <v>198</v>
      </c>
      <c r="E116" s="69">
        <v>4.18384600835176</v>
      </c>
      <c r="F116" s="70">
        <v>3.17694532056006</v>
      </c>
      <c r="G116" s="70">
        <v>5.20810707442889</v>
      </c>
      <c r="L116">
        <v>2050</v>
      </c>
      <c r="M116" s="52" t="s">
        <v>185</v>
      </c>
      <c r="N116" s="69" t="s">
        <v>198</v>
      </c>
      <c r="O116" s="69">
        <f t="shared" si="13"/>
        <v>1.3095438006141</v>
      </c>
      <c r="P116" s="69">
        <f t="shared" si="14"/>
        <v>0.994383885335299</v>
      </c>
      <c r="Q116" s="69">
        <f t="shared" si="15"/>
        <v>1.63013751429624</v>
      </c>
      <c r="X116">
        <v>0</v>
      </c>
      <c r="Y116" s="52" t="s">
        <v>185</v>
      </c>
      <c r="Z116" s="69" t="s">
        <v>198</v>
      </c>
      <c r="AA116" s="69">
        <v>5</v>
      </c>
      <c r="AB116" s="69">
        <v>5</v>
      </c>
      <c r="AC116" s="69">
        <v>5</v>
      </c>
    </row>
    <row r="117" spans="3:29">
      <c r="C117" s="52" t="s">
        <v>185</v>
      </c>
      <c r="D117" s="69" t="s">
        <v>199</v>
      </c>
      <c r="E117" s="69">
        <v>4.18384600835176</v>
      </c>
      <c r="F117" s="70">
        <v>3.17694532056006</v>
      </c>
      <c r="G117" s="70">
        <v>5.20810707442889</v>
      </c>
      <c r="L117">
        <v>2050</v>
      </c>
      <c r="M117" s="52" t="s">
        <v>185</v>
      </c>
      <c r="N117" s="69" t="s">
        <v>199</v>
      </c>
      <c r="O117" s="69">
        <f t="shared" si="13"/>
        <v>1.3095438006141</v>
      </c>
      <c r="P117" s="69">
        <f t="shared" si="14"/>
        <v>0.994383885335299</v>
      </c>
      <c r="Q117" s="69">
        <f t="shared" si="15"/>
        <v>1.63013751429624</v>
      </c>
      <c r="X117">
        <v>0</v>
      </c>
      <c r="Y117" s="52" t="s">
        <v>185</v>
      </c>
      <c r="Z117" s="69" t="s">
        <v>199</v>
      </c>
      <c r="AA117" s="69">
        <v>5</v>
      </c>
      <c r="AB117" s="69">
        <v>5</v>
      </c>
      <c r="AC117" s="69">
        <v>5</v>
      </c>
    </row>
    <row r="118" spans="3:29">
      <c r="C118" s="52" t="s">
        <v>185</v>
      </c>
      <c r="D118" s="69" t="s">
        <v>200</v>
      </c>
      <c r="E118" s="69">
        <v>3.56556266273643</v>
      </c>
      <c r="F118" s="70">
        <v>2.70746042741341</v>
      </c>
      <c r="G118" s="70">
        <v>4.4384597641857</v>
      </c>
      <c r="L118">
        <v>2050</v>
      </c>
      <c r="M118" s="52" t="s">
        <v>185</v>
      </c>
      <c r="N118" s="69" t="s">
        <v>200</v>
      </c>
      <c r="O118" s="69">
        <f t="shared" si="13"/>
        <v>1.1160211134365</v>
      </c>
      <c r="P118" s="69">
        <f t="shared" si="14"/>
        <v>0.847435113780397</v>
      </c>
      <c r="Q118" s="69">
        <f t="shared" si="15"/>
        <v>1.38923790619012</v>
      </c>
      <c r="X118">
        <v>0</v>
      </c>
      <c r="Y118" s="52" t="s">
        <v>185</v>
      </c>
      <c r="Z118" s="69" t="s">
        <v>200</v>
      </c>
      <c r="AA118" s="69">
        <v>5</v>
      </c>
      <c r="AB118" s="69">
        <v>5</v>
      </c>
      <c r="AC118" s="69">
        <v>5</v>
      </c>
    </row>
    <row r="119" spans="3:29">
      <c r="C119" s="52" t="s">
        <v>185</v>
      </c>
      <c r="D119" s="69" t="s">
        <v>201</v>
      </c>
      <c r="E119" s="69">
        <v>3.60087708179809</v>
      </c>
      <c r="F119" s="70">
        <v>2.73427597641857</v>
      </c>
      <c r="G119" s="70">
        <v>4.48241960206338</v>
      </c>
      <c r="L119">
        <v>2050</v>
      </c>
      <c r="M119" s="52" t="s">
        <v>185</v>
      </c>
      <c r="N119" s="69" t="s">
        <v>201</v>
      </c>
      <c r="O119" s="69">
        <f t="shared" si="13"/>
        <v>1.1270745266028</v>
      </c>
      <c r="P119" s="69">
        <f t="shared" si="14"/>
        <v>0.855828380619012</v>
      </c>
      <c r="Q119" s="69">
        <f t="shared" si="15"/>
        <v>1.40299733544584</v>
      </c>
      <c r="X119">
        <v>0</v>
      </c>
      <c r="Y119" s="52" t="s">
        <v>185</v>
      </c>
      <c r="Z119" s="69" t="s">
        <v>201</v>
      </c>
      <c r="AA119" s="69">
        <v>5</v>
      </c>
      <c r="AB119" s="69">
        <v>5</v>
      </c>
      <c r="AC119" s="69">
        <v>5</v>
      </c>
    </row>
    <row r="120" spans="3:29">
      <c r="C120" s="52" t="s">
        <v>185</v>
      </c>
      <c r="D120" s="69" t="s">
        <v>202</v>
      </c>
      <c r="E120" s="69">
        <v>3.56556266273643</v>
      </c>
      <c r="F120" s="70">
        <v>2.70746042741341</v>
      </c>
      <c r="G120" s="70">
        <v>4.4384597641857</v>
      </c>
      <c r="L120">
        <v>2050</v>
      </c>
      <c r="M120" s="52" t="s">
        <v>185</v>
      </c>
      <c r="N120" s="69" t="s">
        <v>202</v>
      </c>
      <c r="O120" s="69">
        <f t="shared" si="13"/>
        <v>1.1160211134365</v>
      </c>
      <c r="P120" s="69">
        <f t="shared" si="14"/>
        <v>0.847435113780397</v>
      </c>
      <c r="Q120" s="69">
        <f t="shared" si="15"/>
        <v>1.38923790619012</v>
      </c>
      <c r="X120">
        <v>0</v>
      </c>
      <c r="Y120" s="52" t="s">
        <v>185</v>
      </c>
      <c r="Z120" s="69" t="s">
        <v>202</v>
      </c>
      <c r="AA120" s="69">
        <v>5</v>
      </c>
      <c r="AB120" s="69">
        <v>5</v>
      </c>
      <c r="AC120" s="69">
        <v>5</v>
      </c>
    </row>
    <row r="121" spans="3:29">
      <c r="C121" s="52" t="s">
        <v>185</v>
      </c>
      <c r="D121" s="69" t="s">
        <v>203</v>
      </c>
      <c r="E121" s="69">
        <v>3.56645369688037</v>
      </c>
      <c r="F121" s="70">
        <v>2.70813706705969</v>
      </c>
      <c r="G121" s="70">
        <v>4.43956890198968</v>
      </c>
      <c r="L121">
        <v>2050</v>
      </c>
      <c r="M121" s="52" t="s">
        <v>185</v>
      </c>
      <c r="N121" s="69" t="s">
        <v>203</v>
      </c>
      <c r="O121" s="69">
        <f t="shared" si="13"/>
        <v>1.11630000712356</v>
      </c>
      <c r="P121" s="69">
        <f t="shared" si="14"/>
        <v>0.847646901989683</v>
      </c>
      <c r="Q121" s="69">
        <f t="shared" si="15"/>
        <v>1.38958506632277</v>
      </c>
      <c r="X121">
        <v>0</v>
      </c>
      <c r="Y121" s="52" t="s">
        <v>185</v>
      </c>
      <c r="Z121" s="69" t="s">
        <v>203</v>
      </c>
      <c r="AA121" s="69">
        <v>5</v>
      </c>
      <c r="AB121" s="69">
        <v>5</v>
      </c>
      <c r="AC121" s="69">
        <v>5</v>
      </c>
    </row>
    <row r="122" spans="3:29">
      <c r="C122" s="52" t="s">
        <v>185</v>
      </c>
      <c r="D122" s="69" t="s">
        <v>204</v>
      </c>
      <c r="E122" s="69">
        <v>3.56585961680177</v>
      </c>
      <c r="F122" s="70">
        <v>2.70768592483419</v>
      </c>
      <c r="G122" s="70">
        <v>4.43882940309506</v>
      </c>
      <c r="L122">
        <v>2050</v>
      </c>
      <c r="M122" s="52" t="s">
        <v>185</v>
      </c>
      <c r="N122" s="69" t="s">
        <v>204</v>
      </c>
      <c r="O122" s="69">
        <f t="shared" si="13"/>
        <v>1.11611406005895</v>
      </c>
      <c r="P122" s="69">
        <f t="shared" si="14"/>
        <v>0.847505694473101</v>
      </c>
      <c r="Q122" s="69">
        <f t="shared" si="15"/>
        <v>1.38935360316875</v>
      </c>
      <c r="X122">
        <v>0</v>
      </c>
      <c r="Y122" s="52" t="s">
        <v>185</v>
      </c>
      <c r="Z122" s="69" t="s">
        <v>204</v>
      </c>
      <c r="AA122" s="69">
        <v>5</v>
      </c>
      <c r="AB122" s="69">
        <v>5</v>
      </c>
      <c r="AC122" s="69">
        <v>5</v>
      </c>
    </row>
    <row r="123" spans="3:29">
      <c r="C123" s="52" t="s">
        <v>185</v>
      </c>
      <c r="D123" s="69" t="s">
        <v>205</v>
      </c>
      <c r="E123" s="69">
        <v>3.56556266273643</v>
      </c>
      <c r="F123" s="70">
        <v>2.70746042741341</v>
      </c>
      <c r="G123" s="70">
        <v>4.4384597641857</v>
      </c>
      <c r="L123">
        <v>2050</v>
      </c>
      <c r="M123" s="52" t="s">
        <v>185</v>
      </c>
      <c r="N123" s="69" t="s">
        <v>205</v>
      </c>
      <c r="O123" s="69">
        <f t="shared" si="13"/>
        <v>1.1160211134365</v>
      </c>
      <c r="P123" s="69">
        <f t="shared" si="14"/>
        <v>0.847435113780397</v>
      </c>
      <c r="Q123" s="69">
        <f t="shared" si="15"/>
        <v>1.38923790619012</v>
      </c>
      <c r="X123">
        <v>0</v>
      </c>
      <c r="Y123" s="52" t="s">
        <v>185</v>
      </c>
      <c r="Z123" s="69" t="s">
        <v>205</v>
      </c>
      <c r="AA123" s="69">
        <v>5</v>
      </c>
      <c r="AB123" s="69">
        <v>5</v>
      </c>
      <c r="AC123" s="69">
        <v>5</v>
      </c>
    </row>
    <row r="124" spans="3:29">
      <c r="C124" s="52" t="s">
        <v>185</v>
      </c>
      <c r="D124" s="71" t="s">
        <v>206</v>
      </c>
      <c r="E124" s="69">
        <v>3.56496890198968</v>
      </c>
      <c r="F124" s="70">
        <v>2.70700957995578</v>
      </c>
      <c r="G124" s="70">
        <v>4.43772063375092</v>
      </c>
      <c r="L124">
        <v>2050</v>
      </c>
      <c r="M124" s="52" t="s">
        <v>185</v>
      </c>
      <c r="N124" s="71" t="s">
        <v>206</v>
      </c>
      <c r="O124" s="69">
        <f t="shared" si="13"/>
        <v>1.11583526632277</v>
      </c>
      <c r="P124" s="69">
        <f t="shared" si="14"/>
        <v>0.847293998526159</v>
      </c>
      <c r="Q124" s="69">
        <f t="shared" si="15"/>
        <v>1.38900655836404</v>
      </c>
      <c r="X124">
        <v>0</v>
      </c>
      <c r="Y124" s="52" t="s">
        <v>185</v>
      </c>
      <c r="Z124" s="69" t="s">
        <v>206</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207</v>
      </c>
      <c r="D134" s="69" t="s">
        <v>186</v>
      </c>
      <c r="E134" s="69">
        <v>0.001</v>
      </c>
      <c r="F134" s="70"/>
      <c r="G134" s="70"/>
      <c r="M134" s="52"/>
      <c r="N134" s="52"/>
      <c r="O134" s="52"/>
      <c r="P134" s="52"/>
      <c r="Q134" s="52"/>
      <c r="Y134" s="52"/>
      <c r="Z134" s="52"/>
      <c r="AA134" s="52"/>
      <c r="AB134" s="52"/>
      <c r="AC134" s="52"/>
    </row>
    <row r="135" spans="3:29">
      <c r="C135" s="52" t="s">
        <v>207</v>
      </c>
      <c r="D135" s="69" t="s">
        <v>187</v>
      </c>
      <c r="E135" s="69">
        <f>E134</f>
        <v>0.001</v>
      </c>
      <c r="F135" s="70"/>
      <c r="G135" s="70"/>
      <c r="M135" s="52"/>
      <c r="N135" s="52"/>
      <c r="O135" s="52"/>
      <c r="P135" s="52"/>
      <c r="Q135" s="52"/>
      <c r="Y135" s="52"/>
      <c r="Z135" s="52"/>
      <c r="AA135" s="52"/>
      <c r="AB135" s="52"/>
      <c r="AC135" s="52"/>
    </row>
    <row r="136" spans="3:29">
      <c r="C136" s="52" t="s">
        <v>207</v>
      </c>
      <c r="D136" s="69" t="s">
        <v>188</v>
      </c>
      <c r="E136" s="69">
        <f t="shared" ref="E136:E154" si="16">E135</f>
        <v>0.001</v>
      </c>
      <c r="F136" s="70"/>
      <c r="G136" s="70"/>
      <c r="M136" s="52"/>
      <c r="N136" s="52"/>
      <c r="O136" s="52"/>
      <c r="P136" s="52"/>
      <c r="Q136" s="52"/>
      <c r="Y136" s="52"/>
      <c r="Z136" s="52"/>
      <c r="AA136" s="52"/>
      <c r="AB136" s="52"/>
      <c r="AC136" s="52"/>
    </row>
    <row r="137" spans="3:29">
      <c r="C137" s="52" t="s">
        <v>207</v>
      </c>
      <c r="D137" s="69" t="s">
        <v>189</v>
      </c>
      <c r="E137" s="69">
        <f t="shared" si="16"/>
        <v>0.001</v>
      </c>
      <c r="F137" s="70"/>
      <c r="G137" s="70"/>
      <c r="M137" s="52"/>
      <c r="N137" s="52"/>
      <c r="O137" s="52"/>
      <c r="P137" s="52"/>
      <c r="Q137" s="52"/>
      <c r="Y137" s="52"/>
      <c r="Z137" s="52"/>
      <c r="AA137" s="52"/>
      <c r="AB137" s="52"/>
      <c r="AC137" s="52"/>
    </row>
    <row r="138" spans="3:29">
      <c r="C138" s="52" t="s">
        <v>207</v>
      </c>
      <c r="D138" s="69" t="s">
        <v>190</v>
      </c>
      <c r="E138" s="69">
        <f t="shared" si="16"/>
        <v>0.001</v>
      </c>
      <c r="F138" s="70"/>
      <c r="G138" s="70"/>
      <c r="M138" s="52"/>
      <c r="N138" s="52"/>
      <c r="O138" s="52"/>
      <c r="P138" s="52"/>
      <c r="Q138" s="52"/>
      <c r="Y138" s="52"/>
      <c r="Z138" s="52"/>
      <c r="AA138" s="52"/>
      <c r="AB138" s="52"/>
      <c r="AC138" s="52"/>
    </row>
    <row r="139" spans="3:29">
      <c r="C139" s="52" t="s">
        <v>207</v>
      </c>
      <c r="D139" s="69" t="s">
        <v>191</v>
      </c>
      <c r="E139" s="69">
        <f t="shared" si="16"/>
        <v>0.001</v>
      </c>
      <c r="F139" s="70"/>
      <c r="G139" s="70"/>
      <c r="M139" s="52"/>
      <c r="N139" s="52"/>
      <c r="O139" s="52"/>
      <c r="P139" s="52"/>
      <c r="Q139" s="52"/>
      <c r="Y139" s="52"/>
      <c r="Z139" s="52"/>
      <c r="AA139" s="52"/>
      <c r="AB139" s="52"/>
      <c r="AC139" s="52"/>
    </row>
    <row r="140" spans="3:29">
      <c r="C140" s="52" t="s">
        <v>207</v>
      </c>
      <c r="D140" s="69" t="s">
        <v>192</v>
      </c>
      <c r="E140" s="69">
        <f t="shared" si="16"/>
        <v>0.001</v>
      </c>
      <c r="F140" s="70"/>
      <c r="G140" s="70"/>
      <c r="M140" s="52"/>
      <c r="N140" s="52"/>
      <c r="O140" s="52"/>
      <c r="P140" s="52"/>
      <c r="Q140" s="52"/>
      <c r="Y140" s="52"/>
      <c r="Z140" s="52"/>
      <c r="AA140" s="52"/>
      <c r="AB140" s="52"/>
      <c r="AC140" s="52"/>
    </row>
    <row r="141" spans="3:29">
      <c r="C141" s="52" t="s">
        <v>207</v>
      </c>
      <c r="D141" s="69" t="s">
        <v>193</v>
      </c>
      <c r="E141" s="69">
        <f t="shared" si="16"/>
        <v>0.001</v>
      </c>
      <c r="F141" s="70"/>
      <c r="G141" s="70"/>
      <c r="M141" s="52"/>
      <c r="N141" s="52"/>
      <c r="O141" s="52"/>
      <c r="P141" s="52"/>
      <c r="Q141" s="52"/>
      <c r="Y141" s="52"/>
      <c r="Z141" s="52"/>
      <c r="AA141" s="52"/>
      <c r="AB141" s="52"/>
      <c r="AC141" s="52"/>
    </row>
    <row r="142" spans="3:29">
      <c r="C142" s="52" t="s">
        <v>207</v>
      </c>
      <c r="D142" s="69" t="s">
        <v>194</v>
      </c>
      <c r="E142" s="69">
        <f t="shared" si="16"/>
        <v>0.001</v>
      </c>
      <c r="F142" s="70"/>
      <c r="G142" s="70"/>
      <c r="M142" s="52"/>
      <c r="N142" s="52"/>
      <c r="O142" s="52"/>
      <c r="P142" s="52"/>
      <c r="Q142" s="52"/>
      <c r="Y142" s="52"/>
      <c r="Z142" s="52"/>
      <c r="AA142" s="52"/>
      <c r="AB142" s="52"/>
      <c r="AC142" s="52"/>
    </row>
    <row r="143" spans="3:29">
      <c r="C143" s="52" t="s">
        <v>207</v>
      </c>
      <c r="D143" s="69" t="s">
        <v>195</v>
      </c>
      <c r="E143" s="69">
        <f t="shared" si="16"/>
        <v>0.001</v>
      </c>
      <c r="F143" s="70"/>
      <c r="G143" s="70"/>
      <c r="M143" s="52"/>
      <c r="N143" s="52"/>
      <c r="O143" s="52"/>
      <c r="P143" s="52"/>
      <c r="Q143" s="52"/>
      <c r="Y143" s="52"/>
      <c r="Z143" s="52"/>
      <c r="AA143" s="52"/>
      <c r="AB143" s="52"/>
      <c r="AC143" s="52"/>
    </row>
    <row r="144" spans="3:29">
      <c r="C144" s="52" t="s">
        <v>207</v>
      </c>
      <c r="D144" s="69" t="s">
        <v>196</v>
      </c>
      <c r="E144" s="69">
        <f t="shared" si="16"/>
        <v>0.001</v>
      </c>
      <c r="F144" s="70"/>
      <c r="G144" s="70"/>
      <c r="M144" s="52"/>
      <c r="N144" s="52"/>
      <c r="O144" s="52"/>
      <c r="P144" s="52"/>
      <c r="Q144" s="52"/>
      <c r="Y144" s="52"/>
      <c r="Z144" s="52"/>
      <c r="AA144" s="52"/>
      <c r="AB144" s="52"/>
      <c r="AC144" s="52"/>
    </row>
    <row r="145" spans="3:29">
      <c r="C145" s="52" t="s">
        <v>207</v>
      </c>
      <c r="D145" s="69" t="s">
        <v>197</v>
      </c>
      <c r="E145" s="69">
        <f t="shared" si="16"/>
        <v>0.001</v>
      </c>
      <c r="F145" s="70"/>
      <c r="G145" s="70"/>
      <c r="M145" s="52"/>
      <c r="N145" s="52"/>
      <c r="O145" s="52"/>
      <c r="P145" s="52"/>
      <c r="Q145" s="52"/>
      <c r="Y145" s="52"/>
      <c r="Z145" s="52"/>
      <c r="AA145" s="52"/>
      <c r="AB145" s="52"/>
      <c r="AC145" s="52"/>
    </row>
    <row r="146" spans="3:29">
      <c r="C146" s="52" t="s">
        <v>207</v>
      </c>
      <c r="D146" s="69" t="s">
        <v>198</v>
      </c>
      <c r="E146" s="69">
        <f t="shared" si="16"/>
        <v>0.001</v>
      </c>
      <c r="F146" s="70"/>
      <c r="G146" s="70"/>
      <c r="M146" s="52"/>
      <c r="N146" s="52"/>
      <c r="O146" s="52"/>
      <c r="P146" s="52"/>
      <c r="Q146" s="52"/>
      <c r="Y146" s="52"/>
      <c r="Z146" s="52"/>
      <c r="AA146" s="52"/>
      <c r="AB146" s="52"/>
      <c r="AC146" s="52"/>
    </row>
    <row r="147" spans="3:29">
      <c r="C147" s="52" t="s">
        <v>207</v>
      </c>
      <c r="D147" s="69" t="s">
        <v>199</v>
      </c>
      <c r="E147" s="69">
        <f t="shared" si="16"/>
        <v>0.001</v>
      </c>
      <c r="F147" s="70"/>
      <c r="G147" s="70"/>
      <c r="M147" s="52"/>
      <c r="N147" s="52"/>
      <c r="O147" s="52"/>
      <c r="P147" s="52"/>
      <c r="Q147" s="52"/>
      <c r="Y147" s="52"/>
      <c r="Z147" s="52"/>
      <c r="AA147" s="52"/>
      <c r="AB147" s="52"/>
      <c r="AC147" s="52"/>
    </row>
    <row r="148" spans="3:29">
      <c r="C148" s="52" t="s">
        <v>207</v>
      </c>
      <c r="D148" s="69" t="s">
        <v>200</v>
      </c>
      <c r="E148" s="69">
        <f t="shared" si="16"/>
        <v>0.001</v>
      </c>
      <c r="F148" s="70"/>
      <c r="G148" s="70"/>
      <c r="M148" s="52"/>
      <c r="N148" s="52"/>
      <c r="O148" s="52"/>
      <c r="P148" s="52"/>
      <c r="Q148" s="52"/>
      <c r="Y148" s="52"/>
      <c r="Z148" s="52"/>
      <c r="AA148" s="52"/>
      <c r="AB148" s="52"/>
      <c r="AC148" s="52"/>
    </row>
    <row r="149" spans="3:29">
      <c r="C149" s="52" t="s">
        <v>207</v>
      </c>
      <c r="D149" s="69" t="s">
        <v>201</v>
      </c>
      <c r="E149" s="69">
        <f t="shared" si="16"/>
        <v>0.001</v>
      </c>
      <c r="F149" s="70"/>
      <c r="G149" s="70"/>
      <c r="M149" s="52"/>
      <c r="N149" s="52"/>
      <c r="O149" s="52"/>
      <c r="P149" s="52"/>
      <c r="Q149" s="52"/>
      <c r="Y149" s="52"/>
      <c r="Z149" s="52"/>
      <c r="AA149" s="52"/>
      <c r="AB149" s="52"/>
      <c r="AC149" s="52"/>
    </row>
    <row r="150" spans="3:29">
      <c r="C150" s="52" t="s">
        <v>207</v>
      </c>
      <c r="D150" s="69" t="s">
        <v>202</v>
      </c>
      <c r="E150" s="69">
        <f t="shared" si="16"/>
        <v>0.001</v>
      </c>
      <c r="F150" s="70"/>
      <c r="G150" s="70"/>
      <c r="M150" s="52"/>
      <c r="N150" s="52"/>
      <c r="O150" s="52"/>
      <c r="P150" s="52"/>
      <c r="Q150" s="52"/>
      <c r="Y150" s="52"/>
      <c r="Z150" s="52"/>
      <c r="AA150" s="52"/>
      <c r="AB150" s="52"/>
      <c r="AC150" s="52"/>
    </row>
    <row r="151" spans="3:29">
      <c r="C151" s="52" t="s">
        <v>207</v>
      </c>
      <c r="D151" s="69" t="s">
        <v>203</v>
      </c>
      <c r="E151" s="69">
        <f t="shared" si="16"/>
        <v>0.001</v>
      </c>
      <c r="F151" s="70"/>
      <c r="G151" s="70"/>
      <c r="M151" s="52"/>
      <c r="N151" s="52"/>
      <c r="O151" s="52"/>
      <c r="P151" s="52"/>
      <c r="Q151" s="52"/>
      <c r="Y151" s="52"/>
      <c r="Z151" s="52"/>
      <c r="AA151" s="52"/>
      <c r="AB151" s="52"/>
      <c r="AC151" s="52"/>
    </row>
    <row r="152" spans="3:29">
      <c r="C152" s="52" t="s">
        <v>207</v>
      </c>
      <c r="D152" s="69" t="s">
        <v>204</v>
      </c>
      <c r="E152" s="69">
        <f t="shared" si="16"/>
        <v>0.001</v>
      </c>
      <c r="F152" s="70"/>
      <c r="G152" s="70"/>
      <c r="M152" s="52"/>
      <c r="N152" s="52"/>
      <c r="O152" s="52"/>
      <c r="P152" s="52"/>
      <c r="Q152" s="52"/>
      <c r="Y152" s="52"/>
      <c r="Z152" s="52"/>
      <c r="AA152" s="52"/>
      <c r="AB152" s="52"/>
      <c r="AC152" s="52"/>
    </row>
    <row r="153" spans="3:29">
      <c r="C153" s="52" t="s">
        <v>207</v>
      </c>
      <c r="D153" s="69" t="s">
        <v>205</v>
      </c>
      <c r="E153" s="69">
        <f t="shared" si="16"/>
        <v>0.001</v>
      </c>
      <c r="F153" s="70"/>
      <c r="G153" s="70"/>
      <c r="M153" s="52"/>
      <c r="N153" s="52"/>
      <c r="O153" s="52"/>
      <c r="P153" s="52"/>
      <c r="Q153" s="52"/>
      <c r="Y153" s="52"/>
      <c r="Z153" s="52"/>
      <c r="AA153" s="52"/>
      <c r="AB153" s="52"/>
      <c r="AC153" s="52"/>
    </row>
    <row r="154" spans="3:29">
      <c r="C154" s="52" t="s">
        <v>207</v>
      </c>
      <c r="D154" s="71" t="s">
        <v>206</v>
      </c>
      <c r="E154" s="69">
        <f t="shared" si="16"/>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K17" sqref="K17"/>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K6" workbookViewId="0">
      <selection activeCell="W7" sqref="W7"/>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216</v>
      </c>
      <c r="L6" s="24" t="s">
        <v>217</v>
      </c>
      <c r="M6" s="36">
        <f t="shared" ref="M6:M9" si="0">M16/1000</f>
        <v>0.0768000000000001</v>
      </c>
      <c r="N6" s="30"/>
      <c r="O6" s="30"/>
      <c r="P6" s="29" t="s">
        <v>124</v>
      </c>
      <c r="Q6" s="32" t="s">
        <v>218</v>
      </c>
      <c r="R6" s="24" t="s">
        <v>217</v>
      </c>
      <c r="S6" s="36">
        <f t="shared" ref="S6:S9" si="1">S16/1000</f>
        <v>0.0713</v>
      </c>
      <c r="T6" s="30"/>
      <c r="U6" s="30"/>
      <c r="V6" s="29" t="s">
        <v>124</v>
      </c>
      <c r="W6" s="32" t="s">
        <v>219</v>
      </c>
      <c r="X6" s="24" t="s">
        <v>217</v>
      </c>
      <c r="Y6" s="36">
        <f t="shared" ref="Y6:Y9" si="2">Y16/1000</f>
        <v>0.0712</v>
      </c>
      <c r="Z6" s="30"/>
      <c r="AA6" s="30"/>
      <c r="AB6" s="29" t="s">
        <v>124</v>
      </c>
      <c r="AC6" s="32" t="s">
        <v>220</v>
      </c>
      <c r="AD6" s="24" t="s">
        <v>217</v>
      </c>
      <c r="AE6" s="36">
        <f t="shared" ref="AE6:AE9" si="3">AE16/1000</f>
        <v>0.0725</v>
      </c>
      <c r="AF6" s="30"/>
      <c r="AG6" s="30"/>
      <c r="AH6" s="29" t="s">
        <v>124</v>
      </c>
      <c r="AI6" s="32" t="s">
        <v>221</v>
      </c>
      <c r="AJ6" s="24" t="s">
        <v>217</v>
      </c>
      <c r="AK6" s="36">
        <f t="shared" ref="AK6:AK9" si="4">AK16/1000</f>
        <v>0.077</v>
      </c>
      <c r="AL6" s="30"/>
      <c r="AM6" s="30"/>
      <c r="AN6" s="29" t="s">
        <v>124</v>
      </c>
      <c r="AO6" s="32" t="s">
        <v>222</v>
      </c>
      <c r="AP6" s="24" t="s">
        <v>217</v>
      </c>
      <c r="AQ6" s="36">
        <f t="shared" ref="AQ6:AQ9" si="5">AQ16/1000</f>
        <v>0.0424</v>
      </c>
      <c r="AT6" s="29" t="s">
        <v>124</v>
      </c>
      <c r="AU6" s="32" t="s">
        <v>223</v>
      </c>
      <c r="AV6" s="24" t="s">
        <v>217</v>
      </c>
      <c r="AW6" s="36">
        <f t="shared" ref="AW6:AW9" si="6">AW16/1000</f>
        <v>0.0472</v>
      </c>
      <c r="AZ6" s="2"/>
      <c r="BA6" s="2"/>
      <c r="BB6" s="2"/>
      <c r="BC6" s="2"/>
    </row>
    <row r="7" s="27" customFormat="1" ht="16" spans="4:55">
      <c r="D7" s="29"/>
      <c r="E7" s="32"/>
      <c r="F7" s="31"/>
      <c r="G7" s="33"/>
      <c r="H7" s="30"/>
      <c r="I7" s="30"/>
      <c r="J7" s="29" t="s">
        <v>124</v>
      </c>
      <c r="K7" s="32" t="s">
        <v>216</v>
      </c>
      <c r="L7" s="24" t="s">
        <v>224</v>
      </c>
      <c r="M7" s="36">
        <f t="shared" si="0"/>
        <v>0.2026</v>
      </c>
      <c r="N7" s="30"/>
      <c r="O7" s="30"/>
      <c r="P7" s="29" t="s">
        <v>124</v>
      </c>
      <c r="Q7" s="32" t="s">
        <v>218</v>
      </c>
      <c r="R7" s="24" t="s">
        <v>224</v>
      </c>
      <c r="S7" s="36">
        <f t="shared" si="1"/>
        <v>0.1913</v>
      </c>
      <c r="T7" s="30"/>
      <c r="U7" s="30"/>
      <c r="V7" s="29" t="s">
        <v>124</v>
      </c>
      <c r="W7" s="32" t="s">
        <v>219</v>
      </c>
      <c r="X7" s="24" t="s">
        <v>224</v>
      </c>
      <c r="Y7" s="36">
        <f t="shared" si="2"/>
        <v>0.1915</v>
      </c>
      <c r="Z7" s="30"/>
      <c r="AA7" s="30"/>
      <c r="AB7" s="29" t="s">
        <v>124</v>
      </c>
      <c r="AC7" s="32" t="s">
        <v>220</v>
      </c>
      <c r="AD7" s="24" t="s">
        <v>224</v>
      </c>
      <c r="AE7" s="36">
        <f t="shared" si="3"/>
        <v>0.1859</v>
      </c>
      <c r="AF7" s="30"/>
      <c r="AG7" s="30"/>
      <c r="AH7" s="29" t="s">
        <v>124</v>
      </c>
      <c r="AI7" s="32" t="s">
        <v>221</v>
      </c>
      <c r="AJ7" s="24" t="s">
        <v>224</v>
      </c>
      <c r="AK7" s="36">
        <f t="shared" si="4"/>
        <v>0.1982</v>
      </c>
      <c r="AL7" s="30"/>
      <c r="AM7" s="30"/>
      <c r="AN7" s="29" t="s">
        <v>124</v>
      </c>
      <c r="AO7" s="32" t="s">
        <v>222</v>
      </c>
      <c r="AP7" s="24" t="s">
        <v>224</v>
      </c>
      <c r="AQ7" s="36">
        <f t="shared" si="5"/>
        <v>0.0768</v>
      </c>
      <c r="AT7" s="29" t="s">
        <v>124</v>
      </c>
      <c r="AU7" s="32" t="s">
        <v>223</v>
      </c>
      <c r="AV7" s="24" t="s">
        <v>224</v>
      </c>
      <c r="AW7" s="36">
        <f t="shared" si="6"/>
        <v>0.1555</v>
      </c>
      <c r="AZ7" s="2"/>
      <c r="BA7" s="2"/>
      <c r="BB7" s="2"/>
      <c r="BC7" s="2"/>
    </row>
    <row r="8" s="27" customFormat="1" ht="14.5" customHeight="1" spans="4:55">
      <c r="D8" s="29"/>
      <c r="E8" s="32"/>
      <c r="F8" s="31"/>
      <c r="G8" s="33"/>
      <c r="H8" s="30"/>
      <c r="I8" s="30"/>
      <c r="J8" s="29" t="s">
        <v>124</v>
      </c>
      <c r="K8" s="32" t="s">
        <v>216</v>
      </c>
      <c r="L8" s="24" t="s">
        <v>225</v>
      </c>
      <c r="M8" s="36">
        <f t="shared" si="0"/>
        <v>0.5838</v>
      </c>
      <c r="N8" s="30"/>
      <c r="O8" s="30"/>
      <c r="P8" s="29" t="s">
        <v>124</v>
      </c>
      <c r="Q8" s="32" t="s">
        <v>218</v>
      </c>
      <c r="R8" s="24" t="s">
        <v>225</v>
      </c>
      <c r="S8" s="36">
        <f t="shared" si="1"/>
        <v>0.5561</v>
      </c>
      <c r="T8" s="30"/>
      <c r="U8" s="30"/>
      <c r="V8" s="29" t="s">
        <v>124</v>
      </c>
      <c r="W8" s="32" t="s">
        <v>219</v>
      </c>
      <c r="X8" s="24" t="s">
        <v>225</v>
      </c>
      <c r="Y8" s="36">
        <f t="shared" si="2"/>
        <v>0.5579</v>
      </c>
      <c r="Z8" s="30"/>
      <c r="AA8" s="30"/>
      <c r="AB8" s="29" t="s">
        <v>124</v>
      </c>
      <c r="AC8" s="32" t="s">
        <v>220</v>
      </c>
      <c r="AD8" s="24" t="s">
        <v>225</v>
      </c>
      <c r="AE8" s="36">
        <f t="shared" si="3"/>
        <v>0.5505</v>
      </c>
      <c r="AF8" s="30"/>
      <c r="AG8" s="30"/>
      <c r="AH8" s="29" t="s">
        <v>124</v>
      </c>
      <c r="AI8" s="32" t="s">
        <v>221</v>
      </c>
      <c r="AJ8" s="24" t="s">
        <v>225</v>
      </c>
      <c r="AK8" s="36">
        <f t="shared" si="4"/>
        <v>0.5942</v>
      </c>
      <c r="AL8" s="30"/>
      <c r="AM8" s="30"/>
      <c r="AN8" s="29" t="s">
        <v>124</v>
      </c>
      <c r="AO8" s="32" t="s">
        <v>222</v>
      </c>
      <c r="AP8" s="24" t="s">
        <v>225</v>
      </c>
      <c r="AQ8" s="36">
        <f t="shared" si="5"/>
        <v>0.4099</v>
      </c>
      <c r="AT8" s="29" t="s">
        <v>124</v>
      </c>
      <c r="AU8" s="32" t="s">
        <v>223</v>
      </c>
      <c r="AV8" s="24" t="s">
        <v>225</v>
      </c>
      <c r="AW8" s="36">
        <f t="shared" si="6"/>
        <v>0.477</v>
      </c>
      <c r="AZ8" s="2"/>
      <c r="BA8" s="2"/>
      <c r="BB8" s="2"/>
      <c r="BC8" s="2"/>
    </row>
    <row r="9" s="27" customFormat="1" ht="16" spans="4:55">
      <c r="D9" s="29"/>
      <c r="E9" s="32"/>
      <c r="F9" s="31"/>
      <c r="G9" s="33"/>
      <c r="H9" s="30"/>
      <c r="I9" s="30"/>
      <c r="J9" s="29" t="s">
        <v>124</v>
      </c>
      <c r="K9" s="32" t="s">
        <v>216</v>
      </c>
      <c r="L9" s="24" t="s">
        <v>226</v>
      </c>
      <c r="M9" s="36">
        <f t="shared" si="0"/>
        <v>0.1275</v>
      </c>
      <c r="N9" s="30"/>
      <c r="O9" s="30"/>
      <c r="P9" s="29" t="s">
        <v>124</v>
      </c>
      <c r="Q9" s="32" t="s">
        <v>218</v>
      </c>
      <c r="R9" s="24" t="s">
        <v>226</v>
      </c>
      <c r="S9" s="36">
        <f t="shared" si="1"/>
        <v>0.1337</v>
      </c>
      <c r="T9" s="30"/>
      <c r="U9" s="30"/>
      <c r="V9" s="29" t="s">
        <v>124</v>
      </c>
      <c r="W9" s="32" t="s">
        <v>219</v>
      </c>
      <c r="X9" s="24" t="s">
        <v>226</v>
      </c>
      <c r="Y9" s="36">
        <f t="shared" si="2"/>
        <v>0.1403</v>
      </c>
      <c r="Z9" s="30"/>
      <c r="AA9" s="30"/>
      <c r="AB9" s="29" t="s">
        <v>124</v>
      </c>
      <c r="AC9" s="32" t="s">
        <v>220</v>
      </c>
      <c r="AD9" s="24" t="s">
        <v>226</v>
      </c>
      <c r="AE9" s="36">
        <f t="shared" si="3"/>
        <v>0.1499</v>
      </c>
      <c r="AF9" s="30"/>
      <c r="AG9" s="30"/>
      <c r="AH9" s="29" t="s">
        <v>124</v>
      </c>
      <c r="AI9" s="32" t="s">
        <v>221</v>
      </c>
      <c r="AJ9" s="24" t="s">
        <v>226</v>
      </c>
      <c r="AK9" s="36">
        <f t="shared" si="4"/>
        <v>0.1608</v>
      </c>
      <c r="AL9" s="30"/>
      <c r="AM9" s="30"/>
      <c r="AN9" s="29" t="s">
        <v>124</v>
      </c>
      <c r="AO9" s="32" t="s">
        <v>222</v>
      </c>
      <c r="AP9" s="24" t="s">
        <v>226</v>
      </c>
      <c r="AQ9" s="36">
        <f t="shared" si="5"/>
        <v>0.057</v>
      </c>
      <c r="AT9" s="29" t="s">
        <v>124</v>
      </c>
      <c r="AU9" s="32" t="s">
        <v>223</v>
      </c>
      <c r="AV9" s="24" t="s">
        <v>226</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Tra_EV_Batt-NMC111_virgin</v>
      </c>
      <c r="L26" s="24" t="s">
        <v>217</v>
      </c>
      <c r="M26" s="33">
        <f t="shared" ref="M26:M29" si="15">T73/1000</f>
        <v>0.0774</v>
      </c>
      <c r="N26" s="30"/>
      <c r="O26" s="30"/>
      <c r="P26" s="29" t="s">
        <v>124</v>
      </c>
      <c r="Q26" s="32" t="str">
        <f t="shared" ref="Q26:Q29" si="16">Q6</f>
        <v>Tra_EV_Batt-NMC532_virgin</v>
      </c>
      <c r="R26" s="24" t="s">
        <v>217</v>
      </c>
      <c r="S26" s="39">
        <f t="shared" ref="S26:S29" si="17">S32/1000</f>
        <v>0.072</v>
      </c>
      <c r="T26" s="30"/>
      <c r="U26" s="30"/>
      <c r="V26" s="29" t="s">
        <v>124</v>
      </c>
      <c r="W26" s="32" t="str">
        <f t="shared" ref="W26:W29" si="18">W6</f>
        <v>Tra_EV_Batt-NMC622_virgin</v>
      </c>
      <c r="X26" s="24" t="s">
        <v>217</v>
      </c>
      <c r="Y26" s="39">
        <f t="shared" ref="Y26:Y29" si="19">Y32/1000</f>
        <v>0.0719</v>
      </c>
      <c r="Z26" s="30"/>
      <c r="AA26" s="30"/>
      <c r="AB26" s="29" t="s">
        <v>124</v>
      </c>
      <c r="AC26" s="32" t="str">
        <f t="shared" ref="AC26:AC29" si="20">AC6</f>
        <v>Tra_EV_Batt-NMC811_virgin</v>
      </c>
      <c r="AD26" s="24" t="s">
        <v>217</v>
      </c>
      <c r="AE26" s="39">
        <f t="shared" ref="AE26:AE29" si="21">AE32/1000</f>
        <v>0.0731</v>
      </c>
      <c r="AF26" s="30"/>
      <c r="AG26" s="30"/>
      <c r="AH26" s="29" t="s">
        <v>124</v>
      </c>
      <c r="AI26" s="32" t="str">
        <f t="shared" ref="AI26:AI29" si="22">AI6</f>
        <v>Tra_EV_Batt-NCA_virgin</v>
      </c>
      <c r="AJ26" s="24" t="s">
        <v>217</v>
      </c>
      <c r="AK26" s="39">
        <f t="shared" ref="AK26:AK29" si="23">AK32/1000</f>
        <v>0.0776999999999999</v>
      </c>
      <c r="AL26" s="30"/>
      <c r="AM26" s="30"/>
      <c r="AN26" s="29" t="s">
        <v>124</v>
      </c>
      <c r="AO26" s="32" t="str">
        <f t="shared" ref="AO26:AO29" si="24">AO6</f>
        <v>Tra_EV_Batt-LMO_virgin</v>
      </c>
      <c r="AP26" s="24" t="s">
        <v>217</v>
      </c>
      <c r="AQ26" s="39">
        <f t="shared" ref="AQ26:AQ29" si="25">AQ32/1000</f>
        <v>0.0431</v>
      </c>
      <c r="AR26" s="27"/>
      <c r="AS26" s="27"/>
      <c r="AT26" s="29" t="s">
        <v>124</v>
      </c>
      <c r="AU26" s="32" t="str">
        <f t="shared" ref="AU26:AU29" si="26">AU6</f>
        <v>Tra_EV_Batt-LFP_virgin</v>
      </c>
      <c r="AV26" s="24" t="s">
        <v>217</v>
      </c>
      <c r="AW26" s="39">
        <f t="shared" ref="AW26:AW29" si="27">AW32/1000</f>
        <v>0.0478</v>
      </c>
    </row>
    <row r="27" ht="16" spans="10:49">
      <c r="J27" s="29" t="s">
        <v>124</v>
      </c>
      <c r="K27" s="32" t="str">
        <f t="shared" si="14"/>
        <v>Tra_EV_Batt-NMC111_virgin</v>
      </c>
      <c r="L27" s="24" t="s">
        <v>224</v>
      </c>
      <c r="M27" s="33">
        <f t="shared" si="15"/>
        <v>0.2366</v>
      </c>
      <c r="N27" s="30"/>
      <c r="O27" s="30"/>
      <c r="P27" s="29" t="s">
        <v>124</v>
      </c>
      <c r="Q27" s="32" t="str">
        <f t="shared" si="16"/>
        <v>Tra_EV_Batt-NMC532_virgin</v>
      </c>
      <c r="R27" s="24" t="s">
        <v>224</v>
      </c>
      <c r="S27" s="39">
        <f t="shared" si="17"/>
        <v>0.2252</v>
      </c>
      <c r="T27" s="30"/>
      <c r="U27" s="30"/>
      <c r="V27" s="29" t="s">
        <v>124</v>
      </c>
      <c r="W27" s="32" t="str">
        <f t="shared" si="18"/>
        <v>Tra_EV_Batt-NMC622_virgin</v>
      </c>
      <c r="X27" s="24" t="s">
        <v>224</v>
      </c>
      <c r="Y27" s="39">
        <f t="shared" si="19"/>
        <v>0.2255</v>
      </c>
      <c r="Z27" s="30"/>
      <c r="AA27" s="30"/>
      <c r="AB27" s="29" t="s">
        <v>124</v>
      </c>
      <c r="AC27" s="32" t="str">
        <f t="shared" si="20"/>
        <v>Tra_EV_Batt-NMC811_virgin</v>
      </c>
      <c r="AD27" s="24" t="s">
        <v>224</v>
      </c>
      <c r="AE27" s="39">
        <f t="shared" si="21"/>
        <v>0.2198</v>
      </c>
      <c r="AF27" s="30"/>
      <c r="AG27" s="30"/>
      <c r="AH27" s="29" t="s">
        <v>124</v>
      </c>
      <c r="AI27" s="32" t="str">
        <f t="shared" si="22"/>
        <v>Tra_EV_Batt-NCA_virgin</v>
      </c>
      <c r="AJ27" s="24" t="s">
        <v>224</v>
      </c>
      <c r="AK27" s="39">
        <f t="shared" si="23"/>
        <v>0.2322</v>
      </c>
      <c r="AL27" s="30"/>
      <c r="AM27" s="30"/>
      <c r="AN27" s="29" t="s">
        <v>124</v>
      </c>
      <c r="AO27" s="32" t="str">
        <f t="shared" si="24"/>
        <v>Tra_EV_Batt-LMO_virgin</v>
      </c>
      <c r="AP27" s="24" t="s">
        <v>224</v>
      </c>
      <c r="AQ27" s="39">
        <f t="shared" si="25"/>
        <v>0.1108</v>
      </c>
      <c r="AR27" s="27"/>
      <c r="AS27" s="27"/>
      <c r="AT27" s="29" t="s">
        <v>124</v>
      </c>
      <c r="AU27" s="32" t="str">
        <f t="shared" si="26"/>
        <v>Tra_EV_Batt-LFP_virgin</v>
      </c>
      <c r="AV27" s="24" t="s">
        <v>224</v>
      </c>
      <c r="AW27" s="39">
        <f t="shared" si="27"/>
        <v>0.1895</v>
      </c>
    </row>
    <row r="28" ht="16" spans="10:49">
      <c r="J28" s="29" t="s">
        <v>124</v>
      </c>
      <c r="K28" s="32" t="str">
        <f t="shared" si="14"/>
        <v>Tra_EV_Batt-NMC111_virgin</v>
      </c>
      <c r="L28" s="24" t="s">
        <v>225</v>
      </c>
      <c r="M28" s="33">
        <f t="shared" si="15"/>
        <v>0.5598</v>
      </c>
      <c r="N28" s="30"/>
      <c r="O28" s="30"/>
      <c r="P28" s="29" t="s">
        <v>124</v>
      </c>
      <c r="Q28" s="32" t="str">
        <f t="shared" si="16"/>
        <v>Tra_EV_Batt-NMC532_virgin</v>
      </c>
      <c r="R28" s="24" t="s">
        <v>225</v>
      </c>
      <c r="S28" s="39">
        <f t="shared" si="17"/>
        <v>0.5321</v>
      </c>
      <c r="T28" s="30"/>
      <c r="U28" s="30"/>
      <c r="V28" s="29" t="s">
        <v>124</v>
      </c>
      <c r="W28" s="32" t="str">
        <f t="shared" si="18"/>
        <v>Tra_EV_Batt-NMC622_virgin</v>
      </c>
      <c r="X28" s="24" t="s">
        <v>225</v>
      </c>
      <c r="Y28" s="39">
        <f t="shared" si="19"/>
        <v>0.5339</v>
      </c>
      <c r="Z28" s="30"/>
      <c r="AA28" s="30"/>
      <c r="AB28" s="29" t="s">
        <v>124</v>
      </c>
      <c r="AC28" s="32" t="str">
        <f t="shared" si="20"/>
        <v>Tra_EV_Batt-NMC811_virgin</v>
      </c>
      <c r="AD28" s="24" t="s">
        <v>225</v>
      </c>
      <c r="AE28" s="39">
        <f t="shared" si="21"/>
        <v>0.5264</v>
      </c>
      <c r="AF28" s="30"/>
      <c r="AG28" s="30"/>
      <c r="AH28" s="29" t="s">
        <v>124</v>
      </c>
      <c r="AI28" s="32" t="str">
        <f t="shared" si="22"/>
        <v>Tra_EV_Batt-NCA_virgin</v>
      </c>
      <c r="AJ28" s="24" t="s">
        <v>225</v>
      </c>
      <c r="AK28" s="39">
        <f t="shared" si="23"/>
        <v>0.5702</v>
      </c>
      <c r="AL28" s="30"/>
      <c r="AM28" s="30"/>
      <c r="AN28" s="29" t="s">
        <v>124</v>
      </c>
      <c r="AO28" s="32" t="str">
        <f t="shared" si="24"/>
        <v>Tra_EV_Batt-LMO_virgin</v>
      </c>
      <c r="AP28" s="24" t="s">
        <v>225</v>
      </c>
      <c r="AQ28" s="39">
        <f t="shared" si="25"/>
        <v>0.3858</v>
      </c>
      <c r="AR28" s="27"/>
      <c r="AS28" s="27"/>
      <c r="AT28" s="29" t="s">
        <v>124</v>
      </c>
      <c r="AU28" s="32" t="str">
        <f t="shared" si="26"/>
        <v>Tra_EV_Batt-LFP_virgin</v>
      </c>
      <c r="AV28" s="24" t="s">
        <v>225</v>
      </c>
      <c r="AW28" s="39">
        <f t="shared" si="27"/>
        <v>0.453</v>
      </c>
    </row>
    <row r="29" ht="16" spans="10:49">
      <c r="J29" s="29" t="s">
        <v>124</v>
      </c>
      <c r="K29" s="32" t="str">
        <f t="shared" si="14"/>
        <v>Tra_EV_Batt-NMC111_virgin</v>
      </c>
      <c r="L29" s="24" t="s">
        <v>226</v>
      </c>
      <c r="M29" s="33">
        <f t="shared" si="15"/>
        <v>0.1277</v>
      </c>
      <c r="N29" s="30"/>
      <c r="O29" s="30"/>
      <c r="P29" s="29" t="s">
        <v>124</v>
      </c>
      <c r="Q29" s="32" t="str">
        <f t="shared" si="16"/>
        <v>Tra_EV_Batt-NMC532_virgin</v>
      </c>
      <c r="R29" s="24" t="s">
        <v>226</v>
      </c>
      <c r="S29" s="39">
        <f t="shared" si="17"/>
        <v>0.134</v>
      </c>
      <c r="T29" s="30"/>
      <c r="U29" s="30"/>
      <c r="V29" s="29" t="s">
        <v>124</v>
      </c>
      <c r="W29" s="32" t="str">
        <f t="shared" si="18"/>
        <v>Tra_EV_Batt-NMC622_virgin</v>
      </c>
      <c r="X29" s="24" t="s">
        <v>226</v>
      </c>
      <c r="Y29" s="39">
        <f t="shared" si="19"/>
        <v>0.1406</v>
      </c>
      <c r="Z29" s="30"/>
      <c r="AA29" s="30"/>
      <c r="AB29" s="29" t="s">
        <v>124</v>
      </c>
      <c r="AC29" s="32" t="str">
        <f t="shared" si="20"/>
        <v>Tra_EV_Batt-NMC811_virgin</v>
      </c>
      <c r="AD29" s="24" t="s">
        <v>226</v>
      </c>
      <c r="AE29" s="39">
        <f t="shared" si="21"/>
        <v>0.1502</v>
      </c>
      <c r="AF29" s="30"/>
      <c r="AG29" s="30"/>
      <c r="AH29" s="29" t="s">
        <v>124</v>
      </c>
      <c r="AI29" s="32" t="str">
        <f t="shared" si="22"/>
        <v>Tra_EV_Batt-NCA_virgin</v>
      </c>
      <c r="AJ29" s="24" t="s">
        <v>226</v>
      </c>
      <c r="AK29" s="39">
        <f t="shared" si="23"/>
        <v>0.1611</v>
      </c>
      <c r="AL29" s="30"/>
      <c r="AM29" s="30"/>
      <c r="AN29" s="29" t="s">
        <v>124</v>
      </c>
      <c r="AO29" s="32" t="str">
        <f t="shared" si="24"/>
        <v>Tra_EV_Batt-LMO_virgin</v>
      </c>
      <c r="AP29" s="24" t="s">
        <v>226</v>
      </c>
      <c r="AQ29" s="39">
        <f t="shared" si="25"/>
        <v>0.0572</v>
      </c>
      <c r="AR29" s="27"/>
      <c r="AS29" s="27"/>
      <c r="AT29" s="29" t="s">
        <v>124</v>
      </c>
      <c r="AU29" s="32" t="str">
        <f t="shared" si="26"/>
        <v>Tra_EV_Batt-LFP_virgin</v>
      </c>
      <c r="AV29" s="24" t="s">
        <v>226</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227</v>
      </c>
      <c r="R42" s="1"/>
      <c r="S42" s="1"/>
      <c r="T42" s="1"/>
      <c r="U42" s="1"/>
      <c r="V42" s="1"/>
      <c r="W42" s="1"/>
      <c r="X42" s="1"/>
      <c r="Y42" s="1"/>
      <c r="Z42" s="1"/>
    </row>
    <row r="43" ht="15.5" spans="17:26">
      <c r="Q43" s="40" t="s">
        <v>228</v>
      </c>
      <c r="R43" s="40" t="s">
        <v>229</v>
      </c>
      <c r="S43" s="41" t="s">
        <v>230</v>
      </c>
      <c r="T43" s="41"/>
      <c r="U43" s="41"/>
      <c r="V43" s="41"/>
      <c r="W43" s="41"/>
      <c r="X43" s="41"/>
      <c r="Y43" s="41"/>
      <c r="Z43" s="41"/>
    </row>
    <row r="44" ht="15.5" spans="17:26">
      <c r="Q44" s="40"/>
      <c r="R44" s="40"/>
      <c r="S44" s="41" t="s">
        <v>231</v>
      </c>
      <c r="T44" s="41" t="s">
        <v>232</v>
      </c>
      <c r="U44" s="41" t="s">
        <v>233</v>
      </c>
      <c r="V44" s="41" t="s">
        <v>234</v>
      </c>
      <c r="W44" s="41" t="s">
        <v>235</v>
      </c>
      <c r="X44" s="41" t="s">
        <v>236</v>
      </c>
      <c r="Y44" s="41" t="s">
        <v>237</v>
      </c>
      <c r="Z44" s="41" t="s">
        <v>238</v>
      </c>
    </row>
    <row r="45" ht="15.5" spans="17:26">
      <c r="Q45" s="40" t="s">
        <v>239</v>
      </c>
      <c r="R45" s="42" t="s">
        <v>240</v>
      </c>
      <c r="S45" s="43">
        <v>1211.3</v>
      </c>
      <c r="T45" s="43">
        <v>990.7</v>
      </c>
      <c r="U45" s="43">
        <v>952.4</v>
      </c>
      <c r="V45" s="43">
        <v>961</v>
      </c>
      <c r="W45" s="43">
        <v>958.7</v>
      </c>
      <c r="X45" s="43">
        <v>1030.2</v>
      </c>
      <c r="Y45" s="43">
        <v>586.1</v>
      </c>
      <c r="Z45" s="43">
        <v>775</v>
      </c>
    </row>
    <row r="46" ht="15.5" spans="17:26">
      <c r="Q46" s="40"/>
      <c r="R46" s="42" t="s">
        <v>241</v>
      </c>
      <c r="S46" s="43">
        <v>1103.7</v>
      </c>
      <c r="T46" s="43">
        <v>913.9</v>
      </c>
      <c r="U46" s="43">
        <v>881.1</v>
      </c>
      <c r="V46" s="43">
        <v>889.8</v>
      </c>
      <c r="W46" s="43">
        <v>886.2</v>
      </c>
      <c r="X46" s="43">
        <v>953.2</v>
      </c>
      <c r="Y46" s="43">
        <v>543.7</v>
      </c>
      <c r="Z46" s="43">
        <v>727.8</v>
      </c>
    </row>
    <row r="47" ht="15.5" spans="17:26">
      <c r="Q47" s="40"/>
      <c r="R47" s="42" t="s">
        <v>242</v>
      </c>
      <c r="S47" s="43">
        <v>267.3</v>
      </c>
      <c r="T47" s="43">
        <v>202.6</v>
      </c>
      <c r="U47" s="43">
        <v>191.3</v>
      </c>
      <c r="V47" s="43">
        <v>191.5</v>
      </c>
      <c r="W47" s="43">
        <v>185.9</v>
      </c>
      <c r="X47" s="43">
        <v>198.2</v>
      </c>
      <c r="Y47" s="43">
        <v>76.8</v>
      </c>
      <c r="Z47" s="43">
        <v>155.5</v>
      </c>
    </row>
    <row r="48" ht="15.5" spans="17:26">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E202" sqref="AE20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262</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263</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264</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262</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263</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264</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262</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263</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264</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189</v>
      </c>
      <c r="V162" s="24" t="s">
        <v>217</v>
      </c>
      <c r="W162" s="23">
        <f t="shared" ref="W162:W165" si="336">W85</f>
        <v>0.0105103587670541</v>
      </c>
      <c r="X162" s="23"/>
      <c r="Y162" s="23" t="s">
        <v>190</v>
      </c>
      <c r="Z162" s="24" t="s">
        <v>217</v>
      </c>
      <c r="AA162" s="23">
        <f t="shared" ref="AA162:AA165" si="337">X85</f>
        <v>0.0100940975192472</v>
      </c>
      <c r="AB162" s="23"/>
      <c r="AC162" s="23" t="s">
        <v>191</v>
      </c>
      <c r="AD162" s="24" t="s">
        <v>217</v>
      </c>
      <c r="AE162" s="23">
        <f t="shared" ref="AE162:AE165" si="338">Y85</f>
        <v>0.0103856502242152</v>
      </c>
      <c r="AF162" s="23"/>
      <c r="AG162" s="23" t="s">
        <v>192</v>
      </c>
      <c r="AH162" s="24" t="s">
        <v>217</v>
      </c>
      <c r="AI162" s="23">
        <f t="shared" ref="AI162:AI165" si="339">Z85</f>
        <v>0.0114291129643669</v>
      </c>
      <c r="AJ162" s="23"/>
      <c r="AK162" s="23" t="s">
        <v>188</v>
      </c>
      <c r="AL162" s="24" t="s">
        <v>217</v>
      </c>
      <c r="AM162" s="23">
        <f t="shared" ref="AM162:AM165" si="340">AA85</f>
        <v>0.0115979862017528</v>
      </c>
      <c r="AN162" s="23"/>
      <c r="AO162" s="23" t="s">
        <v>187</v>
      </c>
      <c r="AP162" s="24" t="s">
        <v>217</v>
      </c>
      <c r="AQ162" s="23">
        <f t="shared" ref="AQ162:AQ165" si="341">AB85</f>
        <v>0.00871331828442437</v>
      </c>
      <c r="AR162" s="23"/>
      <c r="AS162" s="23" t="s">
        <v>186</v>
      </c>
      <c r="AT162" s="24" t="s">
        <v>217</v>
      </c>
      <c r="AU162" s="23">
        <f t="shared" ref="AU162:AU165" si="342">AC85</f>
        <v>0.0102405376724443</v>
      </c>
    </row>
    <row r="163" ht="15.5" spans="21:47">
      <c r="U163" s="23" t="str">
        <f>U162</f>
        <v>PyroRecy-NMC111</v>
      </c>
      <c r="V163" s="24" t="s">
        <v>224</v>
      </c>
      <c r="W163" s="23">
        <f t="shared" si="336"/>
        <v>0.0289203301330638</v>
      </c>
      <c r="X163" s="23"/>
      <c r="Y163" s="23" t="str">
        <f t="shared" ref="Y163:Y165" si="343">Y162</f>
        <v>PyroRecy-NMC532</v>
      </c>
      <c r="Z163" s="24" t="s">
        <v>224</v>
      </c>
      <c r="AA163" s="23">
        <f t="shared" si="337"/>
        <v>0.0275620188195039</v>
      </c>
      <c r="AB163" s="23"/>
      <c r="AC163" s="23" t="str">
        <f t="shared" ref="AC163:AC165" si="344">AC162</f>
        <v>PyroRecy-NMC622</v>
      </c>
      <c r="AD163" s="24" t="s">
        <v>224</v>
      </c>
      <c r="AE163" s="23">
        <f t="shared" si="338"/>
        <v>0.028322869955157</v>
      </c>
      <c r="AF163" s="23"/>
      <c r="AG163" s="23" t="str">
        <f t="shared" ref="AG163:AG165" si="345">AG162</f>
        <v>PyroRecy-NMC811</v>
      </c>
      <c r="AH163" s="24" t="s">
        <v>224</v>
      </c>
      <c r="AI163" s="23">
        <f t="shared" si="339"/>
        <v>0.0288286580742987</v>
      </c>
      <c r="AJ163" s="23"/>
      <c r="AK163" s="23" t="str">
        <f t="shared" ref="AK163:AK165" si="346">AK162</f>
        <v>PyroRecy-NCA</v>
      </c>
      <c r="AL163" s="24" t="s">
        <v>224</v>
      </c>
      <c r="AM163" s="23">
        <f t="shared" si="340"/>
        <v>0.0296102927465971</v>
      </c>
      <c r="AN163" s="23"/>
      <c r="AO163" s="23" t="str">
        <f t="shared" ref="AO163:AO165" si="347">AO162</f>
        <v>PyroRecy-LMO</v>
      </c>
      <c r="AP163" s="24" t="s">
        <v>224</v>
      </c>
      <c r="AQ163" s="23">
        <f t="shared" si="341"/>
        <v>0.0237622272385252</v>
      </c>
      <c r="AR163" s="23"/>
      <c r="AS163" s="23" t="str">
        <f t="shared" ref="AS163:AS165" si="348">AS162</f>
        <v>PyroRecy-LFP</v>
      </c>
      <c r="AT163" s="24" t="s">
        <v>224</v>
      </c>
      <c r="AU163" s="23">
        <f t="shared" si="342"/>
        <v>0.0279271312345242</v>
      </c>
    </row>
    <row r="164" ht="15.5" spans="21:47">
      <c r="U164" s="23" t="str">
        <f>U163</f>
        <v>PyroRecy-NMC111</v>
      </c>
      <c r="V164" s="24" t="s">
        <v>225</v>
      </c>
      <c r="W164" s="23">
        <f t="shared" si="336"/>
        <v>0.0836617820448038</v>
      </c>
      <c r="X164" s="23"/>
      <c r="Y164" s="23" t="str">
        <f t="shared" si="343"/>
        <v>PyroRecy-NMC532</v>
      </c>
      <c r="Z164" s="24" t="s">
        <v>225</v>
      </c>
      <c r="AA164" s="23">
        <f t="shared" si="337"/>
        <v>0.0814029084687767</v>
      </c>
      <c r="AB164" s="23"/>
      <c r="AC164" s="23" t="str">
        <f t="shared" si="344"/>
        <v>PyroRecy-NMC622</v>
      </c>
      <c r="AD164" s="24" t="s">
        <v>225</v>
      </c>
      <c r="AE164" s="23">
        <f t="shared" si="338"/>
        <v>0.0843946188340807</v>
      </c>
      <c r="AF164" s="23"/>
      <c r="AG164" s="23" t="str">
        <f t="shared" si="345"/>
        <v>PyroRecy-NMC811</v>
      </c>
      <c r="AH164" s="24" t="s">
        <v>225</v>
      </c>
      <c r="AI164" s="23">
        <f t="shared" si="339"/>
        <v>0.0884192570128886</v>
      </c>
      <c r="AJ164" s="23"/>
      <c r="AK164" s="23" t="str">
        <f t="shared" si="346"/>
        <v>PyroRecy-NCA</v>
      </c>
      <c r="AL164" s="24" t="s">
        <v>225</v>
      </c>
      <c r="AM164" s="23">
        <f t="shared" si="340"/>
        <v>0.092485549132948</v>
      </c>
      <c r="AN164" s="23"/>
      <c r="AO164" s="23" t="str">
        <f t="shared" si="347"/>
        <v>PyroRecy-LMO</v>
      </c>
      <c r="AP164" s="24" t="s">
        <v>225</v>
      </c>
      <c r="AQ164" s="23">
        <f t="shared" si="341"/>
        <v>0.0708051166290444</v>
      </c>
      <c r="AR164" s="23"/>
      <c r="AS164" s="23" t="str">
        <f t="shared" si="348"/>
        <v>PyroRecy-LFP</v>
      </c>
      <c r="AT164" s="24" t="s">
        <v>225</v>
      </c>
      <c r="AU164" s="23">
        <f t="shared" si="342"/>
        <v>0.0832154227095861</v>
      </c>
    </row>
    <row r="165" ht="15.5" spans="21:47">
      <c r="U165" s="23" t="str">
        <f>U164</f>
        <v>PyroRecy-NMC111</v>
      </c>
      <c r="V165" s="24" t="s">
        <v>226</v>
      </c>
      <c r="W165" s="23">
        <f t="shared" si="336"/>
        <v>0.0130200437931615</v>
      </c>
      <c r="X165" s="25"/>
      <c r="Y165" s="23" t="str">
        <f t="shared" si="343"/>
        <v>PyroRecy-NMC532</v>
      </c>
      <c r="Z165" s="24" t="s">
        <v>226</v>
      </c>
      <c r="AA165" s="23">
        <f t="shared" si="337"/>
        <v>0.0127459366980325</v>
      </c>
      <c r="AB165" s="25"/>
      <c r="AC165" s="23" t="str">
        <f t="shared" si="344"/>
        <v>PyroRecy-NMC622</v>
      </c>
      <c r="AD165" s="24" t="s">
        <v>226</v>
      </c>
      <c r="AE165" s="23">
        <f t="shared" si="338"/>
        <v>0.0132017937219731</v>
      </c>
      <c r="AF165" s="25"/>
      <c r="AG165" s="23" t="str">
        <f t="shared" si="345"/>
        <v>PyroRecy-NMC811</v>
      </c>
      <c r="AH165" s="24" t="s">
        <v>226</v>
      </c>
      <c r="AI165" s="23">
        <f t="shared" si="339"/>
        <v>0.0144238059135709</v>
      </c>
      <c r="AJ165" s="25"/>
      <c r="AK165" s="23" t="str">
        <f t="shared" si="346"/>
        <v>PyroRecy-NCA</v>
      </c>
      <c r="AL165" s="24" t="s">
        <v>226</v>
      </c>
      <c r="AM165" s="23">
        <f t="shared" si="340"/>
        <v>0.0147119149729629</v>
      </c>
      <c r="AN165" s="25"/>
      <c r="AO165" s="23" t="str">
        <f t="shared" si="347"/>
        <v>PyroRecy-LMO</v>
      </c>
      <c r="AP165" s="24" t="s">
        <v>226</v>
      </c>
      <c r="AQ165" s="23">
        <f t="shared" si="341"/>
        <v>0.0110759969902182</v>
      </c>
      <c r="AR165" s="25"/>
      <c r="AS165" s="23" t="str">
        <f t="shared" si="348"/>
        <v>PyroRecy-LFP</v>
      </c>
      <c r="AT165" s="24" t="s">
        <v>226</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196</v>
      </c>
      <c r="V174" s="24" t="s">
        <v>217</v>
      </c>
      <c r="W174" s="23">
        <f t="shared" ref="W174:W177" si="349">W105</f>
        <v>0.0115546572342934</v>
      </c>
      <c r="X174" s="23"/>
      <c r="Y174" s="23" t="s">
        <v>197</v>
      </c>
      <c r="Z174" s="24" t="s">
        <v>217</v>
      </c>
      <c r="AA174" s="23">
        <f t="shared" ref="AA174:AA177" si="350">X105</f>
        <v>0.0110863986313088</v>
      </c>
      <c r="AB174" s="23"/>
      <c r="AC174" s="23" t="s">
        <v>198</v>
      </c>
      <c r="AD174" s="24" t="s">
        <v>217</v>
      </c>
      <c r="AE174" s="23">
        <f t="shared" ref="AE174:AE177" si="351">Y105</f>
        <v>0.0114618834080717</v>
      </c>
      <c r="AF174" s="23"/>
      <c r="AG174" s="23" t="s">
        <v>199</v>
      </c>
      <c r="AH174" s="24" t="s">
        <v>217</v>
      </c>
      <c r="AI174" s="23">
        <f t="shared" ref="AI174:AI177" si="352">Z105</f>
        <v>0.011751326762699</v>
      </c>
      <c r="AJ174" s="23"/>
      <c r="AK174" s="23" t="s">
        <v>195</v>
      </c>
      <c r="AL174" s="24" t="s">
        <v>217</v>
      </c>
      <c r="AM174" s="23">
        <f t="shared" ref="AM174:AM177" si="353">AA105</f>
        <v>0.0119709118030953</v>
      </c>
      <c r="AN174" s="23"/>
      <c r="AO174" s="23" t="s">
        <v>194</v>
      </c>
      <c r="AP174" s="24" t="s">
        <v>217</v>
      </c>
      <c r="AQ174" s="23">
        <f t="shared" ref="AQ174:AQ177" si="354">AB105</f>
        <v>0.00961625282167042</v>
      </c>
      <c r="AR174" s="23"/>
      <c r="AS174" s="23" t="s">
        <v>193</v>
      </c>
      <c r="AT174" s="24" t="s">
        <v>217</v>
      </c>
      <c r="AU174" s="23">
        <f t="shared" ref="AU174:AU177" si="355">AC105</f>
        <v>0.0113017332861691</v>
      </c>
    </row>
    <row r="175" ht="15.5" spans="21:47">
      <c r="U175" s="23" t="str">
        <f t="shared" ref="U175:U177" si="356">U174</f>
        <v>HydRecy-NMC111</v>
      </c>
      <c r="V175" s="24" t="s">
        <v>224</v>
      </c>
      <c r="W175" s="23">
        <f t="shared" si="349"/>
        <v>0.0252147549267307</v>
      </c>
      <c r="X175" s="23"/>
      <c r="Y175" s="23" t="str">
        <f t="shared" ref="Y175:Y177" si="357">Y174</f>
        <v>HydRecy-NMC532</v>
      </c>
      <c r="Z175" s="24" t="s">
        <v>224</v>
      </c>
      <c r="AA175" s="23">
        <f t="shared" si="350"/>
        <v>0.0242600513259196</v>
      </c>
      <c r="AB175" s="23"/>
      <c r="AC175" s="23" t="str">
        <f t="shared" ref="AC175:AC177" si="358">AC174</f>
        <v>HydRecy-NMC622</v>
      </c>
      <c r="AD175" s="24" t="s">
        <v>224</v>
      </c>
      <c r="AE175" s="23">
        <f t="shared" si="351"/>
        <v>0.0250941704035874</v>
      </c>
      <c r="AF175" s="23"/>
      <c r="AG175" s="23" t="str">
        <f t="shared" ref="AG175:AG177" si="359">AG174</f>
        <v>HydRecy-NMC811</v>
      </c>
      <c r="AH175" s="24" t="s">
        <v>224</v>
      </c>
      <c r="AI175" s="23">
        <f t="shared" si="352"/>
        <v>0.0257581501137225</v>
      </c>
      <c r="AJ175" s="23"/>
      <c r="AK175" s="23" t="str">
        <f t="shared" ref="AK175:AK177" si="360">AK174</f>
        <v>HydRecy-NCA</v>
      </c>
      <c r="AL175" s="24" t="s">
        <v>224</v>
      </c>
      <c r="AM175" s="23">
        <f t="shared" si="353"/>
        <v>0.0262539623345143</v>
      </c>
      <c r="AN175" s="23"/>
      <c r="AO175" s="23" t="str">
        <f t="shared" ref="AO175:AO177" si="361">AO174</f>
        <v>HydRecy-LMO</v>
      </c>
      <c r="AP175" s="24" t="s">
        <v>224</v>
      </c>
      <c r="AQ175" s="23">
        <f t="shared" si="354"/>
        <v>0.0210534236267871</v>
      </c>
      <c r="AR175" s="23"/>
      <c r="AS175" s="23" t="str">
        <f t="shared" ref="AS175:AS177" si="362">AS174</f>
        <v>HydRecy-LFP</v>
      </c>
      <c r="AT175" s="24" t="s">
        <v>224</v>
      </c>
      <c r="AU175" s="23">
        <f t="shared" si="355"/>
        <v>0.0247435443933498</v>
      </c>
    </row>
    <row r="176" ht="15.5" spans="21:47">
      <c r="U176" s="23" t="str">
        <f t="shared" si="356"/>
        <v>HydRecy-NMC111</v>
      </c>
      <c r="V176" s="24" t="s">
        <v>225</v>
      </c>
      <c r="W176" s="23">
        <f t="shared" si="349"/>
        <v>0.0978103419235304</v>
      </c>
      <c r="X176" s="23"/>
      <c r="Y176" s="23" t="str">
        <f t="shared" si="357"/>
        <v>HydRecy-NMC532</v>
      </c>
      <c r="Z176" s="24" t="s">
        <v>225</v>
      </c>
      <c r="AA176" s="23">
        <f t="shared" si="350"/>
        <v>0.0947818648417451</v>
      </c>
      <c r="AB176" s="23"/>
      <c r="AC176" s="23" t="str">
        <f t="shared" si="358"/>
        <v>HydRecy-NMC622</v>
      </c>
      <c r="AD176" s="24" t="s">
        <v>225</v>
      </c>
      <c r="AE176" s="23">
        <f t="shared" si="351"/>
        <v>0.0982600896860986</v>
      </c>
      <c r="AF176" s="23"/>
      <c r="AG176" s="23" t="str">
        <f t="shared" si="359"/>
        <v>HydRecy-NMC811</v>
      </c>
      <c r="AH176" s="24" t="s">
        <v>225</v>
      </c>
      <c r="AI176" s="23">
        <f t="shared" si="352"/>
        <v>0.099696739954511</v>
      </c>
      <c r="AJ176" s="23"/>
      <c r="AK176" s="23" t="str">
        <f t="shared" si="360"/>
        <v>HydRecy-NCA</v>
      </c>
      <c r="AL176" s="24" t="s">
        <v>225</v>
      </c>
      <c r="AM176" s="23">
        <f t="shared" si="353"/>
        <v>0.103953011374231</v>
      </c>
      <c r="AN176" s="23"/>
      <c r="AO176" s="23" t="str">
        <f t="shared" si="361"/>
        <v>HydRecy-LMO</v>
      </c>
      <c r="AP176" s="24" t="s">
        <v>225</v>
      </c>
      <c r="AQ176" s="23">
        <f t="shared" si="354"/>
        <v>0.0824379232505643</v>
      </c>
      <c r="AR176" s="23"/>
      <c r="AS176" s="23" t="str">
        <f t="shared" si="362"/>
        <v>HydRecy-LFP</v>
      </c>
      <c r="AT176" s="24" t="s">
        <v>225</v>
      </c>
      <c r="AU176" s="23">
        <f t="shared" si="355"/>
        <v>0.0968871595330739</v>
      </c>
    </row>
    <row r="177" ht="15.5" spans="21:47">
      <c r="U177" s="23" t="str">
        <f t="shared" si="356"/>
        <v>HydRecy-NMC111</v>
      </c>
      <c r="V177" s="24" t="s">
        <v>226</v>
      </c>
      <c r="W177" s="23">
        <f t="shared" si="349"/>
        <v>0.0132390096008085</v>
      </c>
      <c r="X177" s="25"/>
      <c r="Y177" s="23" t="str">
        <f t="shared" si="357"/>
        <v>HydRecy-NMC532</v>
      </c>
      <c r="Z177" s="24" t="s">
        <v>226</v>
      </c>
      <c r="AA177" s="23">
        <f t="shared" si="350"/>
        <v>0.0130538922155689</v>
      </c>
      <c r="AB177" s="25"/>
      <c r="AC177" s="23" t="str">
        <f t="shared" si="358"/>
        <v>HydRecy-NMC622</v>
      </c>
      <c r="AD177" s="24" t="s">
        <v>226</v>
      </c>
      <c r="AE177" s="23">
        <f t="shared" si="351"/>
        <v>0.0136143497757848</v>
      </c>
      <c r="AF177" s="25"/>
      <c r="AG177" s="23" t="str">
        <f t="shared" si="359"/>
        <v>HydRecy-NMC811</v>
      </c>
      <c r="AH177" s="24" t="s">
        <v>226</v>
      </c>
      <c r="AI177" s="23">
        <f t="shared" si="352"/>
        <v>0.0139689158453374</v>
      </c>
      <c r="AJ177" s="25"/>
      <c r="AK177" s="23" t="str">
        <f t="shared" si="360"/>
        <v>HydRecy-NCA</v>
      </c>
      <c r="AL177" s="24" t="s">
        <v>226</v>
      </c>
      <c r="AM177" s="23">
        <f t="shared" si="353"/>
        <v>0.0141711728510162</v>
      </c>
      <c r="AN177" s="25"/>
      <c r="AO177" s="23" t="str">
        <f t="shared" si="361"/>
        <v>HydRecy-LMO</v>
      </c>
      <c r="AP177" s="24" t="s">
        <v>226</v>
      </c>
      <c r="AQ177" s="23">
        <f t="shared" si="354"/>
        <v>0.0114221218961625</v>
      </c>
      <c r="AR177" s="25"/>
      <c r="AS177" s="23" t="str">
        <f t="shared" si="362"/>
        <v>HydRecy-LFP</v>
      </c>
      <c r="AT177" s="24" t="s">
        <v>226</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203</v>
      </c>
      <c r="V185" s="24" t="s">
        <v>217</v>
      </c>
      <c r="W185" s="23">
        <f t="shared" ref="W185:W188" si="363">W125</f>
        <v>0.00788276907529056</v>
      </c>
      <c r="X185" s="23"/>
      <c r="Y185" s="23" t="s">
        <v>204</v>
      </c>
      <c r="Z185" s="24" t="s">
        <v>217</v>
      </c>
      <c r="AA185" s="23">
        <f t="shared" ref="AA185:AA188" si="364">X125</f>
        <v>0.00764756201881948</v>
      </c>
      <c r="AB185" s="23"/>
      <c r="AC185" s="23" t="s">
        <v>205</v>
      </c>
      <c r="AD185" s="24" t="s">
        <v>217</v>
      </c>
      <c r="AE185" s="23">
        <f t="shared" ref="AE185:AE188" si="365">Y125</f>
        <v>0.00794618834080718</v>
      </c>
      <c r="AF185" s="23"/>
      <c r="AG185" s="23" t="s">
        <v>206</v>
      </c>
      <c r="AH185" s="24" t="s">
        <v>217</v>
      </c>
      <c r="AI185" s="23">
        <f t="shared" ref="AI185:AI188" si="366">Z125</f>
        <v>0.00794162244124336</v>
      </c>
      <c r="AJ185" s="23"/>
      <c r="AK185" s="23" t="s">
        <v>202</v>
      </c>
      <c r="AL185" s="24" t="s">
        <v>217</v>
      </c>
      <c r="AM185" s="23">
        <f t="shared" ref="AM185:AM188" si="367">AA125</f>
        <v>0.00801790042886445</v>
      </c>
      <c r="AN185" s="23"/>
      <c r="AO185" s="23" t="s">
        <v>201</v>
      </c>
      <c r="AP185" s="24" t="s">
        <v>217</v>
      </c>
      <c r="AQ185" s="23">
        <f t="shared" ref="AQ185:AQ188" si="368">AB125</f>
        <v>0.00666666666666667</v>
      </c>
      <c r="AR185" s="23"/>
      <c r="AS185" s="23" t="s">
        <v>200</v>
      </c>
      <c r="AT185" s="24" t="s">
        <v>217</v>
      </c>
      <c r="AU185" s="23">
        <f t="shared" ref="AU185:AU188" si="369">AC125</f>
        <v>0.00783516094800141</v>
      </c>
    </row>
    <row r="186" ht="15.5" spans="21:47">
      <c r="U186" s="23" t="str">
        <f t="shared" ref="U186:U188" si="370">U185</f>
        <v>DirRecy-NMC111</v>
      </c>
      <c r="V186" s="24" t="s">
        <v>224</v>
      </c>
      <c r="W186" s="23">
        <f t="shared" si="363"/>
        <v>0.02011116725619</v>
      </c>
      <c r="X186" s="23"/>
      <c r="Y186" s="23" t="str">
        <f t="shared" ref="Y186:Y188" si="371">Y185</f>
        <v>DirRecy-NMC532</v>
      </c>
      <c r="Z186" s="24" t="s">
        <v>224</v>
      </c>
      <c r="AA186" s="23">
        <f t="shared" si="364"/>
        <v>0.0195038494439692</v>
      </c>
      <c r="AB186" s="23"/>
      <c r="AC186" s="23" t="str">
        <f t="shared" ref="AC186:AC188" si="372">AC185</f>
        <v>DirRecy-NMC622</v>
      </c>
      <c r="AD186" s="24" t="s">
        <v>224</v>
      </c>
      <c r="AE186" s="23">
        <f t="shared" si="365"/>
        <v>0.0202152466367713</v>
      </c>
      <c r="AF186" s="23"/>
      <c r="AG186" s="23" t="str">
        <f t="shared" ref="AG186:AG188" si="373">AG185</f>
        <v>DirRecy-NMC811</v>
      </c>
      <c r="AH186" s="24" t="s">
        <v>224</v>
      </c>
      <c r="AI186" s="23">
        <f t="shared" si="366"/>
        <v>0.0201099317664898</v>
      </c>
      <c r="AJ186" s="23"/>
      <c r="AK186" s="23" t="str">
        <f t="shared" ref="AK186:AK188" si="374">AK185</f>
        <v>DirRecy-NCA</v>
      </c>
      <c r="AL186" s="24" t="s">
        <v>224</v>
      </c>
      <c r="AM186" s="23">
        <f t="shared" si="367"/>
        <v>0.0203990303934365</v>
      </c>
      <c r="AN186" s="23"/>
      <c r="AO186" s="23" t="str">
        <f t="shared" ref="AO186:AO188" si="375">AO185</f>
        <v>DirRecy-LMO</v>
      </c>
      <c r="AP186" s="24" t="s">
        <v>224</v>
      </c>
      <c r="AQ186" s="23">
        <f t="shared" si="368"/>
        <v>0.0169601203912716</v>
      </c>
      <c r="AR186" s="23"/>
      <c r="AS186" s="23" t="str">
        <f t="shared" ref="AS186:AS188" si="376">AS185</f>
        <v>DirRecy-LFP</v>
      </c>
      <c r="AT186" s="24" t="s">
        <v>224</v>
      </c>
      <c r="AU186" s="23">
        <f t="shared" si="369"/>
        <v>0.0199327909444641</v>
      </c>
    </row>
    <row r="187" ht="15.5" spans="21:47">
      <c r="U187" s="23" t="str">
        <f t="shared" si="370"/>
        <v>DirRecy-NMC111</v>
      </c>
      <c r="V187" s="24" t="s">
        <v>225</v>
      </c>
      <c r="W187" s="23">
        <f t="shared" si="363"/>
        <v>0.0641232945932289</v>
      </c>
      <c r="X187" s="23"/>
      <c r="Y187" s="23" t="str">
        <f t="shared" si="371"/>
        <v>DirRecy-NMC532</v>
      </c>
      <c r="Z187" s="24" t="s">
        <v>225</v>
      </c>
      <c r="AA187" s="23">
        <f t="shared" si="364"/>
        <v>0.0633532934131737</v>
      </c>
      <c r="AB187" s="23"/>
      <c r="AC187" s="23" t="str">
        <f t="shared" si="372"/>
        <v>DirRecy-NMC622</v>
      </c>
      <c r="AD187" s="24" t="s">
        <v>225</v>
      </c>
      <c r="AE187" s="23">
        <f t="shared" si="365"/>
        <v>0.0659910313901345</v>
      </c>
      <c r="AF187" s="23"/>
      <c r="AG187" s="23" t="str">
        <f t="shared" si="373"/>
        <v>DirRecy-NMC811</v>
      </c>
      <c r="AH187" s="24" t="s">
        <v>225</v>
      </c>
      <c r="AI187" s="23">
        <f t="shared" si="366"/>
        <v>0.0673237300985595</v>
      </c>
      <c r="AJ187" s="23"/>
      <c r="AK187" s="23" t="str">
        <f t="shared" si="374"/>
        <v>DirRecy-NCA</v>
      </c>
      <c r="AL187" s="24" t="s">
        <v>225</v>
      </c>
      <c r="AM187" s="23">
        <f t="shared" si="367"/>
        <v>0.0673690098825284</v>
      </c>
      <c r="AN187" s="23"/>
      <c r="AO187" s="23" t="str">
        <f t="shared" si="375"/>
        <v>DirRecy-LMO</v>
      </c>
      <c r="AP187" s="24" t="s">
        <v>225</v>
      </c>
      <c r="AQ187" s="23">
        <f t="shared" si="368"/>
        <v>0.055364936042137</v>
      </c>
      <c r="AR187" s="23"/>
      <c r="AS187" s="23" t="str">
        <f t="shared" si="376"/>
        <v>DirRecy-LFP</v>
      </c>
      <c r="AT187" s="24" t="s">
        <v>225</v>
      </c>
      <c r="AU187" s="23">
        <f t="shared" si="369"/>
        <v>0.0650689777148921</v>
      </c>
    </row>
    <row r="188" ht="15.5" spans="21:47">
      <c r="U188" s="23" t="str">
        <f t="shared" si="370"/>
        <v>DirRecy-NMC111</v>
      </c>
      <c r="V188" s="24" t="s">
        <v>226</v>
      </c>
      <c r="W188" s="23">
        <f t="shared" si="363"/>
        <v>0.0129695132221661</v>
      </c>
      <c r="X188" s="25"/>
      <c r="Y188" s="23" t="str">
        <f t="shared" si="371"/>
        <v>DirRecy-NMC532</v>
      </c>
      <c r="Z188" s="24" t="s">
        <v>226</v>
      </c>
      <c r="AA188" s="23">
        <f t="shared" si="364"/>
        <v>0.012814371257485</v>
      </c>
      <c r="AB188" s="25"/>
      <c r="AC188" s="23" t="str">
        <f t="shared" si="372"/>
        <v>DirRecy-NMC622</v>
      </c>
      <c r="AD188" s="24" t="s">
        <v>226</v>
      </c>
      <c r="AE188" s="23">
        <f t="shared" si="365"/>
        <v>0.0133452914798206</v>
      </c>
      <c r="AF188" s="25"/>
      <c r="AG188" s="23" t="str">
        <f t="shared" si="373"/>
        <v>DirRecy-NMC811</v>
      </c>
      <c r="AH188" s="24" t="s">
        <v>226</v>
      </c>
      <c r="AI188" s="23">
        <f t="shared" si="366"/>
        <v>0.0135898407884761</v>
      </c>
      <c r="AJ188" s="25"/>
      <c r="AK188" s="23" t="str">
        <f t="shared" si="374"/>
        <v>DirRecy-NCA</v>
      </c>
      <c r="AL188" s="24" t="s">
        <v>226</v>
      </c>
      <c r="AM188" s="23">
        <f t="shared" si="367"/>
        <v>0.0136304307290695</v>
      </c>
      <c r="AN188" s="25"/>
      <c r="AO188" s="23" t="str">
        <f t="shared" si="375"/>
        <v>DirRecy-LMO</v>
      </c>
      <c r="AP188" s="24" t="s">
        <v>226</v>
      </c>
      <c r="AQ188" s="23">
        <f t="shared" si="368"/>
        <v>0.011196388261851</v>
      </c>
      <c r="AR188" s="25"/>
      <c r="AS188" s="23" t="str">
        <f t="shared" si="376"/>
        <v>DirRecy-LFP</v>
      </c>
      <c r="AT188" s="24" t="s">
        <v>226</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workbookViewId="0">
      <selection activeCell="AK62" sqref="AK6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265</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262</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263</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264</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265</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262</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263</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264</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265</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262</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263</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264</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189</v>
      </c>
      <c r="V162" s="24" t="s">
        <v>217</v>
      </c>
      <c r="W162" s="23">
        <f t="shared" ref="W162:W165" si="336">W85</f>
        <v>0.010830385716692</v>
      </c>
      <c r="X162" s="23"/>
      <c r="Y162" s="23" t="s">
        <v>190</v>
      </c>
      <c r="Z162" s="24" t="s">
        <v>217</v>
      </c>
      <c r="AA162" s="23">
        <f t="shared" ref="AA162:AA165" si="337">X85</f>
        <v>0.0104020530367836</v>
      </c>
      <c r="AB162" s="23"/>
      <c r="AC162" s="23" t="s">
        <v>191</v>
      </c>
      <c r="AD162" s="24" t="s">
        <v>217</v>
      </c>
      <c r="AE162" s="23">
        <f t="shared" ref="AE162:AE165" si="338">Y85</f>
        <v>0.0107085201793722</v>
      </c>
      <c r="AF162" s="23"/>
      <c r="AG162" s="23" t="s">
        <v>192</v>
      </c>
      <c r="AH162" s="24" t="s">
        <v>217</v>
      </c>
      <c r="AI162" s="23">
        <f t="shared" ref="AI162:AI165" si="339">Z85</f>
        <v>0.0117702805155421</v>
      </c>
      <c r="AJ162" s="23"/>
      <c r="AK162" s="23" t="s">
        <v>188</v>
      </c>
      <c r="AL162" s="24" t="s">
        <v>217</v>
      </c>
      <c r="AM162" s="23">
        <f t="shared" ref="AM162:AM165" si="340">AA85</f>
        <v>0.011933619242961</v>
      </c>
      <c r="AN162" s="23"/>
      <c r="AO162" s="23" t="s">
        <v>187</v>
      </c>
      <c r="AP162" s="24" t="s">
        <v>217</v>
      </c>
      <c r="AQ162" s="23">
        <f t="shared" ref="AQ162:AQ165" si="341">AB85</f>
        <v>0.00898419864559818</v>
      </c>
      <c r="AR162" s="23"/>
      <c r="AS162" s="23" t="s">
        <v>186</v>
      </c>
      <c r="AT162" s="24" t="s">
        <v>217</v>
      </c>
      <c r="AU162" s="23">
        <f t="shared" ref="AU162:AU165" si="342">AC85</f>
        <v>0.0105588963565617</v>
      </c>
    </row>
    <row r="163" ht="15.5" spans="21:47">
      <c r="U163" s="23" t="str">
        <f t="shared" ref="U163:U165" si="343">U162</f>
        <v>PyroRecy-NMC111</v>
      </c>
      <c r="V163" s="24" t="s">
        <v>224</v>
      </c>
      <c r="W163" s="23">
        <f t="shared" si="336"/>
        <v>0.0447027118073101</v>
      </c>
      <c r="X163" s="23"/>
      <c r="Y163" s="23" t="str">
        <f t="shared" ref="Y163:Y165" si="344">Y162</f>
        <v>PyroRecy-NMC532</v>
      </c>
      <c r="Z163" s="24" t="s">
        <v>224</v>
      </c>
      <c r="AA163" s="23">
        <f t="shared" si="337"/>
        <v>0.0428058169375535</v>
      </c>
      <c r="AB163" s="23"/>
      <c r="AC163" s="23" t="str">
        <f t="shared" ref="AC163:AC165" si="345">AC162</f>
        <v>PyroRecy-NMC622</v>
      </c>
      <c r="AD163" s="24" t="s">
        <v>224</v>
      </c>
      <c r="AE163" s="23">
        <f t="shared" si="338"/>
        <v>0.0441255605381166</v>
      </c>
      <c r="AF163" s="23"/>
      <c r="AG163" s="23" t="str">
        <f t="shared" ref="AG163:AG165" si="346">AG162</f>
        <v>PyroRecy-NMC811</v>
      </c>
      <c r="AH163" s="24" t="s">
        <v>224</v>
      </c>
      <c r="AI163" s="23">
        <f t="shared" si="339"/>
        <v>0.0456406368460955</v>
      </c>
      <c r="AJ163" s="23"/>
      <c r="AK163" s="23" t="str">
        <f t="shared" ref="AK163:AK165" si="347">AK162</f>
        <v>PyroRecy-NCA</v>
      </c>
      <c r="AL163" s="24" t="s">
        <v>224</v>
      </c>
      <c r="AM163" s="23">
        <f t="shared" si="340"/>
        <v>0.0467275778482193</v>
      </c>
      <c r="AN163" s="23"/>
      <c r="AO163" s="23" t="str">
        <f t="shared" ref="AO163:AO165" si="348">AO162</f>
        <v>PyroRecy-LMO</v>
      </c>
      <c r="AP163" s="24" t="s">
        <v>224</v>
      </c>
      <c r="AQ163" s="23">
        <f t="shared" si="341"/>
        <v>0.037020316027088</v>
      </c>
      <c r="AR163" s="23"/>
      <c r="AS163" s="23" t="str">
        <f t="shared" ref="AS163:AS165" si="349">AS162</f>
        <v>PyroRecy-LFP</v>
      </c>
      <c r="AT163" s="24" t="s">
        <v>224</v>
      </c>
      <c r="AU163" s="23">
        <f t="shared" si="342"/>
        <v>0.0435090201627167</v>
      </c>
    </row>
    <row r="164" ht="15.5" spans="21:47">
      <c r="U164" s="23" t="str">
        <f t="shared" si="343"/>
        <v>PyroRecy-NMC111</v>
      </c>
      <c r="V164" s="24" t="s">
        <v>225</v>
      </c>
      <c r="W164" s="23">
        <f t="shared" si="336"/>
        <v>0.0724945258548088</v>
      </c>
      <c r="X164" s="23"/>
      <c r="Y164" s="23" t="str">
        <f t="shared" si="344"/>
        <v>PyroRecy-NMC532</v>
      </c>
      <c r="Z164" s="24" t="s">
        <v>225</v>
      </c>
      <c r="AA164" s="23">
        <f t="shared" si="337"/>
        <v>0.0706073567151412</v>
      </c>
      <c r="AB164" s="23"/>
      <c r="AC164" s="23" t="str">
        <f t="shared" si="345"/>
        <v>PyroRecy-NMC622</v>
      </c>
      <c r="AD164" s="24" t="s">
        <v>225</v>
      </c>
      <c r="AE164" s="23">
        <f t="shared" si="338"/>
        <v>0.0732017937219731</v>
      </c>
      <c r="AF164" s="23"/>
      <c r="AG164" s="23" t="str">
        <f t="shared" si="346"/>
        <v>PyroRecy-NMC811</v>
      </c>
      <c r="AH164" s="24" t="s">
        <v>225</v>
      </c>
      <c r="AI164" s="23">
        <f t="shared" si="339"/>
        <v>0.076516300227445</v>
      </c>
      <c r="AJ164" s="23"/>
      <c r="AK164" s="23" t="str">
        <f t="shared" si="347"/>
        <v>PyroRecy-NCA</v>
      </c>
      <c r="AL164" s="24" t="s">
        <v>225</v>
      </c>
      <c r="AM164" s="23">
        <f t="shared" si="340"/>
        <v>0.0803841133693828</v>
      </c>
      <c r="AN164" s="23"/>
      <c r="AO164" s="23" t="str">
        <f t="shared" si="348"/>
        <v>PyroRecy-LMO</v>
      </c>
      <c r="AP164" s="24" t="s">
        <v>225</v>
      </c>
      <c r="AQ164" s="23">
        <f t="shared" si="341"/>
        <v>0.0614145974416855</v>
      </c>
      <c r="AR164" s="23"/>
      <c r="AS164" s="23" t="str">
        <f t="shared" si="349"/>
        <v>PyroRecy-LFP</v>
      </c>
      <c r="AT164" s="24" t="s">
        <v>225</v>
      </c>
      <c r="AU164" s="23">
        <f t="shared" si="342"/>
        <v>0.0721789883268483</v>
      </c>
    </row>
    <row r="165" ht="15.5" spans="21:47">
      <c r="U165" s="23" t="str">
        <f t="shared" si="343"/>
        <v>PyroRecy-NMC111</v>
      </c>
      <c r="V165" s="24" t="s">
        <v>226</v>
      </c>
      <c r="W165" s="23">
        <f t="shared" si="336"/>
        <v>0.0131547919824827</v>
      </c>
      <c r="X165" s="25"/>
      <c r="Y165" s="23" t="str">
        <f t="shared" si="344"/>
        <v>PyroRecy-NMC532</v>
      </c>
      <c r="Z165" s="24" t="s">
        <v>226</v>
      </c>
      <c r="AA165" s="23">
        <f t="shared" si="337"/>
        <v>0.0128656971770744</v>
      </c>
      <c r="AB165" s="25"/>
      <c r="AC165" s="23" t="str">
        <f t="shared" si="345"/>
        <v>PyroRecy-NMC622</v>
      </c>
      <c r="AD165" s="24" t="s">
        <v>226</v>
      </c>
      <c r="AE165" s="23">
        <f t="shared" si="338"/>
        <v>0.0133273542600897</v>
      </c>
      <c r="AF165" s="25"/>
      <c r="AG165" s="23" t="str">
        <f t="shared" si="346"/>
        <v>PyroRecy-NMC811</v>
      </c>
      <c r="AH165" s="24" t="s">
        <v>226</v>
      </c>
      <c r="AI165" s="23">
        <f t="shared" si="339"/>
        <v>0.0145564821834723</v>
      </c>
      <c r="AJ165" s="25"/>
      <c r="AK165" s="23" t="str">
        <f t="shared" si="347"/>
        <v>PyroRecy-NCA</v>
      </c>
      <c r="AL165" s="24" t="s">
        <v>226</v>
      </c>
      <c r="AM165" s="23">
        <f t="shared" si="340"/>
        <v>0.0148610852134999</v>
      </c>
      <c r="AN165" s="25"/>
      <c r="AO165" s="23" t="str">
        <f t="shared" si="348"/>
        <v>PyroRecy-LMO</v>
      </c>
      <c r="AP165" s="24" t="s">
        <v>226</v>
      </c>
      <c r="AQ165" s="23">
        <f t="shared" si="341"/>
        <v>0.0111813393528969</v>
      </c>
      <c r="AR165" s="25"/>
      <c r="AS165" s="23" t="str">
        <f t="shared" si="349"/>
        <v>PyroRecy-LFP</v>
      </c>
      <c r="AT165" s="24" t="s">
        <v>226</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196</v>
      </c>
      <c r="V174" s="24" t="s">
        <v>217</v>
      </c>
      <c r="W174" s="23">
        <f t="shared" ref="W174:W177" si="350">W105</f>
        <v>0.011840997136601</v>
      </c>
      <c r="X174" s="23"/>
      <c r="Y174" s="23" t="s">
        <v>197</v>
      </c>
      <c r="Z174" s="24" t="s">
        <v>217</v>
      </c>
      <c r="AA174" s="23">
        <f t="shared" ref="AA174:AA177" si="351">X105</f>
        <v>0.011377245508982</v>
      </c>
      <c r="AB174" s="23"/>
      <c r="AC174" s="23" t="s">
        <v>198</v>
      </c>
      <c r="AD174" s="24" t="s">
        <v>217</v>
      </c>
      <c r="AE174" s="23">
        <f t="shared" ref="AE174:AE177" si="352">Y105</f>
        <v>0.0117668161434977</v>
      </c>
      <c r="AF174" s="23"/>
      <c r="AG174" s="23" t="s">
        <v>199</v>
      </c>
      <c r="AH174" s="24" t="s">
        <v>217</v>
      </c>
      <c r="AI174" s="23">
        <f t="shared" ref="AI174:AI177" si="353">Z105</f>
        <v>0.0120924943138741</v>
      </c>
      <c r="AJ174" s="23"/>
      <c r="AK174" s="23" t="s">
        <v>195</v>
      </c>
      <c r="AL174" s="24" t="s">
        <v>217</v>
      </c>
      <c r="AM174" s="23">
        <f t="shared" ref="AM174:AM177" si="354">AA105</f>
        <v>0.0122878985642364</v>
      </c>
      <c r="AN174" s="23"/>
      <c r="AO174" s="23" t="s">
        <v>194</v>
      </c>
      <c r="AP174" s="24" t="s">
        <v>217</v>
      </c>
      <c r="AQ174" s="23">
        <f t="shared" ref="AQ174:AQ177" si="355">AB105</f>
        <v>0.00987208427389014</v>
      </c>
      <c r="AR174" s="23"/>
      <c r="AS174" s="23" t="s">
        <v>193</v>
      </c>
      <c r="AT174" s="24" t="s">
        <v>217</v>
      </c>
      <c r="AU174" s="23">
        <f t="shared" ref="AU174:AU177" si="356">AC105</f>
        <v>0.0116024053767244</v>
      </c>
    </row>
    <row r="175" ht="15.5" spans="21:47">
      <c r="U175" s="23" t="str">
        <f t="shared" ref="U175:U177" si="357">U174</f>
        <v>HydRecy-NMC111</v>
      </c>
      <c r="V175" s="24" t="s">
        <v>224</v>
      </c>
      <c r="W175" s="23">
        <f t="shared" si="350"/>
        <v>0.0404413003200269</v>
      </c>
      <c r="X175" s="23"/>
      <c r="Y175" s="23" t="str">
        <f t="shared" ref="Y175:Y177" si="358">Y174</f>
        <v>HydRecy-NMC532</v>
      </c>
      <c r="Z175" s="24" t="s">
        <v>224</v>
      </c>
      <c r="AA175" s="23">
        <f t="shared" si="351"/>
        <v>0.0389734816082122</v>
      </c>
      <c r="AB175" s="23"/>
      <c r="AC175" s="23" t="str">
        <f t="shared" ref="AC175:AC177" si="359">AC174</f>
        <v>HydRecy-NMC622</v>
      </c>
      <c r="AD175" s="24" t="s">
        <v>224</v>
      </c>
      <c r="AE175" s="23">
        <f t="shared" si="352"/>
        <v>0.0403408071748879</v>
      </c>
      <c r="AF175" s="23"/>
      <c r="AG175" s="23" t="str">
        <f t="shared" ref="AG175:AG177" si="360">AG174</f>
        <v>HydRecy-NMC811</v>
      </c>
      <c r="AH175" s="24" t="s">
        <v>224</v>
      </c>
      <c r="AI175" s="23">
        <f t="shared" si="353"/>
        <v>0.0420204700530705</v>
      </c>
      <c r="AJ175" s="23"/>
      <c r="AK175" s="23" t="str">
        <f t="shared" ref="AK175:AK177" si="361">AK174</f>
        <v>HydRecy-NCA</v>
      </c>
      <c r="AL175" s="24" t="s">
        <v>224</v>
      </c>
      <c r="AM175" s="23">
        <f t="shared" si="354"/>
        <v>0.0428118590341227</v>
      </c>
      <c r="AN175" s="23"/>
      <c r="AO175" s="23" t="str">
        <f t="shared" ref="AO175:AO177" si="362">AO174</f>
        <v>HydRecy-LMO</v>
      </c>
      <c r="AP175" s="24" t="s">
        <v>224</v>
      </c>
      <c r="AQ175" s="23">
        <f t="shared" si="355"/>
        <v>0.0338449962377728</v>
      </c>
      <c r="AR175" s="23"/>
      <c r="AS175" s="23" t="str">
        <f t="shared" ref="AS175:AS177" si="363">AS174</f>
        <v>HydRecy-LFP</v>
      </c>
      <c r="AT175" s="24" t="s">
        <v>224</v>
      </c>
      <c r="AU175" s="23">
        <f t="shared" si="356"/>
        <v>0.0397771489211178</v>
      </c>
    </row>
    <row r="176" ht="15.5" spans="21:47">
      <c r="U176" s="23" t="str">
        <f t="shared" si="357"/>
        <v>HydRecy-NMC111</v>
      </c>
      <c r="V176" s="24" t="s">
        <v>225</v>
      </c>
      <c r="W176" s="23">
        <f t="shared" si="350"/>
        <v>0.0870304867778339</v>
      </c>
      <c r="X176" s="23"/>
      <c r="Y176" s="23" t="str">
        <f t="shared" si="358"/>
        <v>HydRecy-NMC532</v>
      </c>
      <c r="Z176" s="24" t="s">
        <v>225</v>
      </c>
      <c r="AA176" s="23">
        <f t="shared" si="351"/>
        <v>0.0843627031650984</v>
      </c>
      <c r="AB176" s="23"/>
      <c r="AC176" s="23" t="str">
        <f t="shared" si="359"/>
        <v>HydRecy-NMC622</v>
      </c>
      <c r="AD176" s="24" t="s">
        <v>225</v>
      </c>
      <c r="AE176" s="23">
        <f t="shared" si="352"/>
        <v>0.0874439461883408</v>
      </c>
      <c r="AF176" s="23"/>
      <c r="AG176" s="23" t="str">
        <f t="shared" si="360"/>
        <v>HydRecy-NMC811</v>
      </c>
      <c r="AH176" s="24" t="s">
        <v>225</v>
      </c>
      <c r="AI176" s="23">
        <f t="shared" si="353"/>
        <v>0.0881918119787718</v>
      </c>
      <c r="AJ176" s="23"/>
      <c r="AK176" s="23" t="str">
        <f t="shared" si="361"/>
        <v>HydRecy-NCA</v>
      </c>
      <c r="AL176" s="24" t="s">
        <v>225</v>
      </c>
      <c r="AM176" s="23">
        <f t="shared" si="354"/>
        <v>0.0922245012120082</v>
      </c>
      <c r="AN176" s="23"/>
      <c r="AO176" s="23" t="str">
        <f t="shared" si="362"/>
        <v>HydRecy-LMO</v>
      </c>
      <c r="AP176" s="24" t="s">
        <v>225</v>
      </c>
      <c r="AQ176" s="23">
        <f t="shared" si="355"/>
        <v>0.0733634311512415</v>
      </c>
      <c r="AR176" s="23"/>
      <c r="AS176" s="23" t="str">
        <f t="shared" si="363"/>
        <v>HydRecy-LFP</v>
      </c>
      <c r="AT176" s="24" t="s">
        <v>225</v>
      </c>
      <c r="AU176" s="23">
        <f t="shared" si="356"/>
        <v>0.0862221436151397</v>
      </c>
    </row>
    <row r="177" ht="15.5" spans="21:47">
      <c r="U177" s="23" t="str">
        <f t="shared" si="357"/>
        <v>HydRecy-NMC111</v>
      </c>
      <c r="V177" s="24" t="s">
        <v>226</v>
      </c>
      <c r="W177" s="23">
        <f t="shared" si="350"/>
        <v>0.0133569142664645</v>
      </c>
      <c r="X177" s="25"/>
      <c r="Y177" s="23" t="str">
        <f t="shared" si="358"/>
        <v>HydRecy-NMC532</v>
      </c>
      <c r="Z177" s="24" t="s">
        <v>226</v>
      </c>
      <c r="AA177" s="23">
        <f t="shared" si="351"/>
        <v>0.0131907613344739</v>
      </c>
      <c r="AB177" s="25"/>
      <c r="AC177" s="23" t="str">
        <f t="shared" si="359"/>
        <v>HydRecy-NMC622</v>
      </c>
      <c r="AD177" s="24" t="s">
        <v>226</v>
      </c>
      <c r="AE177" s="23">
        <f t="shared" si="352"/>
        <v>0.0137399103139013</v>
      </c>
      <c r="AF177" s="25"/>
      <c r="AG177" s="23" t="str">
        <f t="shared" si="360"/>
        <v>HydRecy-NMC811</v>
      </c>
      <c r="AH177" s="24" t="s">
        <v>226</v>
      </c>
      <c r="AI177" s="23">
        <f t="shared" si="353"/>
        <v>0.0141015921152388</v>
      </c>
      <c r="AJ177" s="25"/>
      <c r="AK177" s="23" t="str">
        <f t="shared" si="361"/>
        <v>HydRecy-NCA</v>
      </c>
      <c r="AL177" s="24" t="s">
        <v>226</v>
      </c>
      <c r="AM177" s="23">
        <f t="shared" si="354"/>
        <v>0.0143016968114861</v>
      </c>
      <c r="AN177" s="25"/>
      <c r="AO177" s="23" t="str">
        <f t="shared" si="362"/>
        <v>HydRecy-LMO</v>
      </c>
      <c r="AP177" s="24" t="s">
        <v>226</v>
      </c>
      <c r="AQ177" s="23">
        <f t="shared" si="355"/>
        <v>0.0115274642588412</v>
      </c>
      <c r="AR177" s="25"/>
      <c r="AS177" s="23" t="str">
        <f t="shared" si="363"/>
        <v>HydRecy-LFP</v>
      </c>
      <c r="AT177" s="24" t="s">
        <v>226</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203</v>
      </c>
      <c r="V185" s="24" t="s">
        <v>217</v>
      </c>
      <c r="W185" s="23">
        <f t="shared" ref="W185:W188" si="364">W125</f>
        <v>0.00810173488293751</v>
      </c>
      <c r="X185" s="23"/>
      <c r="Y185" s="23" t="s">
        <v>204</v>
      </c>
      <c r="Z185" s="24" t="s">
        <v>217</v>
      </c>
      <c r="AA185" s="23">
        <f t="shared" ref="AA185:AA188" si="365">X125</f>
        <v>0.00786997433704022</v>
      </c>
      <c r="AB185" s="23"/>
      <c r="AC185" s="23" t="s">
        <v>205</v>
      </c>
      <c r="AD185" s="24" t="s">
        <v>217</v>
      </c>
      <c r="AE185" s="23">
        <f t="shared" ref="AE185:AE188" si="366">Y125</f>
        <v>0.00817937219730942</v>
      </c>
      <c r="AF185" s="23"/>
      <c r="AG185" s="23" t="s">
        <v>206</v>
      </c>
      <c r="AH185" s="24" t="s">
        <v>217</v>
      </c>
      <c r="AI185" s="23">
        <f t="shared" ref="AI185:AI188" si="367">Z125</f>
        <v>0.00816906747536013</v>
      </c>
      <c r="AJ185" s="23"/>
      <c r="AK185" s="23" t="s">
        <v>202</v>
      </c>
      <c r="AL185" s="24" t="s">
        <v>217</v>
      </c>
      <c r="AM185" s="23">
        <f t="shared" ref="AM185:AM188" si="368">AA125</f>
        <v>0.00826030206973706</v>
      </c>
      <c r="AN185" s="23"/>
      <c r="AO185" s="23" t="s">
        <v>201</v>
      </c>
      <c r="AP185" s="24" t="s">
        <v>217</v>
      </c>
      <c r="AQ185" s="23">
        <f t="shared" ref="AQ185:AQ188" si="369">AB125</f>
        <v>0.00686230248306997</v>
      </c>
      <c r="AR185" s="23"/>
      <c r="AS185" s="23" t="s">
        <v>200</v>
      </c>
      <c r="AT185" s="24" t="s">
        <v>217</v>
      </c>
      <c r="AU185" s="23">
        <f t="shared" ref="AU185:AU188" si="370">AC125</f>
        <v>0.00806508666430845</v>
      </c>
    </row>
    <row r="186" ht="15.5" spans="21:47">
      <c r="U186" s="23" t="str">
        <f t="shared" ref="U186:U188" si="371">U185</f>
        <v>DirRecy-NMC111</v>
      </c>
      <c r="V186" s="24" t="s">
        <v>224</v>
      </c>
      <c r="W186" s="23">
        <f t="shared" si="364"/>
        <v>0.0319690079164561</v>
      </c>
      <c r="X186" s="23"/>
      <c r="Y186" s="23" t="str">
        <f t="shared" ref="Y186:Y188" si="372">Y185</f>
        <v>DirRecy-NMC532</v>
      </c>
      <c r="Z186" s="24" t="s">
        <v>224</v>
      </c>
      <c r="AA186" s="23">
        <f t="shared" si="365"/>
        <v>0.0310692899914457</v>
      </c>
      <c r="AB186" s="23"/>
      <c r="AC186" s="23" t="str">
        <f t="shared" ref="AC186:AC188" si="373">AC185</f>
        <v>DirRecy-NMC622</v>
      </c>
      <c r="AD186" s="24" t="s">
        <v>224</v>
      </c>
      <c r="AE186" s="23">
        <f t="shared" si="366"/>
        <v>0.0322331838565022</v>
      </c>
      <c r="AF186" s="23"/>
      <c r="AG186" s="23" t="str">
        <f t="shared" ref="AG186:AG188" si="374">AG185</f>
        <v>DirRecy-NMC811</v>
      </c>
      <c r="AH186" s="24" t="s">
        <v>224</v>
      </c>
      <c r="AI186" s="23">
        <f t="shared" si="367"/>
        <v>0.0321645185746778</v>
      </c>
      <c r="AJ186" s="23"/>
      <c r="AK186" s="23" t="str">
        <f t="shared" ref="AK186:AK188" si="375">AK185</f>
        <v>DirRecy-NCA</v>
      </c>
      <c r="AL186" s="24" t="s">
        <v>224</v>
      </c>
      <c r="AM186" s="23">
        <f t="shared" si="368"/>
        <v>0.0325750512772702</v>
      </c>
      <c r="AN186" s="23"/>
      <c r="AO186" s="23" t="str">
        <f t="shared" ref="AO186:AO188" si="376">AO185</f>
        <v>DirRecy-LMO</v>
      </c>
      <c r="AP186" s="24" t="s">
        <v>224</v>
      </c>
      <c r="AQ186" s="23">
        <f t="shared" si="369"/>
        <v>0.0270428893905192</v>
      </c>
      <c r="AR186" s="23"/>
      <c r="AS186" s="23" t="str">
        <f t="shared" ref="AS186:AS188" si="377">AS185</f>
        <v>DirRecy-LFP</v>
      </c>
      <c r="AT186" s="24" t="s">
        <v>224</v>
      </c>
      <c r="AU186" s="23">
        <f t="shared" si="370"/>
        <v>0.0317828086310577</v>
      </c>
    </row>
    <row r="187" ht="15.5" spans="21:47">
      <c r="U187" s="23" t="str">
        <f t="shared" si="371"/>
        <v>DirRecy-NMC111</v>
      </c>
      <c r="V187" s="24" t="s">
        <v>225</v>
      </c>
      <c r="W187" s="23">
        <f t="shared" si="364"/>
        <v>0.0557183762843187</v>
      </c>
      <c r="X187" s="23"/>
      <c r="Y187" s="23" t="str">
        <f t="shared" si="372"/>
        <v>DirRecy-NMC532</v>
      </c>
      <c r="Z187" s="24" t="s">
        <v>225</v>
      </c>
      <c r="AA187" s="23">
        <f t="shared" si="365"/>
        <v>0.055158254918734</v>
      </c>
      <c r="AB187" s="23"/>
      <c r="AC187" s="23" t="str">
        <f t="shared" si="373"/>
        <v>DirRecy-NMC622</v>
      </c>
      <c r="AD187" s="24" t="s">
        <v>225</v>
      </c>
      <c r="AE187" s="23">
        <f t="shared" si="366"/>
        <v>0.0574887892376682</v>
      </c>
      <c r="AF187" s="23"/>
      <c r="AG187" s="23" t="str">
        <f t="shared" si="374"/>
        <v>DirRecy-NMC811</v>
      </c>
      <c r="AH187" s="24" t="s">
        <v>225</v>
      </c>
      <c r="AI187" s="23">
        <f t="shared" si="367"/>
        <v>0.0587755875663381</v>
      </c>
      <c r="AJ187" s="23"/>
      <c r="AK187" s="23" t="str">
        <f t="shared" si="375"/>
        <v>DirRecy-NCA</v>
      </c>
      <c r="AL187" s="24" t="s">
        <v>225</v>
      </c>
      <c r="AM187" s="23">
        <f t="shared" si="368"/>
        <v>0.0587544284915159</v>
      </c>
      <c r="AN187" s="23"/>
      <c r="AO187" s="23" t="str">
        <f t="shared" si="376"/>
        <v>DirRecy-LMO</v>
      </c>
      <c r="AP187" s="24" t="s">
        <v>225</v>
      </c>
      <c r="AQ187" s="23">
        <f t="shared" si="369"/>
        <v>0.0482317531978932</v>
      </c>
      <c r="AR187" s="23"/>
      <c r="AS187" s="23" t="str">
        <f t="shared" si="377"/>
        <v>DirRecy-LFP</v>
      </c>
      <c r="AT187" s="24" t="s">
        <v>225</v>
      </c>
      <c r="AU187" s="23">
        <f t="shared" si="370"/>
        <v>0.0566855323664662</v>
      </c>
    </row>
    <row r="188" ht="15.5" spans="21:47">
      <c r="U188" s="23" t="str">
        <f t="shared" si="371"/>
        <v>DirRecy-NMC111</v>
      </c>
      <c r="V188" s="24" t="s">
        <v>226</v>
      </c>
      <c r="W188" s="23">
        <f t="shared" si="364"/>
        <v>0.0130537308404918</v>
      </c>
      <c r="X188" s="25"/>
      <c r="Y188" s="23" t="str">
        <f t="shared" si="372"/>
        <v>DirRecy-NMC532</v>
      </c>
      <c r="Z188" s="24" t="s">
        <v>226</v>
      </c>
      <c r="AA188" s="23">
        <f t="shared" si="365"/>
        <v>0.0129170230966638</v>
      </c>
      <c r="AB188" s="25"/>
      <c r="AC188" s="23" t="str">
        <f t="shared" si="373"/>
        <v>DirRecy-NMC622</v>
      </c>
      <c r="AD188" s="24" t="s">
        <v>226</v>
      </c>
      <c r="AE188" s="23">
        <f t="shared" si="366"/>
        <v>0.0134529147982063</v>
      </c>
      <c r="AF188" s="25"/>
      <c r="AG188" s="23" t="str">
        <f t="shared" si="374"/>
        <v>DirRecy-NMC811</v>
      </c>
      <c r="AH188" s="24" t="s">
        <v>226</v>
      </c>
      <c r="AI188" s="23">
        <f t="shared" si="367"/>
        <v>0.0136846095526914</v>
      </c>
      <c r="AJ188" s="25"/>
      <c r="AK188" s="23" t="str">
        <f t="shared" si="375"/>
        <v>DirRecy-NCA</v>
      </c>
      <c r="AL188" s="24" t="s">
        <v>226</v>
      </c>
      <c r="AM188" s="23">
        <f t="shared" si="368"/>
        <v>0.0137236621294052</v>
      </c>
      <c r="AN188" s="25"/>
      <c r="AO188" s="23" t="str">
        <f t="shared" si="376"/>
        <v>DirRecy-LMO</v>
      </c>
      <c r="AP188" s="24" t="s">
        <v>226</v>
      </c>
      <c r="AQ188" s="23">
        <f t="shared" si="369"/>
        <v>0.0112866817155756</v>
      </c>
      <c r="AR188" s="25"/>
      <c r="AS188" s="23" t="str">
        <f t="shared" si="377"/>
        <v>DirRecy-LFP</v>
      </c>
      <c r="AT188" s="24" t="s">
        <v>226</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2026-04-06T00:45:50Z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