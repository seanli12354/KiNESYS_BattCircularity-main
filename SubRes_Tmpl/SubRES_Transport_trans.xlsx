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bRes_Tmpl\"/>
    </mc:Choice>
  </mc:AlternateContent>
  <xr:revisionPtr revIDLastSave="0" documentId="13_ncr:1_{C0E4A0E2-2C5D-4736-8117-28B0F8B1E850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4" i="25" l="1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M69" i="25"/>
  <c r="AL69" i="25"/>
  <c r="AK69" i="25"/>
  <c r="AJ69" i="25"/>
  <c r="AI69" i="25"/>
  <c r="AH69" i="25"/>
  <c r="AG69" i="25"/>
  <c r="AF69" i="25"/>
  <c r="AE69" i="25"/>
  <c r="AD69" i="25"/>
  <c r="AC69" i="25"/>
  <c r="AB69" i="25"/>
  <c r="AA69" i="25"/>
  <c r="Z69" i="25"/>
  <c r="Y69" i="25"/>
  <c r="X69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F69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D101" authorId="0" shapeId="0" xr:uid="{00000000-0006-0000-01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<sst xmlns="http://schemas.openxmlformats.org/spreadsheetml/2006/main" count="1167" uniqueCount="190">
  <si>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</si>
  <si>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</si>
  <si>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</si>
  <si>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</si>
  <si>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</si>
  <si>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</si>
  <si>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</si>
  <si>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</si>
  <si>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</si>
  <si>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</si>
  <si>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</si>
  <si>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</si>
  <si>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</si>
  <si>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</si>
  <si>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</si>
  <si>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</si>
  <si>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</si>
  <si>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</si>
  <si>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</si>
  <si>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</si>
  <si>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</si>
  <si>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</si>
  <si>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</si>
  <si>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</si>
  <si>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</si>
  <si>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</si>
  <si>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</si>
  <si>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</si>
  <si>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</si>
  <si>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</si>
  <si>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</si>
  <si>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</si>
  <si>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</si>
  <si>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</si>
  <si>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</si>
  <si>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</si>
  <si>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</si>
  <si>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</si>
  <si>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</si>
  <si>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</si>
  <si>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</si>
  <si>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</si>
  <si>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</si>
  <si>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</si>
  <si>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</si>
  <si>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</si>
  <si>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</si>
  <si>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</si>
  <si>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</si>
  <si>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</si>
  <si>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</si>
  <si>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</si>
  <si>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</si>
  <si>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</si>
  <si>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</si>
  <si>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</si>
  <si>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</si>
  <si>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</si>
  <si>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</si>
  <si>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</si>
  <si>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</si>
  <si>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</si>
  <si>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</si>
  <si>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</si>
  <si>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</si>
  <si>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</si>
  <si>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</si>
  <si>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</si>
  <si>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</si>
  <si>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</si>
  <si>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</si>
  <si>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</si>
  <si>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</si>
  <si>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</si>
  <si>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</si>
  <si>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</si>
  <si>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</si>
  <si>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</si>
  <si>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</si>
  <si>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</si>
  <si>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</si>
  <si>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</si>
  <si>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</si>
  <si>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</si>
  <si>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</si>
  <si>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</si>
  <si>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</si>
  <si>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</si>
  <si>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</si>
  <si>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</si>
  <si>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</si>
  <si>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</si>
  <si>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</si>
  <si>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</si>
  <si>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</si>
  <si>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</si>
  <si>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</si>
  <si>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</si>
  <si>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</si>
  <si>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</si>
  <si>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</si>
  <si>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</si>
  <si>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</si>
  <si>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</si>
  <si>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</si>
  <si>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</si>
  <si>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</si>
  <si>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</si>
  <si>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</si>
  <si>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</si>
  <si>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</si>
  <si>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</si>
  <si>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</si>
  <si>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</si>
  <si>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</si>
  <si>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year2</t>
  </si>
  <si>
    <t>NCAP_COST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</si>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</sst>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"/>
    <numFmt numFmtId="169" formatCode="0.000"/>
  </numFmts>
  <fonts count="10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9"/>
      <name val="Times New Roman"/>
    </font>
    <font>
      <sz val="9"/>
      <name val="Times New Roman"/>
    </font>
    <font>
      <sz val="10"/>
      <name val="Arial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9" fillId="0" borderId="0"/>
    <xf numFmtId="0" fontId="9" fillId="0" borderId="0"/>
    <xf numFmtId="0" fontId="9" fillId="0" borderId="0"/>
  </cellStyleXfs>
  <cellXfs count="28">
    <xf numFmtId="0" fontId="0" fillId="0" borderId="0" xfId="0"/>
    <xf numFmtId="0" fontId="9" fillId="2" borderId="0" xfId="3" applyFill="1"/>
    <xf numFmtId="0" fontId="0" fillId="2" borderId="0" xfId="0" applyFill="1"/>
    <xf numFmtId="0" fontId="9" fillId="0" borderId="0" xfId="3"/>
    <xf numFmtId="0" fontId="1" fillId="0" borderId="0" xfId="0" applyFont="1"/>
    <xf numFmtId="0" fontId="2" fillId="0" borderId="0" xfId="0" applyFont="1"/>
    <xf numFmtId="168" fontId="0" fillId="0" borderId="0" xfId="0" applyNumberFormat="1"/>
    <xf numFmtId="0" fontId="0" fillId="3" borderId="0" xfId="0" applyFill="1"/>
    <xf numFmtId="0" fontId="9" fillId="3" borderId="0" xfId="3" applyFill="1"/>
    <xf numFmtId="0" fontId="0" fillId="4" borderId="0" xfId="0" applyFill="1"/>
    <xf numFmtId="0" fontId="3" fillId="3" borderId="0" xfId="0" applyFont="1" applyFill="1"/>
    <xf numFmtId="0" fontId="4" fillId="3" borderId="0" xfId="3" applyFont="1" applyFill="1"/>
    <xf numFmtId="0" fontId="4" fillId="2" borderId="0" xfId="0" applyFont="1" applyFill="1"/>
    <xf numFmtId="0" fontId="0" fillId="5" borderId="0" xfId="0" applyFill="1"/>
    <xf numFmtId="0" fontId="9" fillId="6" borderId="1" xfId="3" applyFill="1" applyBorder="1"/>
    <xf numFmtId="169" fontId="9" fillId="6" borderId="1" xfId="3" applyNumberFormat="1" applyFill="1" applyBorder="1"/>
    <xf numFmtId="0" fontId="9" fillId="6" borderId="2" xfId="3" applyFill="1" applyBorder="1"/>
    <xf numFmtId="0" fontId="5" fillId="2" borderId="0" xfId="0" applyFont="1" applyFill="1"/>
    <xf numFmtId="0" fontId="6" fillId="2" borderId="0" xfId="0" applyFont="1" applyFill="1"/>
    <xf numFmtId="0" fontId="9" fillId="2" borderId="1" xfId="3" applyFill="1" applyBorder="1"/>
    <xf numFmtId="0" fontId="0" fillId="2" borderId="1" xfId="0" applyFill="1" applyBorder="1"/>
    <xf numFmtId="0" fontId="9" fillId="0" borderId="1" xfId="3" applyBorder="1"/>
    <xf numFmtId="0" fontId="3" fillId="0" borderId="0" xfId="0" applyFont="1"/>
    <xf numFmtId="0" fontId="4" fillId="0" borderId="0" xfId="3" applyFont="1"/>
    <xf numFmtId="0" fontId="0" fillId="0" borderId="1" xfId="0" applyBorder="1"/>
    <xf numFmtId="0" fontId="1" fillId="0" borderId="0" xfId="1" applyFont="1"/>
    <xf numFmtId="0" fontId="0" fillId="0" borderId="0" xfId="0" quotePrefix="1"/>
    <xf numFmtId="3" fontId="0" fillId="0" borderId="0" xfId="0" quotePrefix="1" applyNumberFormat="1"/>
  </cellXfs>
  <cellStyles count="4">
    <cellStyle name="Normal" xfId="0" builtinId="0"/>
    <cellStyle name="Normal 10" xfId="3" xr:uid="{00000000-0005-0000-0000-000033000000}"/>
    <cellStyle name="Normal 3" xfId="1" xr:uid="{00000000-0005-0000-0000-000031000000}"/>
    <cellStyle name="Normal 3 2" xfId="2" xr:uid="{00000000-0005-0000-0000-00003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1328125" defaultRowHeight="11.65"/>
  <cols>
    <col min="1" max="1" width="15" style="25" customWidth="1"/>
    <col min="2" max="2" width="8.86328125" style="25" customWidth="1"/>
    <col min="3" max="3" width="4.73046875" style="25" customWidth="1"/>
    <col min="4" max="4" width="8.86328125" style="25" customWidth="1"/>
    <col min="5" max="5" width="4.3984375" style="25" customWidth="1"/>
    <col min="6" max="6" width="4.265625" style="25" customWidth="1"/>
    <col min="7" max="7" width="4.3984375" style="25" customWidth="1"/>
    <col min="8" max="8" width="4.59765625" style="25" customWidth="1"/>
    <col min="9" max="9" width="4" style="25" customWidth="1"/>
    <col min="10" max="10" width="4.3984375" style="25" customWidth="1"/>
    <col min="11" max="11" width="4.59765625" style="25" customWidth="1"/>
    <col min="12" max="12" width="4.3984375" style="25" customWidth="1"/>
    <col min="13" max="13" width="4" style="25" customWidth="1"/>
    <col min="14" max="14" width="4.265625" style="25" customWidth="1"/>
    <col min="15" max="16" width="4.3984375" style="25" customWidth="1"/>
    <col min="17" max="18" width="4.59765625" style="25" customWidth="1"/>
    <col min="19" max="19" width="4.3984375" style="25" customWidth="1"/>
    <col min="20" max="20" width="5" style="25" customWidth="1"/>
    <col min="21" max="21" width="11.73046875" style="25" customWidth="1"/>
    <col min="22" max="22" width="10.73046875" style="25" customWidth="1"/>
    <col min="23" max="23" width="13.1328125" style="25" customWidth="1"/>
    <col min="24" max="259" width="11.3984375" style="25" customWidth="1"/>
    <col min="260" max="16384" width="9.1328125" style="25"/>
  </cols>
  <sheetData>
    <row r="1" spans="1:27" ht="12.7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7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7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spans="1:27" ht="12.7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spans="1:27" ht="12.7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spans="1:27" ht="12.7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spans="1:27" ht="12.7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spans="1:27" ht="12.7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spans="1:27" ht="12.7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spans="1:27" ht="12.7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spans="1:27" ht="12.7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spans="1:27" ht="12.7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spans="1:27" ht="12.7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spans="1:27" ht="12.7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spans="1:27" ht="12.7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spans="1:27" ht="12.7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spans="1:27" ht="12.7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spans="1:27" ht="12.7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spans="1:27" ht="12.7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spans="1:27" ht="12.7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spans="1:27" ht="12.7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spans="1:27" ht="12.7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spans="1:27" ht="12.7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spans="1:27" ht="12.7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spans="1:27" ht="12.7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spans="1:27" ht="12.7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spans="1:27" ht="12.7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spans="1:27" ht="12.7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spans="1:27" ht="12.7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spans="1:27" ht="12.75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2.75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2.75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2.75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2.75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2.75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2.75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2.75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2.75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2.75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24"/>
  <sheetViews>
    <sheetView tabSelected="1" topLeftCell="A32" zoomScale="80" zoomScaleNormal="43" workbookViewId="0">
      <selection activeCell="A43" sqref="A43"/>
    </sheetView>
  </sheetViews>
  <sheetFormatPr defaultColWidth="9" defaultRowHeight="12.75"/>
  <cols>
    <col min="2" max="2" width="21.3984375" customWidth="1"/>
    <col min="3" max="3" width="12.73046875" customWidth="1"/>
    <col min="4" max="5" width="22.06640625" customWidth="1"/>
    <col min="6" max="6" width="12" customWidth="1"/>
    <col min="7" max="7" width="13" customWidth="1"/>
    <col min="8" max="9" width="7.1328125" customWidth="1"/>
    <col min="10" max="10" width="10.59765625" customWidth="1"/>
    <col min="11" max="11" width="11.265625" customWidth="1"/>
    <col min="12" max="12" width="15.53125" customWidth="1"/>
    <col min="13" max="18" width="7.1328125" customWidth="1"/>
    <col min="19" max="19" width="12.73046875" customWidth="1"/>
    <col min="20" max="20" width="8.59765625" customWidth="1"/>
    <col min="21" max="21" width="7.796875" customWidth="1"/>
    <col min="22" max="24" width="7.1328125" customWidth="1"/>
    <col min="25" max="25" width="9.53125" customWidth="1"/>
    <col min="26" max="26" width="17.9296875" customWidth="1"/>
    <col min="27" max="27" width="9.9296875" customWidth="1"/>
    <col min="28" max="33" width="7.1328125" customWidth="1"/>
    <col min="34" max="37" width="6" customWidth="1"/>
    <col min="38" max="39" width="15.53125" customWidth="1"/>
    <col min="40" max="40" width="22.59765625" customWidth="1"/>
    <col min="41" max="41" width="13.59765625" customWidth="1"/>
    <col min="42" max="43" width="6" customWidth="1"/>
    <col min="44" max="44" width="8.46484375" customWidth="1"/>
    <col min="45" max="45" width="10.33203125" customWidth="1"/>
    <col min="46" max="49" width="6" customWidth="1"/>
    <col min="50" max="50" width="12.265625" customWidth="1"/>
    <col min="51" max="51" width="13.59765625" customWidth="1"/>
  </cols>
  <sheetData>
    <row r="2" spans="2:23">
      <c r="B2" s="4" t="s">
        <v>39</v>
      </c>
      <c r="C2" s="4"/>
      <c r="D2" s="4"/>
      <c r="E2" s="4"/>
      <c r="K2" t="s">
        <v>40</v>
      </c>
    </row>
    <row r="3" spans="2:23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26" t="s">
        <v>92</v>
      </c>
      <c r="C18">
        <v>0.2</v>
      </c>
      <c r="D18">
        <v>3</v>
      </c>
      <c r="E18" s="26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27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117</v>
      </c>
    </row>
    <row r="50" spans="2:53">
      <c r="B50" t="s">
        <v>61</v>
      </c>
      <c r="C50" t="s">
        <v>118</v>
      </c>
      <c r="D50" t="s">
        <v>66</v>
      </c>
      <c r="E50" t="s">
        <v>119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120</v>
      </c>
      <c r="E54" t="s">
        <v>98</v>
      </c>
      <c r="F54" t="s">
        <v>59</v>
      </c>
      <c r="G54" t="s">
        <v>121</v>
      </c>
      <c r="H54" t="s">
        <v>58</v>
      </c>
    </row>
    <row r="55" spans="2:53">
      <c r="B55" t="s">
        <v>93</v>
      </c>
      <c r="C55">
        <v>10</v>
      </c>
      <c r="D55" t="s">
        <v>122</v>
      </c>
      <c r="E55" s="26" t="s">
        <v>123</v>
      </c>
    </row>
    <row r="56" spans="2:53">
      <c r="B56" t="s">
        <v>124</v>
      </c>
      <c r="C56">
        <v>1</v>
      </c>
      <c r="F56" t="s">
        <v>125</v>
      </c>
      <c r="G56" t="s">
        <v>65</v>
      </c>
      <c r="H56" t="str">
        <f>F56</f>
        <v>AuxStoIN</v>
      </c>
    </row>
    <row r="62" spans="2:53">
      <c r="H62" s="3"/>
    </row>
    <row r="63" spans="2:53">
      <c r="H63" s="3"/>
      <c r="BA63" s="2"/>
    </row>
    <row r="65" spans="1:106" s="1" customFormat="1">
      <c r="A65" s="2"/>
      <c r="B65" s="7" t="s">
        <v>108</v>
      </c>
      <c r="C65" s="8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pans="1:106" s="2" customFormat="1">
      <c r="B66" s="7" t="s">
        <v>56</v>
      </c>
      <c r="C66" s="7" t="s">
        <v>60</v>
      </c>
      <c r="D66" s="7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126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pans="1:106" s="2" customFormat="1" ht="14.25">
      <c r="B67" s="10" t="s">
        <v>127</v>
      </c>
      <c r="C67" s="7" t="s">
        <v>68</v>
      </c>
      <c r="D67" s="8" t="s">
        <v>128</v>
      </c>
      <c r="E67" s="8" t="s">
        <v>129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CQ67" s="20"/>
      <c r="CR67" s="20"/>
      <c r="CT67" s="20"/>
      <c r="CU67" s="20"/>
      <c r="CW67" s="22" t="s">
        <v>127</v>
      </c>
      <c r="CX67" t="s">
        <v>68</v>
      </c>
      <c r="CY67" s="3" t="s">
        <v>128</v>
      </c>
      <c r="CZ67" s="3" t="s">
        <v>129</v>
      </c>
      <c r="DA67" s="24">
        <v>0</v>
      </c>
      <c r="DB67" s="24">
        <v>5</v>
      </c>
    </row>
    <row r="68" spans="1:106" s="2" customFormat="1" ht="14.25">
      <c r="B68" s="10" t="s">
        <v>127</v>
      </c>
      <c r="C68" s="7" t="s">
        <v>68</v>
      </c>
      <c r="D68" s="8" t="s">
        <v>128</v>
      </c>
      <c r="E68" s="8" t="s">
        <v>130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CQ68" s="20"/>
      <c r="CR68" s="20"/>
      <c r="CT68" s="20"/>
      <c r="CU68" s="20"/>
      <c r="CW68" s="22" t="s">
        <v>127</v>
      </c>
      <c r="CX68" t="s">
        <v>68</v>
      </c>
      <c r="CY68" s="3" t="s">
        <v>128</v>
      </c>
      <c r="CZ68" s="3" t="s">
        <v>130</v>
      </c>
      <c r="DA68" s="24">
        <v>0</v>
      </c>
      <c r="DB68" s="24">
        <v>5</v>
      </c>
    </row>
    <row r="69" spans="1:106" s="2" customFormat="1" ht="14.25">
      <c r="B69" s="10" t="s">
        <v>127</v>
      </c>
      <c r="C69" s="7" t="s">
        <v>68</v>
      </c>
      <c r="D69" s="8" t="s">
        <v>128</v>
      </c>
      <c r="E69" s="8" t="s">
        <v>131</v>
      </c>
      <c r="F69" s="2">
        <f t="shared" ref="F69:M69" si="6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ref="N69:AM69" si="7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CQ69" s="20"/>
      <c r="CR69" s="20"/>
      <c r="CT69" s="20"/>
      <c r="CU69" s="20"/>
      <c r="CW69" s="22" t="s">
        <v>127</v>
      </c>
      <c r="CX69" t="s">
        <v>68</v>
      </c>
      <c r="CY69" s="3" t="s">
        <v>128</v>
      </c>
      <c r="CZ69" s="3" t="s">
        <v>131</v>
      </c>
      <c r="DA69" s="24">
        <v>0</v>
      </c>
      <c r="DB69" s="24">
        <v>5</v>
      </c>
    </row>
    <row r="70" spans="1:106" s="2" customFormat="1" ht="14.25">
      <c r="B70" s="10" t="s">
        <v>127</v>
      </c>
      <c r="C70" s="7" t="s">
        <v>68</v>
      </c>
      <c r="D70" s="8" t="s">
        <v>128</v>
      </c>
      <c r="E70" s="11" t="s">
        <v>132</v>
      </c>
      <c r="F70" s="12">
        <f t="shared" ref="F70:M70" si="8">D80/1000</f>
        <v>0</v>
      </c>
      <c r="G70" s="12">
        <f t="shared" si="8"/>
        <v>74000</v>
      </c>
      <c r="H70" s="12">
        <f t="shared" si="8"/>
        <v>270000</v>
      </c>
      <c r="I70" s="12">
        <f t="shared" si="8"/>
        <v>0</v>
      </c>
      <c r="J70" s="12">
        <f t="shared" si="8"/>
        <v>0</v>
      </c>
      <c r="K70" s="12">
        <f t="shared" si="8"/>
        <v>0</v>
      </c>
      <c r="L70" s="12">
        <f t="shared" si="8"/>
        <v>270000</v>
      </c>
      <c r="M70" s="12">
        <f t="shared" si="8"/>
        <v>280000</v>
      </c>
      <c r="N70" s="12">
        <f t="shared" ref="N70:AM70" si="9">L80/1000</f>
        <v>0</v>
      </c>
      <c r="O70" s="12">
        <f t="shared" si="9"/>
        <v>0</v>
      </c>
      <c r="P70" s="12">
        <f t="shared" si="9"/>
        <v>0</v>
      </c>
      <c r="Q70" s="12">
        <f t="shared" si="9"/>
        <v>0</v>
      </c>
      <c r="R70" s="12">
        <f t="shared" si="9"/>
        <v>0</v>
      </c>
      <c r="S70" s="12">
        <f t="shared" si="9"/>
        <v>0</v>
      </c>
      <c r="T70" s="12">
        <f t="shared" si="9"/>
        <v>0</v>
      </c>
      <c r="U70" s="12">
        <f t="shared" si="9"/>
        <v>34000</v>
      </c>
      <c r="V70" s="12">
        <f t="shared" si="9"/>
        <v>0</v>
      </c>
      <c r="W70" s="12">
        <f t="shared" si="9"/>
        <v>0</v>
      </c>
      <c r="X70" s="12">
        <f t="shared" si="9"/>
        <v>0</v>
      </c>
      <c r="Y70" s="12">
        <f t="shared" si="9"/>
        <v>275000</v>
      </c>
      <c r="Z70" s="12">
        <f t="shared" si="9"/>
        <v>0</v>
      </c>
      <c r="AA70" s="18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2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CQ70" s="20"/>
      <c r="CR70" s="20"/>
      <c r="CT70" s="20"/>
      <c r="CU70" s="20"/>
      <c r="CW70" s="22" t="s">
        <v>127</v>
      </c>
      <c r="CX70" t="s">
        <v>68</v>
      </c>
      <c r="CY70" s="3" t="s">
        <v>128</v>
      </c>
      <c r="CZ70" s="23" t="s">
        <v>132</v>
      </c>
      <c r="DA70" s="24">
        <v>0</v>
      </c>
      <c r="DB70" s="24">
        <v>5</v>
      </c>
    </row>
    <row r="71" spans="1:106" s="2" customFormat="1" ht="14.25">
      <c r="B71" s="10" t="s">
        <v>127</v>
      </c>
      <c r="C71" s="7" t="s">
        <v>68</v>
      </c>
      <c r="D71" s="8" t="s">
        <v>128</v>
      </c>
      <c r="E71" s="8" t="s">
        <v>133</v>
      </c>
      <c r="F71" s="2">
        <f t="shared" ref="F71:L71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17">
        <v>100</v>
      </c>
      <c r="N71" s="2">
        <f t="shared" ref="N71:AM71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17">
        <v>100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CQ71" s="20"/>
      <c r="CR71" s="20"/>
      <c r="CT71" s="20"/>
      <c r="CU71" s="20"/>
      <c r="CW71" s="22" t="s">
        <v>127</v>
      </c>
      <c r="CX71" t="s">
        <v>68</v>
      </c>
      <c r="CY71" s="3" t="s">
        <v>128</v>
      </c>
      <c r="CZ71" s="3" t="s">
        <v>133</v>
      </c>
      <c r="DA71" s="24">
        <v>0</v>
      </c>
      <c r="DB71" s="24">
        <v>5</v>
      </c>
    </row>
    <row r="72" spans="1:106" s="2" customFormat="1" ht="14.25">
      <c r="B72" s="10" t="s">
        <v>127</v>
      </c>
      <c r="C72" s="7" t="s">
        <v>68</v>
      </c>
      <c r="D72" s="8" t="s">
        <v>128</v>
      </c>
      <c r="E72" s="8" t="s">
        <v>134</v>
      </c>
      <c r="F72" s="2">
        <f t="shared" ref="F72:M72" si="1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ref="N72:AM72" si="13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CQ72" s="20"/>
      <c r="CR72" s="20"/>
      <c r="CT72" s="20"/>
      <c r="CU72" s="20"/>
      <c r="CW72" s="22" t="s">
        <v>127</v>
      </c>
      <c r="CX72" t="s">
        <v>68</v>
      </c>
      <c r="CY72" s="3" t="s">
        <v>128</v>
      </c>
      <c r="CZ72" s="3" t="s">
        <v>134</v>
      </c>
      <c r="DA72" s="24">
        <v>0</v>
      </c>
      <c r="DB72" s="24">
        <v>5</v>
      </c>
    </row>
    <row r="73" spans="1:106" s="1" customFormat="1" ht="14.25">
      <c r="A73" s="2"/>
      <c r="B73" s="10" t="s">
        <v>127</v>
      </c>
      <c r="C73" s="7" t="s">
        <v>68</v>
      </c>
      <c r="D73" s="8" t="s">
        <v>128</v>
      </c>
      <c r="E73" s="8" t="s">
        <v>135</v>
      </c>
      <c r="F73" s="2">
        <f t="shared" ref="F73:M73" si="14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ref="N73:AM73" si="15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/>
      <c r="BB73" s="2"/>
      <c r="CQ73" s="19"/>
      <c r="CR73" s="20"/>
      <c r="CT73" s="19"/>
      <c r="CU73" s="19"/>
      <c r="CW73" s="22" t="s">
        <v>127</v>
      </c>
      <c r="CX73" t="s">
        <v>68</v>
      </c>
      <c r="CY73" s="3" t="s">
        <v>128</v>
      </c>
      <c r="CZ73" s="3" t="s">
        <v>135</v>
      </c>
      <c r="DA73" s="24">
        <v>0</v>
      </c>
      <c r="DB73" s="24">
        <v>5</v>
      </c>
    </row>
    <row r="74" spans="1:106" s="3" customFormat="1"/>
    <row r="75" spans="1:106" s="3" customFormat="1">
      <c r="E75" s="3" t="s">
        <v>136</v>
      </c>
    </row>
    <row r="76" spans="1:106" s="3" customFormat="1"/>
    <row r="77" spans="1:106" s="3" customFormat="1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pans="1:106" s="3" customFormat="1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pans="1:106" s="3" customFormat="1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pans="1:106" s="3" customFormat="1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pans="2:37" s="3" customFormat="1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pans="2:37" s="3" customFormat="1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pans="2:37" s="3" customFormat="1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pans="2:37" s="3" customFormat="1"/>
    <row r="88" spans="2:37">
      <c r="B88" t="s">
        <v>137</v>
      </c>
    </row>
    <row r="91" spans="2:37">
      <c r="H91" s="3"/>
      <c r="I91" s="3"/>
      <c r="J91" s="3"/>
      <c r="K91" s="3"/>
      <c r="L91" s="3"/>
    </row>
    <row r="92" spans="2:37">
      <c r="D92" s="3"/>
      <c r="H92" s="3"/>
      <c r="I92" s="3"/>
      <c r="J92" s="3"/>
      <c r="K92" s="3"/>
      <c r="L92" s="3"/>
    </row>
    <row r="93" spans="2:37">
      <c r="C93" s="3"/>
      <c r="D93" s="3"/>
      <c r="F93" s="3"/>
      <c r="H93" s="3"/>
      <c r="I93" s="3"/>
      <c r="J93" s="3"/>
      <c r="K93" s="3"/>
      <c r="L93" s="3"/>
    </row>
    <row r="94" spans="2:37">
      <c r="C94" s="3"/>
      <c r="D94" s="3"/>
      <c r="H94" s="3"/>
      <c r="I94" s="3"/>
      <c r="J94" s="3"/>
      <c r="K94" s="3"/>
      <c r="L94" s="3"/>
    </row>
    <row r="95" spans="2:37">
      <c r="C95" s="3"/>
      <c r="D95" s="3"/>
      <c r="F95" s="3"/>
      <c r="H95" s="3"/>
      <c r="I95" s="3"/>
      <c r="J95" s="3"/>
      <c r="K95" s="3"/>
      <c r="L95" s="3"/>
    </row>
    <row r="96" spans="2:37">
      <c r="C96" s="3"/>
      <c r="D96" s="3"/>
      <c r="H96" s="3"/>
      <c r="I96" s="3"/>
      <c r="J96" s="3"/>
      <c r="K96" s="3"/>
      <c r="L96" s="3"/>
    </row>
    <row r="97" spans="3:29">
      <c r="C97" s="3"/>
      <c r="D97" s="3"/>
      <c r="F97" s="3"/>
      <c r="H97" s="3"/>
      <c r="I97" s="3"/>
      <c r="J97" s="3"/>
      <c r="K97" s="3"/>
      <c r="L97" s="3"/>
    </row>
    <row r="98" spans="3:29">
      <c r="C98" s="3"/>
      <c r="D98" s="3"/>
      <c r="H98" s="3"/>
      <c r="I98" s="3"/>
      <c r="J98" s="3"/>
      <c r="K98" s="3"/>
      <c r="L98" s="3"/>
    </row>
    <row r="99" spans="3:29">
      <c r="C99" s="3"/>
      <c r="F99" s="3"/>
    </row>
    <row r="100" spans="3:29">
      <c r="C100" s="3"/>
      <c r="D100" s="3"/>
    </row>
    <row r="101" spans="3:29">
      <c r="C101" s="3"/>
      <c r="D101" s="14"/>
      <c r="E101" s="14"/>
      <c r="F101" s="14"/>
      <c r="G101" s="14"/>
    </row>
    <row r="102" spans="3:29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>
      <c r="C104" s="3" t="s">
        <v>116</v>
      </c>
      <c r="D104" s="14" t="s">
        <v>138</v>
      </c>
      <c r="E104" s="14">
        <v>7.1138439695406497</v>
      </c>
      <c r="F104" s="15">
        <v>5.4017985261606496</v>
      </c>
      <c r="G104" s="15">
        <v>8.8554074428887208</v>
      </c>
      <c r="L104">
        <v>2050</v>
      </c>
      <c r="M104" s="3" t="s">
        <v>116</v>
      </c>
      <c r="N104" s="14" t="s">
        <v>138</v>
      </c>
      <c r="O104" s="14">
        <f>E104*0.313</f>
        <v>2.2266331624662201</v>
      </c>
      <c r="P104" s="14">
        <f>F104*0.313</f>
        <v>1.6907629386882801</v>
      </c>
      <c r="Q104" s="14">
        <f>G104*0.313</f>
        <v>2.77174252962417</v>
      </c>
      <c r="X104">
        <v>0</v>
      </c>
      <c r="Y104" s="3" t="s">
        <v>116</v>
      </c>
      <c r="Z104" s="14" t="s">
        <v>138</v>
      </c>
      <c r="AA104" s="14">
        <v>5</v>
      </c>
      <c r="AB104" s="14">
        <v>5</v>
      </c>
      <c r="AC104" s="14">
        <v>5</v>
      </c>
    </row>
    <row r="105" spans="3:29">
      <c r="C105" s="3" t="s">
        <v>116</v>
      </c>
      <c r="D105" s="14" t="s">
        <v>139</v>
      </c>
      <c r="E105" s="14">
        <v>7.1138439695406497</v>
      </c>
      <c r="F105" s="15">
        <v>5.4017985261606496</v>
      </c>
      <c r="G105" s="15">
        <v>8.8554074428887208</v>
      </c>
      <c r="L105">
        <v>2050</v>
      </c>
      <c r="M105" s="3" t="s">
        <v>116</v>
      </c>
      <c r="N105" s="14" t="s">
        <v>139</v>
      </c>
      <c r="O105" s="14">
        <f t="shared" ref="O105:O124" si="16">E105*0.313</f>
        <v>2.2266331624662201</v>
      </c>
      <c r="P105" s="14">
        <f t="shared" ref="P105:P124" si="17">F105*0.313</f>
        <v>1.6907629386882801</v>
      </c>
      <c r="Q105" s="14">
        <f t="shared" ref="Q105:Q124" si="18">G105*0.313</f>
        <v>2.77174252962417</v>
      </c>
      <c r="X105">
        <v>0</v>
      </c>
      <c r="Y105" s="3" t="s">
        <v>116</v>
      </c>
      <c r="Z105" s="14" t="s">
        <v>139</v>
      </c>
      <c r="AA105" s="14">
        <v>5</v>
      </c>
      <c r="AB105" s="14">
        <v>5</v>
      </c>
      <c r="AC105" s="14">
        <v>5</v>
      </c>
    </row>
    <row r="106" spans="3:29">
      <c r="C106" s="3" t="s">
        <v>116</v>
      </c>
      <c r="D106" s="14" t="s">
        <v>140</v>
      </c>
      <c r="E106" s="14">
        <v>7.6297544583640402</v>
      </c>
      <c r="F106" s="15">
        <v>5.7935479734708899</v>
      </c>
      <c r="G106" s="15">
        <v>9.4976196757553399</v>
      </c>
      <c r="L106">
        <v>2050</v>
      </c>
      <c r="M106" s="3" t="s">
        <v>116</v>
      </c>
      <c r="N106" s="14" t="s">
        <v>140</v>
      </c>
      <c r="O106" s="14">
        <f t="shared" si="16"/>
        <v>2.3881131454679401</v>
      </c>
      <c r="P106" s="14">
        <f t="shared" si="17"/>
        <v>1.81338051569639</v>
      </c>
      <c r="Q106" s="14">
        <f t="shared" si="18"/>
        <v>2.9727549585114201</v>
      </c>
      <c r="X106">
        <v>0</v>
      </c>
      <c r="Y106" s="3" t="s">
        <v>116</v>
      </c>
      <c r="Z106" s="14" t="s">
        <v>140</v>
      </c>
      <c r="AA106" s="14">
        <v>5</v>
      </c>
      <c r="AB106" s="14">
        <v>5</v>
      </c>
      <c r="AC106" s="14">
        <v>5</v>
      </c>
    </row>
    <row r="107" spans="3:29">
      <c r="C107" s="3" t="s">
        <v>116</v>
      </c>
      <c r="D107" s="14" t="s">
        <v>141</v>
      </c>
      <c r="E107" s="14">
        <v>7.4709708179808398</v>
      </c>
      <c r="F107" s="15">
        <v>5.6729778187177597</v>
      </c>
      <c r="G107" s="15">
        <v>9.2999636698599897</v>
      </c>
      <c r="L107">
        <v>2050</v>
      </c>
      <c r="M107" s="3" t="s">
        <v>116</v>
      </c>
      <c r="N107" s="14" t="s">
        <v>141</v>
      </c>
      <c r="O107" s="14">
        <f t="shared" si="16"/>
        <v>2.3384138660280001</v>
      </c>
      <c r="P107" s="14">
        <f t="shared" si="17"/>
        <v>1.77564205725866</v>
      </c>
      <c r="Q107" s="14">
        <f t="shared" si="18"/>
        <v>2.9108886286661799</v>
      </c>
      <c r="X107">
        <v>0</v>
      </c>
      <c r="Y107" s="3" t="s">
        <v>116</v>
      </c>
      <c r="Z107" s="14" t="s">
        <v>141</v>
      </c>
      <c r="AA107" s="14">
        <v>5</v>
      </c>
      <c r="AB107" s="14">
        <v>5</v>
      </c>
      <c r="AC107" s="14">
        <v>5</v>
      </c>
    </row>
    <row r="108" spans="3:29">
      <c r="C108" s="3" t="s">
        <v>116</v>
      </c>
      <c r="D108" s="14" t="s">
        <v>142</v>
      </c>
      <c r="E108" s="14">
        <v>7.5164352001965096</v>
      </c>
      <c r="F108" s="15">
        <v>5.7075005895357398</v>
      </c>
      <c r="G108" s="15">
        <v>9.3565583640383192</v>
      </c>
      <c r="L108">
        <v>2050</v>
      </c>
      <c r="M108" s="3" t="s">
        <v>116</v>
      </c>
      <c r="N108" s="14" t="s">
        <v>142</v>
      </c>
      <c r="O108" s="14">
        <f t="shared" si="16"/>
        <v>2.3526442176615099</v>
      </c>
      <c r="P108" s="14">
        <f t="shared" si="17"/>
        <v>1.7864476845246899</v>
      </c>
      <c r="Q108" s="14">
        <f t="shared" si="18"/>
        <v>2.9286027679439899</v>
      </c>
      <c r="X108">
        <v>0</v>
      </c>
      <c r="Y108" s="3" t="s">
        <v>116</v>
      </c>
      <c r="Z108" s="14" t="s">
        <v>142</v>
      </c>
      <c r="AA108" s="14">
        <v>5</v>
      </c>
      <c r="AB108" s="14">
        <v>5</v>
      </c>
      <c r="AC108" s="14">
        <v>5</v>
      </c>
    </row>
    <row r="109" spans="3:29">
      <c r="C109" s="3" t="s">
        <v>116</v>
      </c>
      <c r="D109" s="14" t="s">
        <v>143</v>
      </c>
      <c r="E109" s="14">
        <v>7.55036263817244</v>
      </c>
      <c r="F109" s="15">
        <v>5.7332629329403098</v>
      </c>
      <c r="G109" s="15">
        <v>9.3987916728076595</v>
      </c>
      <c r="L109">
        <v>2050</v>
      </c>
      <c r="M109" s="3" t="s">
        <v>116</v>
      </c>
      <c r="N109" s="14" t="s">
        <v>143</v>
      </c>
      <c r="O109" s="14">
        <f t="shared" si="16"/>
        <v>2.3632635057479701</v>
      </c>
      <c r="P109" s="14">
        <f t="shared" si="17"/>
        <v>1.7945112980103199</v>
      </c>
      <c r="Q109" s="14">
        <f t="shared" si="18"/>
        <v>2.9418217935888</v>
      </c>
      <c r="X109">
        <v>0</v>
      </c>
      <c r="Y109" s="3" t="s">
        <v>116</v>
      </c>
      <c r="Z109" s="14" t="s">
        <v>143</v>
      </c>
      <c r="AA109" s="14">
        <v>5</v>
      </c>
      <c r="AB109" s="14">
        <v>5</v>
      </c>
      <c r="AC109" s="14">
        <v>5</v>
      </c>
    </row>
    <row r="110" spans="3:29">
      <c r="C110" s="3" t="s">
        <v>116</v>
      </c>
      <c r="D110" s="14" t="s">
        <v>144</v>
      </c>
      <c r="E110" s="14">
        <v>7.6297544583640402</v>
      </c>
      <c r="F110" s="15">
        <v>5.7935479734708899</v>
      </c>
      <c r="G110" s="15">
        <v>9.4976196757553399</v>
      </c>
      <c r="L110">
        <v>2050</v>
      </c>
      <c r="M110" s="3" t="s">
        <v>116</v>
      </c>
      <c r="N110" s="14" t="s">
        <v>144</v>
      </c>
      <c r="O110" s="14">
        <f t="shared" si="16"/>
        <v>2.3881131454679401</v>
      </c>
      <c r="P110" s="14">
        <f t="shared" si="17"/>
        <v>1.81338051569639</v>
      </c>
      <c r="Q110" s="14">
        <f t="shared" si="18"/>
        <v>2.9727549585114201</v>
      </c>
      <c r="X110">
        <v>0</v>
      </c>
      <c r="Y110" s="3" t="s">
        <v>116</v>
      </c>
      <c r="Z110" s="14" t="s">
        <v>144</v>
      </c>
      <c r="AA110" s="14">
        <v>5</v>
      </c>
      <c r="AB110" s="14">
        <v>5</v>
      </c>
      <c r="AC110" s="14">
        <v>5</v>
      </c>
    </row>
    <row r="111" spans="3:29">
      <c r="C111" s="3" t="s">
        <v>116</v>
      </c>
      <c r="D111" s="14" t="s">
        <v>145</v>
      </c>
      <c r="E111" s="14">
        <v>4.1838460083517601</v>
      </c>
      <c r="F111" s="15">
        <v>3.1769453205600602</v>
      </c>
      <c r="G111" s="15">
        <v>5.2081070744288898</v>
      </c>
      <c r="L111">
        <v>2050</v>
      </c>
      <c r="M111" s="3" t="s">
        <v>116</v>
      </c>
      <c r="N111" s="14" t="s">
        <v>145</v>
      </c>
      <c r="O111" s="14">
        <f t="shared" si="16"/>
        <v>1.3095438006141</v>
      </c>
      <c r="P111" s="14">
        <f t="shared" si="17"/>
        <v>0.99438388533529898</v>
      </c>
      <c r="Q111" s="14">
        <f t="shared" si="18"/>
        <v>1.63013751429624</v>
      </c>
      <c r="X111">
        <v>0</v>
      </c>
      <c r="Y111" s="3" t="s">
        <v>116</v>
      </c>
      <c r="Z111" s="14" t="s">
        <v>145</v>
      </c>
      <c r="AA111" s="14">
        <v>5</v>
      </c>
      <c r="AB111" s="14">
        <v>5</v>
      </c>
      <c r="AC111" s="14">
        <v>5</v>
      </c>
    </row>
    <row r="112" spans="3:29">
      <c r="C112" s="3" t="s">
        <v>116</v>
      </c>
      <c r="D112" s="14" t="s">
        <v>146</v>
      </c>
      <c r="E112" s="14">
        <v>4.1838460083517601</v>
      </c>
      <c r="F112" s="15">
        <v>3.1769453205600602</v>
      </c>
      <c r="G112" s="15">
        <v>5.2081070744288898</v>
      </c>
      <c r="L112">
        <v>2050</v>
      </c>
      <c r="M112" s="3" t="s">
        <v>116</v>
      </c>
      <c r="N112" s="14" t="s">
        <v>146</v>
      </c>
      <c r="O112" s="14">
        <f t="shared" si="16"/>
        <v>1.3095438006141</v>
      </c>
      <c r="P112" s="14">
        <f t="shared" si="17"/>
        <v>0.99438388533529898</v>
      </c>
      <c r="Q112" s="14">
        <f t="shared" si="18"/>
        <v>1.63013751429624</v>
      </c>
      <c r="X112">
        <v>0</v>
      </c>
      <c r="Y112" s="3" t="s">
        <v>116</v>
      </c>
      <c r="Z112" s="14" t="s">
        <v>146</v>
      </c>
      <c r="AA112" s="14">
        <v>5</v>
      </c>
      <c r="AB112" s="14">
        <v>5</v>
      </c>
      <c r="AC112" s="14">
        <v>5</v>
      </c>
    </row>
    <row r="113" spans="3:29">
      <c r="C113" s="3" t="s">
        <v>116</v>
      </c>
      <c r="D113" s="14" t="s">
        <v>147</v>
      </c>
      <c r="E113" s="14">
        <v>4.1838460083517601</v>
      </c>
      <c r="F113" s="15">
        <v>3.1769453205600602</v>
      </c>
      <c r="G113" s="15">
        <v>5.2081070744288898</v>
      </c>
      <c r="L113">
        <v>2050</v>
      </c>
      <c r="M113" s="3" t="s">
        <v>116</v>
      </c>
      <c r="N113" s="14" t="s">
        <v>147</v>
      </c>
      <c r="O113" s="14">
        <f t="shared" si="16"/>
        <v>1.3095438006141</v>
      </c>
      <c r="P113" s="14">
        <f t="shared" si="17"/>
        <v>0.99438388533529898</v>
      </c>
      <c r="Q113" s="14">
        <f t="shared" si="18"/>
        <v>1.63013751429624</v>
      </c>
      <c r="X113">
        <v>0</v>
      </c>
      <c r="Y113" s="3" t="s">
        <v>116</v>
      </c>
      <c r="Z113" s="14" t="s">
        <v>147</v>
      </c>
      <c r="AA113" s="14">
        <v>5</v>
      </c>
      <c r="AB113" s="14">
        <v>5</v>
      </c>
      <c r="AC113" s="14">
        <v>5</v>
      </c>
    </row>
    <row r="114" spans="3:29">
      <c r="C114" s="3" t="s">
        <v>116</v>
      </c>
      <c r="D114" s="14" t="s">
        <v>148</v>
      </c>
      <c r="E114" s="14">
        <v>4.1838460083517601</v>
      </c>
      <c r="F114" s="15">
        <v>3.1769453205600602</v>
      </c>
      <c r="G114" s="15">
        <v>5.2081070744288898</v>
      </c>
      <c r="L114">
        <v>2050</v>
      </c>
      <c r="M114" s="3" t="s">
        <v>116</v>
      </c>
      <c r="N114" s="14" t="s">
        <v>148</v>
      </c>
      <c r="O114" s="14">
        <f t="shared" si="16"/>
        <v>1.3095438006141</v>
      </c>
      <c r="P114" s="14">
        <f t="shared" si="17"/>
        <v>0.99438388533529898</v>
      </c>
      <c r="Q114" s="14">
        <f t="shared" si="18"/>
        <v>1.63013751429624</v>
      </c>
      <c r="X114">
        <v>0</v>
      </c>
      <c r="Y114" s="3" t="s">
        <v>116</v>
      </c>
      <c r="Z114" s="14" t="s">
        <v>148</v>
      </c>
      <c r="AA114" s="14">
        <v>5</v>
      </c>
      <c r="AB114" s="14">
        <v>5</v>
      </c>
      <c r="AC114" s="14">
        <v>5</v>
      </c>
    </row>
    <row r="115" spans="3:29">
      <c r="C115" s="3" t="s">
        <v>116</v>
      </c>
      <c r="D115" s="14" t="s">
        <v>149</v>
      </c>
      <c r="E115" s="14">
        <v>4.1838460083517601</v>
      </c>
      <c r="F115" s="15">
        <v>3.1769453205600602</v>
      </c>
      <c r="G115" s="15">
        <v>5.2081070744288898</v>
      </c>
      <c r="L115">
        <v>2050</v>
      </c>
      <c r="M115" s="3" t="s">
        <v>116</v>
      </c>
      <c r="N115" s="14" t="s">
        <v>149</v>
      </c>
      <c r="O115" s="14">
        <f t="shared" si="16"/>
        <v>1.3095438006141</v>
      </c>
      <c r="P115" s="14">
        <f t="shared" si="17"/>
        <v>0.99438388533529898</v>
      </c>
      <c r="Q115" s="14">
        <f t="shared" si="18"/>
        <v>1.63013751429624</v>
      </c>
      <c r="X115">
        <v>0</v>
      </c>
      <c r="Y115" s="3" t="s">
        <v>116</v>
      </c>
      <c r="Z115" s="14" t="s">
        <v>149</v>
      </c>
      <c r="AA115" s="14">
        <v>5</v>
      </c>
      <c r="AB115" s="14">
        <v>5</v>
      </c>
      <c r="AC115" s="14">
        <v>5</v>
      </c>
    </row>
    <row r="116" spans="3:29">
      <c r="C116" s="3" t="s">
        <v>116</v>
      </c>
      <c r="D116" s="14" t="s">
        <v>150</v>
      </c>
      <c r="E116" s="14">
        <v>4.1838460083517601</v>
      </c>
      <c r="F116" s="15">
        <v>3.1769453205600602</v>
      </c>
      <c r="G116" s="15">
        <v>5.2081070744288898</v>
      </c>
      <c r="L116">
        <v>2050</v>
      </c>
      <c r="M116" s="3" t="s">
        <v>116</v>
      </c>
      <c r="N116" s="14" t="s">
        <v>150</v>
      </c>
      <c r="O116" s="14">
        <f t="shared" si="16"/>
        <v>1.3095438006141</v>
      </c>
      <c r="P116" s="14">
        <f t="shared" si="17"/>
        <v>0.99438388533529898</v>
      </c>
      <c r="Q116" s="14">
        <f t="shared" si="18"/>
        <v>1.63013751429624</v>
      </c>
      <c r="X116">
        <v>0</v>
      </c>
      <c r="Y116" s="3" t="s">
        <v>116</v>
      </c>
      <c r="Z116" s="14" t="s">
        <v>150</v>
      </c>
      <c r="AA116" s="14">
        <v>5</v>
      </c>
      <c r="AB116" s="14">
        <v>5</v>
      </c>
      <c r="AC116" s="14">
        <v>5</v>
      </c>
    </row>
    <row r="117" spans="3:29">
      <c r="C117" s="3" t="s">
        <v>116</v>
      </c>
      <c r="D117" s="14" t="s">
        <v>151</v>
      </c>
      <c r="E117" s="14">
        <v>4.1838460083517601</v>
      </c>
      <c r="F117" s="15">
        <v>3.1769453205600602</v>
      </c>
      <c r="G117" s="15">
        <v>5.2081070744288898</v>
      </c>
      <c r="L117">
        <v>2050</v>
      </c>
      <c r="M117" s="3" t="s">
        <v>116</v>
      </c>
      <c r="N117" s="14" t="s">
        <v>151</v>
      </c>
      <c r="O117" s="14">
        <f t="shared" si="16"/>
        <v>1.3095438006141</v>
      </c>
      <c r="P117" s="14">
        <f t="shared" si="17"/>
        <v>0.99438388533529898</v>
      </c>
      <c r="Q117" s="14">
        <f t="shared" si="18"/>
        <v>1.63013751429624</v>
      </c>
      <c r="X117">
        <v>0</v>
      </c>
      <c r="Y117" s="3" t="s">
        <v>116</v>
      </c>
      <c r="Z117" s="14" t="s">
        <v>151</v>
      </c>
      <c r="AA117" s="14">
        <v>5</v>
      </c>
      <c r="AB117" s="14">
        <v>5</v>
      </c>
      <c r="AC117" s="14">
        <v>5</v>
      </c>
    </row>
    <row r="118" spans="3:29">
      <c r="C118" s="3" t="s">
        <v>116</v>
      </c>
      <c r="D118" s="14" t="s">
        <v>152</v>
      </c>
      <c r="E118" s="14">
        <v>3.5655626627364301</v>
      </c>
      <c r="F118" s="15">
        <v>2.7074604274134102</v>
      </c>
      <c r="G118" s="15">
        <v>4.4384597641857004</v>
      </c>
      <c r="L118">
        <v>2050</v>
      </c>
      <c r="M118" s="3" t="s">
        <v>116</v>
      </c>
      <c r="N118" s="14" t="s">
        <v>152</v>
      </c>
      <c r="O118" s="14">
        <f t="shared" si="16"/>
        <v>1.1160211134364999</v>
      </c>
      <c r="P118" s="14">
        <f t="shared" si="17"/>
        <v>0.84743511378039704</v>
      </c>
      <c r="Q118" s="14">
        <f t="shared" si="18"/>
        <v>1.3892379061901201</v>
      </c>
      <c r="X118">
        <v>0</v>
      </c>
      <c r="Y118" s="3" t="s">
        <v>116</v>
      </c>
      <c r="Z118" s="14" t="s">
        <v>152</v>
      </c>
      <c r="AA118" s="14">
        <v>5</v>
      </c>
      <c r="AB118" s="14">
        <v>5</v>
      </c>
      <c r="AC118" s="14">
        <v>5</v>
      </c>
    </row>
    <row r="119" spans="3:29">
      <c r="C119" s="3" t="s">
        <v>116</v>
      </c>
      <c r="D119" s="14" t="s">
        <v>153</v>
      </c>
      <c r="E119" s="14">
        <v>3.6008770817980902</v>
      </c>
      <c r="F119" s="15">
        <v>2.7342759764185698</v>
      </c>
      <c r="G119" s="15">
        <v>4.4824196020633797</v>
      </c>
      <c r="L119">
        <v>2050</v>
      </c>
      <c r="M119" s="3" t="s">
        <v>116</v>
      </c>
      <c r="N119" s="14" t="s">
        <v>153</v>
      </c>
      <c r="O119" s="14">
        <f t="shared" si="16"/>
        <v>1.1270745266027999</v>
      </c>
      <c r="P119" s="14">
        <f t="shared" si="17"/>
        <v>0.85582838061901201</v>
      </c>
      <c r="Q119" s="14">
        <f t="shared" si="18"/>
        <v>1.40299733544584</v>
      </c>
      <c r="X119">
        <v>0</v>
      </c>
      <c r="Y119" s="3" t="s">
        <v>116</v>
      </c>
      <c r="Z119" s="14" t="s">
        <v>153</v>
      </c>
      <c r="AA119" s="14">
        <v>5</v>
      </c>
      <c r="AB119" s="14">
        <v>5</v>
      </c>
      <c r="AC119" s="14">
        <v>5</v>
      </c>
    </row>
    <row r="120" spans="3:29">
      <c r="C120" s="3" t="s">
        <v>116</v>
      </c>
      <c r="D120" s="14" t="s">
        <v>154</v>
      </c>
      <c r="E120" s="14">
        <v>3.5655626627364301</v>
      </c>
      <c r="F120" s="15">
        <v>2.7074604274134102</v>
      </c>
      <c r="G120" s="15">
        <v>4.4384597641857004</v>
      </c>
      <c r="L120">
        <v>2050</v>
      </c>
      <c r="M120" s="3" t="s">
        <v>116</v>
      </c>
      <c r="N120" s="14" t="s">
        <v>154</v>
      </c>
      <c r="O120" s="14">
        <f t="shared" si="16"/>
        <v>1.1160211134364999</v>
      </c>
      <c r="P120" s="14">
        <f t="shared" si="17"/>
        <v>0.84743511378039704</v>
      </c>
      <c r="Q120" s="14">
        <f t="shared" si="18"/>
        <v>1.3892379061901201</v>
      </c>
      <c r="X120">
        <v>0</v>
      </c>
      <c r="Y120" s="3" t="s">
        <v>116</v>
      </c>
      <c r="Z120" s="14" t="s">
        <v>154</v>
      </c>
      <c r="AA120" s="14">
        <v>5</v>
      </c>
      <c r="AB120" s="14">
        <v>5</v>
      </c>
      <c r="AC120" s="14">
        <v>5</v>
      </c>
    </row>
    <row r="121" spans="3:29">
      <c r="C121" s="3" t="s">
        <v>116</v>
      </c>
      <c r="D121" s="14" t="s">
        <v>155</v>
      </c>
      <c r="E121" s="14">
        <v>3.56645369688037</v>
      </c>
      <c r="F121" s="15">
        <v>2.70813706705969</v>
      </c>
      <c r="G121" s="15">
        <v>4.4395689019896798</v>
      </c>
      <c r="L121">
        <v>2050</v>
      </c>
      <c r="M121" s="3" t="s">
        <v>116</v>
      </c>
      <c r="N121" s="14" t="s">
        <v>155</v>
      </c>
      <c r="O121" s="14">
        <f t="shared" si="16"/>
        <v>1.11630000712356</v>
      </c>
      <c r="P121" s="14">
        <f t="shared" si="17"/>
        <v>0.84764690198968295</v>
      </c>
      <c r="Q121" s="14">
        <f t="shared" si="18"/>
        <v>1.38958506632277</v>
      </c>
      <c r="X121">
        <v>0</v>
      </c>
      <c r="Y121" s="3" t="s">
        <v>116</v>
      </c>
      <c r="Z121" s="14" t="s">
        <v>155</v>
      </c>
      <c r="AA121" s="14">
        <v>5</v>
      </c>
      <c r="AB121" s="14">
        <v>5</v>
      </c>
      <c r="AC121" s="14">
        <v>5</v>
      </c>
    </row>
    <row r="122" spans="3:29">
      <c r="C122" s="3" t="s">
        <v>116</v>
      </c>
      <c r="D122" s="14" t="s">
        <v>156</v>
      </c>
      <c r="E122" s="14">
        <v>3.5658596168017702</v>
      </c>
      <c r="F122" s="15">
        <v>2.7076859248341898</v>
      </c>
      <c r="G122" s="15">
        <v>4.4388294030950597</v>
      </c>
      <c r="L122">
        <v>2050</v>
      </c>
      <c r="M122" s="3" t="s">
        <v>116</v>
      </c>
      <c r="N122" s="14" t="s">
        <v>156</v>
      </c>
      <c r="O122" s="14">
        <f t="shared" si="16"/>
        <v>1.1161140600589501</v>
      </c>
      <c r="P122" s="14">
        <f t="shared" si="17"/>
        <v>0.84750569447310098</v>
      </c>
      <c r="Q122" s="14">
        <f t="shared" si="18"/>
        <v>1.3893536031687499</v>
      </c>
      <c r="X122">
        <v>0</v>
      </c>
      <c r="Y122" s="3" t="s">
        <v>116</v>
      </c>
      <c r="Z122" s="14" t="s">
        <v>156</v>
      </c>
      <c r="AA122" s="14">
        <v>5</v>
      </c>
      <c r="AB122" s="14">
        <v>5</v>
      </c>
      <c r="AC122" s="14">
        <v>5</v>
      </c>
    </row>
    <row r="123" spans="3:29">
      <c r="C123" s="3" t="s">
        <v>116</v>
      </c>
      <c r="D123" s="14" t="s">
        <v>157</v>
      </c>
      <c r="E123" s="14">
        <v>3.5655626627364301</v>
      </c>
      <c r="F123" s="15">
        <v>2.7074604274134102</v>
      </c>
      <c r="G123" s="15">
        <v>4.4384597641857004</v>
      </c>
      <c r="L123">
        <v>2050</v>
      </c>
      <c r="M123" s="3" t="s">
        <v>116</v>
      </c>
      <c r="N123" s="14" t="s">
        <v>157</v>
      </c>
      <c r="O123" s="14">
        <f t="shared" si="16"/>
        <v>1.1160211134364999</v>
      </c>
      <c r="P123" s="14">
        <f t="shared" si="17"/>
        <v>0.84743511378039704</v>
      </c>
      <c r="Q123" s="14">
        <f t="shared" si="18"/>
        <v>1.3892379061901201</v>
      </c>
      <c r="X123">
        <v>0</v>
      </c>
      <c r="Y123" s="3" t="s">
        <v>116</v>
      </c>
      <c r="Z123" s="14" t="s">
        <v>157</v>
      </c>
      <c r="AA123" s="14">
        <v>5</v>
      </c>
      <c r="AB123" s="14">
        <v>5</v>
      </c>
      <c r="AC123" s="14">
        <v>5</v>
      </c>
    </row>
    <row r="124" spans="3:29">
      <c r="C124" s="3" t="s">
        <v>116</v>
      </c>
      <c r="D124" s="16" t="s">
        <v>158</v>
      </c>
      <c r="E124" s="14">
        <v>3.5649689019896802</v>
      </c>
      <c r="F124" s="15">
        <v>2.7070095799557801</v>
      </c>
      <c r="G124" s="15">
        <v>4.4377206337509199</v>
      </c>
      <c r="L124">
        <v>2050</v>
      </c>
      <c r="M124" s="3" t="s">
        <v>116</v>
      </c>
      <c r="N124" s="16" t="s">
        <v>158</v>
      </c>
      <c r="O124" s="14">
        <f t="shared" si="16"/>
        <v>1.11583526632277</v>
      </c>
      <c r="P124" s="14">
        <f t="shared" si="17"/>
        <v>0.84729399852615905</v>
      </c>
      <c r="Q124" s="14">
        <f t="shared" si="18"/>
        <v>1.3890065583640401</v>
      </c>
      <c r="X124">
        <v>0</v>
      </c>
      <c r="Y124" s="3" t="s">
        <v>116</v>
      </c>
      <c r="Z124" s="14" t="s">
        <v>158</v>
      </c>
      <c r="AA124" s="14">
        <v>5</v>
      </c>
      <c r="AB124" s="14">
        <v>5</v>
      </c>
      <c r="AC124" s="14">
        <v>5</v>
      </c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75"/>
  <cols>
    <col min="3" max="3" width="11.59765625" customWidth="1"/>
    <col min="12" max="28" width="5.265625" customWidth="1"/>
  </cols>
  <sheetData>
    <row r="1" spans="1:47">
      <c r="A1" t="s">
        <v>159</v>
      </c>
      <c r="B1" t="s">
        <v>56</v>
      </c>
      <c r="C1" t="s">
        <v>45</v>
      </c>
      <c r="D1" t="s">
        <v>47</v>
      </c>
      <c r="E1" t="s">
        <v>160</v>
      </c>
      <c r="F1" t="s">
        <v>161</v>
      </c>
      <c r="G1" t="s">
        <v>79</v>
      </c>
      <c r="H1" t="s">
        <v>162</v>
      </c>
      <c r="I1" t="s">
        <v>163</v>
      </c>
      <c r="J1" t="s">
        <v>164</v>
      </c>
      <c r="K1" t="s">
        <v>165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0.52772280688712803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0.52772280688712803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1.1651321700288899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1.1651321700288899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0.46605286801155599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0.46605286801155599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0.47553149117899501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2001-09-28T20:39:00Z</cp:lastPrinted>
  <dcterms:created xsi:type="dcterms:W3CDTF">2001-09-28T18:48:00Z</dcterms:created>
  <dcterms:modified xsi:type="dcterms:W3CDTF">2025-04-01T17:46:32Z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